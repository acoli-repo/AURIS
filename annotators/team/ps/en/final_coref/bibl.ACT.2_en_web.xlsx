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annotation'!$A$1:$L$1296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<sst xmlns="http://schemas.openxmlformats.org/spreadsheetml/2006/main" count="3303" uniqueCount="779">
  <si>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</si>
  <si>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</si>
  <si>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</si>
  <si>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</si>
  <si>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</si>
  <si>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</si>
  <si>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</si>
  <si>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</si>
  <si>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</si>
  <si>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</si>
  <si>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</si>
  <si>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11</t>
  </si>
  <si>
    <t xml:space="preserve">when?</t>
  </si>
  <si>
    <t xml:space="preserve">be (be all)</t>
  </si>
  <si>
    <t xml:space="preserve">Now when the day of Pentecost had come , they were all with one accord in one place .</t>
  </si>
  <si>
    <t xml:space="preserve">file://conllu/en/bibl.en_web.ACT.2.conllu#s1_0</t>
  </si>
  <si>
    <t xml:space="preserve">_</t>
  </si>
  <si>
    <t xml:space="preserve">2</t>
  </si>
  <si>
    <t xml:space="preserve">3</t>
  </si>
  <si>
    <t xml:space="preserve">and?</t>
  </si>
  <si>
    <t xml:space="preserve">come</t>
  </si>
  <si>
    <t xml:space="preserve">Suddenly there came from the sky a sound like the rushing of a mighty wind , and it filled all the house where they were sitting .</t>
  </si>
  <si>
    <t xml:space="preserve">file://conllu/en/bibl.en_web.ACT.2.conllu#s2_0</t>
  </si>
  <si>
    <t xml:space="preserve">4</t>
  </si>
  <si>
    <t xml:space="preserve">appear</t>
  </si>
  <si>
    <t xml:space="preserve">Tongues like fire appeared and were distributed to them , and one sat on each of them .</t>
  </si>
  <si>
    <t xml:space="preserve">file://conllu/en/bibl.en_web.ACT.2.conllu#s3_0</t>
  </si>
  <si>
    <t xml:space="preserve">fill</t>
  </si>
  <si>
    <t xml:space="preserve">They were all filled with the Holy Spirit , and began to speak with other languages , as the Spirit gave them the ability to speak .</t>
  </si>
  <si>
    <t xml:space="preserve">file://conllu/en/bibl.en_web.ACT.2.conllu#s4_0</t>
  </si>
  <si>
    <t xml:space="preserve">5</t>
  </si>
  <si>
    <t xml:space="preserve">be</t>
  </si>
  <si>
    <t xml:space="preserve">Now there were dwelling in Jerusalem Jews , devout men , from every nation under the sky .</t>
  </si>
  <si>
    <t xml:space="preserve">file://conllu/en/bibl.en_web.ACT.2.conllu#s5_0</t>
  </si>
  <si>
    <t xml:space="preserve">6</t>
  </si>
  <si>
    <t xml:space="preserve">9</t>
  </si>
  <si>
    <t xml:space="preserve">When this sound was heard , the multitude came together , and were bewildered , because everyone heard them speaking in his own language .</t>
  </si>
  <si>
    <t xml:space="preserve">file://conllu/en/bibl.en_web.ACT.2.conllu#s6_0</t>
  </si>
  <si>
    <t xml:space="preserve">7</t>
  </si>
  <si>
    <t xml:space="preserve">amaz</t>
  </si>
  <si>
    <t xml:space="preserve">They were all amazed and marveled , saying to one another , &amp;quot; Behold , are n't all these who speak Galileans ?</t>
  </si>
  <si>
    <t xml:space="preserve">file://conllu/en/bibl.en_web.ACT.2.conllu#s7_0</t>
  </si>
  <si>
    <t xml:space="preserve">8</t>
  </si>
  <si>
    <t xml:space="preserve">hear</t>
  </si>
  <si>
    <t xml:space="preserve">How do we hear , everyone in our own native language ?</t>
  </si>
  <si>
    <t xml:space="preserve">file://conllu/en/bibl.en_web.ACT.2.conllu#s8_0</t>
  </si>
  <si>
    <t xml:space="preserve">Parthians</t>
  </si>
  <si>
    <t xml:space="preserve">Parthians , Medes , Elamites , and people from Mesopotamia , Judea , Cappadocia , Pontus , Asia ,</t>
  </si>
  <si>
    <t xml:space="preserve">file://conllu/en/bibl.en_web.ACT.2.conllu#s9_0</t>
  </si>
  <si>
    <t xml:space="preserve">10</t>
  </si>
  <si>
    <t xml:space="preserve">Phrygia</t>
  </si>
  <si>
    <t xml:space="preserve">Phrygia , Pamphylia , Egypt , the parts of Libya around Cyrene , visitors from Rome , both Jews and proselytes ,</t>
  </si>
  <si>
    <t xml:space="preserve">file://conllu/en/bibl.en_web.ACT.2.conllu#s10_0</t>
  </si>
  <si>
    <t xml:space="preserve">Cretans</t>
  </si>
  <si>
    <t xml:space="preserve">Cretans and Arabians : we hear them speaking in our languages the mighty works of God ! &amp;quot;</t>
  </si>
  <si>
    <t xml:space="preserve">file://conllu/en/bibl.en_web.ACT.2.conllu#s11_0</t>
  </si>
  <si>
    <t xml:space="preserve">12</t>
  </si>
  <si>
    <t xml:space="preserve">amazed</t>
  </si>
  <si>
    <t xml:space="preserve">They were all amazed , and were perplexed , saying one to another , &amp;quot; What does this mean ? &amp;quot;</t>
  </si>
  <si>
    <t xml:space="preserve">file://conllu/en/bibl.en_web.ACT.2.conllu#s12_0</t>
  </si>
  <si>
    <t xml:space="preserve">13</t>
  </si>
  <si>
    <t xml:space="preserve">say</t>
  </si>
  <si>
    <t xml:space="preserve">Others , mocking , said , &amp;quot; They are filled with new wine . &amp;quot;</t>
  </si>
  <si>
    <t xml:space="preserve">file://conllu/en/bibl.en_web.ACT.2.conllu#s13_0</t>
  </si>
  <si>
    <t xml:space="preserve">14</t>
  </si>
  <si>
    <t xml:space="preserve">but?</t>
  </si>
  <si>
    <t xml:space="preserve">Peter</t>
  </si>
  <si>
    <t xml:space="preserve">But Peter , standing up with the eleven , lifted up his voice , and spoke out to them , &amp;quot; You men of Judea , and all you who dwell at Jerusalem , let this be known to you , and listen to my words .</t>
  </si>
  <si>
    <t xml:space="preserve">file://conllu/en/bibl.en_web.ACT.2.conllu#s14_0</t>
  </si>
  <si>
    <t xml:space="preserve">15</t>
  </si>
  <si>
    <t xml:space="preserve">for?</t>
  </si>
  <si>
    <t xml:space="preserve">drunke</t>
  </si>
  <si>
    <t xml:space="preserve">For these are n't drunken , as you suppose , seeing it is only the third hour of the day .</t>
  </si>
  <si>
    <t xml:space="preserve">file://conllu/en/bibl.en_web.ACT.2.conllu#s15_0</t>
  </si>
  <si>
    <t xml:space="preserve">16</t>
  </si>
  <si>
    <t xml:space="preserve">speak</t>
  </si>
  <si>
    <t xml:space="preserve">But this is what has been spoken through the prophet Joel :</t>
  </si>
  <si>
    <t xml:space="preserve">file://conllu/en/bibl.en_web.ACT.2.conllu#s16_0</t>
  </si>
  <si>
    <t xml:space="preserve">17</t>
  </si>
  <si>
    <t xml:space="preserve">be (be day)</t>
  </si>
  <si>
    <t xml:space="preserve">' It will be in the last days , says God , that I will pour out my Spirit on all flesh .</t>
  </si>
  <si>
    <t xml:space="preserve">file://conllu/en/bibl.en_web.ACT.2.conllu#s17_0</t>
  </si>
  <si>
    <t xml:space="preserve">18</t>
  </si>
  <si>
    <t xml:space="preserve">prophesy</t>
  </si>
  <si>
    <t xml:space="preserve">Your sons and your daughters will prophesy .</t>
  </si>
  <si>
    <t xml:space="preserve">file://conllu/en/bibl.en_web.ACT.2.conllu#s18_0</t>
  </si>
  <si>
    <t xml:space="preserve">19</t>
  </si>
  <si>
    <t xml:space="preserve">see</t>
  </si>
  <si>
    <t xml:space="preserve">Your young men will see visions .</t>
  </si>
  <si>
    <t xml:space="preserve">file://conllu/en/bibl.en_web.ACT.2.conllu#s19_0</t>
  </si>
  <si>
    <t xml:space="preserve">20</t>
  </si>
  <si>
    <t xml:space="preserve">dream</t>
  </si>
  <si>
    <t xml:space="preserve">Your old men will dream dreams .</t>
  </si>
  <si>
    <t xml:space="preserve">file://conllu/en/bibl.en_web.ACT.2.conllu#s20_0</t>
  </si>
  <si>
    <t xml:space="preserve">21</t>
  </si>
  <si>
    <t xml:space="preserve">pour</t>
  </si>
  <si>
    <t xml:space="preserve">Yes , and on my servants and on my handmaidens in those days , I will pour out my Spirit , and they will prophesy .</t>
  </si>
  <si>
    <t xml:space="preserve">file://conllu/en/bibl.en_web.ACT.2.conllu#s21_0</t>
  </si>
  <si>
    <t xml:space="preserve">22</t>
  </si>
  <si>
    <t xml:space="preserve">wonder (wonder show)</t>
  </si>
  <si>
    <t xml:space="preserve">I will show wonders in the sky above , and signs on the earth beneath ; blood , and fire , and billows of smoke .</t>
  </si>
  <si>
    <t xml:space="preserve">file://conllu/en/bibl.en_web.ACT.2.conllu#s22_0</t>
  </si>
  <si>
    <t xml:space="preserve">23</t>
  </si>
  <si>
    <t xml:space="preserve">before?</t>
  </si>
  <si>
    <t xml:space="preserve">turn</t>
  </si>
  <si>
    <t xml:space="preserve">The sun will be turned into darkness , and the moon into blood , before the great and glorious day of the Lord comes .</t>
  </si>
  <si>
    <t xml:space="preserve">file://conllu/en/bibl.en_web.ACT.2.conllu#s23_0</t>
  </si>
  <si>
    <t xml:space="preserve">24</t>
  </si>
  <si>
    <t xml:space="preserve">save</t>
  </si>
  <si>
    <t xml:space="preserve">It will be , that whoever will call on the name of the Lord will be saved . '</t>
  </si>
  <si>
    <t xml:space="preserve">file://conllu/en/bibl.en_web.ACT.2.conllu#s24_0</t>
  </si>
  <si>
    <t xml:space="preserve">25</t>
  </si>
  <si>
    <t xml:space="preserve">&amp;quot; Men of Israel , hear these words !</t>
  </si>
  <si>
    <t xml:space="preserve">file://conllu/en/bibl.en_web.ACT.2.conllu#s25_0</t>
  </si>
  <si>
    <t xml:space="preserve">26</t>
  </si>
  <si>
    <t xml:space="preserve">man</t>
  </si>
  <si>
    <t xml:space="preserve">Jesus of Nazareth , a man approved by God to you by mighty works and wonders and signs which God did by him in the midst of you , even as you yourselves know ,</t>
  </si>
  <si>
    <t xml:space="preserve">file://conllu/en/bibl.en_web.ACT.2.conllu#s26_0</t>
  </si>
  <si>
    <t xml:space="preserve">27</t>
  </si>
  <si>
    <t xml:space="preserve">deliver</t>
  </si>
  <si>
    <t xml:space="preserve">him , being delivered up by the determined counsel and foreknowledge of God , you have taken by the hand of lawless men , crucified and killed ;</t>
  </si>
  <si>
    <t xml:space="preserve">file://conllu/en/bibl.en_web.ACT.2.conllu#s27_0</t>
  </si>
  <si>
    <t xml:space="preserve">28</t>
  </si>
  <si>
    <t xml:space="preserve">because?</t>
  </si>
  <si>
    <t xml:space="preserve">raise</t>
  </si>
  <si>
    <t xml:space="preserve">whom God raised up , having freed him from the agony of death , because it was not possible that he should be held by it .</t>
  </si>
  <si>
    <t xml:space="preserve">file://conllu/en/bibl.en_web.ACT.2.conllu#s28_0</t>
  </si>
  <si>
    <t xml:space="preserve">29</t>
  </si>
  <si>
    <t xml:space="preserve">For David says concerning him , 'I saw the Lord always before my face , For he is on my right hand , that I should not be moved .</t>
  </si>
  <si>
    <t xml:space="preserve">file://conllu/en/bibl.en_web.ACT.2.conllu#s29_0</t>
  </si>
  <si>
    <t xml:space="preserve">30</t>
  </si>
  <si>
    <t xml:space="preserve">therefore?</t>
  </si>
  <si>
    <t xml:space="preserve">be (be glad)</t>
  </si>
  <si>
    <t xml:space="preserve">Therefore my heart was glad , and my tongue rejoiced .</t>
  </si>
  <si>
    <t xml:space="preserve">file://conllu/en/bibl.en_web.ACT.2.conllu#s30_0</t>
  </si>
  <si>
    <t xml:space="preserve">31</t>
  </si>
  <si>
    <t xml:space="preserve">moreover?</t>
  </si>
  <si>
    <t xml:space="preserve">moreover</t>
  </si>
  <si>
    <t xml:space="preserve">Moreover my flesh also will dwell in hope ;</t>
  </si>
  <si>
    <t xml:space="preserve">file://conllu/en/bibl.en_web.ACT.2.conllu#s31_0</t>
  </si>
  <si>
    <t xml:space="preserve">32</t>
  </si>
  <si>
    <t xml:space="preserve">allow</t>
  </si>
  <si>
    <t xml:space="preserve">because you will not leave my soul in Hades , neither will you allow your Holy</t>
  </si>
  <si>
    <t xml:space="preserve">file://conllu/en/bibl.en_web.ACT.2.conllu#s32_0</t>
  </si>
  <si>
    <t xml:space="preserve">33</t>
  </si>
  <si>
    <t xml:space="preserve">one</t>
  </si>
  <si>
    <t xml:space="preserve">One to see decay .</t>
  </si>
  <si>
    <t xml:space="preserve">file://conllu/en/bibl.en_web.ACT.2.conllu#s33_0</t>
  </si>
  <si>
    <t xml:space="preserve">34</t>
  </si>
  <si>
    <t xml:space="preserve">know</t>
  </si>
  <si>
    <t xml:space="preserve">You made known to me the ways of life .</t>
  </si>
  <si>
    <t xml:space="preserve">file://conllu/en/bibl.en_web.ACT.2.conllu#s34_0</t>
  </si>
  <si>
    <t xml:space="preserve">35</t>
  </si>
  <si>
    <t xml:space="preserve">make</t>
  </si>
  <si>
    <t xml:space="preserve">You will make me full of gladness with your presence . '</t>
  </si>
  <si>
    <t xml:space="preserve">file://conllu/en/bibl.en_web.ACT.2.conllu#s35_0</t>
  </si>
  <si>
    <t xml:space="preserve">36</t>
  </si>
  <si>
    <t xml:space="preserve">brother</t>
  </si>
  <si>
    <t xml:space="preserve">&amp;quot; Brothers , I may tell you freely of the patriarch David , that he both died and was buried , and his tomb is with us to this day .</t>
  </si>
  <si>
    <t xml:space="preserve">file://conllu/en/bibl.en_web.ACT.2.conllu#s36_0</t>
  </si>
  <si>
    <t xml:space="preserve">37</t>
  </si>
  <si>
    <t xml:space="preserve">be (be prophet)</t>
  </si>
  <si>
    <t xml:space="preserve">Therefore , being a prophet , and knowing that God had sworn with an oath to him that of the fruit of his body , according to the flesh , he would raise up the Christ to sit on his throne ,</t>
  </si>
  <si>
    <t xml:space="preserve">file://conllu/en/bibl.en_web.ACT.2.conllu#s37_0</t>
  </si>
  <si>
    <t xml:space="preserve">38</t>
  </si>
  <si>
    <t xml:space="preserve">foresee (foresee spoke)</t>
  </si>
  <si>
    <t xml:space="preserve">he foreseeing this spoke about the resurrection of the Christ , that neither was his soul left in Hades , nor did his flesh see decay .</t>
  </si>
  <si>
    <t xml:space="preserve">file://conllu/en/bibl.en_web.ACT.2.conllu#s38_0</t>
  </si>
  <si>
    <t xml:space="preserve">39</t>
  </si>
  <si>
    <t xml:space="preserve">This Jesus God raised up , to which we all are witnesses .</t>
  </si>
  <si>
    <t xml:space="preserve">file://conllu/en/bibl.en_web.ACT.2.conllu#s39_0</t>
  </si>
  <si>
    <t xml:space="preserve">40</t>
  </si>
  <si>
    <t xml:space="preserve">Being therefore exalted by the right hand of God , and having received from the Father the promise of the Holy Spirit , he has poured out this , which you now see and hear .</t>
  </si>
  <si>
    <t xml:space="preserve">file://conllu/en/bibl.en_web.ACT.2.conllu#s40_0</t>
  </si>
  <si>
    <t xml:space="preserve">41</t>
  </si>
  <si>
    <t xml:space="preserve">ascend</t>
  </si>
  <si>
    <t xml:space="preserve">For David did n't ascend into the heavens , but he says himself , ' The Lord said to my Lord , &amp;quot; Sit by my right hand ,</t>
  </si>
  <si>
    <t xml:space="preserve">file://conllu/en/bibl.en_web.ACT.2.conllu#s41_0</t>
  </si>
  <si>
    <t xml:space="preserve">42</t>
  </si>
  <si>
    <t xml:space="preserve">until?</t>
  </si>
  <si>
    <t xml:space="preserve">until I make your enemies a footstool for your feet . &amp;quot; '</t>
  </si>
  <si>
    <t xml:space="preserve">file://conllu/en/bibl.en_web.ACT.2.conllu#s42_0</t>
  </si>
  <si>
    <t xml:space="preserve">43</t>
  </si>
  <si>
    <t xml:space="preserve">let</t>
  </si>
  <si>
    <t xml:space="preserve">&amp;quot; Let all the house of Israel therefore know certainly that God has made him both Lord and Christ , this Jesus whom you crucified . &amp;quot;</t>
  </si>
  <si>
    <t xml:space="preserve">file://conllu/en/bibl.en_web.ACT.2.conllu#s43_0</t>
  </si>
  <si>
    <t xml:space="preserve">44</t>
  </si>
  <si>
    <t xml:space="preserve">cut</t>
  </si>
  <si>
    <t xml:space="preserve">Now when they heard this , they were cut to the heart , and said to Peter and the rest of the apostles , &amp;quot; Brothers , what shall we do ? &amp;quot;</t>
  </si>
  <si>
    <t xml:space="preserve">file://conllu/en/bibl.en_web.ACT.2.conllu#s44_0</t>
  </si>
  <si>
    <t xml:space="preserve">45</t>
  </si>
  <si>
    <t xml:space="preserve">Peter said to them , &amp;quot; Repent , and be baptized , every one of you , in the name of Jesus Christ for the forgiveness of sins , and you will receive the gift of the Holy Spirit .</t>
  </si>
  <si>
    <t xml:space="preserve">file://conllu/en/bibl.en_web.ACT.2.conllu#s45_0</t>
  </si>
  <si>
    <t xml:space="preserve">46</t>
  </si>
  <si>
    <t xml:space="preserve">call</t>
  </si>
  <si>
    <t xml:space="preserve">For the promise is to you , and to your children , and to all who are far off , even as many as the Lord our God will call to himself . &amp;quot;</t>
  </si>
  <si>
    <t xml:space="preserve">file://conllu/en/bibl.en_web.ACT.2.conllu#s46_0</t>
  </si>
  <si>
    <t xml:space="preserve">47</t>
  </si>
  <si>
    <t xml:space="preserve">testify</t>
  </si>
  <si>
    <t xml:space="preserve">With many other words he testified , and exhorted them , saying , &amp;quot; Save yourselves from this crooked generation ! &amp;quot;</t>
  </si>
  <si>
    <t xml:space="preserve">file://conllu/en/bibl.en_web.ACT.2.conllu#s47_0</t>
  </si>
  <si>
    <t xml:space="preserve">48</t>
  </si>
  <si>
    <t xml:space="preserve">then?</t>
  </si>
  <si>
    <t xml:space="preserve">baptize</t>
  </si>
  <si>
    <t xml:space="preserve">Then those who gladly received his word were baptized .</t>
  </si>
  <si>
    <t xml:space="preserve">file://conllu/en/bibl.en_web.ACT.2.conllu#s48_0</t>
  </si>
  <si>
    <t xml:space="preserve">49</t>
  </si>
  <si>
    <t xml:space="preserve">add</t>
  </si>
  <si>
    <t xml:space="preserve">There were added that day about three thousand souls .</t>
  </si>
  <si>
    <t xml:space="preserve">file://conllu/en/bibl.en_web.ACT.2.conllu#s49_0</t>
  </si>
  <si>
    <t xml:space="preserve">50</t>
  </si>
  <si>
    <t xml:space="preserve">continue</t>
  </si>
  <si>
    <t xml:space="preserve">They continued steadfastly in the apostles ' teaching and fellowship , in the breaking of bread , and prayer .</t>
  </si>
  <si>
    <t xml:space="preserve">file://conllu/en/bibl.en_web.ACT.2.conllu#s50_0</t>
  </si>
  <si>
    <t xml:space="preserve">51</t>
  </si>
  <si>
    <t xml:space="preserve">Fear came on every soul , and many wonders and signs were done through the apostles .</t>
  </si>
  <si>
    <t xml:space="preserve">file://conllu/en/bibl.en_web.ACT.2.conllu#s51_0</t>
  </si>
  <si>
    <t xml:space="preserve">52</t>
  </si>
  <si>
    <t xml:space="preserve">all</t>
  </si>
  <si>
    <t xml:space="preserve">All who believed were together , and had all things in common .</t>
  </si>
  <si>
    <t xml:space="preserve">file://conllu/en/bibl.en_web.ACT.2.conllu#s52_0</t>
  </si>
  <si>
    <t xml:space="preserve">53</t>
  </si>
  <si>
    <t xml:space="preserve">sell</t>
  </si>
  <si>
    <t xml:space="preserve">They sold their possessions and goods , and distributed them to all , according as anyone had need .</t>
  </si>
  <si>
    <t xml:space="preserve">file://conllu/en/bibl.en_web.ACT.2.conllu#s53_0</t>
  </si>
  <si>
    <t xml:space="preserve">54</t>
  </si>
  <si>
    <t xml:space="preserve">day</t>
  </si>
  <si>
    <t xml:space="preserve">Day by day , continuing steadfastly with one accord in the temple , and breaking bread at home , they took their food with gladness and singleness of heart ,</t>
  </si>
  <si>
    <t xml:space="preserve">file://conllu/en/bibl.en_web.ACT.2.conllu#s54_0</t>
  </si>
  <si>
    <t xml:space="preserve">55</t>
  </si>
  <si>
    <t xml:space="preserve">praise</t>
  </si>
  <si>
    <t xml:space="preserve">praising God , and having favor with all the people .</t>
  </si>
  <si>
    <t xml:space="preserve">file://conllu/en/bibl.en_web.ACT.2.conllu#s55_0</t>
  </si>
  <si>
    <t xml:space="preserve">56</t>
  </si>
  <si>
    <t xml:space="preserve">The Lord added to the assembly day by day those who were being saved .</t>
  </si>
  <si>
    <t xml:space="preserve">file://conllu/en/bibl.en_web.ACT.2.conllu#s56_0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</si>
  <si>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</si>
  <si>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</si>
  <si>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</si>
  <si>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</si>
  <si>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</si>
  <si>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</si>
  <si>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</si>
  <si>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</si>
  <si>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</si>
  <si>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</si>
  <si>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</si>
  <si>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Now when the day of Pentecost had come, they were all with one accord in one place.</t>
  </si>
  <si>
    <t xml:space="preserve">Now</t>
  </si>
  <si>
    <t xml:space="preserve">when</t>
  </si>
  <si>
    <t xml:space="preserve">the</t>
  </si>
  <si>
    <t xml:space="preserve">SBJ_2</t>
  </si>
  <si>
    <t xml:space="preserve">def-np.the</t>
  </si>
  <si>
    <t xml:space="preserve">?OLD</t>
  </si>
  <si>
    <t xml:space="preserve">Day_of_Pentecost</t>
  </si>
  <si>
    <t xml:space="preserve">REFERENTIAL</t>
  </si>
  <si>
    <t xml:space="preserve">of</t>
  </si>
  <si>
    <t xml:space="preserve">Pentecost</t>
  </si>
  <si>
    <t xml:space="preserve">other_3</t>
  </si>
  <si>
    <t xml:space="preserve">indef-np.bare</t>
  </si>
  <si>
    <t xml:space="preserve">had</t>
  </si>
  <si>
    <t xml:space="preserve">,</t>
  </si>
  <si>
    <t xml:space="preserve">they</t>
  </si>
  <si>
    <t xml:space="preserve">SBJ</t>
  </si>
  <si>
    <t xml:space="preserve">pron.pper</t>
  </si>
  <si>
    <t xml:space="preserve">Apostles</t>
  </si>
  <si>
    <t xml:space="preserve">ACTIVATED</t>
  </si>
  <si>
    <t xml:space="preserve">from preceeding chapter</t>
  </si>
  <si>
    <t xml:space="preserve">were</t>
  </si>
  <si>
    <t xml:space="preserve">with</t>
  </si>
  <si>
    <t xml:space="preserve">accord</t>
  </si>
  <si>
    <t xml:space="preserve">other</t>
  </si>
  <si>
    <t xml:space="preserve">indef-np.quant</t>
  </si>
  <si>
    <t xml:space="preserve">in</t>
  </si>
  <si>
    <t xml:space="preserve">place</t>
  </si>
  <si>
    <t xml:space="preserve">.</t>
  </si>
  <si>
    <t xml:space="preserve"># text = Suddenly there came from the sky a sound like the rushing of a mighty wind, and it filled all the house where they were sitting.</t>
  </si>
  <si>
    <t xml:space="preserve">Suddenly</t>
  </si>
  <si>
    <t xml:space="preserve">there</t>
  </si>
  <si>
    <t xml:space="preserve">came</t>
  </si>
  <si>
    <t xml:space="preserve">from</t>
  </si>
  <si>
    <t xml:space="preserve">sky</t>
  </si>
  <si>
    <t xml:space="preserve">Sky</t>
  </si>
  <si>
    <t xml:space="preserve">FAMILIAR</t>
  </si>
  <si>
    <t xml:space="preserve">a</t>
  </si>
  <si>
    <t xml:space="preserve">sound</t>
  </si>
  <si>
    <t xml:space="preserve">OBJ_2</t>
  </si>
  <si>
    <t xml:space="preserve">indef-np.a</t>
  </si>
  <si>
    <t xml:space="preserve">like</t>
  </si>
  <si>
    <t xml:space="preserve">rushing</t>
  </si>
  <si>
    <t xml:space="preserve">Rushing_of_mighty_wind</t>
  </si>
  <si>
    <t xml:space="preserve">mighty</t>
  </si>
  <si>
    <t xml:space="preserve">wind</t>
  </si>
  <si>
    <t xml:space="preserve">other_4</t>
  </si>
  <si>
    <t xml:space="preserve">and</t>
  </si>
  <si>
    <t xml:space="preserve">it</t>
  </si>
  <si>
    <t xml:space="preserve">IN_FOCUS</t>
  </si>
  <si>
    <t xml:space="preserve">filled</t>
  </si>
  <si>
    <t xml:space="preserve">house</t>
  </si>
  <si>
    <t xml:space="preserve">House</t>
  </si>
  <si>
    <t xml:space="preserve">where</t>
  </si>
  <si>
    <t xml:space="preserve">SBJ_4</t>
  </si>
  <si>
    <t xml:space="preserve">sitting</t>
  </si>
  <si>
    <t xml:space="preserve"># text = Tongues like fire appeared and were distributed to them, and one sat on each of them.</t>
  </si>
  <si>
    <t xml:space="preserve">Tongues</t>
  </si>
  <si>
    <t xml:space="preserve">fire</t>
  </si>
  <si>
    <t xml:space="preserve">other_2</t>
  </si>
  <si>
    <t xml:space="preserve">appeared</t>
  </si>
  <si>
    <t xml:space="preserve">distributed</t>
  </si>
  <si>
    <t xml:space="preserve">to</t>
  </si>
  <si>
    <t xml:space="preserve">them</t>
  </si>
  <si>
    <t xml:space="preserve">sat</t>
  </si>
  <si>
    <t xml:space="preserve">on</t>
  </si>
  <si>
    <t xml:space="preserve">each</t>
  </si>
  <si>
    <t xml:space="preserve">def-np.poss</t>
  </si>
  <si>
    <t xml:space="preserve">Each</t>
  </si>
  <si>
    <t xml:space="preserve"># text = They were all filled with the Holy Spirit, and began to speak with other languages, as the Spirit gave them the ability to speak.</t>
  </si>
  <si>
    <t xml:space="preserve">They</t>
  </si>
  <si>
    <t xml:space="preserve">Holy</t>
  </si>
  <si>
    <t xml:space="preserve">Spirit</t>
  </si>
  <si>
    <t xml:space="preserve">Holy_Spirit</t>
  </si>
  <si>
    <t xml:space="preserve">began</t>
  </si>
  <si>
    <t xml:space="preserve">languages</t>
  </si>
  <si>
    <t xml:space="preserve">as</t>
  </si>
  <si>
    <t xml:space="preserve">SBJ_3</t>
  </si>
  <si>
    <t xml:space="preserve">gave</t>
  </si>
  <si>
    <t xml:space="preserve">OBJ_3</t>
  </si>
  <si>
    <t xml:space="preserve">ability</t>
  </si>
  <si>
    <t xml:space="preserve">Ability_to_speak</t>
  </si>
  <si>
    <t xml:space="preserve"># text = Now there were dwelling in Jerusalem Jews, devout men, from every nation under the sky.</t>
  </si>
  <si>
    <t xml:space="preserve">dwelling</t>
  </si>
  <si>
    <t xml:space="preserve">Jerusalem</t>
  </si>
  <si>
    <t xml:space="preserve">Jews</t>
  </si>
  <si>
    <t xml:space="preserve">ne</t>
  </si>
  <si>
    <t xml:space="preserve">Jerusalem_Jews</t>
  </si>
  <si>
    <t xml:space="preserve">devout</t>
  </si>
  <si>
    <t xml:space="preserve">men</t>
  </si>
  <si>
    <t xml:space="preserve">every</t>
  </si>
  <si>
    <t xml:space="preserve">nation</t>
  </si>
  <si>
    <t xml:space="preserve">indef-np</t>
  </si>
  <si>
    <t xml:space="preserve">under</t>
  </si>
  <si>
    <t xml:space="preserve"># text = When this sound was heard, the multitude came together, and were bewildered, because everyone heard them speaking in his own language.</t>
  </si>
  <si>
    <t xml:space="preserve">When</t>
  </si>
  <si>
    <t xml:space="preserve">this</t>
  </si>
  <si>
    <t xml:space="preserve">def-np.dem</t>
  </si>
  <si>
    <t xml:space="preserve">devout_men_speaking</t>
  </si>
  <si>
    <t xml:space="preserve">was</t>
  </si>
  <si>
    <t xml:space="preserve">heard</t>
  </si>
  <si>
    <t xml:space="preserve">multitude</t>
  </si>
  <si>
    <t xml:space="preserve">Devout_men</t>
  </si>
  <si>
    <t xml:space="preserve">together</t>
  </si>
  <si>
    <t xml:space="preserve">bewildered</t>
  </si>
  <si>
    <t xml:space="preserve">because</t>
  </si>
  <si>
    <t xml:space="preserve">everyone</t>
  </si>
  <si>
    <t xml:space="preserve">pron.pind</t>
  </si>
  <si>
    <t xml:space="preserve">speaking</t>
  </si>
  <si>
    <t xml:space="preserve">his</t>
  </si>
  <si>
    <t xml:space="preserve">other_5</t>
  </si>
  <si>
    <t xml:space="preserve">pron.ppos</t>
  </si>
  <si>
    <t xml:space="preserve">own</t>
  </si>
  <si>
    <t xml:space="preserve">language</t>
  </si>
  <si>
    <t xml:space="preserve">Own_Language</t>
  </si>
  <si>
    <t xml:space="preserve">--</t>
  </si>
  <si>
    <t xml:space="preserve"># text = They were all amazed and marveled, saying to one another, \"Behold, aren't all these who speak Galileans?</t>
  </si>
  <si>
    <t xml:space="preserve">marveled</t>
  </si>
  <si>
    <t xml:space="preserve">saying</t>
  </si>
  <si>
    <t xml:space="preserve">another</t>
  </si>
  <si>
    <t xml:space="preserve">&amp;quot;</t>
  </si>
  <si>
    <t xml:space="preserve">Behold</t>
  </si>
  <si>
    <t xml:space="preserve">are</t>
  </si>
  <si>
    <t xml:space="preserve">n't</t>
  </si>
  <si>
    <t xml:space="preserve">these</t>
  </si>
  <si>
    <t xml:space="preserve">who</t>
  </si>
  <si>
    <t xml:space="preserve">Galileans</t>
  </si>
  <si>
    <t xml:space="preserve">OBJ_4</t>
  </si>
  <si>
    <t xml:space="preserve">?</t>
  </si>
  <si>
    <t xml:space="preserve"># text = How do we hear, everyone in our own native language?</t>
  </si>
  <si>
    <t xml:space="preserve">How</t>
  </si>
  <si>
    <t xml:space="preserve">do</t>
  </si>
  <si>
    <t xml:space="preserve">we</t>
  </si>
  <si>
    <t xml:space="preserve">OBJ</t>
  </si>
  <si>
    <t xml:space="preserve">our</t>
  </si>
  <si>
    <t xml:space="preserve">native</t>
  </si>
  <si>
    <t xml:space="preserve">Native_Language</t>
  </si>
  <si>
    <t xml:space="preserve">NEW</t>
  </si>
  <si>
    <t xml:space="preserve"># text = Parthians, Medes, Elamites, and people from Mesopotamia, Judea, Cappadocia, Pontus, Asia,</t>
  </si>
  <si>
    <t xml:space="preserve">Medes</t>
  </si>
  <si>
    <t xml:space="preserve">Elamites</t>
  </si>
  <si>
    <t xml:space="preserve">people</t>
  </si>
  <si>
    <t xml:space="preserve">Mesopotamia</t>
  </si>
  <si>
    <t xml:space="preserve">Judea</t>
  </si>
  <si>
    <t xml:space="preserve">Cappadocia</t>
  </si>
  <si>
    <t xml:space="preserve">Pontus</t>
  </si>
  <si>
    <t xml:space="preserve">Asia</t>
  </si>
  <si>
    <t xml:space="preserve"># text = Phrygia, Pamphylia, Egypt, the parts of Libya around Cyrene, visitors from Rome, both Jews and proselytes,</t>
  </si>
  <si>
    <t xml:space="preserve">Pamphylia</t>
  </si>
  <si>
    <t xml:space="preserve">Egypt</t>
  </si>
  <si>
    <t xml:space="preserve">parts</t>
  </si>
  <si>
    <t xml:space="preserve">Parts_of_Lybia_around_Cyrene</t>
  </si>
  <si>
    <t xml:space="preserve">Libya</t>
  </si>
  <si>
    <t xml:space="preserve">around</t>
  </si>
  <si>
    <t xml:space="preserve">Cyrene</t>
  </si>
  <si>
    <t xml:space="preserve">visitors</t>
  </si>
  <si>
    <t xml:space="preserve">Rome</t>
  </si>
  <si>
    <t xml:space="preserve">both</t>
  </si>
  <si>
    <t xml:space="preserve">proselytes</t>
  </si>
  <si>
    <t xml:space="preserve"># text = Cretans and Arabians: we hear them speaking in our languages the mighty works of God!\"</t>
  </si>
  <si>
    <t xml:space="preserve">Arabians</t>
  </si>
  <si>
    <t xml:space="preserve">:</t>
  </si>
  <si>
    <t xml:space="preserve">Parthians, Medes, Elamites, and people from Mesopotamia, Judea, Cappadocia, Pontus, Asia, Phrygia, Pamphylia, Egypt, the parts of Libya around Cyrene, visitors from Rome, both Jews and proselytes, Cretans and Arabians</t>
  </si>
  <si>
    <t xml:space="preserve">Language</t>
  </si>
  <si>
    <t xml:space="preserve">works</t>
  </si>
  <si>
    <t xml:space="preserve">Hearing everyone speaking in the native language</t>
  </si>
  <si>
    <t xml:space="preserve">God</t>
  </si>
  <si>
    <t xml:space="preserve">!</t>
  </si>
  <si>
    <t xml:space="preserve"># text = They were all amazed, and were perplexed, saying one to another, \"What does this mean?\"</t>
  </si>
  <si>
    <t xml:space="preserve">perplexed</t>
  </si>
  <si>
    <t xml:space="preserve">What</t>
  </si>
  <si>
    <t xml:space="preserve">pron.pint</t>
  </si>
  <si>
    <t xml:space="preserve">does</t>
  </si>
  <si>
    <t xml:space="preserve">pron.pds</t>
  </si>
  <si>
    <t xml:space="preserve">Speaking and understanding all other languages</t>
  </si>
  <si>
    <t xml:space="preserve">mean</t>
  </si>
  <si>
    <t xml:space="preserve"># text = Others, mocking, said, \"They are filled with new wine.\"</t>
  </si>
  <si>
    <t xml:space="preserve">Others</t>
  </si>
  <si>
    <t xml:space="preserve">mocking</t>
  </si>
  <si>
    <t xml:space="preserve">said</t>
  </si>
  <si>
    <t xml:space="preserve">new</t>
  </si>
  <si>
    <t xml:space="preserve">wine</t>
  </si>
  <si>
    <t xml:space="preserve"># text = But Peter, standing up with the eleven, lifted up his voice, and spoke out to them, "You men of Judea, and all you who dwell at Jerusalem, let this be known to you, and listen to my words.</t>
  </si>
  <si>
    <t xml:space="preserve">But</t>
  </si>
  <si>
    <t xml:space="preserve">standing</t>
  </si>
  <si>
    <t xml:space="preserve">up</t>
  </si>
  <si>
    <t xml:space="preserve">eleven</t>
  </si>
  <si>
    <t xml:space="preserve">lifted</t>
  </si>
  <si>
    <t xml:space="preserve">voice</t>
  </si>
  <si>
    <t xml:space="preserve">Peters_Voice</t>
  </si>
  <si>
    <t xml:space="preserve">spoke</t>
  </si>
  <si>
    <t xml:space="preserve">out</t>
  </si>
  <si>
    <t xml:space="preserve">You</t>
  </si>
  <si>
    <t xml:space="preserve">Men_of_Judea</t>
  </si>
  <si>
    <t xml:space="preserve">you</t>
  </si>
  <si>
    <t xml:space="preserve">SBJ_5</t>
  </si>
  <si>
    <t xml:space="preserve">SBJ_7</t>
  </si>
  <si>
    <t xml:space="preserve">dwell</t>
  </si>
  <si>
    <t xml:space="preserve">at</t>
  </si>
  <si>
    <t xml:space="preserve">other_7</t>
  </si>
  <si>
    <t xml:space="preserve">SBJ_6</t>
  </si>
  <si>
    <t xml:space="preserve">EXPL</t>
  </si>
  <si>
    <t xml:space="preserve">known</t>
  </si>
  <si>
    <t xml:space="preserve">other_6</t>
  </si>
  <si>
    <t xml:space="preserve">listen</t>
  </si>
  <si>
    <t xml:space="preserve">my</t>
  </si>
  <si>
    <t xml:space="preserve">words</t>
  </si>
  <si>
    <t xml:space="preserve">Peters_Words</t>
  </si>
  <si>
    <t xml:space="preserve"># text = For these aren't drunken, as you suppose, seeing it is only the third hour of the day.</t>
  </si>
  <si>
    <t xml:space="preserve">For</t>
  </si>
  <si>
    <t xml:space="preserve">drunken</t>
  </si>
  <si>
    <t xml:space="preserve">suppose</t>
  </si>
  <si>
    <t xml:space="preserve">seeing</t>
  </si>
  <si>
    <t xml:space="preserve">is</t>
  </si>
  <si>
    <t xml:space="preserve">only</t>
  </si>
  <si>
    <t xml:space="preserve">third</t>
  </si>
  <si>
    <t xml:space="preserve">hour</t>
  </si>
  <si>
    <t xml:space="preserve">Third_hour</t>
  </si>
  <si>
    <t xml:space="preserve">Day</t>
  </si>
  <si>
    <t xml:space="preserve"># text = But this is what has been spoken through the prophet Joel:</t>
  </si>
  <si>
    <t xml:space="preserve">what</t>
  </si>
  <si>
    <t xml:space="preserve">has</t>
  </si>
  <si>
    <t xml:space="preserve">been</t>
  </si>
  <si>
    <t xml:space="preserve">spoken</t>
  </si>
  <si>
    <t xml:space="preserve">through</t>
  </si>
  <si>
    <t xml:space="preserve">prophet</t>
  </si>
  <si>
    <t xml:space="preserve">Joel</t>
  </si>
  <si>
    <t xml:space="preserve"># text = 'It will be in the last days, says God, that I will pour out my Spirit on all flesh.</t>
  </si>
  <si>
    <t xml:space="preserve">'</t>
  </si>
  <si>
    <t xml:space="preserve">It</t>
  </si>
  <si>
    <t xml:space="preserve">will</t>
  </si>
  <si>
    <t xml:space="preserve">last</t>
  </si>
  <si>
    <t xml:space="preserve">days</t>
  </si>
  <si>
    <t xml:space="preserve">Last_days</t>
  </si>
  <si>
    <t xml:space="preserve">says</t>
  </si>
  <si>
    <t xml:space="preserve">that</t>
  </si>
  <si>
    <t xml:space="preserve">I</t>
  </si>
  <si>
    <t xml:space="preserve">flesh</t>
  </si>
  <si>
    <t xml:space="preserve"># text = Your sons and your daughters will prophesy.</t>
  </si>
  <si>
    <t xml:space="preserve">Your</t>
  </si>
  <si>
    <t xml:space="preserve">sons</t>
  </si>
  <si>
    <t xml:space="preserve">Men_of_Judea_sons</t>
  </si>
  <si>
    <t xml:space="preserve">your</t>
  </si>
  <si>
    <t xml:space="preserve">daughters</t>
  </si>
  <si>
    <t xml:space="preserve">Men_of_Judea_daughters</t>
  </si>
  <si>
    <t xml:space="preserve"># text = Your young men will see visions.</t>
  </si>
  <si>
    <t xml:space="preserve">young</t>
  </si>
  <si>
    <t xml:space="preserve">Men_of_Judea_young_men</t>
  </si>
  <si>
    <t xml:space="preserve">visions</t>
  </si>
  <si>
    <t xml:space="preserve"># text = Your old men will dream dreams.</t>
  </si>
  <si>
    <t xml:space="preserve">old</t>
  </si>
  <si>
    <t xml:space="preserve">Men_of_Judea_old_men</t>
  </si>
  <si>
    <t xml:space="preserve">dreams</t>
  </si>
  <si>
    <t xml:space="preserve"># text = Yes, and on my servants and on my handmaidens in those days, I will pour out my Spirit, and they will prophesy.</t>
  </si>
  <si>
    <t xml:space="preserve">Yes</t>
  </si>
  <si>
    <t xml:space="preserve">servants</t>
  </si>
  <si>
    <t xml:space="preserve">God_servants</t>
  </si>
  <si>
    <t xml:space="preserve">handmaidens</t>
  </si>
  <si>
    <t xml:space="preserve">God_handmaidens</t>
  </si>
  <si>
    <t xml:space="preserve">those</t>
  </si>
  <si>
    <t xml:space="preserve">Those_days</t>
  </si>
  <si>
    <t xml:space="preserve">Gods_servants_and_handmaidens</t>
  </si>
  <si>
    <t xml:space="preserve"># text = I will show wonders in the sky above, and signs on the earth beneath; blood, and fire, and billows of smoke.</t>
  </si>
  <si>
    <t xml:space="preserve">show</t>
  </si>
  <si>
    <t xml:space="preserve">wonders</t>
  </si>
  <si>
    <t xml:space="preserve">above</t>
  </si>
  <si>
    <t xml:space="preserve">signs</t>
  </si>
  <si>
    <t xml:space="preserve">earth</t>
  </si>
  <si>
    <t xml:space="preserve">beneath</t>
  </si>
  <si>
    <t xml:space="preserve">Earth</t>
  </si>
  <si>
    <t xml:space="preserve">;</t>
  </si>
  <si>
    <t xml:space="preserve">blood</t>
  </si>
  <si>
    <t xml:space="preserve">billows</t>
  </si>
  <si>
    <t xml:space="preserve">smoke</t>
  </si>
  <si>
    <t xml:space="preserve"># text = The sun will be turned into darkness, and the moon into blood, before the great and glorious day of the Lord comes.</t>
  </si>
  <si>
    <t xml:space="preserve">The</t>
  </si>
  <si>
    <t xml:space="preserve">sun</t>
  </si>
  <si>
    <t xml:space="preserve">Sun</t>
  </si>
  <si>
    <t xml:space="preserve">turned</t>
  </si>
  <si>
    <t xml:space="preserve">into</t>
  </si>
  <si>
    <t xml:space="preserve">darkness</t>
  </si>
  <si>
    <t xml:space="preserve">moon</t>
  </si>
  <si>
    <t xml:space="preserve">Moon</t>
  </si>
  <si>
    <t xml:space="preserve">before</t>
  </si>
  <si>
    <t xml:space="preserve">great</t>
  </si>
  <si>
    <t xml:space="preserve">glorious</t>
  </si>
  <si>
    <t xml:space="preserve">Glorious_day</t>
  </si>
  <si>
    <t xml:space="preserve">Lord</t>
  </si>
  <si>
    <t xml:space="preserve">comes</t>
  </si>
  <si>
    <t xml:space="preserve"># text = It will be, that whoever will call on the name of the Lord will be saved.'</t>
  </si>
  <si>
    <t xml:space="preserve">whoever</t>
  </si>
  <si>
    <t xml:space="preserve">name</t>
  </si>
  <si>
    <t xml:space="preserve">Name</t>
  </si>
  <si>
    <t xml:space="preserve">saved</t>
  </si>
  <si>
    <t xml:space="preserve"># text = \"Men of Israel, hear these words!</t>
  </si>
  <si>
    <t xml:space="preserve">Men</t>
  </si>
  <si>
    <t xml:space="preserve">Men_of_Israel</t>
  </si>
  <si>
    <t xml:space="preserve">Israel</t>
  </si>
  <si>
    <t xml:space="preserve"># text = Jesus of Nazareth, a man approved by God to you by mighty works and wonders and signs which God did by him in the midst of you, even as you yourselves know,</t>
  </si>
  <si>
    <t xml:space="preserve">Jesus</t>
  </si>
  <si>
    <t xml:space="preserve">Nazareth</t>
  </si>
  <si>
    <t xml:space="preserve">approved</t>
  </si>
  <si>
    <t xml:space="preserve">by</t>
  </si>
  <si>
    <t xml:space="preserve">which</t>
  </si>
  <si>
    <t xml:space="preserve">did</t>
  </si>
  <si>
    <t xml:space="preserve">him</t>
  </si>
  <si>
    <t xml:space="preserve">midst</t>
  </si>
  <si>
    <t xml:space="preserve">Midst</t>
  </si>
  <si>
    <t xml:space="preserve">even</t>
  </si>
  <si>
    <t xml:space="preserve">yourselves</t>
  </si>
  <si>
    <t xml:space="preserve"># text = him, being delivered up by the determined counsel and foreknowledge of God, you have taken by the hand of lawless men, crucified and killed;</t>
  </si>
  <si>
    <t xml:space="preserve">being</t>
  </si>
  <si>
    <t xml:space="preserve">delivered</t>
  </si>
  <si>
    <t xml:space="preserve">determined</t>
  </si>
  <si>
    <t xml:space="preserve">counsel</t>
  </si>
  <si>
    <t xml:space="preserve">Counsel</t>
  </si>
  <si>
    <t xml:space="preserve">foreknowledge</t>
  </si>
  <si>
    <t xml:space="preserve">have</t>
  </si>
  <si>
    <t xml:space="preserve">taken</t>
  </si>
  <si>
    <t xml:space="preserve">hand</t>
  </si>
  <si>
    <t xml:space="preserve">Hand_of_lawless_men</t>
  </si>
  <si>
    <t xml:space="preserve">lawless</t>
  </si>
  <si>
    <t xml:space="preserve">crucified</t>
  </si>
  <si>
    <t xml:space="preserve">killed</t>
  </si>
  <si>
    <t xml:space="preserve"># text = whom God raised up, having freed him from the agony of death, because it was not possible that he should be held by it.</t>
  </si>
  <si>
    <t xml:space="preserve">whom</t>
  </si>
  <si>
    <t xml:space="preserve">raised</t>
  </si>
  <si>
    <t xml:space="preserve">having</t>
  </si>
  <si>
    <t xml:space="preserve">freed</t>
  </si>
  <si>
    <t xml:space="preserve">agony</t>
  </si>
  <si>
    <t xml:space="preserve">Agony</t>
  </si>
  <si>
    <t xml:space="preserve">death</t>
  </si>
  <si>
    <t xml:space="preserve">not</t>
  </si>
  <si>
    <t xml:space="preserve">possible</t>
  </si>
  <si>
    <t xml:space="preserve">he</t>
  </si>
  <si>
    <t xml:space="preserve">should</t>
  </si>
  <si>
    <t xml:space="preserve">held</t>
  </si>
  <si>
    <t xml:space="preserve">Death</t>
  </si>
  <si>
    <t xml:space="preserve"># text = For David says concerning him, 'I saw the Lord always before my face, For he is on my right hand, that I should not be moved.</t>
  </si>
  <si>
    <t xml:space="preserve">David</t>
  </si>
  <si>
    <t xml:space="preserve">concerning</t>
  </si>
  <si>
    <t xml:space="preserve">CB </t>
  </si>
  <si>
    <t xml:space="preserve">'I</t>
  </si>
  <si>
    <t xml:space="preserve">saw</t>
  </si>
  <si>
    <t xml:space="preserve">always</t>
  </si>
  <si>
    <t xml:space="preserve">face</t>
  </si>
  <si>
    <t xml:space="preserve">David_face</t>
  </si>
  <si>
    <t xml:space="preserve">right</t>
  </si>
  <si>
    <t xml:space="preserve">David_hand</t>
  </si>
  <si>
    <t xml:space="preserve">moved</t>
  </si>
  <si>
    <t xml:space="preserve"># text = Therefore my heart was glad, and my tongue rejoiced.</t>
  </si>
  <si>
    <t xml:space="preserve">Therefore</t>
  </si>
  <si>
    <t xml:space="preserve">heart</t>
  </si>
  <si>
    <t xml:space="preserve">David_heart</t>
  </si>
  <si>
    <t xml:space="preserve">glad</t>
  </si>
  <si>
    <t xml:space="preserve">tongue</t>
  </si>
  <si>
    <t xml:space="preserve">David_tongue</t>
  </si>
  <si>
    <t xml:space="preserve">rejoiced</t>
  </si>
  <si>
    <t xml:space="preserve"># text = Moreover my flesh also will dwell in hope;</t>
  </si>
  <si>
    <t xml:space="preserve">Moreover</t>
  </si>
  <si>
    <t xml:space="preserve">David_flesh</t>
  </si>
  <si>
    <t xml:space="preserve">also</t>
  </si>
  <si>
    <t xml:space="preserve">hope</t>
  </si>
  <si>
    <t xml:space="preserve"># text = because you will not leave my soul in Hades, neither will you allow your Holy</t>
  </si>
  <si>
    <t xml:space="preserve">leave</t>
  </si>
  <si>
    <t xml:space="preserve">soul</t>
  </si>
  <si>
    <t xml:space="preserve">David_soul</t>
  </si>
  <si>
    <t xml:space="preserve">Hades</t>
  </si>
  <si>
    <t xml:space="preserve">neither</t>
  </si>
  <si>
    <t xml:space="preserve"># text = One to see decay.</t>
  </si>
  <si>
    <t xml:space="preserve">One</t>
  </si>
  <si>
    <t xml:space="preserve">decay</t>
  </si>
  <si>
    <t xml:space="preserve"># text = You made known to me the ways of life.</t>
  </si>
  <si>
    <t xml:space="preserve">made</t>
  </si>
  <si>
    <t xml:space="preserve">me</t>
  </si>
  <si>
    <t xml:space="preserve">ways</t>
  </si>
  <si>
    <t xml:space="preserve">Ways_of_life</t>
  </si>
  <si>
    <t xml:space="preserve">life</t>
  </si>
  <si>
    <t xml:space="preserve"># text = You will make me full of gladness with your presence.'</t>
  </si>
  <si>
    <t xml:space="preserve">full</t>
  </si>
  <si>
    <t xml:space="preserve">gladness</t>
  </si>
  <si>
    <t xml:space="preserve">presence</t>
  </si>
  <si>
    <t xml:space="preserve">God_presence</t>
  </si>
  <si>
    <t xml:space="preserve"># text = "Brothers, I may tell you freely of the patriarch David, that he both died and was buried, and his tomb is with us to this day.</t>
  </si>
  <si>
    <t xml:space="preserve">Brothers</t>
  </si>
  <si>
    <t xml:space="preserve">may</t>
  </si>
  <si>
    <t xml:space="preserve">tell</t>
  </si>
  <si>
    <t xml:space="preserve">freely</t>
  </si>
  <si>
    <t xml:space="preserve">patriarch</t>
  </si>
  <si>
    <t xml:space="preserve">died</t>
  </si>
  <si>
    <t xml:space="preserve">buried</t>
  </si>
  <si>
    <t xml:space="preserve">tomb</t>
  </si>
  <si>
    <t xml:space="preserve">David_tomb</t>
  </si>
  <si>
    <t xml:space="preserve">us</t>
  </si>
  <si>
    <t xml:space="preserve"># text = Therefore, being a prophet, and knowing that God had sworn with an oath to him that of the fruit of his body, according to the flesh, he would raise up the Christ to sit on his throne,</t>
  </si>
  <si>
    <t xml:space="preserve">knowing</t>
  </si>
  <si>
    <t xml:space="preserve">sworn</t>
  </si>
  <si>
    <t xml:space="preserve">an</t>
  </si>
  <si>
    <t xml:space="preserve">oath</t>
  </si>
  <si>
    <t xml:space="preserve">fruit</t>
  </si>
  <si>
    <t xml:space="preserve">Fruit</t>
  </si>
  <si>
    <t xml:space="preserve">body</t>
  </si>
  <si>
    <t xml:space="preserve">David_body</t>
  </si>
  <si>
    <t xml:space="preserve">according</t>
  </si>
  <si>
    <t xml:space="preserve">would</t>
  </si>
  <si>
    <t xml:space="preserve">Christ</t>
  </si>
  <si>
    <t xml:space="preserve">sit</t>
  </si>
  <si>
    <t xml:space="preserve">throne</t>
  </si>
  <si>
    <t xml:space="preserve">Jesus_throne</t>
  </si>
  <si>
    <t xml:space="preserve"># text = he foreseeing this spoke about the resurrection of the Christ, that neither was his soul left in Hades, nor did his flesh see decay.</t>
  </si>
  <si>
    <t xml:space="preserve">foreseeing</t>
  </si>
  <si>
    <t xml:space="preserve">Resurrection</t>
  </si>
  <si>
    <t xml:space="preserve">about</t>
  </si>
  <si>
    <t xml:space="preserve">resurrection</t>
  </si>
  <si>
    <t xml:space="preserve">left</t>
  </si>
  <si>
    <t xml:space="preserve">nor</t>
  </si>
  <si>
    <t xml:space="preserve">OBJ_5</t>
  </si>
  <si>
    <t xml:space="preserve">Decay</t>
  </si>
  <si>
    <t xml:space="preserve"># text = This Jesus God raised up, to which we all are witnesses.</t>
  </si>
  <si>
    <t xml:space="preserve">This</t>
  </si>
  <si>
    <t xml:space="preserve">witnesses</t>
  </si>
  <si>
    <t xml:space="preserve"># text = Being therefore exalted by the right hand of God, and having received from the Father the promise of the Holy Spirit, he has poured out this, which you now see and hear.</t>
  </si>
  <si>
    <t xml:space="preserve">Being</t>
  </si>
  <si>
    <t xml:space="preserve">therefore</t>
  </si>
  <si>
    <t xml:space="preserve">exalted</t>
  </si>
  <si>
    <t xml:space="preserve">received</t>
  </si>
  <si>
    <t xml:space="preserve">Father</t>
  </si>
  <si>
    <t xml:space="preserve">promise</t>
  </si>
  <si>
    <t xml:space="preserve">Promise</t>
  </si>
  <si>
    <t xml:space="preserve">poured</t>
  </si>
  <si>
    <t xml:space="preserve">now</t>
  </si>
  <si>
    <t xml:space="preserve"># text = For David didn't ascend into the heavens, but he says himself, 'The Lord said to my Lord, \"Sit by my right hand,</t>
  </si>
  <si>
    <t xml:space="preserve">heavens</t>
  </si>
  <si>
    <t xml:space="preserve">Heavens</t>
  </si>
  <si>
    <t xml:space="preserve">but</t>
  </si>
  <si>
    <t xml:space="preserve">himself</t>
  </si>
  <si>
    <t xml:space="preserve">Sit</t>
  </si>
  <si>
    <t xml:space="preserve">God_hand</t>
  </si>
  <si>
    <t xml:space="preserve"># text = until I make your enemies a footstool for your feet.\"'</t>
  </si>
  <si>
    <t xml:space="preserve">until</t>
  </si>
  <si>
    <t xml:space="preserve">enemies</t>
  </si>
  <si>
    <t xml:space="preserve">Jesus_enemies</t>
  </si>
  <si>
    <t xml:space="preserve">footstool</t>
  </si>
  <si>
    <t xml:space="preserve">for</t>
  </si>
  <si>
    <t xml:space="preserve">feet</t>
  </si>
  <si>
    <t xml:space="preserve">Jesus_feet</t>
  </si>
  <si>
    <t xml:space="preserve"># text = \"Let all the house of Israel therefore know certainly that God has made him both Lord and Christ, this Jesus whom you crucified.\"</t>
  </si>
  <si>
    <t xml:space="preserve">Let</t>
  </si>
  <si>
    <t xml:space="preserve">certainly</t>
  </si>
  <si>
    <t xml:space="preserve">OBJ_6</t>
  </si>
  <si>
    <t xml:space="preserve"># text = Now when they heard this, they were cut to the heart, and said to Peter and the rest of the apostles, \"Brothers, what shall we do?\"</t>
  </si>
  <si>
    <t xml:space="preserve">\"Let all the house of Israel therefore know certainly that God has made him both Lord and Christ, this Jesus whom you crucified.\"</t>
  </si>
  <si>
    <t xml:space="preserve">Men_of_Judea_heart</t>
  </si>
  <si>
    <t xml:space="preserve">rest</t>
  </si>
  <si>
    <t xml:space="preserve">Rest_of_Apostles</t>
  </si>
  <si>
    <t xml:space="preserve">apostles</t>
  </si>
  <si>
    <t xml:space="preserve">shall</t>
  </si>
  <si>
    <t xml:space="preserve"># text = Peter said to them, \"Repent, and be baptized, every one of you, in the name of Jesus Christ for the forgiveness of sins, and you will receive the gift of the Holy Spirit.</t>
  </si>
  <si>
    <t xml:space="preserve">Repent</t>
  </si>
  <si>
    <t xml:space="preserve">baptized</t>
  </si>
  <si>
    <t xml:space="preserve">forgiveness</t>
  </si>
  <si>
    <t xml:space="preserve">Forgiveness</t>
  </si>
  <si>
    <t xml:space="preserve">sins</t>
  </si>
  <si>
    <t xml:space="preserve">receive</t>
  </si>
  <si>
    <t xml:space="preserve">gift</t>
  </si>
  <si>
    <t xml:space="preserve">Gift</t>
  </si>
  <si>
    <t xml:space="preserve"># text = For the promise is to you, and to your children, and to all who are far off, even as many as the Lord our God will call to himself."</t>
  </si>
  <si>
    <t xml:space="preserve">children</t>
  </si>
  <si>
    <t xml:space="preserve">Apostles_children</t>
  </si>
  <si>
    <t xml:space="preserve">far</t>
  </si>
  <si>
    <t xml:space="preserve">off</t>
  </si>
  <si>
    <t xml:space="preserve">many</t>
  </si>
  <si>
    <t xml:space="preserve"># text = With many other words he testified, and exhorted them, saying, \"Save yourselves from this crooked generation!\"</t>
  </si>
  <si>
    <t xml:space="preserve">With</t>
  </si>
  <si>
    <t xml:space="preserve">testified</t>
  </si>
  <si>
    <t xml:space="preserve">exhorted</t>
  </si>
  <si>
    <t xml:space="preserve">Save</t>
  </si>
  <si>
    <t xml:space="preserve">crooked</t>
  </si>
  <si>
    <t xml:space="preserve">generation</t>
  </si>
  <si>
    <t xml:space="preserve">Crooked_Generation</t>
  </si>
  <si>
    <t xml:space="preserve"># text = Then those who gladly received his word were baptized.</t>
  </si>
  <si>
    <t xml:space="preserve">Then</t>
  </si>
  <si>
    <t xml:space="preserve">gladly</t>
  </si>
  <si>
    <t xml:space="preserve">word</t>
  </si>
  <si>
    <t xml:space="preserve">God_word</t>
  </si>
  <si>
    <t xml:space="preserve"># text = There were added that day about three thousand souls.</t>
  </si>
  <si>
    <t xml:space="preserve">There</t>
  </si>
  <si>
    <t xml:space="preserve">added</t>
  </si>
  <si>
    <t xml:space="preserve">three</t>
  </si>
  <si>
    <t xml:space="preserve">thousand</t>
  </si>
  <si>
    <t xml:space="preserve">souls</t>
  </si>
  <si>
    <t xml:space="preserve"># text = They continued steadfastly in the apostles' teaching and fellowship, in the breaking of bread, and prayer.</t>
  </si>
  <si>
    <t xml:space="preserve">continued</t>
  </si>
  <si>
    <t xml:space="preserve">steadfastly</t>
  </si>
  <si>
    <t xml:space="preserve">teaching</t>
  </si>
  <si>
    <t xml:space="preserve">Teaching</t>
  </si>
  <si>
    <t xml:space="preserve">fellowship</t>
  </si>
  <si>
    <t xml:space="preserve">breaking</t>
  </si>
  <si>
    <t xml:space="preserve">Breaking</t>
  </si>
  <si>
    <t xml:space="preserve">bread</t>
  </si>
  <si>
    <t xml:space="preserve">prayer</t>
  </si>
  <si>
    <t xml:space="preserve"># text = Fear came on every soul, and many wonders and signs were done through the apostles.</t>
  </si>
  <si>
    <t xml:space="preserve">Fear</t>
  </si>
  <si>
    <t xml:space="preserve">done</t>
  </si>
  <si>
    <t xml:space="preserve"># text = All who believed were together, and had all things in common.</t>
  </si>
  <si>
    <t xml:space="preserve">All</t>
  </si>
  <si>
    <t xml:space="preserve">believed</t>
  </si>
  <si>
    <t xml:space="preserve">things</t>
  </si>
  <si>
    <t xml:space="preserve">common</t>
  </si>
  <si>
    <t xml:space="preserve"># text = They sold their possessions and goods, and distributed them to all, according as anyone had need.</t>
  </si>
  <si>
    <t xml:space="preserve">sold</t>
  </si>
  <si>
    <t xml:space="preserve">their</t>
  </si>
  <si>
    <t xml:space="preserve">possessions</t>
  </si>
  <si>
    <t xml:space="preserve">Apostles_possessions</t>
  </si>
  <si>
    <t xml:space="preserve">goods</t>
  </si>
  <si>
    <t xml:space="preserve">anyone</t>
  </si>
  <si>
    <t xml:space="preserve">need</t>
  </si>
  <si>
    <t xml:space="preserve"># text = Day by day, continuing steadfastly with one accord in the temple, and breaking bread at home, they took their food with gladness and singleness of heart,</t>
  </si>
  <si>
    <t xml:space="preserve">continuing</t>
  </si>
  <si>
    <t xml:space="preserve">temple</t>
  </si>
  <si>
    <t xml:space="preserve">Temple</t>
  </si>
  <si>
    <t xml:space="preserve">home</t>
  </si>
  <si>
    <t xml:space="preserve">took</t>
  </si>
  <si>
    <t xml:space="preserve">food</t>
  </si>
  <si>
    <t xml:space="preserve">Apostles_food</t>
  </si>
  <si>
    <t xml:space="preserve">singleness</t>
  </si>
  <si>
    <t xml:space="preserve"># text = praising God, and having favor with all the people.</t>
  </si>
  <si>
    <t xml:space="preserve">praising</t>
  </si>
  <si>
    <t xml:space="preserve">favor</t>
  </si>
  <si>
    <t xml:space="preserve">People</t>
  </si>
  <si>
    <t xml:space="preserve"># text = The Lord added to the assembly day by day those who were being saved.</t>
  </si>
  <si>
    <t xml:space="preserve">assembly</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</si>
</sst>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G2" activeCellId="0" sqref="G2"/>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9" t="s">
        <v>16</v>
      </c>
      <c r="I2" s="10" t="s">
        <v>16</v>
      </c>
      <c r="J2" s="11"/>
    </row>
    <row r="3" customFormat="false" ht="60" hidden="false" customHeight="true" outlineLevel="0" collapsed="false">
      <c r="A3" s="6" t="s">
        <v>17</v>
      </c>
      <c r="B3" s="6" t="s">
        <v>18</v>
      </c>
      <c r="C3" s="6" t="s">
        <v>19</v>
      </c>
      <c r="D3" s="7" t="s">
        <v>20</v>
      </c>
      <c r="E3" s="8" t="s">
        <v>21</v>
      </c>
      <c r="F3" s="6" t="s">
        <v>22</v>
      </c>
      <c r="G3" s="9" t="s">
        <v>16</v>
      </c>
      <c r="H3" s="9" t="s">
        <v>16</v>
      </c>
      <c r="I3" s="10" t="s">
        <v>16</v>
      </c>
      <c r="J3" s="11"/>
    </row>
    <row r="4" customFormat="false" ht="60" hidden="false" customHeight="true" outlineLevel="0" collapsed="false">
      <c r="A4" s="6" t="s">
        <v>18</v>
      </c>
      <c r="B4" s="6" t="s">
        <v>23</v>
      </c>
      <c r="C4" s="6" t="s">
        <v>19</v>
      </c>
      <c r="D4" s="7" t="s">
        <v>24</v>
      </c>
      <c r="E4" s="8" t="s">
        <v>25</v>
      </c>
      <c r="F4" s="6" t="s">
        <v>26</v>
      </c>
      <c r="G4" s="9" t="s">
        <v>16</v>
      </c>
      <c r="H4" s="9" t="s">
        <v>16</v>
      </c>
      <c r="I4" s="10" t="s">
        <v>16</v>
      </c>
      <c r="J4" s="11"/>
    </row>
    <row r="5" customFormat="false" ht="60" hidden="false" customHeight="true" outlineLevel="0" collapsed="false">
      <c r="A5" s="6" t="s">
        <v>23</v>
      </c>
      <c r="B5" s="6" t="s">
        <v>23</v>
      </c>
      <c r="C5" s="6" t="s">
        <v>19</v>
      </c>
      <c r="D5" s="7" t="s">
        <v>27</v>
      </c>
      <c r="E5" s="8" t="s">
        <v>28</v>
      </c>
      <c r="F5" s="6" t="s">
        <v>29</v>
      </c>
      <c r="G5" s="9" t="s">
        <v>16</v>
      </c>
      <c r="H5" s="9" t="s">
        <v>16</v>
      </c>
      <c r="I5" s="10" t="s">
        <v>16</v>
      </c>
      <c r="J5" s="11"/>
    </row>
    <row r="6" customFormat="false" ht="60" hidden="false" customHeight="true" outlineLevel="0" collapsed="false">
      <c r="A6" s="6" t="s">
        <v>30</v>
      </c>
      <c r="B6" s="6" t="s">
        <v>18</v>
      </c>
      <c r="C6" s="6" t="s">
        <v>16</v>
      </c>
      <c r="D6" s="7" t="s">
        <v>31</v>
      </c>
      <c r="E6" s="8" t="s">
        <v>32</v>
      </c>
      <c r="F6" s="6" t="s">
        <v>33</v>
      </c>
      <c r="G6" s="9" t="s">
        <v>16</v>
      </c>
      <c r="H6" s="9" t="s">
        <v>16</v>
      </c>
      <c r="I6" s="10" t="s">
        <v>16</v>
      </c>
      <c r="J6" s="11"/>
    </row>
    <row r="7" customFormat="false" ht="60" hidden="false" customHeight="true" outlineLevel="0" collapsed="false">
      <c r="A7" s="6" t="s">
        <v>34</v>
      </c>
      <c r="B7" s="6" t="s">
        <v>35</v>
      </c>
      <c r="C7" s="6" t="s">
        <v>12</v>
      </c>
      <c r="D7" s="7" t="s">
        <v>20</v>
      </c>
      <c r="E7" s="8" t="s">
        <v>36</v>
      </c>
      <c r="F7" s="6" t="s">
        <v>37</v>
      </c>
      <c r="G7" s="9" t="s">
        <v>16</v>
      </c>
      <c r="H7" s="9" t="s">
        <v>16</v>
      </c>
      <c r="I7" s="10" t="s">
        <v>16</v>
      </c>
      <c r="J7" s="11"/>
    </row>
    <row r="8" customFormat="false" ht="60" hidden="false" customHeight="true" outlineLevel="0" collapsed="false">
      <c r="A8" s="6" t="s">
        <v>38</v>
      </c>
      <c r="B8" s="6" t="s">
        <v>23</v>
      </c>
      <c r="C8" s="6" t="s">
        <v>19</v>
      </c>
      <c r="D8" s="7" t="s">
        <v>39</v>
      </c>
      <c r="E8" s="8" t="s">
        <v>40</v>
      </c>
      <c r="F8" s="6" t="s">
        <v>41</v>
      </c>
      <c r="G8" s="9" t="s">
        <v>16</v>
      </c>
      <c r="H8" s="9" t="s">
        <v>16</v>
      </c>
      <c r="I8" s="10" t="s">
        <v>16</v>
      </c>
      <c r="J8" s="11"/>
    </row>
    <row r="9" customFormat="false" ht="60" hidden="false" customHeight="true" outlineLevel="0" collapsed="false">
      <c r="A9" s="6" t="s">
        <v>42</v>
      </c>
      <c r="B9" s="6" t="s">
        <v>23</v>
      </c>
      <c r="C9" s="6" t="s">
        <v>16</v>
      </c>
      <c r="D9" s="7" t="s">
        <v>43</v>
      </c>
      <c r="E9" s="8" t="s">
        <v>44</v>
      </c>
      <c r="F9" s="6" t="s">
        <v>45</v>
      </c>
      <c r="G9" s="9" t="s">
        <v>16</v>
      </c>
      <c r="H9" s="9" t="s">
        <v>16</v>
      </c>
      <c r="I9" s="10" t="s">
        <v>16</v>
      </c>
      <c r="J9" s="11"/>
    </row>
    <row r="10" customFormat="false" ht="60" hidden="false" customHeight="true" outlineLevel="0" collapsed="false">
      <c r="A10" s="6" t="s">
        <v>35</v>
      </c>
      <c r="B10" s="6" t="s">
        <v>10</v>
      </c>
      <c r="C10" s="6" t="s">
        <v>19</v>
      </c>
      <c r="D10" s="7" t="s">
        <v>46</v>
      </c>
      <c r="E10" s="8" t="s">
        <v>47</v>
      </c>
      <c r="F10" s="6" t="s">
        <v>48</v>
      </c>
      <c r="G10" s="9" t="s">
        <v>16</v>
      </c>
      <c r="H10" s="9" t="s">
        <v>16</v>
      </c>
      <c r="I10" s="10" t="s">
        <v>16</v>
      </c>
      <c r="J10" s="11"/>
    </row>
    <row r="11" customFormat="false" ht="60" hidden="false" customHeight="true" outlineLevel="0" collapsed="false">
      <c r="A11" s="6" t="s">
        <v>49</v>
      </c>
      <c r="B11" s="6" t="s">
        <v>10</v>
      </c>
      <c r="C11" s="6" t="s">
        <v>19</v>
      </c>
      <c r="D11" s="7" t="s">
        <v>50</v>
      </c>
      <c r="E11" s="8" t="s">
        <v>51</v>
      </c>
      <c r="F11" s="6" t="s">
        <v>52</v>
      </c>
      <c r="G11" s="9" t="s">
        <v>16</v>
      </c>
      <c r="H11" s="9" t="s">
        <v>16</v>
      </c>
      <c r="I11" s="10" t="s">
        <v>16</v>
      </c>
      <c r="J11" s="11"/>
    </row>
    <row r="12" customFormat="false" ht="60" hidden="false" customHeight="true" outlineLevel="0" collapsed="false">
      <c r="A12" s="6" t="s">
        <v>11</v>
      </c>
      <c r="B12" s="6" t="s">
        <v>10</v>
      </c>
      <c r="C12" s="6" t="s">
        <v>19</v>
      </c>
      <c r="D12" s="7" t="s">
        <v>53</v>
      </c>
      <c r="E12" s="8" t="s">
        <v>54</v>
      </c>
      <c r="F12" s="6" t="s">
        <v>55</v>
      </c>
      <c r="G12" s="9" t="s">
        <v>16</v>
      </c>
      <c r="H12" s="9" t="s">
        <v>16</v>
      </c>
      <c r="I12" s="10" t="s">
        <v>16</v>
      </c>
      <c r="J12" s="11"/>
    </row>
    <row r="13" customFormat="false" ht="60" hidden="false" customHeight="true" outlineLevel="0" collapsed="false">
      <c r="A13" s="6" t="s">
        <v>56</v>
      </c>
      <c r="B13" s="6" t="s">
        <v>23</v>
      </c>
      <c r="C13" s="6" t="s">
        <v>19</v>
      </c>
      <c r="D13" s="7" t="s">
        <v>57</v>
      </c>
      <c r="E13" s="8" t="s">
        <v>58</v>
      </c>
      <c r="F13" s="6" t="s">
        <v>59</v>
      </c>
      <c r="G13" s="9" t="s">
        <v>16</v>
      </c>
      <c r="H13" s="9" t="s">
        <v>16</v>
      </c>
      <c r="I13" s="10" t="s">
        <v>16</v>
      </c>
      <c r="J13" s="11"/>
    </row>
    <row r="14" customFormat="false" ht="60" hidden="false" customHeight="true" outlineLevel="0" collapsed="false">
      <c r="A14" s="6" t="s">
        <v>60</v>
      </c>
      <c r="B14" s="6" t="s">
        <v>30</v>
      </c>
      <c r="C14" s="6" t="s">
        <v>16</v>
      </c>
      <c r="D14" s="7" t="s">
        <v>61</v>
      </c>
      <c r="E14" s="8" t="s">
        <v>62</v>
      </c>
      <c r="F14" s="6" t="s">
        <v>63</v>
      </c>
      <c r="G14" s="9" t="s">
        <v>16</v>
      </c>
      <c r="H14" s="9" t="s">
        <v>16</v>
      </c>
      <c r="I14" s="10" t="s">
        <v>16</v>
      </c>
      <c r="J14" s="11"/>
    </row>
    <row r="15" customFormat="false" ht="60" hidden="false" customHeight="true" outlineLevel="0" collapsed="false">
      <c r="A15" s="6" t="s">
        <v>64</v>
      </c>
      <c r="B15" s="6" t="s">
        <v>17</v>
      </c>
      <c r="C15" s="6" t="s">
        <v>65</v>
      </c>
      <c r="D15" s="7" t="s">
        <v>66</v>
      </c>
      <c r="E15" s="8" t="s">
        <v>67</v>
      </c>
      <c r="F15" s="6" t="s">
        <v>68</v>
      </c>
      <c r="G15" s="9" t="s">
        <v>16</v>
      </c>
      <c r="H15" s="9" t="s">
        <v>16</v>
      </c>
      <c r="I15" s="10" t="s">
        <v>16</v>
      </c>
      <c r="J15" s="11"/>
    </row>
    <row r="16" customFormat="false" ht="60" hidden="false" customHeight="true" outlineLevel="0" collapsed="false">
      <c r="A16" s="6" t="s">
        <v>69</v>
      </c>
      <c r="B16" s="6" t="s">
        <v>30</v>
      </c>
      <c r="C16" s="6" t="s">
        <v>70</v>
      </c>
      <c r="D16" s="7" t="s">
        <v>71</v>
      </c>
      <c r="E16" s="8" t="s">
        <v>72</v>
      </c>
      <c r="F16" s="6" t="s">
        <v>73</v>
      </c>
      <c r="G16" s="9" t="s">
        <v>16</v>
      </c>
      <c r="H16" s="9" t="s">
        <v>16</v>
      </c>
      <c r="I16" s="10" t="s">
        <v>16</v>
      </c>
      <c r="J16" s="11"/>
    </row>
    <row r="17" customFormat="false" ht="60" hidden="false" customHeight="true" outlineLevel="0" collapsed="false">
      <c r="A17" s="6" t="s">
        <v>74</v>
      </c>
      <c r="B17" s="6" t="s">
        <v>38</v>
      </c>
      <c r="C17" s="6" t="s">
        <v>65</v>
      </c>
      <c r="D17" s="7" t="s">
        <v>75</v>
      </c>
      <c r="E17" s="8" t="s">
        <v>76</v>
      </c>
      <c r="F17" s="6" t="s">
        <v>77</v>
      </c>
      <c r="G17" s="9" t="s">
        <v>16</v>
      </c>
      <c r="H17" s="9" t="s">
        <v>16</v>
      </c>
      <c r="I17" s="10" t="s">
        <v>16</v>
      </c>
      <c r="J17" s="11"/>
    </row>
    <row r="18" customFormat="false" ht="60" hidden="false" customHeight="true" outlineLevel="0" collapsed="false">
      <c r="A18" s="6" t="s">
        <v>78</v>
      </c>
      <c r="B18" s="6" t="s">
        <v>23</v>
      </c>
      <c r="C18" s="6" t="s">
        <v>16</v>
      </c>
      <c r="D18" s="7" t="s">
        <v>79</v>
      </c>
      <c r="E18" s="8" t="s">
        <v>80</v>
      </c>
      <c r="F18" s="6" t="s">
        <v>81</v>
      </c>
      <c r="G18" s="9" t="s">
        <v>16</v>
      </c>
      <c r="H18" s="9" t="s">
        <v>16</v>
      </c>
      <c r="I18" s="10" t="s">
        <v>16</v>
      </c>
      <c r="J18" s="11"/>
    </row>
    <row r="19" customFormat="false" ht="60" hidden="false" customHeight="true" outlineLevel="0" collapsed="false">
      <c r="A19" s="6" t="s">
        <v>82</v>
      </c>
      <c r="B19" s="6" t="s">
        <v>38</v>
      </c>
      <c r="C19" s="6" t="s">
        <v>16</v>
      </c>
      <c r="D19" s="7" t="s">
        <v>83</v>
      </c>
      <c r="E19" s="8" t="s">
        <v>84</v>
      </c>
      <c r="F19" s="6" t="s">
        <v>85</v>
      </c>
      <c r="G19" s="9" t="s">
        <v>16</v>
      </c>
      <c r="H19" s="9" t="s">
        <v>16</v>
      </c>
      <c r="I19" s="10" t="s">
        <v>16</v>
      </c>
      <c r="J19" s="11"/>
    </row>
    <row r="20" customFormat="false" ht="60" hidden="false" customHeight="true" outlineLevel="0" collapsed="false">
      <c r="A20" s="6" t="s">
        <v>86</v>
      </c>
      <c r="B20" s="6" t="s">
        <v>30</v>
      </c>
      <c r="C20" s="6" t="s">
        <v>16</v>
      </c>
      <c r="D20" s="7" t="s">
        <v>87</v>
      </c>
      <c r="E20" s="8" t="s">
        <v>88</v>
      </c>
      <c r="F20" s="6" t="s">
        <v>89</v>
      </c>
      <c r="G20" s="9" t="s">
        <v>16</v>
      </c>
      <c r="H20" s="9" t="s">
        <v>16</v>
      </c>
      <c r="I20" s="10" t="s">
        <v>16</v>
      </c>
      <c r="J20" s="11"/>
    </row>
    <row r="21" customFormat="false" ht="60" hidden="false" customHeight="true" outlineLevel="0" collapsed="false">
      <c r="A21" s="6" t="s">
        <v>90</v>
      </c>
      <c r="B21" s="6" t="s">
        <v>30</v>
      </c>
      <c r="C21" s="6" t="s">
        <v>16</v>
      </c>
      <c r="D21" s="7" t="s">
        <v>91</v>
      </c>
      <c r="E21" s="8" t="s">
        <v>92</v>
      </c>
      <c r="F21" s="6" t="s">
        <v>93</v>
      </c>
      <c r="G21" s="9" t="s">
        <v>16</v>
      </c>
      <c r="H21" s="9" t="s">
        <v>16</v>
      </c>
      <c r="I21" s="10" t="s">
        <v>16</v>
      </c>
      <c r="J21" s="11"/>
    </row>
    <row r="22" customFormat="false" ht="60" hidden="false" customHeight="true" outlineLevel="0" collapsed="false">
      <c r="A22" s="6" t="s">
        <v>94</v>
      </c>
      <c r="B22" s="6" t="s">
        <v>78</v>
      </c>
      <c r="C22" s="6" t="s">
        <v>19</v>
      </c>
      <c r="D22" s="7" t="s">
        <v>95</v>
      </c>
      <c r="E22" s="8" t="s">
        <v>96</v>
      </c>
      <c r="F22" s="6" t="s">
        <v>97</v>
      </c>
      <c r="G22" s="9" t="s">
        <v>16</v>
      </c>
      <c r="H22" s="9" t="s">
        <v>16</v>
      </c>
      <c r="I22" s="10" t="s">
        <v>16</v>
      </c>
      <c r="J22" s="11"/>
    </row>
    <row r="23" customFormat="false" ht="60" hidden="false" customHeight="true" outlineLevel="0" collapsed="false">
      <c r="A23" s="6" t="s">
        <v>98</v>
      </c>
      <c r="B23" s="6" t="s">
        <v>23</v>
      </c>
      <c r="C23" s="6" t="s">
        <v>19</v>
      </c>
      <c r="D23" s="7" t="s">
        <v>99</v>
      </c>
      <c r="E23" s="8" t="s">
        <v>100</v>
      </c>
      <c r="F23" s="6" t="s">
        <v>101</v>
      </c>
      <c r="G23" s="9" t="s">
        <v>16</v>
      </c>
      <c r="H23" s="9" t="s">
        <v>16</v>
      </c>
      <c r="I23" s="10" t="s">
        <v>16</v>
      </c>
      <c r="J23" s="11"/>
    </row>
    <row r="24" customFormat="false" ht="60" hidden="false" customHeight="true" outlineLevel="0" collapsed="false">
      <c r="A24" s="6" t="s">
        <v>102</v>
      </c>
      <c r="B24" s="6" t="s">
        <v>30</v>
      </c>
      <c r="C24" s="6" t="s">
        <v>103</v>
      </c>
      <c r="D24" s="7" t="s">
        <v>104</v>
      </c>
      <c r="E24" s="8" t="s">
        <v>105</v>
      </c>
      <c r="F24" s="6" t="s">
        <v>106</v>
      </c>
      <c r="G24" s="9" t="s">
        <v>16</v>
      </c>
      <c r="H24" s="9" t="s">
        <v>16</v>
      </c>
      <c r="I24" s="10" t="s">
        <v>16</v>
      </c>
      <c r="J24" s="11"/>
    </row>
    <row r="25" customFormat="false" ht="60" hidden="false" customHeight="true" outlineLevel="0" collapsed="false">
      <c r="A25" s="6" t="s">
        <v>107</v>
      </c>
      <c r="B25" s="6" t="s">
        <v>78</v>
      </c>
      <c r="C25" s="6" t="s">
        <v>16</v>
      </c>
      <c r="D25" s="7" t="s">
        <v>108</v>
      </c>
      <c r="E25" s="8" t="s">
        <v>109</v>
      </c>
      <c r="F25" s="6" t="s">
        <v>110</v>
      </c>
      <c r="G25" s="9" t="s">
        <v>16</v>
      </c>
      <c r="H25" s="9" t="s">
        <v>16</v>
      </c>
      <c r="I25" s="10" t="s">
        <v>16</v>
      </c>
      <c r="J25" s="11"/>
    </row>
    <row r="26" customFormat="false" ht="60" hidden="false" customHeight="true" outlineLevel="0" collapsed="false">
      <c r="A26" s="6" t="s">
        <v>111</v>
      </c>
      <c r="B26" s="6" t="s">
        <v>34</v>
      </c>
      <c r="C26" s="6" t="s">
        <v>16</v>
      </c>
      <c r="D26" s="7" t="s">
        <v>43</v>
      </c>
      <c r="E26" s="8" t="s">
        <v>112</v>
      </c>
      <c r="F26" s="6" t="s">
        <v>113</v>
      </c>
      <c r="G26" s="9" t="s">
        <v>16</v>
      </c>
      <c r="H26" s="9" t="s">
        <v>16</v>
      </c>
      <c r="I26" s="10" t="s">
        <v>16</v>
      </c>
      <c r="J26" s="11"/>
    </row>
    <row r="27" customFormat="false" ht="60" hidden="false" customHeight="true" outlineLevel="0" collapsed="false">
      <c r="A27" s="6" t="s">
        <v>114</v>
      </c>
      <c r="B27" s="6" t="s">
        <v>34</v>
      </c>
      <c r="C27" s="6" t="s">
        <v>19</v>
      </c>
      <c r="D27" s="7" t="s">
        <v>115</v>
      </c>
      <c r="E27" s="8" t="s">
        <v>116</v>
      </c>
      <c r="F27" s="6" t="s">
        <v>117</v>
      </c>
      <c r="G27" s="9" t="s">
        <v>16</v>
      </c>
      <c r="H27" s="9" t="s">
        <v>16</v>
      </c>
      <c r="I27" s="10" t="s">
        <v>16</v>
      </c>
      <c r="J27" s="11"/>
    </row>
    <row r="28" customFormat="false" ht="60" hidden="false" customHeight="true" outlineLevel="0" collapsed="false">
      <c r="A28" s="6" t="s">
        <v>118</v>
      </c>
      <c r="B28" s="6" t="s">
        <v>23</v>
      </c>
      <c r="C28" s="6" t="s">
        <v>16</v>
      </c>
      <c r="D28" s="7" t="s">
        <v>119</v>
      </c>
      <c r="E28" s="8" t="s">
        <v>120</v>
      </c>
      <c r="F28" s="6" t="s">
        <v>121</v>
      </c>
      <c r="G28" s="9" t="s">
        <v>16</v>
      </c>
      <c r="H28" s="9" t="s">
        <v>16</v>
      </c>
      <c r="I28" s="10" t="s">
        <v>16</v>
      </c>
      <c r="J28" s="11"/>
    </row>
    <row r="29" customFormat="false" ht="60" hidden="false" customHeight="true" outlineLevel="0" collapsed="false">
      <c r="A29" s="6" t="s">
        <v>122</v>
      </c>
      <c r="B29" s="6" t="s">
        <v>18</v>
      </c>
      <c r="C29" s="6" t="s">
        <v>123</v>
      </c>
      <c r="D29" s="7" t="s">
        <v>124</v>
      </c>
      <c r="E29" s="8" t="s">
        <v>125</v>
      </c>
      <c r="F29" s="6" t="s">
        <v>126</v>
      </c>
      <c r="G29" s="9" t="s">
        <v>16</v>
      </c>
      <c r="H29" s="9" t="s">
        <v>16</v>
      </c>
      <c r="I29" s="10" t="s">
        <v>16</v>
      </c>
      <c r="J29" s="11"/>
    </row>
    <row r="30" customFormat="false" ht="60" hidden="false" customHeight="true" outlineLevel="0" collapsed="false">
      <c r="A30" s="6" t="s">
        <v>127</v>
      </c>
      <c r="B30" s="6" t="s">
        <v>18</v>
      </c>
      <c r="C30" s="6" t="s">
        <v>70</v>
      </c>
      <c r="D30" s="7" t="s">
        <v>61</v>
      </c>
      <c r="E30" s="8" t="s">
        <v>128</v>
      </c>
      <c r="F30" s="6" t="s">
        <v>129</v>
      </c>
      <c r="G30" s="9" t="s">
        <v>16</v>
      </c>
      <c r="H30" s="9" t="s">
        <v>16</v>
      </c>
      <c r="I30" s="10" t="s">
        <v>16</v>
      </c>
      <c r="J30" s="11"/>
    </row>
    <row r="31" customFormat="false" ht="60" hidden="false" customHeight="true" outlineLevel="0" collapsed="false">
      <c r="A31" s="6" t="s">
        <v>130</v>
      </c>
      <c r="B31" s="6" t="s">
        <v>23</v>
      </c>
      <c r="C31" s="6" t="s">
        <v>131</v>
      </c>
      <c r="D31" s="7" t="s">
        <v>132</v>
      </c>
      <c r="E31" s="8" t="s">
        <v>133</v>
      </c>
      <c r="F31" s="6" t="s">
        <v>134</v>
      </c>
      <c r="G31" s="9" t="s">
        <v>16</v>
      </c>
      <c r="H31" s="9" t="s">
        <v>16</v>
      </c>
      <c r="I31" s="10" t="s">
        <v>16</v>
      </c>
      <c r="J31" s="11"/>
    </row>
    <row r="32" customFormat="false" ht="60" hidden="false" customHeight="true" outlineLevel="0" collapsed="false">
      <c r="A32" s="6" t="s">
        <v>135</v>
      </c>
      <c r="B32" s="6" t="s">
        <v>10</v>
      </c>
      <c r="C32" s="6" t="s">
        <v>136</v>
      </c>
      <c r="D32" s="7" t="s">
        <v>137</v>
      </c>
      <c r="E32" s="8" t="s">
        <v>138</v>
      </c>
      <c r="F32" s="6" t="s">
        <v>139</v>
      </c>
      <c r="G32" s="9" t="s">
        <v>16</v>
      </c>
      <c r="H32" s="9" t="s">
        <v>16</v>
      </c>
      <c r="I32" s="10" t="s">
        <v>16</v>
      </c>
      <c r="J32" s="11"/>
    </row>
    <row r="33" customFormat="false" ht="60" hidden="false" customHeight="true" outlineLevel="0" collapsed="false">
      <c r="A33" s="6" t="s">
        <v>140</v>
      </c>
      <c r="B33" s="6" t="s">
        <v>64</v>
      </c>
      <c r="C33" s="6" t="s">
        <v>123</v>
      </c>
      <c r="D33" s="7" t="s">
        <v>141</v>
      </c>
      <c r="E33" s="8" t="s">
        <v>142</v>
      </c>
      <c r="F33" s="6" t="s">
        <v>143</v>
      </c>
      <c r="G33" s="9" t="s">
        <v>16</v>
      </c>
      <c r="H33" s="9" t="s">
        <v>16</v>
      </c>
      <c r="I33" s="10" t="s">
        <v>16</v>
      </c>
      <c r="J33" s="11"/>
    </row>
    <row r="34" customFormat="false" ht="60" hidden="false" customHeight="true" outlineLevel="0" collapsed="false">
      <c r="A34" s="6" t="s">
        <v>144</v>
      </c>
      <c r="B34" s="6" t="s">
        <v>10</v>
      </c>
      <c r="C34" s="6" t="s">
        <v>16</v>
      </c>
      <c r="D34" s="7" t="s">
        <v>145</v>
      </c>
      <c r="E34" s="8" t="s">
        <v>146</v>
      </c>
      <c r="F34" s="6" t="s">
        <v>147</v>
      </c>
      <c r="G34" s="9" t="s">
        <v>16</v>
      </c>
      <c r="H34" s="9" t="s">
        <v>16</v>
      </c>
      <c r="I34" s="10" t="s">
        <v>16</v>
      </c>
      <c r="J34" s="11"/>
    </row>
    <row r="35" customFormat="false" ht="60" hidden="false" customHeight="true" outlineLevel="0" collapsed="false">
      <c r="A35" s="6" t="s">
        <v>148</v>
      </c>
      <c r="B35" s="6" t="s">
        <v>18</v>
      </c>
      <c r="C35" s="6" t="s">
        <v>16</v>
      </c>
      <c r="D35" s="7" t="s">
        <v>149</v>
      </c>
      <c r="E35" s="8" t="s">
        <v>150</v>
      </c>
      <c r="F35" s="6" t="s">
        <v>151</v>
      </c>
      <c r="G35" s="9" t="s">
        <v>16</v>
      </c>
      <c r="H35" s="9" t="s">
        <v>16</v>
      </c>
      <c r="I35" s="10" t="s">
        <v>16</v>
      </c>
      <c r="J35" s="11"/>
    </row>
    <row r="36" customFormat="false" ht="60" hidden="false" customHeight="true" outlineLevel="0" collapsed="false">
      <c r="A36" s="6" t="s">
        <v>152</v>
      </c>
      <c r="B36" s="6" t="s">
        <v>18</v>
      </c>
      <c r="C36" s="6" t="s">
        <v>16</v>
      </c>
      <c r="D36" s="7" t="s">
        <v>153</v>
      </c>
      <c r="E36" s="8" t="s">
        <v>154</v>
      </c>
      <c r="F36" s="6" t="s">
        <v>155</v>
      </c>
      <c r="G36" s="9" t="s">
        <v>16</v>
      </c>
      <c r="H36" s="9" t="s">
        <v>16</v>
      </c>
      <c r="I36" s="10" t="s">
        <v>16</v>
      </c>
      <c r="J36" s="11"/>
    </row>
    <row r="37" customFormat="false" ht="60" hidden="false" customHeight="true" outlineLevel="0" collapsed="false">
      <c r="A37" s="6" t="s">
        <v>156</v>
      </c>
      <c r="B37" s="6" t="s">
        <v>17</v>
      </c>
      <c r="C37" s="6" t="s">
        <v>16</v>
      </c>
      <c r="D37" s="7" t="s">
        <v>157</v>
      </c>
      <c r="E37" s="8" t="s">
        <v>158</v>
      </c>
      <c r="F37" s="6" t="s">
        <v>159</v>
      </c>
      <c r="G37" s="9" t="s">
        <v>16</v>
      </c>
      <c r="H37" s="9" t="s">
        <v>16</v>
      </c>
      <c r="I37" s="10" t="s">
        <v>16</v>
      </c>
      <c r="J37" s="11"/>
    </row>
    <row r="38" customFormat="false" ht="60" hidden="false" customHeight="true" outlineLevel="0" collapsed="false">
      <c r="A38" s="6" t="s">
        <v>160</v>
      </c>
      <c r="B38" s="6" t="s">
        <v>18</v>
      </c>
      <c r="C38" s="6" t="s">
        <v>131</v>
      </c>
      <c r="D38" s="7" t="s">
        <v>161</v>
      </c>
      <c r="E38" s="8" t="s">
        <v>162</v>
      </c>
      <c r="F38" s="6" t="s">
        <v>163</v>
      </c>
      <c r="G38" s="9" t="s">
        <v>16</v>
      </c>
      <c r="H38" s="9" t="s">
        <v>16</v>
      </c>
      <c r="I38" s="10" t="s">
        <v>16</v>
      </c>
      <c r="J38" s="11"/>
    </row>
    <row r="39" customFormat="false" ht="60" hidden="false" customHeight="true" outlineLevel="0" collapsed="false">
      <c r="A39" s="6" t="s">
        <v>164</v>
      </c>
      <c r="B39" s="6" t="s">
        <v>17</v>
      </c>
      <c r="C39" s="6" t="s">
        <v>16</v>
      </c>
      <c r="D39" s="7" t="s">
        <v>165</v>
      </c>
      <c r="E39" s="8" t="s">
        <v>166</v>
      </c>
      <c r="F39" s="6" t="s">
        <v>167</v>
      </c>
      <c r="G39" s="9" t="s">
        <v>16</v>
      </c>
      <c r="H39" s="9" t="s">
        <v>16</v>
      </c>
      <c r="I39" s="10" t="s">
        <v>16</v>
      </c>
      <c r="J39" s="11"/>
    </row>
    <row r="40" customFormat="false" ht="60" hidden="false" customHeight="true" outlineLevel="0" collapsed="false">
      <c r="A40" s="6" t="s">
        <v>168</v>
      </c>
      <c r="B40" s="6" t="s">
        <v>23</v>
      </c>
      <c r="C40" s="6" t="s">
        <v>16</v>
      </c>
      <c r="D40" s="7" t="s">
        <v>124</v>
      </c>
      <c r="E40" s="8" t="s">
        <v>169</v>
      </c>
      <c r="F40" s="6" t="s">
        <v>170</v>
      </c>
      <c r="G40" s="9" t="s">
        <v>16</v>
      </c>
      <c r="H40" s="9" t="s">
        <v>16</v>
      </c>
      <c r="I40" s="10" t="s">
        <v>16</v>
      </c>
      <c r="J40" s="11"/>
    </row>
    <row r="41" customFormat="false" ht="60" hidden="false" customHeight="true" outlineLevel="0" collapsed="false">
      <c r="A41" s="6" t="s">
        <v>171</v>
      </c>
      <c r="B41" s="6" t="s">
        <v>114</v>
      </c>
      <c r="C41" s="6" t="s">
        <v>131</v>
      </c>
      <c r="D41" s="7" t="s">
        <v>95</v>
      </c>
      <c r="E41" s="8" t="s">
        <v>172</v>
      </c>
      <c r="F41" s="6" t="s">
        <v>173</v>
      </c>
      <c r="G41" s="9" t="s">
        <v>16</v>
      </c>
      <c r="H41" s="9" t="s">
        <v>16</v>
      </c>
      <c r="I41" s="10" t="s">
        <v>16</v>
      </c>
      <c r="J41" s="11"/>
    </row>
    <row r="42" customFormat="false" ht="60" hidden="false" customHeight="true" outlineLevel="0" collapsed="false">
      <c r="A42" s="6" t="s">
        <v>174</v>
      </c>
      <c r="B42" s="6" t="s">
        <v>30</v>
      </c>
      <c r="C42" s="6" t="s">
        <v>70</v>
      </c>
      <c r="D42" s="7" t="s">
        <v>175</v>
      </c>
      <c r="E42" s="8" t="s">
        <v>176</v>
      </c>
      <c r="F42" s="6" t="s">
        <v>177</v>
      </c>
      <c r="G42" s="9" t="s">
        <v>16</v>
      </c>
      <c r="H42" s="9" t="s">
        <v>16</v>
      </c>
      <c r="I42" s="10" t="s">
        <v>16</v>
      </c>
      <c r="J42" s="11"/>
    </row>
    <row r="43" customFormat="false" ht="60" hidden="false" customHeight="true" outlineLevel="0" collapsed="false">
      <c r="A43" s="6" t="s">
        <v>178</v>
      </c>
      <c r="B43" s="6" t="s">
        <v>18</v>
      </c>
      <c r="C43" s="6" t="s">
        <v>179</v>
      </c>
      <c r="D43" s="7" t="s">
        <v>153</v>
      </c>
      <c r="E43" s="8" t="s">
        <v>180</v>
      </c>
      <c r="F43" s="6" t="s">
        <v>181</v>
      </c>
      <c r="G43" s="9" t="s">
        <v>16</v>
      </c>
      <c r="H43" s="9" t="s">
        <v>16</v>
      </c>
      <c r="I43" s="10" t="s">
        <v>16</v>
      </c>
      <c r="J43" s="11"/>
    </row>
    <row r="44" customFormat="false" ht="60" hidden="false" customHeight="true" outlineLevel="0" collapsed="false">
      <c r="A44" s="6" t="s">
        <v>182</v>
      </c>
      <c r="B44" s="6" t="s">
        <v>17</v>
      </c>
      <c r="C44" s="6" t="s">
        <v>131</v>
      </c>
      <c r="D44" s="7" t="s">
        <v>183</v>
      </c>
      <c r="E44" s="8" t="s">
        <v>184</v>
      </c>
      <c r="F44" s="6" t="s">
        <v>185</v>
      </c>
      <c r="G44" s="9" t="s">
        <v>16</v>
      </c>
      <c r="H44" s="9" t="s">
        <v>16</v>
      </c>
      <c r="I44" s="10" t="s">
        <v>16</v>
      </c>
      <c r="J44" s="11"/>
    </row>
    <row r="45" customFormat="false" ht="60" hidden="false" customHeight="true" outlineLevel="0" collapsed="false">
      <c r="A45" s="6" t="s">
        <v>186</v>
      </c>
      <c r="B45" s="6" t="s">
        <v>35</v>
      </c>
      <c r="C45" s="6" t="s">
        <v>12</v>
      </c>
      <c r="D45" s="7" t="s">
        <v>187</v>
      </c>
      <c r="E45" s="8" t="s">
        <v>188</v>
      </c>
      <c r="F45" s="6" t="s">
        <v>189</v>
      </c>
      <c r="G45" s="9" t="s">
        <v>16</v>
      </c>
      <c r="H45" s="9" t="s">
        <v>16</v>
      </c>
      <c r="I45" s="10" t="s">
        <v>16</v>
      </c>
      <c r="J45" s="11"/>
    </row>
    <row r="46" customFormat="false" ht="60" hidden="false" customHeight="true" outlineLevel="0" collapsed="false">
      <c r="A46" s="6" t="s">
        <v>190</v>
      </c>
      <c r="B46" s="6" t="s">
        <v>17</v>
      </c>
      <c r="C46" s="6" t="s">
        <v>16</v>
      </c>
      <c r="D46" s="7" t="s">
        <v>61</v>
      </c>
      <c r="E46" s="8" t="s">
        <v>191</v>
      </c>
      <c r="F46" s="6" t="s">
        <v>192</v>
      </c>
      <c r="G46" s="9" t="s">
        <v>16</v>
      </c>
      <c r="H46" s="9" t="s">
        <v>16</v>
      </c>
      <c r="I46" s="10" t="s">
        <v>16</v>
      </c>
      <c r="J46" s="11"/>
    </row>
    <row r="47" customFormat="false" ht="60" hidden="false" customHeight="true" outlineLevel="0" collapsed="false">
      <c r="A47" s="6" t="s">
        <v>193</v>
      </c>
      <c r="B47" s="6" t="s">
        <v>130</v>
      </c>
      <c r="C47" s="6" t="s">
        <v>70</v>
      </c>
      <c r="D47" s="7" t="s">
        <v>194</v>
      </c>
      <c r="E47" s="8" t="s">
        <v>195</v>
      </c>
      <c r="F47" s="6" t="s">
        <v>196</v>
      </c>
      <c r="G47" s="9" t="s">
        <v>16</v>
      </c>
      <c r="H47" s="9" t="s">
        <v>16</v>
      </c>
      <c r="I47" s="10" t="s">
        <v>16</v>
      </c>
      <c r="J47" s="11"/>
    </row>
    <row r="48" customFormat="false" ht="60" hidden="false" customHeight="true" outlineLevel="0" collapsed="false">
      <c r="A48" s="6" t="s">
        <v>197</v>
      </c>
      <c r="B48" s="6" t="s">
        <v>34</v>
      </c>
      <c r="C48" s="6" t="s">
        <v>19</v>
      </c>
      <c r="D48" s="7" t="s">
        <v>198</v>
      </c>
      <c r="E48" s="8" t="s">
        <v>199</v>
      </c>
      <c r="F48" s="6" t="s">
        <v>200</v>
      </c>
      <c r="G48" s="9" t="s">
        <v>16</v>
      </c>
      <c r="H48" s="9" t="s">
        <v>16</v>
      </c>
      <c r="I48" s="10" t="s">
        <v>16</v>
      </c>
      <c r="J48" s="11"/>
    </row>
    <row r="49" customFormat="false" ht="60" hidden="false" customHeight="true" outlineLevel="0" collapsed="false">
      <c r="A49" s="6" t="s">
        <v>201</v>
      </c>
      <c r="B49" s="6" t="s">
        <v>35</v>
      </c>
      <c r="C49" s="6" t="s">
        <v>202</v>
      </c>
      <c r="D49" s="7" t="s">
        <v>203</v>
      </c>
      <c r="E49" s="8" t="s">
        <v>204</v>
      </c>
      <c r="F49" s="6" t="s">
        <v>205</v>
      </c>
      <c r="G49" s="9" t="s">
        <v>16</v>
      </c>
      <c r="H49" s="9" t="s">
        <v>16</v>
      </c>
      <c r="I49" s="10" t="s">
        <v>16</v>
      </c>
      <c r="J49" s="11"/>
    </row>
    <row r="50" customFormat="false" ht="60" hidden="false" customHeight="true" outlineLevel="0" collapsed="false">
      <c r="A50" s="6" t="s">
        <v>206</v>
      </c>
      <c r="B50" s="6" t="s">
        <v>18</v>
      </c>
      <c r="C50" s="6" t="s">
        <v>16</v>
      </c>
      <c r="D50" s="7" t="s">
        <v>207</v>
      </c>
      <c r="E50" s="8" t="s">
        <v>208</v>
      </c>
      <c r="F50" s="6" t="s">
        <v>209</v>
      </c>
      <c r="G50" s="9" t="s">
        <v>16</v>
      </c>
      <c r="H50" s="9" t="s">
        <v>16</v>
      </c>
      <c r="I50" s="10" t="s">
        <v>16</v>
      </c>
      <c r="J50" s="11"/>
    </row>
    <row r="51" customFormat="false" ht="60" hidden="false" customHeight="true" outlineLevel="0" collapsed="false">
      <c r="A51" s="6" t="s">
        <v>210</v>
      </c>
      <c r="B51" s="6" t="s">
        <v>17</v>
      </c>
      <c r="C51" s="6" t="s">
        <v>16</v>
      </c>
      <c r="D51" s="7" t="s">
        <v>211</v>
      </c>
      <c r="E51" s="8" t="s">
        <v>212</v>
      </c>
      <c r="F51" s="6" t="s">
        <v>213</v>
      </c>
      <c r="G51" s="9" t="s">
        <v>16</v>
      </c>
      <c r="H51" s="9" t="s">
        <v>16</v>
      </c>
      <c r="I51" s="10" t="s">
        <v>16</v>
      </c>
      <c r="J51" s="11"/>
    </row>
    <row r="52" customFormat="false" ht="60" hidden="false" customHeight="true" outlineLevel="0" collapsed="false">
      <c r="A52" s="6" t="s">
        <v>214</v>
      </c>
      <c r="B52" s="6" t="s">
        <v>17</v>
      </c>
      <c r="C52" s="6" t="s">
        <v>16</v>
      </c>
      <c r="D52" s="7" t="s">
        <v>20</v>
      </c>
      <c r="E52" s="8" t="s">
        <v>215</v>
      </c>
      <c r="F52" s="6" t="s">
        <v>216</v>
      </c>
      <c r="G52" s="9" t="s">
        <v>16</v>
      </c>
      <c r="H52" s="9" t="s">
        <v>16</v>
      </c>
      <c r="I52" s="10" t="s">
        <v>16</v>
      </c>
      <c r="J52" s="11"/>
    </row>
    <row r="53" customFormat="false" ht="60" hidden="false" customHeight="true" outlineLevel="0" collapsed="false">
      <c r="A53" s="6" t="s">
        <v>217</v>
      </c>
      <c r="B53" s="6" t="s">
        <v>10</v>
      </c>
      <c r="C53" s="6" t="s">
        <v>16</v>
      </c>
      <c r="D53" s="7" t="s">
        <v>218</v>
      </c>
      <c r="E53" s="8" t="s">
        <v>219</v>
      </c>
      <c r="F53" s="6" t="s">
        <v>220</v>
      </c>
      <c r="G53" s="9" t="s">
        <v>16</v>
      </c>
      <c r="H53" s="9" t="s">
        <v>16</v>
      </c>
      <c r="I53" s="10" t="s">
        <v>16</v>
      </c>
      <c r="J53" s="11"/>
    </row>
    <row r="54" customFormat="false" ht="60" hidden="false" customHeight="true" outlineLevel="0" collapsed="false">
      <c r="A54" s="6" t="s">
        <v>221</v>
      </c>
      <c r="B54" s="6" t="s">
        <v>17</v>
      </c>
      <c r="C54" s="6" t="s">
        <v>19</v>
      </c>
      <c r="D54" s="7" t="s">
        <v>222</v>
      </c>
      <c r="E54" s="8" t="s">
        <v>223</v>
      </c>
      <c r="F54" s="6" t="s">
        <v>224</v>
      </c>
      <c r="G54" s="9" t="s">
        <v>16</v>
      </c>
      <c r="H54" s="9" t="s">
        <v>16</v>
      </c>
      <c r="I54" s="10" t="s">
        <v>16</v>
      </c>
      <c r="J54" s="11"/>
    </row>
    <row r="55" customFormat="false" ht="60" hidden="false" customHeight="true" outlineLevel="0" collapsed="false">
      <c r="A55" s="6" t="s">
        <v>225</v>
      </c>
      <c r="B55" s="6" t="s">
        <v>10</v>
      </c>
      <c r="C55" s="6" t="s">
        <v>19</v>
      </c>
      <c r="D55" s="7" t="s">
        <v>226</v>
      </c>
      <c r="E55" s="8" t="s">
        <v>227</v>
      </c>
      <c r="F55" s="6" t="s">
        <v>228</v>
      </c>
      <c r="G55" s="9" t="s">
        <v>16</v>
      </c>
      <c r="H55" s="9" t="s">
        <v>16</v>
      </c>
      <c r="I55" s="10" t="s">
        <v>16</v>
      </c>
      <c r="J55" s="11"/>
    </row>
    <row r="56" customFormat="false" ht="60" hidden="false" customHeight="true" outlineLevel="0" collapsed="false">
      <c r="A56" s="6" t="s">
        <v>229</v>
      </c>
      <c r="B56" s="6" t="s">
        <v>10</v>
      </c>
      <c r="C56" s="6" t="s">
        <v>19</v>
      </c>
      <c r="D56" s="7" t="s">
        <v>230</v>
      </c>
      <c r="E56" s="8" t="s">
        <v>231</v>
      </c>
      <c r="F56" s="6" t="s">
        <v>232</v>
      </c>
      <c r="G56" s="9" t="s">
        <v>16</v>
      </c>
      <c r="H56" s="9" t="s">
        <v>16</v>
      </c>
      <c r="I56" s="10" t="s">
        <v>16</v>
      </c>
      <c r="J56" s="11"/>
    </row>
    <row r="57" customFormat="false" ht="60" hidden="false" customHeight="true" outlineLevel="0" collapsed="false">
      <c r="A57" s="6" t="s">
        <v>233</v>
      </c>
      <c r="B57" s="6" t="s">
        <v>18</v>
      </c>
      <c r="C57" s="6" t="s">
        <v>16</v>
      </c>
      <c r="D57" s="7" t="s">
        <v>207</v>
      </c>
      <c r="E57" s="8" t="s">
        <v>234</v>
      </c>
      <c r="F57" s="6" t="s">
        <v>235</v>
      </c>
      <c r="G57" s="9" t="s">
        <v>16</v>
      </c>
      <c r="H57" s="9" t="s">
        <v>16</v>
      </c>
      <c r="I57" s="10" t="s">
        <v>16</v>
      </c>
      <c r="J57" s="11"/>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s>
  <sheetData>
    <row r="1" customFormat="false" ht="15" hidden="false" customHeight="false" outlineLevel="0" collapsed="false">
      <c r="A1" s="12" t="s">
        <v>236</v>
      </c>
      <c r="B1" s="12" t="s">
        <v>237</v>
      </c>
      <c r="C1" s="12" t="s">
        <v>238</v>
      </c>
      <c r="D1" s="12" t="s">
        <v>239</v>
      </c>
      <c r="E1" s="13" t="s">
        <v>240</v>
      </c>
      <c r="F1" s="14" t="s">
        <v>241</v>
      </c>
      <c r="G1" s="15" t="s">
        <v>242</v>
      </c>
      <c r="H1" s="16" t="s">
        <v>243</v>
      </c>
      <c r="I1" s="17" t="s">
        <v>244</v>
      </c>
      <c r="J1" s="17" t="s">
        <v>245</v>
      </c>
      <c r="K1" s="17" t="s">
        <v>246</v>
      </c>
      <c r="L1" s="18" t="s">
        <v>9</v>
      </c>
    </row>
    <row r="2" customFormat="false" ht="15" hidden="false" customHeight="false" outlineLevel="0" collapsed="false">
      <c r="A2" s="19" t="s">
        <v>247</v>
      </c>
      <c r="E2" s="20" t="str">
        <f aca="false">IF(P2="?OLD","!!!","")</f>
        <v/>
      </c>
      <c r="F2" s="21" t="str">
        <f aca="false">IF(OR(E2="",E2="!!!"),"",IF(NOT(ISNA(VLOOKUP(E2,Q$1,1,FALSE()))),"OLD",IF(AND(E2&lt;&gt;"",E2&lt;&gt;"!!!"),"NEW","")))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IF(OR(E2="",E2="!!!",F2="NEW"),"",INDEX(#REF!,-1+SUMPRODUCT(MAX(ROW(#REF!)*(E2=#REF!)))))</f>
        <v/>
      </c>
      <c r="J2" s="25" t="str">
        <f aca="true">IF(OR(E2="",E2="!!!",F2="NEW"),"",COUNTBLANK(OFFSET(M$1,,,SUMPRODUCT(MAX(ROW(E$2)*(E2=E$2)))))-COUNTBLANK(OFFSET(M$1,,,SUMPRODUCT(MAX(ROW(Q$1)*(E2=Q$1))))))</f>
        <v/>
      </c>
      <c r="K2" s="25" t="str">
        <f aca="false">IF(OR(E2="",E2="!!!",F2="NEW"),"",INDEX(V$1,SUMPRODUCT(MAX(ROW(Q$1)*(E2=Q$1)))))</f>
        <v/>
      </c>
      <c r="L2" s="26"/>
      <c r="M2" s="27"/>
    </row>
    <row r="3" customFormat="false" ht="15" hidden="false" customHeight="false" outlineLevel="0" collapsed="false">
      <c r="A3" s="19" t="s">
        <v>248</v>
      </c>
      <c r="E3" s="20" t="str">
        <f aca="false">IF(P3="?OLD","!!!","")</f>
        <v/>
      </c>
      <c r="F3" s="21" t="str">
        <f aca="false">IF(OR(E3="",E3="!!!"),"",IF(NOT(ISNA(VLOOKUP(E3,Q$1:Q2,1,FALSE()))),"OLD",IF(AND(E3&lt;&gt;"",E3&lt;&gt;"!!!"),"NEW","")))</f>
        <v/>
      </c>
      <c r="G3" s="22" t="str">
        <f aca="false">IF(OR(E3="",E3="!!!"),"",IF(OR(J3=0,AND(J3=1,K3=1),AND(J3=1,I3="SBJ"),AND(J3=1,I3=0)),"?IN_FOCUS",IF(J3&lt;=2,"?ACTIVATED",IF(J3&lt;&gt;"","?FAMILIAR",IF(F3="NEW",IF(ISNA(VLOOKUP(E3,#REF!,1,FALSE())),"?TYPE_IDENTIFIABLE","?REFERENTIAL"),"_")))))</f>
        <v/>
      </c>
      <c r="H3" s="23" t="str">
        <f aca="false">IF(J3&lt;&gt;1,"",IF(I3="SBJ","CB","?"))</f>
        <v/>
      </c>
      <c r="I3" s="24" t="str">
        <f aca="false">IF(OR(E3="",E3="!!!",F3="NEW"),"",INDEX(N$2,-1+SUMPRODUCT(MAX(ROW(E$2)*(E3=E$2)))))</f>
        <v/>
      </c>
      <c r="J3" s="25" t="str">
        <f aca="true">IF(OR(E3="",E3="!!!",F3="NEW"),"",COUNTBLANK(OFFSET(M$1,,,SUMPRODUCT(MAX(ROW(E$2:E3)*(E3=E$2:E3)))))-COUNTBLANK(OFFSET(M$1,,,SUMPRODUCT(MAX(ROW(Q$1:Q2)*(E3=Q$1:Q2))))))</f>
        <v/>
      </c>
      <c r="K3" s="25" t="str">
        <f aca="false">IF(OR(E3="",E3="!!!",F3="NEW"),"",INDEX(V$1:V2,SUMPRODUCT(MAX(ROW(Q$1:Q2)*(E3=Q$1:Q2)))))</f>
        <v/>
      </c>
      <c r="L3" s="26"/>
      <c r="M3" s="27"/>
    </row>
    <row r="4" customFormat="false" ht="15" hidden="false" customHeight="false" outlineLevel="0" collapsed="false">
      <c r="A4" s="19" t="s">
        <v>249</v>
      </c>
      <c r="E4" s="20" t="str">
        <f aca="false">IF(P4="?OLD","!!!","")</f>
        <v/>
      </c>
      <c r="F4" s="21" t="str">
        <f aca="false">IF(OR(E4="",E4="!!!"),"",IF(NOT(ISNA(VLOOKUP(E4,Q$1:Q3,1,FALSE()))),"OLD",IF(AND(E4&lt;&gt;"",E4&lt;&gt;"!!!"),"NEW","")))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IF(OR(E4="",E4="!!!",F4="NEW"),"",INDEX(N$2:N3,-1+SUMPRODUCT(MAX(ROW(E$2:E3)*(E4=E$2:E3)))))</f>
        <v/>
      </c>
      <c r="J4" s="25" t="str">
        <f aca="true">IF(OR(E4="",E4="!!!",F4="NEW"),"",COUNTBLANK(OFFSET(M$1,,,SUMPRODUCT(MAX(ROW(E$2:E4)*(E4=E$2:E4)))))-COUNTBLANK(OFFSET(M$1,,,SUMPRODUCT(MAX(ROW(Q$1:Q3)*(E4=Q$1:Q3))))))</f>
        <v/>
      </c>
      <c r="K4" s="25" t="str">
        <f aca="false">IF(OR(E4="",E4="!!!",F4="NEW"),"",INDEX(V$1:V3,SUMPRODUCT(MAX(ROW(Q$1:Q3)*(E4=Q$1:Q3)))))</f>
        <v/>
      </c>
      <c r="L4" s="26"/>
      <c r="M4" s="27"/>
    </row>
    <row r="5" customFormat="false" ht="15" hidden="false" customHeight="false" outlineLevel="0" collapsed="false">
      <c r="A5" s="19" t="s">
        <v>250</v>
      </c>
      <c r="E5" s="20" t="str">
        <f aca="false">IF(P5="?OLD","!!!","")</f>
        <v/>
      </c>
      <c r="F5" s="21" t="str">
        <f aca="false">IF(OR(E5="",E5="!!!"),"",IF(NOT(ISNA(VLOOKUP(E5,Q$1:Q4,1,FALSE()))),"OLD",IF(AND(E5&lt;&gt;"",E5&lt;&gt;"!!!"),"NEW","")))</f>
        <v/>
      </c>
      <c r="G5" s="22" t="str">
        <f aca="false">IF(OR(E5="",E5="!!!"),"",IF(OR(J5=0,AND(J5=1,K5=1),AND(J5=1,I5="SBJ"),AND(J5=1,I5=0)),"?IN_FOCUS",IF(J5&lt;=2,"?ACTIVATED",IF(J5&lt;&gt;"","?FAMILIAR",IF(F5="NEW",IF(ISNA(VLOOKUP(E5,#REF!,1,FALSE())),"?TYPE_IDENTIFIABLE","?REFERENTIAL"),"_")))))</f>
        <v/>
      </c>
      <c r="H5" s="23" t="str">
        <f aca="false">IF(J5&lt;&gt;1,"",IF(I5="SBJ","CB","?"))</f>
        <v/>
      </c>
      <c r="I5" s="24" t="str">
        <f aca="false">IF(OR(E5="",E5="!!!",F5="NEW"),"",INDEX(N$2:N4,-1+SUMPRODUCT(MAX(ROW(E$2:E4)*(E5=E$2:E4)))))</f>
        <v/>
      </c>
      <c r="J5" s="25" t="str">
        <f aca="true">IF(OR(E5="",E5="!!!",F5="NEW"),"",COUNTBLANK(OFFSET(M$1,,,SUMPRODUCT(MAX(ROW(E$2:E5)*(E5=E$2:E5)))))-COUNTBLANK(OFFSET(M$1,,,SUMPRODUCT(MAX(ROW(Q$1:Q4)*(E5=Q$1:Q4))))))</f>
        <v/>
      </c>
      <c r="K5" s="25" t="str">
        <f aca="false">IF(OR(E5="",E5="!!!",F5="NEW"),"",INDEX(V$1:V4,SUMPRODUCT(MAX(ROW(Q$1:Q4)*(E5=Q$1:Q4)))))</f>
        <v/>
      </c>
      <c r="L5" s="26"/>
      <c r="M5" s="27"/>
    </row>
    <row r="6" customFormat="false" ht="15" hidden="false" customHeight="false" outlineLevel="0" collapsed="false">
      <c r="A6" s="19" t="s">
        <v>226</v>
      </c>
      <c r="B6" s="28" t="s">
        <v>251</v>
      </c>
      <c r="C6" s="28" t="s">
        <v>252</v>
      </c>
      <c r="D6" s="28" t="s">
        <v>253</v>
      </c>
      <c r="E6" s="20" t="s">
        <v>254</v>
      </c>
      <c r="F6" s="21" t="str">
        <f aca="false">IF(OR(E6="",E6="!!!"),"",IF(NOT(ISNA(VLOOKUP(E6,Q$1:Q5,1,FALSE()))),"OLD",IF(AND(E6&lt;&gt;"",E6&lt;&gt;"!!!"),"NEW","")))</f>
        <v>NEW</v>
      </c>
      <c r="G6" s="22" t="s">
        <v>255</v>
      </c>
      <c r="H6" s="23" t="str">
        <f aca="false">IF(J6&lt;&gt;1,"",IF(I6="SBJ","CB","?"))</f>
        <v/>
      </c>
      <c r="I6" s="24" t="str">
        <f aca="false">IF(OR(E6="",E6="!!!",F6="NEW"),"",INDEX(N$2:N5,-1+SUMPRODUCT(MAX(ROW(E$2:E5)*(E6=E$2:E5)))))</f>
        <v/>
      </c>
      <c r="J6" s="25" t="str">
        <f aca="true">IF(OR(E6="",E6="!!!",F6="NEW"),"",COUNTBLANK(OFFSET(M$1,,,SUMPRODUCT(MAX(ROW(E$2:E6)*(E6=E$2:E6)))))-COUNTBLANK(OFFSET(M$1,,,SUMPRODUCT(MAX(ROW(Q$1:Q5)*(E6=Q$1:Q5))))))</f>
        <v/>
      </c>
      <c r="K6" s="25" t="str">
        <f aca="false">IF(OR(E6="",E6="!!!",F6="NEW"),"",INDEX(V$1:V5,SUMPRODUCT(MAX(ROW(Q$1:Q5)*(E6=Q$1:Q5)))))</f>
        <v/>
      </c>
      <c r="L6" s="26"/>
      <c r="M6" s="27"/>
      <c r="N6" s="29"/>
      <c r="O6" s="29"/>
      <c r="P6" s="29"/>
    </row>
    <row r="7" customFormat="false" ht="15" hidden="false" customHeight="false" outlineLevel="0" collapsed="false">
      <c r="A7" s="19" t="s">
        <v>256</v>
      </c>
      <c r="E7" s="20"/>
      <c r="F7" s="21"/>
      <c r="G7" s="22"/>
      <c r="H7" s="23"/>
      <c r="I7" s="24" t="str">
        <f aca="false">IF(OR(E7="",E7="!!!",F7="NEW"),"",INDEX(N$2:N6,-1+SUMPRODUCT(MAX(ROW(E$2:E6)*(E7=E$2:E6)))))</f>
        <v/>
      </c>
      <c r="J7" s="25" t="str">
        <f aca="true">IF(OR(E7="",E7="!!!",F7="NEW"),"",COUNTBLANK(OFFSET(M$1,,,SUMPRODUCT(MAX(ROW(E$2:E7)*(E7=E$2:E7)))))-COUNTBLANK(OFFSET(M$1,,,SUMPRODUCT(MAX(ROW(Q$1:Q6)*(E7=Q$1:Q6))))))</f>
        <v/>
      </c>
      <c r="K7" s="25" t="str">
        <f aca="false">IF(OR(E7="",E7="!!!",F7="NEW"),"",INDEX(V$1:V6,SUMPRODUCT(MAX(ROW(Q$1:Q6)*(E7=Q$1:Q6)))))</f>
        <v/>
      </c>
      <c r="L7" s="26"/>
      <c r="M7" s="27"/>
    </row>
    <row r="8" customFormat="false" ht="15" hidden="false" customHeight="false" outlineLevel="0" collapsed="false">
      <c r="A8" s="19" t="s">
        <v>257</v>
      </c>
      <c r="B8" s="28" t="s">
        <v>258</v>
      </c>
      <c r="C8" s="28" t="s">
        <v>259</v>
      </c>
      <c r="E8" s="20"/>
      <c r="F8" s="21"/>
      <c r="G8" s="22"/>
      <c r="H8" s="23"/>
      <c r="I8" s="24" t="str">
        <f aca="false">IF(OR(E8="",E8="!!!",F8="NEW"),"",INDEX(N$2:N7,-1+SUMPRODUCT(MAX(ROW(E$2:E7)*(E8=E$2:E7)))))</f>
        <v/>
      </c>
      <c r="J8" s="25" t="str">
        <f aca="true">IF(OR(E8="",E8="!!!",F8="NEW"),"",COUNTBLANK(OFFSET(M$1,,,SUMPRODUCT(MAX(ROW(E$2:E8)*(E8=E$2:E8)))))-COUNTBLANK(OFFSET(M$1,,,SUMPRODUCT(MAX(ROW(Q$1:Q7)*(E8=Q$1:Q7))))))</f>
        <v/>
      </c>
      <c r="K8" s="25" t="str">
        <f aca="false">IF(OR(E8="",E8="!!!",F8="NEW"),"",INDEX(V$1:V7,SUMPRODUCT(MAX(ROW(Q$1:Q7)*(E8=Q$1:Q7)))))</f>
        <v/>
      </c>
      <c r="L8" s="26"/>
      <c r="M8" s="27"/>
      <c r="N8" s="29"/>
      <c r="O8" s="29"/>
    </row>
    <row r="9" customFormat="false" ht="15" hidden="false" customHeight="false" outlineLevel="0" collapsed="false">
      <c r="A9" s="19" t="s">
        <v>260</v>
      </c>
      <c r="E9" s="20"/>
      <c r="F9" s="21"/>
      <c r="G9" s="22"/>
      <c r="H9" s="23"/>
      <c r="I9" s="24" t="str">
        <f aca="false">IF(OR(E9="",E9="!!!",F9="NEW"),"",INDEX(N$2:N8,-1+SUMPRODUCT(MAX(ROW(E$2:E8)*(E9=E$2:E8)))))</f>
        <v/>
      </c>
      <c r="J9" s="25" t="str">
        <f aca="true">IF(OR(E9="",E9="!!!",F9="NEW"),"",COUNTBLANK(OFFSET(M$1,,,SUMPRODUCT(MAX(ROW(E$2:E9)*(E9=E$2:E9)))))-COUNTBLANK(OFFSET(M$1,,,SUMPRODUCT(MAX(ROW(Q$1:Q8)*(E9=Q$1:Q8))))))</f>
        <v/>
      </c>
      <c r="K9" s="25" t="str">
        <f aca="false">IF(OR(E9="",E9="!!!",F9="NEW"),"",INDEX(V$1:V8,SUMPRODUCT(MAX(ROW(Q$1:Q8)*(E9=Q$1:Q8)))))</f>
        <v/>
      </c>
      <c r="L9" s="26"/>
      <c r="M9" s="27"/>
    </row>
    <row r="10" customFormat="false" ht="15" hidden="false" customHeight="false" outlineLevel="0" collapsed="false">
      <c r="A10" s="19" t="s">
        <v>20</v>
      </c>
      <c r="E10" s="20"/>
      <c r="F10" s="21"/>
      <c r="G10" s="22"/>
      <c r="H10" s="23"/>
      <c r="I10" s="24" t="str">
        <f aca="false">IF(OR(E10="",E10="!!!",F10="NEW"),"",INDEX(N$2:N9,-1+SUMPRODUCT(MAX(ROW(E$2:E9)*(E10=E$2:E9)))))</f>
        <v/>
      </c>
      <c r="J10" s="25" t="str">
        <f aca="true">IF(OR(E10="",E10="!!!",F10="NEW"),"",COUNTBLANK(OFFSET(M$1,,,SUMPRODUCT(MAX(ROW(E$2:E10)*(E10=E$2:E10)))))-COUNTBLANK(OFFSET(M$1,,,SUMPRODUCT(MAX(ROW(Q$1:Q9)*(E10=Q$1:Q9))))))</f>
        <v/>
      </c>
      <c r="K10" s="25" t="str">
        <f aca="false">IF(OR(E10="",E10="!!!",F10="NEW"),"",INDEX(V$1:V9,SUMPRODUCT(MAX(ROW(Q$1:Q9)*(E10=Q$1:Q9)))))</f>
        <v/>
      </c>
      <c r="L10" s="26"/>
      <c r="M10" s="27"/>
    </row>
    <row r="11" customFormat="false" ht="15" hidden="false" customHeight="false" outlineLevel="0" collapsed="false">
      <c r="A11" s="19" t="s">
        <v>261</v>
      </c>
      <c r="E11" s="20"/>
      <c r="F11" s="21"/>
      <c r="G11" s="22"/>
      <c r="H11" s="23"/>
      <c r="I11" s="24" t="str">
        <f aca="false">IF(OR(E11="",E11="!!!",F11="NEW"),"",INDEX(N$2:N10,-1+SUMPRODUCT(MAX(ROW(E$2:E10)*(E11=E$2:E10)))))</f>
        <v/>
      </c>
      <c r="J11" s="25" t="str">
        <f aca="true">IF(OR(E11="",E11="!!!",F11="NEW"),"",COUNTBLANK(OFFSET(M$1,,,SUMPRODUCT(MAX(ROW(E$2:E11)*(E11=E$2:E11)))))-COUNTBLANK(OFFSET(M$1,,,SUMPRODUCT(MAX(ROW(Q$1:Q10)*(E11=Q$1:Q10))))))</f>
        <v/>
      </c>
      <c r="K11" s="25" t="str">
        <f aca="false">IF(OR(E11="",E11="!!!",F11="NEW"),"",INDEX(V$1:V10,SUMPRODUCT(MAX(ROW(Q$1:Q10)*(E11=Q$1:Q10)))))</f>
        <v/>
      </c>
      <c r="L11" s="26"/>
      <c r="M11" s="27"/>
    </row>
    <row r="12" customFormat="false" ht="15" hidden="false" customHeight="false" outlineLevel="0" collapsed="false">
      <c r="A12" s="19" t="s">
        <v>262</v>
      </c>
      <c r="B12" s="28" t="s">
        <v>263</v>
      </c>
      <c r="C12" s="28" t="s">
        <v>264</v>
      </c>
      <c r="D12" s="28" t="s">
        <v>253</v>
      </c>
      <c r="E12" s="20" t="s">
        <v>265</v>
      </c>
      <c r="F12" s="21" t="str">
        <f aca="false">IF(OR(E12="",E12="!!!"),"",IF(NOT(ISNA(VLOOKUP(E12,Q$1:Q11,1,FALSE()))),"OLD",IF(AND(E12&lt;&gt;"",E12&lt;&gt;"!!!"),"NEW","")))</f>
        <v>NEW</v>
      </c>
      <c r="G12" s="22" t="s">
        <v>266</v>
      </c>
      <c r="H12" s="23" t="s">
        <v>243</v>
      </c>
      <c r="I12" s="24" t="str">
        <f aca="false">IF(OR(E12="",E12="!!!",F12="NEW"),"",INDEX(N$2:N11,-1+SUMPRODUCT(MAX(ROW(E$2:E11)*(E12=E$2:E11)))))</f>
        <v/>
      </c>
      <c r="J12" s="25" t="str">
        <f aca="true">IF(OR(E12="",E12="!!!",F12="NEW"),"",COUNTBLANK(OFFSET(M$1,,,SUMPRODUCT(MAX(ROW(E$2:E12)*(E12=E$2:E12)))))-COUNTBLANK(OFFSET(M$1,,,SUMPRODUCT(MAX(ROW(Q$1:Q11)*(E12=Q$1:Q11))))))</f>
        <v/>
      </c>
      <c r="K12" s="25" t="str">
        <f aca="false">IF(OR(E12="",E12="!!!",F12="NEW"),"",INDEX(V$1:V11,SUMPRODUCT(MAX(ROW(Q$1:Q11)*(E12=Q$1:Q11)))))</f>
        <v/>
      </c>
      <c r="L12" s="26" t="s">
        <v>267</v>
      </c>
      <c r="M12" s="27"/>
      <c r="N12" s="29"/>
      <c r="O12" s="29"/>
      <c r="P12" s="29"/>
    </row>
    <row r="13" customFormat="false" ht="15" hidden="false" customHeight="false" outlineLevel="0" collapsed="false">
      <c r="A13" s="19" t="s">
        <v>268</v>
      </c>
      <c r="E13" s="20"/>
      <c r="F13" s="21"/>
      <c r="G13" s="22"/>
      <c r="H13" s="23"/>
      <c r="I13" s="24" t="str">
        <f aca="false">IF(OR(E13="",E13="!!!",F13="NEW"),"",INDEX(N$2:N12,-1+SUMPRODUCT(MAX(ROW(E$2:E12)*(E13=E$2:E12)))))</f>
        <v/>
      </c>
      <c r="J13" s="25" t="str">
        <f aca="true">IF(OR(E13="",E13="!!!",F13="NEW"),"",COUNTBLANK(OFFSET(M$1,,,SUMPRODUCT(MAX(ROW(E$2:E13)*(E13=E$2:E13)))))-COUNTBLANK(OFFSET(M$1,,,SUMPRODUCT(MAX(ROW(Q$1:Q12)*(E13=Q$1:Q12))))))</f>
        <v/>
      </c>
      <c r="K13" s="25" t="str">
        <f aca="false">IF(OR(E13="",E13="!!!",F13="NEW"),"",INDEX(V$1:V12,SUMPRODUCT(MAX(ROW(Q$1:Q12)*(E13=Q$1:Q12)))))</f>
        <v/>
      </c>
      <c r="L13" s="26"/>
      <c r="M13" s="27"/>
    </row>
    <row r="14" customFormat="false" ht="15" hidden="false" customHeight="false" outlineLevel="0" collapsed="false">
      <c r="A14" s="19" t="s">
        <v>218</v>
      </c>
      <c r="E14" s="20"/>
      <c r="F14" s="21"/>
      <c r="G14" s="22"/>
      <c r="H14" s="23"/>
      <c r="I14" s="24" t="str">
        <f aca="false">IF(OR(E14="",E14="!!!",F14="NEW"),"",INDEX(N$2:N13,-1+SUMPRODUCT(MAX(ROW(E$2:E13)*(E14=E$2:E13)))))</f>
        <v/>
      </c>
      <c r="J14" s="25" t="str">
        <f aca="true">IF(OR(E14="",E14="!!!",F14="NEW"),"",COUNTBLANK(OFFSET(M$1,,,SUMPRODUCT(MAX(ROW(E$2:E14)*(E14=E$2:E14)))))-COUNTBLANK(OFFSET(M$1,,,SUMPRODUCT(MAX(ROW(Q$1:Q13)*(E14=Q$1:Q13))))))</f>
        <v/>
      </c>
      <c r="K14" s="25" t="str">
        <f aca="false">IF(OR(E14="",E14="!!!",F14="NEW"),"",INDEX(V$1:V13,SUMPRODUCT(MAX(ROW(Q$1:Q13)*(E14=Q$1:Q13)))))</f>
        <v/>
      </c>
      <c r="L14" s="26"/>
      <c r="M14" s="27"/>
    </row>
    <row r="15" customFormat="false" ht="15" hidden="false" customHeight="false" outlineLevel="0" collapsed="false">
      <c r="A15" s="19" t="s">
        <v>269</v>
      </c>
      <c r="E15" s="20"/>
      <c r="F15" s="21"/>
      <c r="G15" s="22"/>
      <c r="H15" s="23"/>
      <c r="I15" s="24" t="str">
        <f aca="false">IF(OR(E15="",E15="!!!",F15="NEW"),"",INDEX(N$2:N14,-1+SUMPRODUCT(MAX(ROW(E$2:E14)*(E15=E$2:E14)))))</f>
        <v/>
      </c>
      <c r="J15" s="25" t="str">
        <f aca="true">IF(OR(E15="",E15="!!!",F15="NEW"),"",COUNTBLANK(OFFSET(M$1,,,SUMPRODUCT(MAX(ROW(E$2:E15)*(E15=E$2:E15)))))-COUNTBLANK(OFFSET(M$1,,,SUMPRODUCT(MAX(ROW(Q$1:Q14)*(E15=Q$1:Q14))))))</f>
        <v/>
      </c>
      <c r="K15" s="25" t="str">
        <f aca="false">IF(OR(E15="",E15="!!!",F15="NEW"),"",INDEX(V$1:V14,SUMPRODUCT(MAX(ROW(Q$1:Q14)*(E15=Q$1:Q14)))))</f>
        <v/>
      </c>
      <c r="L15" s="26"/>
      <c r="M15" s="27"/>
    </row>
    <row r="16" customFormat="false" ht="15" hidden="false" customHeight="false" outlineLevel="0" collapsed="false">
      <c r="A16" s="19" t="s">
        <v>145</v>
      </c>
      <c r="E16" s="20"/>
      <c r="F16" s="21"/>
      <c r="G16" s="22"/>
      <c r="H16" s="23"/>
      <c r="I16" s="24" t="str">
        <f aca="false">IF(OR(E16="",E16="!!!",F16="NEW"),"",INDEX(N$2:N15,-1+SUMPRODUCT(MAX(ROW(E$2:E15)*(E16=E$2:E15)))))</f>
        <v/>
      </c>
      <c r="J16" s="25" t="str">
        <f aca="true">IF(OR(E16="",E16="!!!",F16="NEW"),"",COUNTBLANK(OFFSET(M$1,,,SUMPRODUCT(MAX(ROW(E$2:E16)*(E16=E$2:E16)))))-COUNTBLANK(OFFSET(M$1,,,SUMPRODUCT(MAX(ROW(Q$1:Q15)*(E16=Q$1:Q15))))))</f>
        <v/>
      </c>
      <c r="K16" s="25" t="str">
        <f aca="false">IF(OR(E16="",E16="!!!",F16="NEW"),"",INDEX(V$1:V15,SUMPRODUCT(MAX(ROW(Q$1:Q15)*(E16=Q$1:Q15)))))</f>
        <v/>
      </c>
      <c r="L16" s="26"/>
      <c r="M16" s="27"/>
    </row>
    <row r="17" customFormat="false" ht="15" hidden="false" customHeight="false" outlineLevel="0" collapsed="false">
      <c r="A17" s="19" t="s">
        <v>270</v>
      </c>
      <c r="B17" s="28" t="s">
        <v>271</v>
      </c>
      <c r="C17" s="28" t="s">
        <v>272</v>
      </c>
      <c r="E17" s="20"/>
      <c r="F17" s="21"/>
      <c r="G17" s="22"/>
      <c r="H17" s="23"/>
      <c r="I17" s="24" t="str">
        <f aca="false">IF(OR(E17="",E17="!!!",F17="NEW"),"",INDEX(N$2:N16,-1+SUMPRODUCT(MAX(ROW(E$2:E16)*(E17=E$2:E16)))))</f>
        <v/>
      </c>
      <c r="J17" s="25" t="str">
        <f aca="true">IF(OR(E17="",E17="!!!",F17="NEW"),"",COUNTBLANK(OFFSET(M$1,,,SUMPRODUCT(MAX(ROW(E$2:E17)*(E17=E$2:E17)))))-COUNTBLANK(OFFSET(M$1,,,SUMPRODUCT(MAX(ROW(Q$1:Q16)*(E17=Q$1:Q16))))))</f>
        <v/>
      </c>
      <c r="K17" s="25" t="str">
        <f aca="false">IF(OR(E17="",E17="!!!",F17="NEW"),"",INDEX(V$1:V16,SUMPRODUCT(MAX(ROW(Q$1:Q16)*(E17=Q$1:Q16)))))</f>
        <v/>
      </c>
      <c r="L17" s="26"/>
      <c r="M17" s="27"/>
      <c r="N17" s="29"/>
      <c r="O17" s="29"/>
    </row>
    <row r="18" customFormat="false" ht="15" hidden="false" customHeight="false" outlineLevel="0" collapsed="false">
      <c r="A18" s="19" t="s">
        <v>273</v>
      </c>
      <c r="E18" s="20"/>
      <c r="F18" s="21"/>
      <c r="G18" s="22"/>
      <c r="H18" s="23"/>
      <c r="I18" s="24" t="str">
        <f aca="false">IF(OR(E18="",E18="!!!",F18="NEW"),"",INDEX(N$2:N17,-1+SUMPRODUCT(MAX(ROW(E$2:E17)*(E18=E$2:E17)))))</f>
        <v/>
      </c>
      <c r="J18" s="25" t="str">
        <f aca="true">IF(OR(E18="",E18="!!!",F18="NEW"),"",COUNTBLANK(OFFSET(M$1,,,SUMPRODUCT(MAX(ROW(E$2:E18)*(E18=E$2:E18)))))-COUNTBLANK(OFFSET(M$1,,,SUMPRODUCT(MAX(ROW(Q$1:Q17)*(E18=Q$1:Q17))))))</f>
        <v/>
      </c>
      <c r="K18" s="25" t="str">
        <f aca="false">IF(OR(E18="",E18="!!!",F18="NEW"),"",INDEX(V$1:V17,SUMPRODUCT(MAX(ROW(Q$1:Q17)*(E18=Q$1:Q17)))))</f>
        <v/>
      </c>
      <c r="L18" s="26"/>
      <c r="M18" s="27"/>
    </row>
    <row r="19" customFormat="false" ht="15" hidden="false" customHeight="false" outlineLevel="0" collapsed="false">
      <c r="A19" s="19" t="s">
        <v>145</v>
      </c>
      <c r="E19" s="20"/>
      <c r="F19" s="21"/>
      <c r="G19" s="22"/>
      <c r="H19" s="23"/>
      <c r="I19" s="24" t="str">
        <f aca="false">IF(OR(E19="",E19="!!!",F19="NEW"),"",INDEX(N$2:N18,-1+SUMPRODUCT(MAX(ROW(E$2:E18)*(E19=E$2:E18)))))</f>
        <v/>
      </c>
      <c r="J19" s="25" t="str">
        <f aca="true">IF(OR(E19="",E19="!!!",F19="NEW"),"",COUNTBLANK(OFFSET(M$1,,,SUMPRODUCT(MAX(ROW(E$2:E19)*(E19=E$2:E19)))))-COUNTBLANK(OFFSET(M$1,,,SUMPRODUCT(MAX(ROW(Q$1:Q18)*(E19=Q$1:Q18))))))</f>
        <v/>
      </c>
      <c r="K19" s="25" t="str">
        <f aca="false">IF(OR(E19="",E19="!!!",F19="NEW"),"",INDEX(V$1:V18,SUMPRODUCT(MAX(ROW(Q$1:Q18)*(E19=Q$1:Q18)))))</f>
        <v/>
      </c>
      <c r="L19" s="26"/>
      <c r="M19" s="27"/>
    </row>
    <row r="20" customFormat="false" ht="15" hidden="false" customHeight="false" outlineLevel="0" collapsed="false">
      <c r="A20" s="19" t="s">
        <v>274</v>
      </c>
      <c r="B20" s="28" t="s">
        <v>271</v>
      </c>
      <c r="C20" s="28" t="s">
        <v>272</v>
      </c>
      <c r="E20" s="20"/>
      <c r="F20" s="21"/>
      <c r="G20" s="22"/>
      <c r="H20" s="23"/>
      <c r="I20" s="24" t="str">
        <f aca="false">IF(OR(E20="",E20="!!!",F20="NEW"),"",INDEX(N$2:N19,-1+SUMPRODUCT(MAX(ROW(E$2:E19)*(E20=E$2:E19)))))</f>
        <v/>
      </c>
      <c r="J20" s="25" t="str">
        <f aca="true">IF(OR(E20="",E20="!!!",F20="NEW"),"",COUNTBLANK(OFFSET(M$1,,,SUMPRODUCT(MAX(ROW(E$2:E20)*(E20=E$2:E20)))))-COUNTBLANK(OFFSET(M$1,,,SUMPRODUCT(MAX(ROW(Q$1:Q19)*(E20=Q$1:Q19))))))</f>
        <v/>
      </c>
      <c r="K20" s="25" t="str">
        <f aca="false">IF(OR(E20="",E20="!!!",F20="NEW"),"",INDEX(V$1:V19,SUMPRODUCT(MAX(ROW(Q$1:Q19)*(E20=Q$1:Q19)))))</f>
        <v/>
      </c>
      <c r="L20" s="26"/>
      <c r="M20" s="27"/>
      <c r="N20" s="29"/>
      <c r="O20" s="29"/>
    </row>
    <row r="21" customFormat="false" ht="15" hidden="false" customHeight="false" outlineLevel="0" collapsed="false">
      <c r="A21" s="19" t="s">
        <v>275</v>
      </c>
      <c r="E21" s="20"/>
      <c r="F21" s="21"/>
      <c r="G21" s="22"/>
      <c r="H21" s="23"/>
      <c r="I21" s="24" t="str">
        <f aca="false">IF(OR(E21="",E21="!!!",F21="NEW"),"",INDEX(N$2:N20,-1+SUMPRODUCT(MAX(ROW(E$2:E20)*(E21=E$2:E20)))))</f>
        <v/>
      </c>
      <c r="J21" s="25" t="str">
        <f aca="true">IF(OR(E21="",E21="!!!",F21="NEW"),"",COUNTBLANK(OFFSET(M$1,,,SUMPRODUCT(MAX(ROW(E$2:E21)*(E21=E$2:E21)))))-COUNTBLANK(OFFSET(M$1,,,SUMPRODUCT(MAX(ROW(Q$1:Q20)*(E21=Q$1:Q20))))))</f>
        <v/>
      </c>
      <c r="K21" s="25" t="str">
        <f aca="false">IF(OR(E21="",E21="!!!",F21="NEW"),"",INDEX(V$1:V20,SUMPRODUCT(MAX(ROW(Q$1:Q20)*(E21=Q$1:Q20)))))</f>
        <v/>
      </c>
      <c r="L21" s="26"/>
      <c r="M21" s="27"/>
    </row>
    <row r="22" customFormat="false" ht="15" hidden="false" customHeight="false" outlineLevel="0" collapsed="false">
      <c r="A22" s="19"/>
      <c r="E22" s="20"/>
      <c r="F22" s="21"/>
      <c r="G22" s="22"/>
      <c r="H22" s="23"/>
      <c r="I22" s="24" t="str">
        <f aca="false">IF(OR(E22="",E22="!!!",F22="NEW"),"",INDEX(N$2:N21,-1+SUMPRODUCT(MAX(ROW(E$2:E21)*(E22=E$2:E21)))))</f>
        <v/>
      </c>
      <c r="J22" s="25" t="str">
        <f aca="true">IF(OR(E22="",E22="!!!",F22="NEW"),"",COUNTBLANK(OFFSET(M$1,,,SUMPRODUCT(MAX(ROW(E$2:E22)*(E22=E$2:E22)))))-COUNTBLANK(OFFSET(M$1,,,SUMPRODUCT(MAX(ROW(Q$1:Q21)*(E22=Q$1:Q21))))))</f>
        <v/>
      </c>
      <c r="K22" s="25" t="str">
        <f aca="false">IF(OR(E22="",E22="!!!",F22="NEW"),"",INDEX(V$1:V21,SUMPRODUCT(MAX(ROW(Q$1:Q21)*(E22=Q$1:Q21)))))</f>
        <v/>
      </c>
      <c r="L22" s="26"/>
    </row>
    <row r="23" customFormat="false" ht="15" hidden="false" customHeight="false" outlineLevel="0" collapsed="false">
      <c r="A23" s="19" t="s">
        <v>276</v>
      </c>
      <c r="E23" s="20"/>
      <c r="F23" s="21"/>
      <c r="G23" s="22"/>
      <c r="H23" s="23"/>
      <c r="I23" s="24" t="str">
        <f aca="false">IF(OR(E23="",E23="!!!",F23="NEW"),"",INDEX(N$2:N22,-1+SUMPRODUCT(MAX(ROW(E$2:E22)*(E23=E$2:E22)))))</f>
        <v/>
      </c>
      <c r="J23" s="25" t="str">
        <f aca="true">IF(OR(E23="",E23="!!!",F23="NEW"),"",COUNTBLANK(OFFSET(M$1,,,SUMPRODUCT(MAX(ROW(E$2:E23)*(E23=E$2:E23)))))-COUNTBLANK(OFFSET(M$1,,,SUMPRODUCT(MAX(ROW(Q$1:Q22)*(E23=Q$1:Q22))))))</f>
        <v/>
      </c>
      <c r="K23" s="25" t="str">
        <f aca="false">IF(OR(E23="",E23="!!!",F23="NEW"),"",INDEX(V$1:V22,SUMPRODUCT(MAX(ROW(Q$1:Q22)*(E23=Q$1:Q22)))))</f>
        <v/>
      </c>
      <c r="L23" s="26"/>
      <c r="M23" s="27"/>
    </row>
    <row r="24" customFormat="false" ht="15" hidden="false" customHeight="false" outlineLevel="0" collapsed="false">
      <c r="A24" s="19" t="s">
        <v>277</v>
      </c>
      <c r="E24" s="20"/>
      <c r="F24" s="21"/>
      <c r="G24" s="22"/>
      <c r="H24" s="23"/>
      <c r="I24" s="24" t="str">
        <f aca="false">IF(OR(E24="",E24="!!!",F24="NEW"),"",INDEX(N$2:N23,-1+SUMPRODUCT(MAX(ROW(E$2:E23)*(E24=E$2:E23)))))</f>
        <v/>
      </c>
      <c r="J24" s="25" t="str">
        <f aca="true">IF(OR(E24="",E24="!!!",F24="NEW"),"",COUNTBLANK(OFFSET(M$1,,,SUMPRODUCT(MAX(ROW(E$2:E24)*(E24=E$2:E24)))))-COUNTBLANK(OFFSET(M$1,,,SUMPRODUCT(MAX(ROW(Q$1:Q23)*(E24=Q$1:Q23))))))</f>
        <v/>
      </c>
      <c r="K24" s="25" t="str">
        <f aca="false">IF(OR(E24="",E24="!!!",F24="NEW"),"",INDEX(V$1:V23,SUMPRODUCT(MAX(ROW(Q$1:Q23)*(E24=Q$1:Q23)))))</f>
        <v/>
      </c>
      <c r="L24" s="26"/>
      <c r="M24" s="27"/>
    </row>
    <row r="25" customFormat="false" ht="15" hidden="false" customHeight="false" outlineLevel="0" collapsed="false">
      <c r="A25" s="19" t="s">
        <v>278</v>
      </c>
      <c r="E25" s="20"/>
      <c r="F25" s="21"/>
      <c r="G25" s="22"/>
      <c r="H25" s="23"/>
      <c r="I25" s="24" t="str">
        <f aca="false">IF(OR(E25="",E25="!!!",F25="NEW"),"",INDEX(N$2:N24,-1+SUMPRODUCT(MAX(ROW(E$2:E24)*(E25=E$2:E24)))))</f>
        <v/>
      </c>
      <c r="J25" s="25" t="str">
        <f aca="true">IF(OR(E25="",E25="!!!",F25="NEW"),"",COUNTBLANK(OFFSET(M$1,,,SUMPRODUCT(MAX(ROW(E$2:E25)*(E25=E$2:E25)))))-COUNTBLANK(OFFSET(M$1,,,SUMPRODUCT(MAX(ROW(Q$1:Q24)*(E25=Q$1:Q24))))))</f>
        <v/>
      </c>
      <c r="K25" s="25" t="str">
        <f aca="false">IF(OR(E25="",E25="!!!",F25="NEW"),"",INDEX(V$1:V24,SUMPRODUCT(MAX(ROW(Q$1:Q24)*(E25=Q$1:Q24)))))</f>
        <v/>
      </c>
      <c r="L25" s="26"/>
      <c r="M25" s="27"/>
    </row>
    <row r="26" customFormat="false" ht="15" hidden="false" customHeight="false" outlineLevel="0" collapsed="false">
      <c r="A26" s="19" t="s">
        <v>279</v>
      </c>
      <c r="E26" s="20"/>
      <c r="F26" s="21"/>
      <c r="G26" s="22"/>
      <c r="H26" s="23"/>
      <c r="I26" s="24" t="str">
        <f aca="false">IF(OR(E26="",E26="!!!",F26="NEW"),"",INDEX(N$2:N25,-1+SUMPRODUCT(MAX(ROW(E$2:E25)*(E26=E$2:E25)))))</f>
        <v/>
      </c>
      <c r="J26" s="25" t="str">
        <f aca="true">IF(OR(E26="",E26="!!!",F26="NEW"),"",COUNTBLANK(OFFSET(M$1,,,SUMPRODUCT(MAX(ROW(E$2:E26)*(E26=E$2:E26)))))-COUNTBLANK(OFFSET(M$1,,,SUMPRODUCT(MAX(ROW(Q$1:Q25)*(E26=Q$1:Q25))))))</f>
        <v/>
      </c>
      <c r="K26" s="25" t="str">
        <f aca="false">IF(OR(E26="",E26="!!!",F26="NEW"),"",INDEX(V$1:V25,SUMPRODUCT(MAX(ROW(Q$1:Q25)*(E26=Q$1:Q25)))))</f>
        <v/>
      </c>
      <c r="L26" s="26"/>
      <c r="M26" s="27"/>
    </row>
    <row r="27" customFormat="false" ht="15" hidden="false" customHeight="false" outlineLevel="0" collapsed="false">
      <c r="A27" s="19" t="s">
        <v>280</v>
      </c>
      <c r="E27" s="20"/>
      <c r="F27" s="21"/>
      <c r="G27" s="22"/>
      <c r="H27" s="23"/>
      <c r="I27" s="24" t="str">
        <f aca="false">IF(OR(E27="",E27="!!!",F27="NEW"),"",INDEX(N$2:N26,-1+SUMPRODUCT(MAX(ROW(E$2:E26)*(E27=E$2:E26)))))</f>
        <v/>
      </c>
      <c r="J27" s="25" t="str">
        <f aca="true">IF(OR(E27="",E27="!!!",F27="NEW"),"",COUNTBLANK(OFFSET(M$1,,,SUMPRODUCT(MAX(ROW(E$2:E27)*(E27=E$2:E27)))))-COUNTBLANK(OFFSET(M$1,,,SUMPRODUCT(MAX(ROW(Q$1:Q26)*(E27=Q$1:Q26))))))</f>
        <v/>
      </c>
      <c r="K27" s="25" t="str">
        <f aca="false">IF(OR(E27="",E27="!!!",F27="NEW"),"",INDEX(V$1:V26,SUMPRODUCT(MAX(ROW(Q$1:Q26)*(E27=Q$1:Q26)))))</f>
        <v/>
      </c>
      <c r="L27" s="26"/>
      <c r="M27" s="27"/>
    </row>
    <row r="28" customFormat="false" ht="15" hidden="false" customHeight="false" outlineLevel="0" collapsed="false">
      <c r="A28" s="19" t="s">
        <v>250</v>
      </c>
      <c r="E28" s="20"/>
      <c r="F28" s="21"/>
      <c r="G28" s="22"/>
      <c r="H28" s="23"/>
      <c r="I28" s="24" t="str">
        <f aca="false">IF(OR(E28="",E28="!!!",F28="NEW"),"",INDEX(N$2:N27,-1+SUMPRODUCT(MAX(ROW(E$2:E27)*(E28=E$2:E27)))))</f>
        <v/>
      </c>
      <c r="J28" s="25" t="str">
        <f aca="true">IF(OR(E28="",E28="!!!",F28="NEW"),"",COUNTBLANK(OFFSET(M$1,,,SUMPRODUCT(MAX(ROW(E$2:E28)*(E28=E$2:E28)))))-COUNTBLANK(OFFSET(M$1,,,SUMPRODUCT(MAX(ROW(Q$1:Q27)*(E28=Q$1:Q27))))))</f>
        <v/>
      </c>
      <c r="K28" s="25" t="str">
        <f aca="false">IF(OR(E28="",E28="!!!",F28="NEW"),"",INDEX(V$1:V27,SUMPRODUCT(MAX(ROW(Q$1:Q27)*(E28=Q$1:Q27)))))</f>
        <v/>
      </c>
      <c r="L28" s="26"/>
      <c r="M28" s="27"/>
    </row>
    <row r="29" customFormat="false" ht="15" hidden="false" customHeight="false" outlineLevel="0" collapsed="false">
      <c r="A29" s="19" t="s">
        <v>281</v>
      </c>
      <c r="B29" s="28" t="s">
        <v>271</v>
      </c>
      <c r="C29" s="28" t="s">
        <v>252</v>
      </c>
      <c r="D29" s="28" t="s">
        <v>253</v>
      </c>
      <c r="E29" s="20" t="s">
        <v>282</v>
      </c>
      <c r="F29" s="21" t="str">
        <f aca="false">IF(OR(E29="",E29="!!!"),"",IF(NOT(ISNA(VLOOKUP(E29,Q$1:Q28,1,FALSE()))),"OLD",IF(AND(E29&lt;&gt;"",E29&lt;&gt;"!!!"),"NEW","")))</f>
        <v>NEW</v>
      </c>
      <c r="G29" s="22" t="s">
        <v>283</v>
      </c>
      <c r="H29" s="23" t="str">
        <f aca="false">IF(J29&lt;&gt;1,"",IF(I29="SBJ","CB","?"))</f>
        <v/>
      </c>
      <c r="I29" s="24" t="str">
        <f aca="false">IF(OR(E29="",E29="!!!",F29="NEW"),"",INDEX(N$2:N28,-1+SUMPRODUCT(MAX(ROW(E$2:E28)*(E29=E$2:E28)))))</f>
        <v/>
      </c>
      <c r="J29" s="25" t="str">
        <f aca="true">IF(OR(E29="",E29="!!!",F29="NEW"),"",COUNTBLANK(OFFSET(M$1,,,SUMPRODUCT(MAX(ROW(E$2:E29)*(E29=E$2:E29)))))-COUNTBLANK(OFFSET(M$1,,,SUMPRODUCT(MAX(ROW(Q$1:Q28)*(E29=Q$1:Q28))))))</f>
        <v/>
      </c>
      <c r="K29" s="25" t="str">
        <f aca="false">IF(OR(E29="",E29="!!!",F29="NEW"),"",INDEX(V$1:V28,SUMPRODUCT(MAX(ROW(Q$1:Q28)*(E29=Q$1:Q28)))))</f>
        <v/>
      </c>
      <c r="L29" s="26"/>
      <c r="M29" s="27"/>
      <c r="N29" s="29"/>
      <c r="O29" s="29"/>
      <c r="P29" s="29"/>
    </row>
    <row r="30" customFormat="false" ht="15" hidden="false" customHeight="false" outlineLevel="0" collapsed="false">
      <c r="A30" s="19" t="s">
        <v>284</v>
      </c>
      <c r="E30" s="20" t="str">
        <f aca="false">IF(P30="?OLD","!!!","")</f>
        <v/>
      </c>
      <c r="F30" s="21" t="str">
        <f aca="false">IF(OR(E30="",E30="!!!"),"",IF(NOT(ISNA(VLOOKUP(E30,Q$1:Q29,1,FALSE()))),"OLD",IF(AND(E30&lt;&gt;"",E30&lt;&gt;"!!!"),"NEW","")))</f>
        <v/>
      </c>
      <c r="G30" s="22" t="str">
        <f aca="false">IF(OR(E30="",E30="!!!"),"",IF(OR(J30=0,AND(J30=1,K30=1),AND(J30=1,I30="SBJ"),AND(J30=1,I30=0)),"?IN_FOCUS",IF(J30&lt;=2,"?ACTIVATED",IF(J30&lt;&gt;"","?FAMILIAR",IF(F30="NEW",IF(ISNA(VLOOKUP(E30,#REF!,1,FALSE())),"?TYPE_IDENTIFIABLE","?REFERENTIAL"),"_")))))</f>
        <v/>
      </c>
      <c r="H30" s="23" t="str">
        <f aca="false">IF(J30&lt;&gt;1,"",IF(I30="SBJ","CB","?"))</f>
        <v/>
      </c>
      <c r="I30" s="24" t="str">
        <f aca="false">IF(OR(E30="",E30="!!!",F30="NEW"),"",INDEX(N$2:N29,-1+SUMPRODUCT(MAX(ROW(E$2:E29)*(E30=E$2:E29)))))</f>
        <v/>
      </c>
      <c r="J30" s="25" t="str">
        <f aca="true">IF(OR(E30="",E30="!!!",F30="NEW"),"",COUNTBLANK(OFFSET(M$1,,,SUMPRODUCT(MAX(ROW(E$2:E30)*(E30=E$2:E30)))))-COUNTBLANK(OFFSET(M$1,,,SUMPRODUCT(MAX(ROW(Q$1:Q29)*(E30=Q$1:Q29))))))</f>
        <v/>
      </c>
      <c r="K30" s="25" t="str">
        <f aca="false">IF(OR(E30="",E30="!!!",F30="NEW"),"",INDEX(V$1:V29,SUMPRODUCT(MAX(ROW(Q$1:Q29)*(E30=Q$1:Q29)))))</f>
        <v/>
      </c>
      <c r="L30" s="26"/>
      <c r="M30" s="27"/>
    </row>
    <row r="31" customFormat="false" ht="15" hidden="false" customHeight="false" outlineLevel="0" collapsed="false">
      <c r="A31" s="19" t="s">
        <v>285</v>
      </c>
      <c r="B31" s="28" t="s">
        <v>286</v>
      </c>
      <c r="C31" s="28" t="s">
        <v>287</v>
      </c>
      <c r="E31" s="20" t="str">
        <f aca="false">IF(P31="?OLD","!!!","")</f>
        <v/>
      </c>
      <c r="F31" s="21" t="str">
        <f aca="false">IF(OR(E31="",E31="!!!"),"",IF(NOT(ISNA(VLOOKUP(E31,Q$1:Q30,1,FALSE()))),"OLD",IF(AND(E31&lt;&gt;"",E31&lt;&gt;"!!!"),"NEW","")))</f>
        <v/>
      </c>
      <c r="G31" s="22" t="str">
        <f aca="false">IF(OR(E31="",E31="!!!"),"",IF(OR(J31=0,AND(J31=1,K31=1),AND(J31=1,I31="SBJ"),AND(J31=1,I31=0)),"?IN_FOCUS",IF(J31&lt;=2,"?ACTIVATED",IF(J31&lt;&gt;"","?FAMILIAR",IF(F31="NEW",IF(ISNA(VLOOKUP(E31,#REF!,1,FALSE())),"?TYPE_IDENTIFIABLE","?REFERENTIAL"),"_")))))</f>
        <v/>
      </c>
      <c r="H31" s="23" t="str">
        <f aca="false">IF(J31&lt;&gt;1,"",IF(I31="SBJ","CB","?"))</f>
        <v/>
      </c>
      <c r="I31" s="24" t="str">
        <f aca="false">IF(OR(E31="",E31="!!!",F31="NEW"),"",INDEX(N$2:N30,-1+SUMPRODUCT(MAX(ROW(E$2:E30)*(E31=E$2:E30)))))</f>
        <v/>
      </c>
      <c r="J31" s="25" t="str">
        <f aca="true">IF(OR(E31="",E31="!!!",F31="NEW"),"",COUNTBLANK(OFFSET(M$1,,,SUMPRODUCT(MAX(ROW(E$2:E31)*(E31=E$2:E31)))))-COUNTBLANK(OFFSET(M$1,,,SUMPRODUCT(MAX(ROW(Q$1:Q30)*(E31=Q$1:Q30))))))</f>
        <v/>
      </c>
      <c r="K31" s="25" t="str">
        <f aca="false">IF(OR(E31="",E31="!!!",F31="NEW"),"",INDEX(V$1:V30,SUMPRODUCT(MAX(ROW(Q$1:Q30)*(E31=Q$1:Q30)))))</f>
        <v/>
      </c>
      <c r="L31" s="26"/>
      <c r="M31" s="27"/>
      <c r="N31" s="29"/>
      <c r="O31" s="29"/>
    </row>
    <row r="32" customFormat="false" ht="15" hidden="false" customHeight="false" outlineLevel="0" collapsed="false">
      <c r="A32" s="19" t="s">
        <v>288</v>
      </c>
      <c r="E32" s="20" t="str">
        <f aca="false">IF(P32="?OLD","!!!","")</f>
        <v/>
      </c>
      <c r="F32" s="21" t="str">
        <f aca="false">IF(OR(E32="",E32="!!!"),"",IF(NOT(ISNA(VLOOKUP(E32,Q$1:Q31,1,FALSE()))),"OLD",IF(AND(E32&lt;&gt;"",E32&lt;&gt;"!!!"),"NEW","")))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IF(OR(E32="",E32="!!!",F32="NEW"),"",INDEX(N$2:N31,-1+SUMPRODUCT(MAX(ROW(E$2:E31)*(E32=E$2:E31)))))</f>
        <v/>
      </c>
      <c r="J32" s="25" t="str">
        <f aca="true">IF(OR(E32="",E32="!!!",F32="NEW"),"",COUNTBLANK(OFFSET(M$1,,,SUMPRODUCT(MAX(ROW(E$2:E32)*(E32=E$2:E32)))))-COUNTBLANK(OFFSET(M$1,,,SUMPRODUCT(MAX(ROW(Q$1:Q31)*(E32=Q$1:Q31))))))</f>
        <v/>
      </c>
      <c r="K32" s="25" t="str">
        <f aca="false">IF(OR(E32="",E32="!!!",F32="NEW"),"",INDEX(V$1:V31,SUMPRODUCT(MAX(ROW(Q$1:Q31)*(E32=Q$1:Q31)))))</f>
        <v/>
      </c>
      <c r="L32" s="26"/>
      <c r="M32" s="27"/>
    </row>
    <row r="33" customFormat="false" ht="15" hidden="false" customHeight="false" outlineLevel="0" collapsed="false">
      <c r="A33" s="19" t="s">
        <v>250</v>
      </c>
      <c r="E33" s="20" t="str">
        <f aca="false">IF(P33="?OLD","!!!","")</f>
        <v/>
      </c>
      <c r="F33" s="21" t="str">
        <f aca="false">IF(OR(E33="",E33="!!!"),"",IF(NOT(ISNA(VLOOKUP(E33,Q$1:Q32,1,FALSE()))),"OLD",IF(AND(E33&lt;&gt;"",E33&lt;&gt;"!!!"),"NEW","")))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IF(OR(E33="",E33="!!!",F33="NEW"),"",INDEX(N$2:N32,-1+SUMPRODUCT(MAX(ROW(E$2:E32)*(E33=E$2:E32)))))</f>
        <v/>
      </c>
      <c r="J33" s="25" t="str">
        <f aca="true">IF(OR(E33="",E33="!!!",F33="NEW"),"",COUNTBLANK(OFFSET(M$1,,,SUMPRODUCT(MAX(ROW(E$2:E33)*(E33=E$2:E33)))))-COUNTBLANK(OFFSET(M$1,,,SUMPRODUCT(MAX(ROW(Q$1:Q32)*(E33=Q$1:Q32))))))</f>
        <v/>
      </c>
      <c r="K33" s="25" t="str">
        <f aca="false">IF(OR(E33="",E33="!!!",F33="NEW"),"",INDEX(V$1:V32,SUMPRODUCT(MAX(ROW(Q$1:Q32)*(E33=Q$1:Q32)))))</f>
        <v/>
      </c>
      <c r="L33" s="26"/>
      <c r="M33" s="27"/>
    </row>
    <row r="34" customFormat="false" ht="15" hidden="false" customHeight="false" outlineLevel="0" collapsed="false">
      <c r="A34" s="19" t="s">
        <v>289</v>
      </c>
      <c r="B34" s="28" t="s">
        <v>258</v>
      </c>
      <c r="C34" s="28" t="s">
        <v>252</v>
      </c>
      <c r="D34" s="28" t="s">
        <v>253</v>
      </c>
      <c r="E34" s="20" t="s">
        <v>290</v>
      </c>
      <c r="F34" s="21" t="str">
        <f aca="false">IF(OR(E34="",E34="!!!"),"",IF(NOT(ISNA(VLOOKUP(E34,Q$1:Q33,1,FALSE()))),"OLD",IF(AND(E34&lt;&gt;"",E34&lt;&gt;"!!!"),"NEW","")))</f>
        <v>NEW</v>
      </c>
      <c r="G34" s="22" t="s">
        <v>255</v>
      </c>
      <c r="H34" s="23" t="str">
        <f aca="false">IF(J34&lt;&gt;1,"",IF(I34="SBJ","CB","?"))</f>
        <v/>
      </c>
      <c r="I34" s="24" t="str">
        <f aca="false">IF(OR(E34="",E34="!!!",F34="NEW"),"",INDEX(N$2:N33,-1+SUMPRODUCT(MAX(ROW(E$2:E33)*(E34=E$2:E33)))))</f>
        <v/>
      </c>
      <c r="J34" s="25" t="str">
        <f aca="true">IF(OR(E34="",E34="!!!",F34="NEW"),"",COUNTBLANK(OFFSET(M$1,,,SUMPRODUCT(MAX(ROW(E$2:E34)*(E34=E$2:E34)))))-COUNTBLANK(OFFSET(M$1,,,SUMPRODUCT(MAX(ROW(Q$1:Q33)*(E34=Q$1:Q33))))))</f>
        <v/>
      </c>
      <c r="K34" s="25" t="str">
        <f aca="false">IF(OR(E34="",E34="!!!",F34="NEW"),"",INDEX(V$1:V33,SUMPRODUCT(MAX(ROW(Q$1:Q33)*(E34=Q$1:Q33)))))</f>
        <v/>
      </c>
      <c r="L34" s="26"/>
      <c r="M34" s="27"/>
      <c r="N34" s="29"/>
      <c r="O34" s="29"/>
      <c r="P34" s="29"/>
    </row>
    <row r="35" customFormat="false" ht="15" hidden="false" customHeight="false" outlineLevel="0" collapsed="false">
      <c r="A35" s="19" t="s">
        <v>256</v>
      </c>
      <c r="E35" s="20" t="str">
        <f aca="false">IF(P35="?OLD","!!!","")</f>
        <v/>
      </c>
      <c r="F35" s="21" t="str">
        <f aca="false">IF(OR(E35="",E35="!!!"),"",IF(NOT(ISNA(VLOOKUP(E35,Q$1:Q34,1,FALSE()))),"OLD",IF(AND(E35&lt;&gt;"",E35&lt;&gt;"!!!"),"NEW","")))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IF(OR(E35="",E35="!!!",F35="NEW"),"",INDEX(N$2:N34,-1+SUMPRODUCT(MAX(ROW(E$2:E34)*(E35=E$2:E34)))))</f>
        <v/>
      </c>
      <c r="J35" s="25" t="str">
        <f aca="true">IF(OR(E35="",E35="!!!",F35="NEW"),"",COUNTBLANK(OFFSET(M$1,,,SUMPRODUCT(MAX(ROW(E$2:E35)*(E35=E$2:E35)))))-COUNTBLANK(OFFSET(M$1,,,SUMPRODUCT(MAX(ROW(Q$1:Q34)*(E35=Q$1:Q34))))))</f>
        <v/>
      </c>
      <c r="K35" s="25" t="str">
        <f aca="false">IF(OR(E35="",E35="!!!",F35="NEW"),"",INDEX(V$1:V34,SUMPRODUCT(MAX(ROW(Q$1:Q34)*(E35=Q$1:Q34)))))</f>
        <v/>
      </c>
      <c r="L35" s="26"/>
      <c r="M35" s="27"/>
    </row>
    <row r="36" customFormat="false" ht="15" hidden="false" customHeight="false" outlineLevel="0" collapsed="false">
      <c r="A36" s="19" t="s">
        <v>284</v>
      </c>
      <c r="E36" s="20" t="str">
        <f aca="false">IF(P36="?OLD","!!!","")</f>
        <v/>
      </c>
      <c r="F36" s="21" t="str">
        <f aca="false">IF(OR(E36="",E36="!!!"),"",IF(NOT(ISNA(VLOOKUP(E36,Q$1:Q35,1,FALSE()))),"OLD",IF(AND(E36&lt;&gt;"",E36&lt;&gt;"!!!"),"NEW","")))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4" t="str">
        <f aca="false">IF(OR(E36="",E36="!!!",F36="NEW"),"",INDEX(N$2:N35,-1+SUMPRODUCT(MAX(ROW(E$2:E35)*(E36=E$2:E35)))))</f>
        <v/>
      </c>
      <c r="J36" s="25" t="str">
        <f aca="true">IF(OR(E36="",E36="!!!",F36="NEW"),"",COUNTBLANK(OFFSET(M$1,,,SUMPRODUCT(MAX(ROW(E$2:E36)*(E36=E$2:E36)))))-COUNTBLANK(OFFSET(M$1,,,SUMPRODUCT(MAX(ROW(Q$1:Q35)*(E36=Q$1:Q35))))))</f>
        <v/>
      </c>
      <c r="K36" s="25" t="str">
        <f aca="false">IF(OR(E36="",E36="!!!",F36="NEW"),"",INDEX(V$1:V35,SUMPRODUCT(MAX(ROW(Q$1:Q35)*(E36=Q$1:Q35)))))</f>
        <v/>
      </c>
      <c r="L36" s="26"/>
      <c r="M36" s="27"/>
    </row>
    <row r="37" customFormat="false" ht="15" hidden="false" customHeight="false" outlineLevel="0" collapsed="false">
      <c r="A37" s="19" t="s">
        <v>291</v>
      </c>
      <c r="E37" s="20" t="str">
        <f aca="false">IF(P37="?OLD","!!!","")</f>
        <v/>
      </c>
      <c r="F37" s="21" t="str">
        <f aca="false">IF(OR(E37="",E37="!!!"),"",IF(NOT(ISNA(VLOOKUP(E37,Q$1:Q36,1,FALSE()))),"OLD",IF(AND(E37&lt;&gt;"",E37&lt;&gt;"!!!"),"NEW","")))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IF(OR(E37="",E37="!!!",F37="NEW"),"",INDEX(N$2:N36,-1+SUMPRODUCT(MAX(ROW(E$2:E36)*(E37=E$2:E36)))))</f>
        <v/>
      </c>
      <c r="J37" s="25" t="str">
        <f aca="true">IF(OR(E37="",E37="!!!",F37="NEW"),"",COUNTBLANK(OFFSET(M$1,,,SUMPRODUCT(MAX(ROW(E$2:E37)*(E37=E$2:E37)))))-COUNTBLANK(OFFSET(M$1,,,SUMPRODUCT(MAX(ROW(Q$1:Q36)*(E37=Q$1:Q36))))))</f>
        <v/>
      </c>
      <c r="K37" s="25" t="str">
        <f aca="false">IF(OR(E37="",E37="!!!",F37="NEW"),"",INDEX(V$1:V36,SUMPRODUCT(MAX(ROW(Q$1:Q36)*(E37=Q$1:Q36)))))</f>
        <v/>
      </c>
      <c r="L37" s="26"/>
      <c r="M37" s="27"/>
    </row>
    <row r="38" customFormat="false" ht="15" hidden="false" customHeight="false" outlineLevel="0" collapsed="false">
      <c r="A38" s="19" t="s">
        <v>292</v>
      </c>
      <c r="B38" s="28" t="s">
        <v>293</v>
      </c>
      <c r="C38" s="28" t="s">
        <v>287</v>
      </c>
      <c r="E38" s="20" t="str">
        <f aca="false">IF(P38="?OLD","!!!","")</f>
        <v/>
      </c>
      <c r="F38" s="21" t="str">
        <f aca="false">IF(OR(E38="",E38="!!!"),"",IF(NOT(ISNA(VLOOKUP(E38,Q$1:Q37,1,FALSE()))),"OLD",IF(AND(E38&lt;&gt;"",E38&lt;&gt;"!!!"),"NEW","")))</f>
        <v/>
      </c>
      <c r="G38" s="22" t="str">
        <f aca="false">IF(OR(E38="",E38="!!!"),"",IF(OR(J38=0,AND(J38=1,K38=1),AND(J38=1,I38="SBJ"),AND(J38=1,I38=0)),"?IN_FOCUS",IF(J38&lt;=2,"?ACTIVATED",IF(J38&lt;&gt;"","?FAMILIAR",IF(F38="NEW",IF(ISNA(VLOOKUP(E38,#REF!,1,FALSE())),"?TYPE_IDENTIFIABLE","?REFERENTIAL"),"_")))))</f>
        <v/>
      </c>
      <c r="H38" s="23" t="str">
        <f aca="false">IF(J38&lt;&gt;1,"",IF(I38="SBJ","CB","?"))</f>
        <v/>
      </c>
      <c r="I38" s="24" t="str">
        <f aca="false">IF(OR(E38="",E38="!!!",F38="NEW"),"",INDEX(N$2:N37,-1+SUMPRODUCT(MAX(ROW(E$2:E37)*(E38=E$2:E37)))))</f>
        <v/>
      </c>
      <c r="J38" s="25" t="str">
        <f aca="true">IF(OR(E38="",E38="!!!",F38="NEW"),"",COUNTBLANK(OFFSET(M$1,,,SUMPRODUCT(MAX(ROW(E$2:E38)*(E38=E$2:E38)))))-COUNTBLANK(OFFSET(M$1,,,SUMPRODUCT(MAX(ROW(Q$1:Q37)*(E38=Q$1:Q37))))))</f>
        <v/>
      </c>
      <c r="K38" s="25" t="str">
        <f aca="false">IF(OR(E38="",E38="!!!",F38="NEW"),"",INDEX(V$1:V37,SUMPRODUCT(MAX(ROW(Q$1:Q37)*(E38=Q$1:Q37)))))</f>
        <v/>
      </c>
      <c r="L38" s="26"/>
      <c r="M38" s="27"/>
      <c r="N38" s="29"/>
      <c r="O38" s="29"/>
    </row>
    <row r="39" customFormat="false" ht="15" hidden="false" customHeight="false" outlineLevel="0" collapsed="false">
      <c r="A39" s="19" t="s">
        <v>261</v>
      </c>
      <c r="E39" s="20" t="str">
        <f aca="false">IF(P39="?OLD","!!!","")</f>
        <v/>
      </c>
      <c r="F39" s="21" t="str">
        <f aca="false">IF(OR(E39="",E39="!!!"),"",IF(NOT(ISNA(VLOOKUP(E39,Q$1:Q38,1,FALSE()))),"OLD",IF(AND(E39&lt;&gt;"",E39&lt;&gt;"!!!"),"NEW","")))</f>
        <v/>
      </c>
      <c r="G39" s="22" t="str">
        <f aca="false">IF(OR(E39="",E39="!!!"),"",IF(OR(J39=0,AND(J39=1,K39=1),AND(J39=1,I39="SBJ"),AND(J39=1,I39=0)),"?IN_FOCUS",IF(J39&lt;=2,"?ACTIVATED",IF(J39&lt;&gt;"","?FAMILIAR",IF(F39="NEW",IF(ISNA(VLOOKUP(E39,#REF!,1,FALSE())),"?TYPE_IDENTIFIABLE","?REFERENTIAL"),"_")))))</f>
        <v/>
      </c>
      <c r="H39" s="23" t="str">
        <f aca="false">IF(J39&lt;&gt;1,"",IF(I39="SBJ","CB","?"))</f>
        <v/>
      </c>
      <c r="I39" s="24" t="str">
        <f aca="false">IF(OR(E39="",E39="!!!",F39="NEW"),"",INDEX(N$2:N38,-1+SUMPRODUCT(MAX(ROW(E$2:E38)*(E39=E$2:E38)))))</f>
        <v/>
      </c>
      <c r="J39" s="25" t="str">
        <f aca="true">IF(OR(E39="",E39="!!!",F39="NEW"),"",COUNTBLANK(OFFSET(M$1,,,SUMPRODUCT(MAX(ROW(E$2:E39)*(E39=E$2:E39)))))-COUNTBLANK(OFFSET(M$1,,,SUMPRODUCT(MAX(ROW(Q$1:Q38)*(E39=Q$1:Q38))))))</f>
        <v/>
      </c>
      <c r="K39" s="25" t="str">
        <f aca="false">IF(OR(E39="",E39="!!!",F39="NEW"),"",INDEX(V$1:V38,SUMPRODUCT(MAX(ROW(Q$1:Q38)*(E39=Q$1:Q38)))))</f>
        <v/>
      </c>
      <c r="L39" s="26"/>
      <c r="M39" s="27"/>
    </row>
    <row r="40" customFormat="false" ht="15" hidden="false" customHeight="false" outlineLevel="0" collapsed="false">
      <c r="A40" s="19" t="s">
        <v>294</v>
      </c>
      <c r="E40" s="20" t="str">
        <f aca="false">IF(P40="?OLD","!!!","")</f>
        <v/>
      </c>
      <c r="F40" s="21" t="str">
        <f aca="false">IF(OR(E40="",E40="!!!"),"",IF(NOT(ISNA(VLOOKUP(E40,Q$1:Q39,1,FALSE()))),"OLD",IF(AND(E40&lt;&gt;"",E40&lt;&gt;"!!!"),"NEW","")))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4" t="str">
        <f aca="false">IF(OR(E40="",E40="!!!",F40="NEW"),"",INDEX(N$2:N39,-1+SUMPRODUCT(MAX(ROW(E$2:E39)*(E40=E$2:E39)))))</f>
        <v/>
      </c>
      <c r="J40" s="25" t="str">
        <f aca="true">IF(OR(E40="",E40="!!!",F40="NEW"),"",COUNTBLANK(OFFSET(M$1,,,SUMPRODUCT(MAX(ROW(E$2:E40)*(E40=E$2:E40)))))-COUNTBLANK(OFFSET(M$1,,,SUMPRODUCT(MAX(ROW(Q$1:Q39)*(E40=Q$1:Q39))))))</f>
        <v/>
      </c>
      <c r="K40" s="25" t="str">
        <f aca="false">IF(OR(E40="",E40="!!!",F40="NEW"),"",INDEX(V$1:V39,SUMPRODUCT(MAX(ROW(Q$1:Q39)*(E40=Q$1:Q39)))))</f>
        <v/>
      </c>
      <c r="L40" s="26"/>
      <c r="M40" s="27"/>
    </row>
    <row r="41" customFormat="false" ht="15" hidden="false" customHeight="false" outlineLevel="0" collapsed="false">
      <c r="A41" s="19" t="s">
        <v>295</v>
      </c>
      <c r="B41" s="28" t="s">
        <v>251</v>
      </c>
      <c r="C41" s="28" t="s">
        <v>264</v>
      </c>
      <c r="D41" s="28" t="s">
        <v>253</v>
      </c>
      <c r="E41" s="20" t="s">
        <v>290</v>
      </c>
      <c r="F41" s="21" t="str">
        <f aca="false">IF(OR(E41="",E41="!!!"),"",IF(NOT(ISNA(VLOOKUP(E41,Q$1:Q40,1,FALSE()))),"OLD",IF(AND(E41&lt;&gt;"",E41&lt;&gt;"!!!"),"NEW","")))</f>
        <v>NEW</v>
      </c>
      <c r="G41" s="22" t="s">
        <v>296</v>
      </c>
      <c r="H41" s="23" t="str">
        <f aca="false">IF(J41&lt;&gt;1,"",IF(I41="SBJ","CB","?"))</f>
        <v/>
      </c>
      <c r="I41" s="24" t="str">
        <f aca="false">IF(OR(E41="",E41="!!!",F41="NEW"),"",INDEX(N$2:N40,-1+SUMPRODUCT(MAX(ROW(E$2:E40)*(E41=E$2:E40)))))</f>
        <v/>
      </c>
      <c r="J41" s="25" t="str">
        <f aca="true">IF(OR(E41="",E41="!!!",F41="NEW"),"",COUNTBLANK(OFFSET(M$1,,,SUMPRODUCT(MAX(ROW(E$2:E41)*(E41=E$2:E41)))))-COUNTBLANK(OFFSET(M$1,,,SUMPRODUCT(MAX(ROW(Q$1:Q40)*(E41=Q$1:Q40))))))</f>
        <v/>
      </c>
      <c r="K41" s="25" t="str">
        <f aca="false">IF(OR(E41="",E41="!!!",F41="NEW"),"",INDEX(V$1:V40,SUMPRODUCT(MAX(ROW(Q$1:Q40)*(E41=Q$1:Q40)))))</f>
        <v/>
      </c>
      <c r="L41" s="26"/>
      <c r="M41" s="27"/>
      <c r="N41" s="29"/>
      <c r="O41" s="29"/>
      <c r="P41" s="29"/>
    </row>
    <row r="42" customFormat="false" ht="15" hidden="false" customHeight="false" outlineLevel="0" collapsed="false">
      <c r="A42" s="19" t="s">
        <v>297</v>
      </c>
      <c r="E42" s="20" t="str">
        <f aca="false">IF(P42="?OLD","!!!","")</f>
        <v/>
      </c>
      <c r="F42" s="21" t="str">
        <f aca="false">IF(OR(E42="",E42="!!!"),"",IF(NOT(ISNA(VLOOKUP(E42,Q$1:Q41,1,FALSE()))),"OLD",IF(AND(E42&lt;&gt;"",E42&lt;&gt;"!!!"),"NEW","")))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IF(OR(E42="",E42="!!!",F42="NEW"),"",INDEX(N$2:N41,-1+SUMPRODUCT(MAX(ROW(E$2:E41)*(E42=E$2:E41)))))</f>
        <v/>
      </c>
      <c r="J42" s="25" t="str">
        <f aca="true">IF(OR(E42="",E42="!!!",F42="NEW"),"",COUNTBLANK(OFFSET(M$1,,,SUMPRODUCT(MAX(ROW(E$2:E42)*(E42=E$2:E42)))))-COUNTBLANK(OFFSET(M$1,,,SUMPRODUCT(MAX(ROW(Q$1:Q41)*(E42=Q$1:Q41))))))</f>
        <v/>
      </c>
      <c r="K42" s="25" t="str">
        <f aca="false">IF(OR(E42="",E42="!!!",F42="NEW"),"",INDEX(V$1:V41,SUMPRODUCT(MAX(ROW(Q$1:Q41)*(E42=Q$1:Q41)))))</f>
        <v/>
      </c>
      <c r="L42" s="26"/>
      <c r="M42" s="27"/>
    </row>
    <row r="43" customFormat="false" ht="15" hidden="false" customHeight="false" outlineLevel="0" collapsed="false">
      <c r="A43" s="19" t="s">
        <v>218</v>
      </c>
      <c r="E43" s="20" t="str">
        <f aca="false">IF(P43="?OLD","!!!","")</f>
        <v/>
      </c>
      <c r="F43" s="21" t="str">
        <f aca="false">IF(OR(E43="",E43="!!!"),"",IF(NOT(ISNA(VLOOKUP(E43,Q$1:Q42,1,FALSE()))),"OLD",IF(AND(E43&lt;&gt;"",E43&lt;&gt;"!!!"),"NEW","")))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IF(OR(E43="",E43="!!!",F43="NEW"),"",INDEX(N$2:N42,-1+SUMPRODUCT(MAX(ROW(E$2:E42)*(E43=E$2:E42)))))</f>
        <v/>
      </c>
      <c r="J43" s="25" t="str">
        <f aca="true">IF(OR(E43="",E43="!!!",F43="NEW"),"",COUNTBLANK(OFFSET(M$1,,,SUMPRODUCT(MAX(ROW(E$2:E43)*(E43=E$2:E43)))))-COUNTBLANK(OFFSET(M$1,,,SUMPRODUCT(MAX(ROW(Q$1:Q42)*(E43=Q$1:Q42))))))</f>
        <v/>
      </c>
      <c r="K43" s="25" t="str">
        <f aca="false">IF(OR(E43="",E43="!!!",F43="NEW"),"",INDEX(V$1:V42,SUMPRODUCT(MAX(ROW(Q$1:Q42)*(E43=Q$1:Q42)))))</f>
        <v/>
      </c>
      <c r="L43" s="26"/>
      <c r="M43" s="27"/>
    </row>
    <row r="44" customFormat="false" ht="15" hidden="false" customHeight="false" outlineLevel="0" collapsed="false">
      <c r="A44" s="19" t="s">
        <v>250</v>
      </c>
      <c r="E44" s="20" t="str">
        <f aca="false">IF(P44="?OLD","!!!","")</f>
        <v/>
      </c>
      <c r="F44" s="21" t="str">
        <f aca="false">IF(OR(E44="",E44="!!!"),"",IF(NOT(ISNA(VLOOKUP(E44,Q$1:Q43,1,FALSE()))),"OLD",IF(AND(E44&lt;&gt;"",E44&lt;&gt;"!!!"),"NEW","")))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4" t="str">
        <f aca="false">IF(OR(E44="",E44="!!!",F44="NEW"),"",INDEX(N$2:N43,-1+SUMPRODUCT(MAX(ROW(E$2:E43)*(E44=E$2:E43)))))</f>
        <v/>
      </c>
      <c r="J44" s="25" t="str">
        <f aca="true">IF(OR(E44="",E44="!!!",F44="NEW"),"",COUNTBLANK(OFFSET(M$1,,,SUMPRODUCT(MAX(ROW(E$2:E44)*(E44=E$2:E44)))))-COUNTBLANK(OFFSET(M$1,,,SUMPRODUCT(MAX(ROW(Q$1:Q43)*(E44=Q$1:Q43))))))</f>
        <v/>
      </c>
      <c r="K44" s="25" t="str">
        <f aca="false">IF(OR(E44="",E44="!!!",F44="NEW"),"",INDEX(V$1:V43,SUMPRODUCT(MAX(ROW(Q$1:Q43)*(E44=Q$1:Q43)))))</f>
        <v/>
      </c>
      <c r="L44" s="26"/>
      <c r="M44" s="27"/>
    </row>
    <row r="45" customFormat="false" ht="15" hidden="false" customHeight="false" outlineLevel="0" collapsed="false">
      <c r="A45" s="19" t="s">
        <v>298</v>
      </c>
      <c r="B45" s="28" t="s">
        <v>286</v>
      </c>
      <c r="C45" s="28" t="s">
        <v>252</v>
      </c>
      <c r="D45" s="28" t="s">
        <v>253</v>
      </c>
      <c r="E45" s="20" t="s">
        <v>299</v>
      </c>
      <c r="F45" s="21" t="str">
        <f aca="false">IF(OR(E45="",E45="!!!"),"",IF(NOT(ISNA(VLOOKUP(E45,Q$1:Q44,1,FALSE()))),"OLD",IF(AND(E45&lt;&gt;"",E45&lt;&gt;"!!!"),"NEW","")))</f>
        <v>NEW</v>
      </c>
      <c r="G45" s="22" t="s">
        <v>255</v>
      </c>
      <c r="H45" s="23" t="str">
        <f aca="false">IF(J45&lt;&gt;1,"",IF(I45="SBJ","CB","?"))</f>
        <v/>
      </c>
      <c r="I45" s="24" t="str">
        <f aca="false">IF(OR(E45="",E45="!!!",F45="NEW"),"",INDEX(N$2:N44,-1+SUMPRODUCT(MAX(ROW(E$2:E44)*(E45=E$2:E44)))))</f>
        <v/>
      </c>
      <c r="J45" s="25" t="str">
        <f aca="true">IF(OR(E45="",E45="!!!",F45="NEW"),"",COUNTBLANK(OFFSET(M$1,,,SUMPRODUCT(MAX(ROW(E$2:E45)*(E45=E$2:E45)))))-COUNTBLANK(OFFSET(M$1,,,SUMPRODUCT(MAX(ROW(Q$1:Q44)*(E45=Q$1:Q44))))))</f>
        <v/>
      </c>
      <c r="K45" s="25" t="str">
        <f aca="false">IF(OR(E45="",E45="!!!",F45="NEW"),"",INDEX(V$1:V44,SUMPRODUCT(MAX(ROW(Q$1:Q44)*(E45=Q$1:Q44)))))</f>
        <v/>
      </c>
      <c r="L45" s="26"/>
      <c r="M45" s="27"/>
      <c r="N45" s="29"/>
      <c r="O45" s="29"/>
      <c r="P45" s="29"/>
    </row>
    <row r="46" customFormat="false" ht="15" hidden="false" customHeight="false" outlineLevel="0" collapsed="false">
      <c r="A46" s="19" t="s">
        <v>300</v>
      </c>
      <c r="E46" s="20" t="str">
        <f aca="false">IF(P46="?OLD","!!!","")</f>
        <v/>
      </c>
      <c r="F46" s="21" t="str">
        <f aca="false">IF(OR(E46="",E46="!!!"),"",IF(NOT(ISNA(VLOOKUP(E46,Q$1:Q45,1,FALSE()))),"OLD",IF(AND(E46&lt;&gt;"",E46&lt;&gt;"!!!"),"NEW","")))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4" t="str">
        <f aca="false">IF(OR(E46="",E46="!!!",F46="NEW"),"",INDEX(N$2:N45,-1+SUMPRODUCT(MAX(ROW(E$2:E45)*(E46=E$2:E45)))))</f>
        <v/>
      </c>
      <c r="J46" s="25" t="str">
        <f aca="true">IF(OR(E46="",E46="!!!",F46="NEW"),"",COUNTBLANK(OFFSET(M$1,,,SUMPRODUCT(MAX(ROW(E$2:E46)*(E46=E$2:E46)))))-COUNTBLANK(OFFSET(M$1,,,SUMPRODUCT(MAX(ROW(Q$1:Q45)*(E46=Q$1:Q45))))))</f>
        <v/>
      </c>
      <c r="K46" s="25" t="str">
        <f aca="false">IF(OR(E46="",E46="!!!",F46="NEW"),"",INDEX(V$1:V45,SUMPRODUCT(MAX(ROW(Q$1:Q45)*(E46=Q$1:Q45)))))</f>
        <v/>
      </c>
      <c r="L46" s="26"/>
      <c r="M46" s="27"/>
    </row>
    <row r="47" customFormat="false" ht="15" hidden="false" customHeight="false" outlineLevel="0" collapsed="false">
      <c r="A47" s="19" t="s">
        <v>262</v>
      </c>
      <c r="B47" s="28" t="s">
        <v>301</v>
      </c>
      <c r="C47" s="28" t="s">
        <v>264</v>
      </c>
      <c r="D47" s="28" t="s">
        <v>253</v>
      </c>
      <c r="E47" s="20" t="s">
        <v>265</v>
      </c>
      <c r="F47" s="21" t="str">
        <f aca="false">IF(OR(E47="",E47="!!!"),"",IF(NOT(ISNA(VLOOKUP(E47,Q$1:Q46,1,FALSE()))),"OLD",IF(AND(E47&lt;&gt;"",E47&lt;&gt;"!!!"),"NEW","")))</f>
        <v>NEW</v>
      </c>
      <c r="G47" s="22" t="s">
        <v>296</v>
      </c>
      <c r="H47" s="23" t="str">
        <f aca="false">IF(J47&lt;&gt;1,"",IF(I47="SBJ","CB","?"))</f>
        <v/>
      </c>
      <c r="I47" s="24" t="str">
        <f aca="false">IF(OR(E47="",E47="!!!",F47="NEW"),"",INDEX(N$2:N46,-1+SUMPRODUCT(MAX(ROW(E$2:E46)*(E47=E$2:E46)))))</f>
        <v/>
      </c>
      <c r="J47" s="25" t="str">
        <f aca="true">IF(OR(E47="",E47="!!!",F47="NEW"),"",COUNTBLANK(OFFSET(M$1,,,SUMPRODUCT(MAX(ROW(E$2:E47)*(E47=E$2:E47)))))-COUNTBLANK(OFFSET(M$1,,,SUMPRODUCT(MAX(ROW(Q$1:Q46)*(E47=Q$1:Q46))))))</f>
        <v/>
      </c>
      <c r="K47" s="25" t="str">
        <f aca="false">IF(OR(E47="",E47="!!!",F47="NEW"),"",INDEX(V$1:V46,SUMPRODUCT(MAX(ROW(Q$1:Q46)*(E47=Q$1:Q46)))))</f>
        <v/>
      </c>
      <c r="L47" s="26"/>
      <c r="M47" s="27"/>
      <c r="N47" s="29"/>
      <c r="O47" s="29"/>
      <c r="P47" s="29"/>
    </row>
    <row r="48" customFormat="false" ht="15" hidden="false" customHeight="false" outlineLevel="0" collapsed="false">
      <c r="A48" s="19" t="s">
        <v>268</v>
      </c>
      <c r="E48" s="20" t="str">
        <f aca="false">IF(P48="?OLD","!!!","")</f>
        <v/>
      </c>
      <c r="F48" s="21" t="str">
        <f aca="false">IF(OR(E48="",E48="!!!"),"",IF(NOT(ISNA(VLOOKUP(E48,Q$1:Q47,1,FALSE()))),"OLD",IF(AND(E48&lt;&gt;"",E48&lt;&gt;"!!!"),"NEW","")))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4" t="str">
        <f aca="false">IF(OR(E48="",E48="!!!",F48="NEW"),"",INDEX(N$2:N47,-1+SUMPRODUCT(MAX(ROW(E$2:E47)*(E48=E$2:E47)))))</f>
        <v/>
      </c>
      <c r="J48" s="25" t="str">
        <f aca="true">IF(OR(E48="",E48="!!!",F48="NEW"),"",COUNTBLANK(OFFSET(M$1,,,SUMPRODUCT(MAX(ROW(E$2:E48)*(E48=E$2:E48)))))-COUNTBLANK(OFFSET(M$1,,,SUMPRODUCT(MAX(ROW(Q$1:Q47)*(E48=Q$1:Q47))))))</f>
        <v/>
      </c>
      <c r="K48" s="25" t="str">
        <f aca="false">IF(OR(E48="",E48="!!!",F48="NEW"),"",INDEX(V$1:V47,SUMPRODUCT(MAX(ROW(Q$1:Q47)*(E48=Q$1:Q47)))))</f>
        <v/>
      </c>
      <c r="L48" s="26"/>
      <c r="M48" s="27"/>
    </row>
    <row r="49" customFormat="false" ht="15" hidden="false" customHeight="false" outlineLevel="0" collapsed="false">
      <c r="A49" s="19" t="s">
        <v>302</v>
      </c>
      <c r="E49" s="20" t="str">
        <f aca="false">IF(P49="?OLD","!!!","")</f>
        <v/>
      </c>
      <c r="F49" s="21" t="str">
        <f aca="false">IF(OR(E49="",E49="!!!"),"",IF(NOT(ISNA(VLOOKUP(E49,Q$1:Q48,1,FALSE()))),"OLD",IF(AND(E49&lt;&gt;"",E49&lt;&gt;"!!!"),"NEW","")))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4" t="str">
        <f aca="false">IF(OR(E49="",E49="!!!",F49="NEW"),"",INDEX(N$2:N48,-1+SUMPRODUCT(MAX(ROW(E$2:E48)*(E49=E$2:E48)))))</f>
        <v/>
      </c>
      <c r="J49" s="25" t="str">
        <f aca="true">IF(OR(E49="",E49="!!!",F49="NEW"),"",COUNTBLANK(OFFSET(M$1,,,SUMPRODUCT(MAX(ROW(E$2:E49)*(E49=E$2:E49)))))-COUNTBLANK(OFFSET(M$1,,,SUMPRODUCT(MAX(ROW(Q$1:Q48)*(E49=Q$1:Q48))))))</f>
        <v/>
      </c>
      <c r="K49" s="25" t="str">
        <f aca="false">IF(OR(E49="",E49="!!!",F49="NEW"),"",INDEX(V$1:V48,SUMPRODUCT(MAX(ROW(Q$1:Q48)*(E49=Q$1:Q48)))))</f>
        <v/>
      </c>
      <c r="L49" s="26"/>
      <c r="M49" s="27"/>
    </row>
    <row r="50" customFormat="false" ht="15" hidden="false" customHeight="false" outlineLevel="0" collapsed="false">
      <c r="A50" s="19" t="s">
        <v>275</v>
      </c>
      <c r="E50" s="20" t="str">
        <f aca="false">IF(P50="?OLD","!!!","")</f>
        <v/>
      </c>
      <c r="F50" s="21" t="str">
        <f aca="false">IF(OR(E50="",E50="!!!"),"",IF(NOT(ISNA(VLOOKUP(E50,Q$1:Q49,1,FALSE()))),"OLD",IF(AND(E50&lt;&gt;"",E50&lt;&gt;"!!!"),"NEW","")))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IF(OR(E50="",E50="!!!",F50="NEW"),"",INDEX(N$2:N49,-1+SUMPRODUCT(MAX(ROW(E$2:E49)*(E50=E$2:E49)))))</f>
        <v/>
      </c>
      <c r="J50" s="25" t="str">
        <f aca="true">IF(OR(E50="",E50="!!!",F50="NEW"),"",COUNTBLANK(OFFSET(M$1,,,SUMPRODUCT(MAX(ROW(E$2:E50)*(E50=E$2:E50)))))-COUNTBLANK(OFFSET(M$1,,,SUMPRODUCT(MAX(ROW(Q$1:Q49)*(E50=Q$1:Q49))))))</f>
        <v/>
      </c>
      <c r="K50" s="25" t="str">
        <f aca="false">IF(OR(E50="",E50="!!!",F50="NEW"),"",INDEX(V$1:V49,SUMPRODUCT(MAX(ROW(Q$1:Q49)*(E50=Q$1:Q49)))))</f>
        <v/>
      </c>
      <c r="L50" s="26"/>
      <c r="M50" s="27"/>
    </row>
    <row r="51" customFormat="false" ht="15" hidden="false" customHeight="false" outlineLevel="0" collapsed="false">
      <c r="A51" s="19"/>
      <c r="E51" s="20" t="str">
        <f aca="false">IF(P51="?OLD","!!!","")</f>
        <v/>
      </c>
      <c r="F51" s="21" t="str">
        <f aca="false">IF(OR(E51="",E51="!!!"),"",IF(NOT(ISNA(VLOOKUP(E51,Q$1:Q50,1,FALSE()))),"OLD",IF(AND(E51&lt;&gt;"",E51&lt;&gt;"!!!"),"NEW","")))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IF(OR(E51="",E51="!!!",F51="NEW"),"",INDEX(N$2:N50,-1+SUMPRODUCT(MAX(ROW(E$2:E50)*(E51=E$2:E50)))))</f>
        <v/>
      </c>
      <c r="J51" s="25" t="str">
        <f aca="true">IF(OR(E51="",E51="!!!",F51="NEW"),"",COUNTBLANK(OFFSET(M$1,,,SUMPRODUCT(MAX(ROW(E$2:E51)*(E51=E$2:E51)))))-COUNTBLANK(OFFSET(M$1,,,SUMPRODUCT(MAX(ROW(Q$1:Q50)*(E51=Q$1:Q50))))))</f>
        <v/>
      </c>
      <c r="K51" s="25" t="str">
        <f aca="false">IF(OR(E51="",E51="!!!",F51="NEW"),"",INDEX(V$1:V50,SUMPRODUCT(MAX(ROW(Q$1:Q50)*(E51=Q$1:Q50)))))</f>
        <v/>
      </c>
      <c r="L51" s="26"/>
    </row>
    <row r="52" customFormat="false" ht="15" hidden="false" customHeight="false" outlineLevel="0" collapsed="false">
      <c r="A52" s="19" t="s">
        <v>303</v>
      </c>
      <c r="E52" s="20" t="str">
        <f aca="false">IF(P52="?OLD","!!!","")</f>
        <v/>
      </c>
      <c r="F52" s="21" t="str">
        <f aca="false">IF(OR(E52="",E52="!!!"),"",IF(NOT(ISNA(VLOOKUP(E52,Q$1:Q51,1,FALSE()))),"OLD",IF(AND(E52&lt;&gt;"",E52&lt;&gt;"!!!"),"NEW","")))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IF(OR(E52="",E52="!!!",F52="NEW"),"",INDEX(N$2:N51,-1+SUMPRODUCT(MAX(ROW(E$2:E51)*(E52=E$2:E51)))))</f>
        <v/>
      </c>
      <c r="J52" s="25" t="str">
        <f aca="true">IF(OR(E52="",E52="!!!",F52="NEW"),"",COUNTBLANK(OFFSET(M$1,,,SUMPRODUCT(MAX(ROW(E$2:E52)*(E52=E$2:E52)))))-COUNTBLANK(OFFSET(M$1,,,SUMPRODUCT(MAX(ROW(Q$1:Q51)*(E52=Q$1:Q51))))))</f>
        <v/>
      </c>
      <c r="K52" s="25" t="str">
        <f aca="false">IF(OR(E52="",E52="!!!",F52="NEW"),"",INDEX(V$1:V51,SUMPRODUCT(MAX(ROW(Q$1:Q51)*(E52=Q$1:Q51)))))</f>
        <v/>
      </c>
      <c r="L52" s="26"/>
      <c r="M52" s="27"/>
    </row>
    <row r="53" customFormat="false" ht="15" hidden="false" customHeight="false" outlineLevel="0" collapsed="false">
      <c r="A53" s="19" t="s">
        <v>304</v>
      </c>
      <c r="B53" s="28" t="s">
        <v>263</v>
      </c>
      <c r="C53" s="28" t="s">
        <v>259</v>
      </c>
      <c r="E53" s="20" t="str">
        <f aca="false">IF(P53="?OLD","!!!","")</f>
        <v/>
      </c>
      <c r="F53" s="21" t="str">
        <f aca="false">IF(OR(E53="",E53="!!!"),"",IF(NOT(ISNA(VLOOKUP(E53,Q$1:Q52,1,FALSE()))),"OLD",IF(AND(E53&lt;&gt;"",E53&lt;&gt;"!!!"),"NEW","")))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IF(OR(E53="",E53="!!!",F53="NEW"),"",INDEX(N$2:N52,-1+SUMPRODUCT(MAX(ROW(E$2:E52)*(E53=E$2:E52)))))</f>
        <v/>
      </c>
      <c r="J53" s="25" t="str">
        <f aca="true">IF(OR(E53="",E53="!!!",F53="NEW"),"",COUNTBLANK(OFFSET(M$1,,,SUMPRODUCT(MAX(ROW(E$2:E53)*(E53=E$2:E53)))))-COUNTBLANK(OFFSET(M$1,,,SUMPRODUCT(MAX(ROW(Q$1:Q52)*(E53=Q$1:Q52))))))</f>
        <v/>
      </c>
      <c r="K53" s="25" t="str">
        <f aca="false">IF(OR(E53="",E53="!!!",F53="NEW"),"",INDEX(V$1:V52,SUMPRODUCT(MAX(ROW(Q$1:Q52)*(E53=Q$1:Q52)))))</f>
        <v/>
      </c>
      <c r="L53" s="26"/>
      <c r="M53" s="27"/>
      <c r="N53" s="29"/>
      <c r="O53" s="29"/>
    </row>
    <row r="54" customFormat="false" ht="15" hidden="false" customHeight="false" outlineLevel="0" collapsed="false">
      <c r="A54" s="19" t="s">
        <v>288</v>
      </c>
      <c r="E54" s="20" t="str">
        <f aca="false">IF(P54="?OLD","!!!","")</f>
        <v/>
      </c>
      <c r="F54" s="21" t="str">
        <f aca="false">IF(OR(E54="",E54="!!!"),"",IF(NOT(ISNA(VLOOKUP(E54,Q$1:Q53,1,FALSE()))),"OLD",IF(AND(E54&lt;&gt;"",E54&lt;&gt;"!!!"),"NEW","")))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IF(OR(E54="",E54="!!!",F54="NEW"),"",INDEX(N$2:N53,-1+SUMPRODUCT(MAX(ROW(E$2:E53)*(E54=E$2:E53)))))</f>
        <v/>
      </c>
      <c r="J54" s="25" t="str">
        <f aca="true">IF(OR(E54="",E54="!!!",F54="NEW"),"",COUNTBLANK(OFFSET(M$1,,,SUMPRODUCT(MAX(ROW(E$2:E54)*(E54=E$2:E54)))))-COUNTBLANK(OFFSET(M$1,,,SUMPRODUCT(MAX(ROW(Q$1:Q53)*(E54=Q$1:Q53))))))</f>
        <v/>
      </c>
      <c r="K54" s="25" t="str">
        <f aca="false">IF(OR(E54="",E54="!!!",F54="NEW"),"",INDEX(V$1:V53,SUMPRODUCT(MAX(ROW(Q$1:Q53)*(E54=Q$1:Q53)))))</f>
        <v/>
      </c>
      <c r="L54" s="26"/>
      <c r="M54" s="27"/>
    </row>
    <row r="55" customFormat="false" ht="15" hidden="false" customHeight="false" outlineLevel="0" collapsed="false">
      <c r="A55" s="19" t="s">
        <v>305</v>
      </c>
      <c r="B55" s="28" t="s">
        <v>306</v>
      </c>
      <c r="C55" s="28" t="s">
        <v>259</v>
      </c>
      <c r="E55" s="20" t="str">
        <f aca="false">IF(P55="?OLD","!!!","")</f>
        <v/>
      </c>
      <c r="F55" s="21" t="str">
        <f aca="false">IF(OR(E55="",E55="!!!"),"",IF(NOT(ISNA(VLOOKUP(E55,Q$1:Q54,1,FALSE()))),"OLD",IF(AND(E55&lt;&gt;"",E55&lt;&gt;"!!!"),"NEW","")))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IF(OR(E55="",E55="!!!",F55="NEW"),"",INDEX(N$2:N54,-1+SUMPRODUCT(MAX(ROW(E$2:E54)*(E55=E$2:E54)))))</f>
        <v/>
      </c>
      <c r="J55" s="25" t="str">
        <f aca="true">IF(OR(E55="",E55="!!!",F55="NEW"),"",COUNTBLANK(OFFSET(M$1,,,SUMPRODUCT(MAX(ROW(E$2:E55)*(E55=E$2:E55)))))-COUNTBLANK(OFFSET(M$1,,,SUMPRODUCT(MAX(ROW(Q$1:Q54)*(E55=Q$1:Q54))))))</f>
        <v/>
      </c>
      <c r="K55" s="25" t="str">
        <f aca="false">IF(OR(E55="",E55="!!!",F55="NEW"),"",INDEX(V$1:V54,SUMPRODUCT(MAX(ROW(Q$1:Q54)*(E55=Q$1:Q54)))))</f>
        <v/>
      </c>
      <c r="L55" s="26"/>
      <c r="M55" s="27"/>
      <c r="N55" s="29"/>
      <c r="O55" s="29"/>
    </row>
    <row r="56" customFormat="false" ht="15" hidden="false" customHeight="false" outlineLevel="0" collapsed="false">
      <c r="A56" s="19" t="s">
        <v>307</v>
      </c>
      <c r="E56" s="20" t="str">
        <f aca="false">IF(P56="?OLD","!!!","")</f>
        <v/>
      </c>
      <c r="F56" s="21" t="str">
        <f aca="false">IF(OR(E56="",E56="!!!"),"",IF(NOT(ISNA(VLOOKUP(E56,Q$1:Q55,1,FALSE()))),"OLD",IF(AND(E56&lt;&gt;"",E56&lt;&gt;"!!!"),"NEW","")))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4" t="str">
        <f aca="false">IF(OR(E56="",E56="!!!",F56="NEW"),"",INDEX(N$2:N55,-1+SUMPRODUCT(MAX(ROW(E$2:E55)*(E56=E$2:E55)))))</f>
        <v/>
      </c>
      <c r="J56" s="25" t="str">
        <f aca="true">IF(OR(E56="",E56="!!!",F56="NEW"),"",COUNTBLANK(OFFSET(M$1,,,SUMPRODUCT(MAX(ROW(E$2:E56)*(E56=E$2:E56)))))-COUNTBLANK(OFFSET(M$1,,,SUMPRODUCT(MAX(ROW(Q$1:Q55)*(E56=Q$1:Q55))))))</f>
        <v/>
      </c>
      <c r="K56" s="25" t="str">
        <f aca="false">IF(OR(E56="",E56="!!!",F56="NEW"),"",INDEX(V$1:V55,SUMPRODUCT(MAX(ROW(Q$1:Q55)*(E56=Q$1:Q55)))))</f>
        <v/>
      </c>
      <c r="L56" s="26"/>
      <c r="M56" s="27"/>
    </row>
    <row r="57" customFormat="false" ht="15" hidden="false" customHeight="false" outlineLevel="0" collapsed="false">
      <c r="A57" s="19" t="s">
        <v>294</v>
      </c>
      <c r="E57" s="20" t="str">
        <f aca="false">IF(P57="?OLD","!!!","")</f>
        <v/>
      </c>
      <c r="F57" s="21" t="str">
        <f aca="false">IF(OR(E57="",E57="!!!"),"",IF(NOT(ISNA(VLOOKUP(E57,Q$1:Q56,1,FALSE()))),"OLD",IF(AND(E57&lt;&gt;"",E57&lt;&gt;"!!!"),"NEW","")))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4" t="str">
        <f aca="false">IF(OR(E57="",E57="!!!",F57="NEW"),"",INDEX(N$2:N56,-1+SUMPRODUCT(MAX(ROW(E$2:E56)*(E57=E$2:E56)))))</f>
        <v/>
      </c>
      <c r="J57" s="25" t="str">
        <f aca="true">IF(OR(E57="",E57="!!!",F57="NEW"),"",COUNTBLANK(OFFSET(M$1,,,SUMPRODUCT(MAX(ROW(E$2:E57)*(E57=E$2:E57)))))-COUNTBLANK(OFFSET(M$1,,,SUMPRODUCT(MAX(ROW(Q$1:Q56)*(E57=Q$1:Q56))))))</f>
        <v/>
      </c>
      <c r="K57" s="25" t="str">
        <f aca="false">IF(OR(E57="",E57="!!!",F57="NEW"),"",INDEX(V$1:V56,SUMPRODUCT(MAX(ROW(Q$1:Q56)*(E57=Q$1:Q56)))))</f>
        <v/>
      </c>
      <c r="L57" s="26"/>
      <c r="M57" s="27"/>
    </row>
    <row r="58" customFormat="false" ht="15" hidden="false" customHeight="false" outlineLevel="0" collapsed="false">
      <c r="A58" s="19" t="s">
        <v>268</v>
      </c>
      <c r="E58" s="20" t="str">
        <f aca="false">IF(P58="?OLD","!!!","")</f>
        <v/>
      </c>
      <c r="F58" s="21" t="str">
        <f aca="false">IF(OR(E58="",E58="!!!"),"",IF(NOT(ISNA(VLOOKUP(E58,Q$1:Q57,1,FALSE()))),"OLD",IF(AND(E58&lt;&gt;"",E58&lt;&gt;"!!!"),"NEW","")))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IF(OR(E58="",E58="!!!",F58="NEW"),"",INDEX(N$2:N57,-1+SUMPRODUCT(MAX(ROW(E$2:E57)*(E58=E$2:E57)))))</f>
        <v/>
      </c>
      <c r="J58" s="25" t="str">
        <f aca="true">IF(OR(E58="",E58="!!!",F58="NEW"),"",COUNTBLANK(OFFSET(M$1,,,SUMPRODUCT(MAX(ROW(E$2:E58)*(E58=E$2:E58)))))-COUNTBLANK(OFFSET(M$1,,,SUMPRODUCT(MAX(ROW(Q$1:Q57)*(E58=Q$1:Q57))))))</f>
        <v/>
      </c>
      <c r="K58" s="25" t="str">
        <f aca="false">IF(OR(E58="",E58="!!!",F58="NEW"),"",INDEX(V$1:V57,SUMPRODUCT(MAX(ROW(Q$1:Q57)*(E58=Q$1:Q57)))))</f>
        <v/>
      </c>
      <c r="L58" s="26"/>
      <c r="M58" s="27"/>
    </row>
    <row r="59" customFormat="false" ht="15" hidden="false" customHeight="false" outlineLevel="0" collapsed="false">
      <c r="A59" s="19" t="s">
        <v>308</v>
      </c>
      <c r="E59" s="20" t="str">
        <f aca="false">IF(P59="?OLD","!!!","")</f>
        <v/>
      </c>
      <c r="F59" s="21" t="str">
        <f aca="false">IF(OR(E59="",E59="!!!"),"",IF(NOT(ISNA(VLOOKUP(E59,Q$1:Q58,1,FALSE()))),"OLD",IF(AND(E59&lt;&gt;"",E59&lt;&gt;"!!!"),"NEW","")))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4" t="str">
        <f aca="false">IF(OR(E59="",E59="!!!",F59="NEW"),"",INDEX(N$2:N58,-1+SUMPRODUCT(MAX(ROW(E$2:E58)*(E59=E$2:E58)))))</f>
        <v/>
      </c>
      <c r="J59" s="25" t="str">
        <f aca="true">IF(OR(E59="",E59="!!!",F59="NEW"),"",COUNTBLANK(OFFSET(M$1,,,SUMPRODUCT(MAX(ROW(E$2:E59)*(E59=E$2:E59)))))-COUNTBLANK(OFFSET(M$1,,,SUMPRODUCT(MAX(ROW(Q$1:Q58)*(E59=Q$1:Q58))))))</f>
        <v/>
      </c>
      <c r="K59" s="25" t="str">
        <f aca="false">IF(OR(E59="",E59="!!!",F59="NEW"),"",INDEX(V$1:V58,SUMPRODUCT(MAX(ROW(Q$1:Q58)*(E59=Q$1:Q58)))))</f>
        <v/>
      </c>
      <c r="L59" s="26"/>
      <c r="M59" s="27"/>
    </row>
    <row r="60" customFormat="false" ht="15" hidden="false" customHeight="false" outlineLevel="0" collapsed="false">
      <c r="A60" s="19" t="s">
        <v>309</v>
      </c>
      <c r="E60" s="20" t="str">
        <f aca="false">IF(P60="?OLD","!!!","")</f>
        <v/>
      </c>
      <c r="F60" s="21" t="str">
        <f aca="false">IF(OR(E60="",E60="!!!"),"",IF(NOT(ISNA(VLOOKUP(E60,Q$1:Q59,1,FALSE()))),"OLD",IF(AND(E60&lt;&gt;"",E60&lt;&gt;"!!!"),"NEW","")))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IF(OR(E60="",E60="!!!",F60="NEW"),"",INDEX(N$2:N59,-1+SUMPRODUCT(MAX(ROW(E$2:E59)*(E60=E$2:E59)))))</f>
        <v/>
      </c>
      <c r="J60" s="25" t="str">
        <f aca="true">IF(OR(E60="",E60="!!!",F60="NEW"),"",COUNTBLANK(OFFSET(M$1,,,SUMPRODUCT(MAX(ROW(E$2:E60)*(E60=E$2:E60)))))-COUNTBLANK(OFFSET(M$1,,,SUMPRODUCT(MAX(ROW(Q$1:Q59)*(E60=Q$1:Q59))))))</f>
        <v/>
      </c>
      <c r="K60" s="25" t="str">
        <f aca="false">IF(OR(E60="",E60="!!!",F60="NEW"),"",INDEX(V$1:V59,SUMPRODUCT(MAX(ROW(Q$1:Q59)*(E60=Q$1:Q59)))))</f>
        <v/>
      </c>
      <c r="L60" s="26"/>
      <c r="M60" s="27"/>
    </row>
    <row r="61" customFormat="false" ht="15" hidden="false" customHeight="false" outlineLevel="0" collapsed="false">
      <c r="A61" s="19" t="s">
        <v>310</v>
      </c>
      <c r="B61" s="28" t="s">
        <v>306</v>
      </c>
      <c r="C61" s="28" t="s">
        <v>264</v>
      </c>
      <c r="D61" s="28" t="s">
        <v>253</v>
      </c>
      <c r="E61" s="20" t="s">
        <v>265</v>
      </c>
      <c r="F61" s="21" t="str">
        <f aca="false">IF(OR(E61="",E61="!!!"),"",IF(NOT(ISNA(VLOOKUP(E61,Q$1:Q60,1,FALSE()))),"OLD",IF(AND(E61&lt;&gt;"",E61&lt;&gt;"!!!"),"NEW","")))</f>
        <v>NEW</v>
      </c>
      <c r="G61" s="22" t="s">
        <v>296</v>
      </c>
      <c r="H61" s="23" t="s">
        <v>243</v>
      </c>
      <c r="I61" s="24" t="str">
        <f aca="false">IF(OR(E61="",E61="!!!",F61="NEW"),"",INDEX(N$2:N60,-1+SUMPRODUCT(MAX(ROW(E$2:E60)*(E61=E$2:E60)))))</f>
        <v/>
      </c>
      <c r="J61" s="25" t="str">
        <f aca="true">IF(OR(E61="",E61="!!!",F61="NEW"),"",COUNTBLANK(OFFSET(M$1,,,SUMPRODUCT(MAX(ROW(E$2:E61)*(E61=E$2:E61)))))-COUNTBLANK(OFFSET(M$1,,,SUMPRODUCT(MAX(ROW(Q$1:Q60)*(E61=Q$1:Q60))))))</f>
        <v/>
      </c>
      <c r="K61" s="25" t="str">
        <f aca="false">IF(OR(E61="",E61="!!!",F61="NEW"),"",INDEX(V$1:V60,SUMPRODUCT(MAX(ROW(Q$1:Q60)*(E61=Q$1:Q60)))))</f>
        <v/>
      </c>
      <c r="L61" s="26"/>
      <c r="M61" s="27"/>
      <c r="N61" s="29"/>
      <c r="O61" s="29"/>
      <c r="P61" s="29"/>
    </row>
    <row r="62" customFormat="false" ht="15" hidden="false" customHeight="false" outlineLevel="0" collapsed="false">
      <c r="A62" s="19" t="s">
        <v>261</v>
      </c>
      <c r="E62" s="20" t="str">
        <f aca="false">IF(P62="?OLD","!!!","")</f>
        <v/>
      </c>
      <c r="F62" s="21" t="str">
        <f aca="false">IF(OR(E62="",E62="!!!"),"",IF(NOT(ISNA(VLOOKUP(E62,Q$1:Q61,1,FALSE()))),"OLD",IF(AND(E62&lt;&gt;"",E62&lt;&gt;"!!!"),"NEW","")))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IF(OR(E62="",E62="!!!",F62="NEW"),"",INDEX(N$2:N61,-1+SUMPRODUCT(MAX(ROW(E$2:E61)*(E62=E$2:E61)))))</f>
        <v/>
      </c>
      <c r="J62" s="25" t="str">
        <f aca="true">IF(OR(E62="",E62="!!!",F62="NEW"),"",COUNTBLANK(OFFSET(M$1,,,SUMPRODUCT(MAX(ROW(E$2:E62)*(E62=E$2:E62)))))-COUNTBLANK(OFFSET(M$1,,,SUMPRODUCT(MAX(ROW(Q$1:Q61)*(E62=Q$1:Q61))))))</f>
        <v/>
      </c>
      <c r="K62" s="25" t="str">
        <f aca="false">IF(OR(E62="",E62="!!!",F62="NEW"),"",INDEX(V$1:V61,SUMPRODUCT(MAX(ROW(Q$1:Q61)*(E62=Q$1:Q61)))))</f>
        <v/>
      </c>
      <c r="L62" s="26"/>
      <c r="M62" s="27"/>
    </row>
    <row r="63" customFormat="false" ht="15" hidden="false" customHeight="false" outlineLevel="0" collapsed="false">
      <c r="A63" s="19" t="s">
        <v>294</v>
      </c>
      <c r="E63" s="20" t="str">
        <f aca="false">IF(P63="?OLD","!!!","")</f>
        <v/>
      </c>
      <c r="F63" s="21" t="str">
        <f aca="false">IF(OR(E63="",E63="!!!"),"",IF(NOT(ISNA(VLOOKUP(E63,Q$1:Q62,1,FALSE()))),"OLD",IF(AND(E63&lt;&gt;"",E63&lt;&gt;"!!!"),"NEW","")))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IF(OR(E63="",E63="!!!",F63="NEW"),"",INDEX(N$2:N62,-1+SUMPRODUCT(MAX(ROW(E$2:E62)*(E63=E$2:E62)))))</f>
        <v/>
      </c>
      <c r="J63" s="25" t="str">
        <f aca="true">IF(OR(E63="",E63="!!!",F63="NEW"),"",COUNTBLANK(OFFSET(M$1,,,SUMPRODUCT(MAX(ROW(E$2:E63)*(E63=E$2:E63)))))-COUNTBLANK(OFFSET(M$1,,,SUMPRODUCT(MAX(ROW(Q$1:Q62)*(E63=Q$1:Q62))))))</f>
        <v/>
      </c>
      <c r="K63" s="25" t="str">
        <f aca="false">IF(OR(E63="",E63="!!!",F63="NEW"),"",INDEX(V$1:V62,SUMPRODUCT(MAX(ROW(Q$1:Q62)*(E63=Q$1:Q62)))))</f>
        <v/>
      </c>
      <c r="L63" s="26"/>
      <c r="M63" s="27"/>
    </row>
    <row r="64" customFormat="false" ht="15" hidden="false" customHeight="false" outlineLevel="0" collapsed="false">
      <c r="A64" s="19" t="s">
        <v>145</v>
      </c>
      <c r="E64" s="20" t="str">
        <f aca="false">IF(P64="?OLD","!!!","")</f>
        <v/>
      </c>
      <c r="F64" s="21" t="str">
        <f aca="false">IF(OR(E64="",E64="!!!"),"",IF(NOT(ISNA(VLOOKUP(E64,Q$1:Q63,1,FALSE()))),"OLD",IF(AND(E64&lt;&gt;"",E64&lt;&gt;"!!!"),"NEW","")))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4" t="str">
        <f aca="false">IF(OR(E64="",E64="!!!",F64="NEW"),"",INDEX(N$2:N63,-1+SUMPRODUCT(MAX(ROW(E$2:E63)*(E64=E$2:E63)))))</f>
        <v/>
      </c>
      <c r="J64" s="25" t="str">
        <f aca="true">IF(OR(E64="",E64="!!!",F64="NEW"),"",COUNTBLANK(OFFSET(M$1,,,SUMPRODUCT(MAX(ROW(E$2:E64)*(E64=E$2:E64)))))-COUNTBLANK(OFFSET(M$1,,,SUMPRODUCT(MAX(ROW(Q$1:Q63)*(E64=Q$1:Q63))))))</f>
        <v/>
      </c>
      <c r="K64" s="25" t="str">
        <f aca="false">IF(OR(E64="",E64="!!!",F64="NEW"),"",INDEX(V$1:V63,SUMPRODUCT(MAX(ROW(Q$1:Q63)*(E64=Q$1:Q63)))))</f>
        <v/>
      </c>
      <c r="L64" s="26"/>
      <c r="M64" s="27"/>
    </row>
    <row r="65" customFormat="false" ht="15" hidden="false" customHeight="false" outlineLevel="0" collapsed="false">
      <c r="A65" s="19" t="s">
        <v>311</v>
      </c>
      <c r="B65" s="28" t="s">
        <v>271</v>
      </c>
      <c r="C65" s="28" t="s">
        <v>272</v>
      </c>
      <c r="E65" s="20" t="str">
        <f aca="false">IF(P65="?OLD","!!!","")</f>
        <v/>
      </c>
      <c r="F65" s="21" t="str">
        <f aca="false">IF(OR(E65="",E65="!!!"),"",IF(NOT(ISNA(VLOOKUP(E65,Q$1:Q64,1,FALSE()))),"OLD",IF(AND(E65&lt;&gt;"",E65&lt;&gt;"!!!"),"NEW","")))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4" t="str">
        <f aca="false">IF(OR(E65="",E65="!!!",F65="NEW"),"",INDEX(N$2:N64,-1+SUMPRODUCT(MAX(ROW(E$2:E64)*(E65=E$2:E64)))))</f>
        <v/>
      </c>
      <c r="J65" s="25" t="str">
        <f aca="true">IF(OR(E65="",E65="!!!",F65="NEW"),"",COUNTBLANK(OFFSET(M$1,,,SUMPRODUCT(MAX(ROW(E$2:E65)*(E65=E$2:E65)))))-COUNTBLANK(OFFSET(M$1,,,SUMPRODUCT(MAX(ROW(Q$1:Q64)*(E65=Q$1:Q64))))))</f>
        <v/>
      </c>
      <c r="K65" s="25" t="str">
        <f aca="false">IF(OR(E65="",E65="!!!",F65="NEW"),"",INDEX(V$1:V64,SUMPRODUCT(MAX(ROW(Q$1:Q64)*(E65=Q$1:Q64)))))</f>
        <v/>
      </c>
      <c r="L65" s="26"/>
      <c r="M65" s="27"/>
      <c r="N65" s="29"/>
      <c r="O65" s="29"/>
    </row>
    <row r="66" customFormat="false" ht="15" hidden="false" customHeight="false" outlineLevel="0" collapsed="false">
      <c r="A66" s="19" t="s">
        <v>312</v>
      </c>
      <c r="E66" s="20" t="str">
        <f aca="false">IF(P66="?OLD","!!!","")</f>
        <v/>
      </c>
      <c r="F66" s="21" t="str">
        <f aca="false">IF(OR(E66="",E66="!!!"),"",IF(NOT(ISNA(VLOOKUP(E66,Q$1:Q65,1,FALSE()))),"OLD",IF(AND(E66&lt;&gt;"",E66&lt;&gt;"!!!"),"NEW","")))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IF(OR(E66="",E66="!!!",F66="NEW"),"",INDEX(N$2:N65,-1+SUMPRODUCT(MAX(ROW(E$2:E65)*(E66=E$2:E65)))))</f>
        <v/>
      </c>
      <c r="J66" s="25" t="str">
        <f aca="true">IF(OR(E66="",E66="!!!",F66="NEW"),"",COUNTBLANK(OFFSET(M$1,,,SUMPRODUCT(MAX(ROW(E$2:E66)*(E66=E$2:E66)))))-COUNTBLANK(OFFSET(M$1,,,SUMPRODUCT(MAX(ROW(Q$1:Q65)*(E66=Q$1:Q65))))))</f>
        <v/>
      </c>
      <c r="K66" s="25" t="str">
        <f aca="false">IF(OR(E66="",E66="!!!",F66="NEW"),"",INDEX(V$1:V65,SUMPRODUCT(MAX(ROW(Q$1:Q65)*(E66=Q$1:Q65)))))</f>
        <v/>
      </c>
      <c r="L66" s="26"/>
      <c r="M66" s="27"/>
    </row>
    <row r="67" customFormat="false" ht="15" hidden="false" customHeight="false" outlineLevel="0" collapsed="false">
      <c r="A67" s="19" t="s">
        <v>313</v>
      </c>
      <c r="B67" s="28" t="s">
        <v>306</v>
      </c>
      <c r="C67" s="28" t="s">
        <v>314</v>
      </c>
      <c r="D67" s="28" t="s">
        <v>253</v>
      </c>
      <c r="E67" s="20" t="s">
        <v>315</v>
      </c>
      <c r="F67" s="21" t="str">
        <f aca="false">IF(OR(E67="",E67="!!!"),"",IF(NOT(ISNA(VLOOKUP(E67,Q$1:Q66,1,FALSE()))),"OLD",IF(AND(E67&lt;&gt;"",E67&lt;&gt;"!!!"),"NEW","")))</f>
        <v>NEW</v>
      </c>
      <c r="G67" s="22" t="s">
        <v>255</v>
      </c>
      <c r="H67" s="23" t="str">
        <f aca="false">IF(J67&lt;&gt;1,"",IF(I67="SBJ","CB","?"))</f>
        <v/>
      </c>
      <c r="I67" s="24" t="str">
        <f aca="false">IF(OR(E67="",E67="!!!",F67="NEW"),"",INDEX(N$2:N66,-1+SUMPRODUCT(MAX(ROW(E$2:E66)*(E67=E$2:E66)))))</f>
        <v/>
      </c>
      <c r="J67" s="25" t="str">
        <f aca="true">IF(OR(E67="",E67="!!!",F67="NEW"),"",COUNTBLANK(OFFSET(M$1,,,SUMPRODUCT(MAX(ROW(E$2:E67)*(E67=E$2:E67)))))-COUNTBLANK(OFFSET(M$1,,,SUMPRODUCT(MAX(ROW(Q$1:Q66)*(E67=Q$1:Q66))))))</f>
        <v/>
      </c>
      <c r="K67" s="25" t="str">
        <f aca="false">IF(OR(E67="",E67="!!!",F67="NEW"),"",INDEX(V$1:V66,SUMPRODUCT(MAX(ROW(Q$1:Q66)*(E67=Q$1:Q66)))))</f>
        <v/>
      </c>
      <c r="L67" s="26"/>
      <c r="M67" s="27"/>
      <c r="N67" s="29"/>
      <c r="O67" s="29"/>
      <c r="P67" s="29"/>
    </row>
    <row r="68" customFormat="false" ht="15" hidden="false" customHeight="false" outlineLevel="0" collapsed="false">
      <c r="A68" s="19" t="s">
        <v>256</v>
      </c>
      <c r="E68" s="20" t="str">
        <f aca="false">IF(P68="?OLD","!!!","")</f>
        <v/>
      </c>
      <c r="F68" s="21" t="str">
        <f aca="false">IF(OR(E68="",E68="!!!"),"",IF(NOT(ISNA(VLOOKUP(E68,Q$1:Q67,1,FALSE()))),"OLD",IF(AND(E68&lt;&gt;"",E68&lt;&gt;"!!!"),"NEW","")))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IF(OR(E68="",E68="!!!",F68="NEW"),"",INDEX(N$2:N67,-1+SUMPRODUCT(MAX(ROW(E$2:E67)*(E68=E$2:E67)))))</f>
        <v/>
      </c>
      <c r="J68" s="25" t="str">
        <f aca="true">IF(OR(E68="",E68="!!!",F68="NEW"),"",COUNTBLANK(OFFSET(M$1,,,SUMPRODUCT(MAX(ROW(E$2:E68)*(E68=E$2:E68)))))-COUNTBLANK(OFFSET(M$1,,,SUMPRODUCT(MAX(ROW(Q$1:Q67)*(E68=Q$1:Q67))))))</f>
        <v/>
      </c>
      <c r="K68" s="25" t="str">
        <f aca="false">IF(OR(E68="",E68="!!!",F68="NEW"),"",INDEX(V$1:V67,SUMPRODUCT(MAX(ROW(Q$1:Q67)*(E68=Q$1:Q67)))))</f>
        <v/>
      </c>
      <c r="L68" s="26"/>
      <c r="M68" s="27"/>
    </row>
    <row r="69" customFormat="false" ht="15" hidden="false" customHeight="false" outlineLevel="0" collapsed="false">
      <c r="A69" s="19" t="s">
        <v>310</v>
      </c>
      <c r="B69" s="28" t="s">
        <v>258</v>
      </c>
      <c r="C69" s="28" t="s">
        <v>264</v>
      </c>
      <c r="D69" s="28" t="s">
        <v>253</v>
      </c>
      <c r="E69" s="20" t="s">
        <v>265</v>
      </c>
      <c r="F69" s="21" t="str">
        <f aca="false">IF(OR(E69="",E69="!!!"),"",IF(NOT(ISNA(VLOOKUP(E69,Q$1:Q68,1,FALSE()))),"OLD",IF(AND(E69&lt;&gt;"",E69&lt;&gt;"!!!"),"NEW","")))</f>
        <v>NEW</v>
      </c>
      <c r="G69" s="22" t="s">
        <v>296</v>
      </c>
      <c r="H69" s="23" t="str">
        <f aca="false">IF(J69&lt;&gt;1,"",IF(I69="SBJ","CB","?"))</f>
        <v/>
      </c>
      <c r="I69" s="24" t="str">
        <f aca="false">IF(OR(E69="",E69="!!!",F69="NEW"),"",INDEX(N$2:N68,-1+SUMPRODUCT(MAX(ROW(E$2:E68)*(E69=E$2:E68)))))</f>
        <v/>
      </c>
      <c r="J69" s="25" t="str">
        <f aca="true">IF(OR(E69="",E69="!!!",F69="NEW"),"",COUNTBLANK(OFFSET(M$1,,,SUMPRODUCT(MAX(ROW(E$2:E69)*(E69=E$2:E69)))))-COUNTBLANK(OFFSET(M$1,,,SUMPRODUCT(MAX(ROW(Q$1:Q68)*(E69=Q$1:Q68))))))</f>
        <v/>
      </c>
      <c r="K69" s="25" t="str">
        <f aca="false">IF(OR(E69="",E69="!!!",F69="NEW"),"",INDEX(V$1:V68,SUMPRODUCT(MAX(ROW(Q$1:Q68)*(E69=Q$1:Q68)))))</f>
        <v/>
      </c>
      <c r="L69" s="26"/>
      <c r="M69" s="27"/>
      <c r="N69" s="29"/>
      <c r="O69" s="29"/>
      <c r="P69" s="29"/>
    </row>
    <row r="70" customFormat="false" ht="15" hidden="false" customHeight="false" outlineLevel="0" collapsed="false">
      <c r="A70" s="19" t="s">
        <v>275</v>
      </c>
      <c r="E70" s="20" t="str">
        <f aca="false">IF(P70="?OLD","!!!","")</f>
        <v/>
      </c>
      <c r="F70" s="21" t="str">
        <f aca="false">IF(OR(E70="",E70="!!!"),"",IF(NOT(ISNA(VLOOKUP(E70,Q$1:Q69,1,FALSE()))),"OLD",IF(AND(E70&lt;&gt;"",E70&lt;&gt;"!!!"),"NEW","")))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IF(OR(E70="",E70="!!!",F70="NEW"),"",INDEX(N$2:N69,-1+SUMPRODUCT(MAX(ROW(E$2:E69)*(E70=E$2:E69)))))</f>
        <v/>
      </c>
      <c r="J70" s="25" t="str">
        <f aca="true">IF(OR(E70="",E70="!!!",F70="NEW"),"",COUNTBLANK(OFFSET(M$1,,,SUMPRODUCT(MAX(ROW(E$2:E70)*(E70=E$2:E70)))))-COUNTBLANK(OFFSET(M$1,,,SUMPRODUCT(MAX(ROW(Q$1:Q69)*(E70=Q$1:Q69))))))</f>
        <v/>
      </c>
      <c r="K70" s="25" t="str">
        <f aca="false">IF(OR(E70="",E70="!!!",F70="NEW"),"",INDEX(V$1:V69,SUMPRODUCT(MAX(ROW(Q$1:Q69)*(E70=Q$1:Q69)))))</f>
        <v/>
      </c>
      <c r="L70" s="26"/>
      <c r="M70" s="27"/>
    </row>
    <row r="71" customFormat="false" ht="15" hidden="false" customHeight="false" outlineLevel="0" collapsed="false">
      <c r="A71" s="19"/>
      <c r="E71" s="20" t="str">
        <f aca="false">IF(P71="?OLD","!!!","")</f>
        <v/>
      </c>
      <c r="F71" s="21" t="str">
        <f aca="false">IF(OR(E71="",E71="!!!"),"",IF(NOT(ISNA(VLOOKUP(E71,Q$1:Q70,1,FALSE()))),"OLD",IF(AND(E71&lt;&gt;"",E71&lt;&gt;"!!!"),"NEW","")))</f>
        <v/>
      </c>
      <c r="G71" s="22" t="str">
        <f aca="false">IF(OR(E71="",E71="!!!"),"",IF(OR(J71=0,AND(J71=1,K71=1),AND(J71=1,I71="SBJ"),AND(J71=1,I71=0)),"?IN_FOCUS",IF(J71&lt;=2,"?ACTIVATED",IF(J71&lt;&gt;"","?FAMILIAR",IF(F71="NEW",IF(ISNA(VLOOKUP(E71,#REF!,1,FALSE())),"?TYPE_IDENTIFIABLE","?REFERENTIAL"),"_")))))</f>
        <v/>
      </c>
      <c r="H71" s="23" t="str">
        <f aca="false">IF(J71&lt;&gt;1,"",IF(I71="SBJ","CB","?"))</f>
        <v/>
      </c>
      <c r="I71" s="24" t="str">
        <f aca="false">IF(OR(E71="",E71="!!!",F71="NEW"),"",INDEX(N$2:N70,-1+SUMPRODUCT(MAX(ROW(E$2:E70)*(E71=E$2:E70)))))</f>
        <v/>
      </c>
      <c r="J71" s="25" t="str">
        <f aca="true">IF(OR(E71="",E71="!!!",F71="NEW"),"",COUNTBLANK(OFFSET(M$1,,,SUMPRODUCT(MAX(ROW(E$2:E71)*(E71=E$2:E71)))))-COUNTBLANK(OFFSET(M$1,,,SUMPRODUCT(MAX(ROW(Q$1:Q70)*(E71=Q$1:Q70))))))</f>
        <v/>
      </c>
      <c r="K71" s="25" t="str">
        <f aca="false">IF(OR(E71="",E71="!!!",F71="NEW"),"",INDEX(V$1:V70,SUMPRODUCT(MAX(ROW(Q$1:Q70)*(E71=Q$1:Q70)))))</f>
        <v/>
      </c>
      <c r="L71" s="26"/>
    </row>
    <row r="72" customFormat="false" ht="15" hidden="false" customHeight="false" outlineLevel="0" collapsed="false">
      <c r="A72" s="19" t="s">
        <v>316</v>
      </c>
      <c r="E72" s="20" t="str">
        <f aca="false">IF(P72="?OLD","!!!","")</f>
        <v/>
      </c>
      <c r="F72" s="21" t="str">
        <f aca="false">IF(OR(E72="",E72="!!!"),"",IF(NOT(ISNA(VLOOKUP(E72,Q$1:Q71,1,FALSE()))),"OLD",IF(AND(E72&lt;&gt;"",E72&lt;&gt;"!!!"),"NEW","")))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IF(OR(E72="",E72="!!!",F72="NEW"),"",INDEX(N$2:N71,-1+SUMPRODUCT(MAX(ROW(E$2:E71)*(E72=E$2:E71)))))</f>
        <v/>
      </c>
      <c r="J72" s="25" t="str">
        <f aca="true">IF(OR(E72="",E72="!!!",F72="NEW"),"",COUNTBLANK(OFFSET(M$1,,,SUMPRODUCT(MAX(ROW(E$2:E72)*(E72=E$2:E72)))))-COUNTBLANK(OFFSET(M$1,,,SUMPRODUCT(MAX(ROW(Q$1:Q71)*(E72=Q$1:Q71))))))</f>
        <v/>
      </c>
      <c r="K72" s="25" t="str">
        <f aca="false">IF(OR(E72="",E72="!!!",F72="NEW"),"",INDEX(V$1:V71,SUMPRODUCT(MAX(ROW(Q$1:Q71)*(E72=Q$1:Q71)))))</f>
        <v/>
      </c>
      <c r="L72" s="26"/>
      <c r="M72" s="27"/>
    </row>
    <row r="73" customFormat="false" ht="15" hidden="false" customHeight="false" outlineLevel="0" collapsed="false">
      <c r="A73" s="19" t="s">
        <v>317</v>
      </c>
      <c r="B73" s="28" t="s">
        <v>263</v>
      </c>
      <c r="C73" s="28" t="s">
        <v>264</v>
      </c>
      <c r="D73" s="28" t="s">
        <v>253</v>
      </c>
      <c r="E73" s="20" t="s">
        <v>265</v>
      </c>
      <c r="F73" s="21" t="str">
        <f aca="false">IF(OR(E73="",E73="!!!"),"",IF(NOT(ISNA(VLOOKUP(E73,Q$1:Q72,1,FALSE()))),"OLD",IF(AND(E73&lt;&gt;"",E73&lt;&gt;"!!!"),"NEW","")))</f>
        <v>NEW</v>
      </c>
      <c r="G73" s="22" t="s">
        <v>266</v>
      </c>
      <c r="H73" s="23" t="s">
        <v>243</v>
      </c>
      <c r="I73" s="24" t="str">
        <f aca="false">IF(OR(E73="",E73="!!!",F73="NEW"),"",INDEX(N$2:N72,-1+SUMPRODUCT(MAX(ROW(E$2:E72)*(E73=E$2:E72)))))</f>
        <v/>
      </c>
      <c r="J73" s="25" t="str">
        <f aca="true">IF(OR(E73="",E73="!!!",F73="NEW"),"",COUNTBLANK(OFFSET(M$1,,,SUMPRODUCT(MAX(ROW(E$2:E73)*(E73=E$2:E73)))))-COUNTBLANK(OFFSET(M$1,,,SUMPRODUCT(MAX(ROW(Q$1:Q72)*(E73=Q$1:Q72))))))</f>
        <v/>
      </c>
      <c r="K73" s="25" t="str">
        <f aca="false">IF(OR(E73="",E73="!!!",F73="NEW"),"",INDEX(V$1:V72,SUMPRODUCT(MAX(ROW(Q$1:Q72)*(E73=Q$1:Q72)))))</f>
        <v/>
      </c>
      <c r="L73" s="26"/>
      <c r="M73" s="27"/>
      <c r="N73" s="29"/>
      <c r="O73" s="29"/>
      <c r="P73" s="29"/>
    </row>
    <row r="74" customFormat="false" ht="15" hidden="false" customHeight="false" outlineLevel="0" collapsed="false">
      <c r="A74" s="19" t="s">
        <v>268</v>
      </c>
      <c r="E74" s="20" t="str">
        <f aca="false">IF(P74="?OLD","!!!","")</f>
        <v/>
      </c>
      <c r="F74" s="21" t="str">
        <f aca="false">IF(OR(E74="",E74="!!!"),"",IF(NOT(ISNA(VLOOKUP(E74,Q$1:Q73,1,FALSE()))),"OLD",IF(AND(E74&lt;&gt;"",E74&lt;&gt;"!!!"),"NEW","")))</f>
        <v/>
      </c>
      <c r="G74" s="22" t="str">
        <f aca="false">IF(OR(E74="",E74="!!!"),"",IF(OR(J74=0,AND(J74=1,K74=1),AND(J74=1,I74="SBJ"),AND(J74=1,I74=0)),"?IN_FOCUS",IF(J74&lt;=2,"?ACTIVATED",IF(J74&lt;&gt;"","?FAMILIAR",IF(F74="NEW",IF(ISNA(VLOOKUP(E74,#REF!,1,FALSE())),"?TYPE_IDENTIFIABLE","?REFERENTIAL"),"_")))))</f>
        <v/>
      </c>
      <c r="H74" s="23" t="str">
        <f aca="false">IF(J74&lt;&gt;1,"",IF(I74="SBJ","CB","?"))</f>
        <v/>
      </c>
      <c r="I74" s="24" t="str">
        <f aca="false">IF(OR(E74="",E74="!!!",F74="NEW"),"",INDEX(N$2:N73,-1+SUMPRODUCT(MAX(ROW(E$2:E73)*(E74=E$2:E73)))))</f>
        <v/>
      </c>
      <c r="J74" s="25" t="str">
        <f aca="true">IF(OR(E74="",E74="!!!",F74="NEW"),"",COUNTBLANK(OFFSET(M$1,,,SUMPRODUCT(MAX(ROW(E$2:E74)*(E74=E$2:E74)))))-COUNTBLANK(OFFSET(M$1,,,SUMPRODUCT(MAX(ROW(Q$1:Q73)*(E74=Q$1:Q73))))))</f>
        <v/>
      </c>
      <c r="K74" s="25" t="str">
        <f aca="false">IF(OR(E74="",E74="!!!",F74="NEW"),"",INDEX(V$1:V73,SUMPRODUCT(MAX(ROW(Q$1:Q73)*(E74=Q$1:Q73)))))</f>
        <v/>
      </c>
      <c r="L74" s="26"/>
      <c r="M74" s="27"/>
    </row>
    <row r="75" customFormat="false" ht="15" hidden="false" customHeight="false" outlineLevel="0" collapsed="false">
      <c r="A75" s="19" t="s">
        <v>218</v>
      </c>
      <c r="E75" s="20" t="str">
        <f aca="false">IF(P75="?OLD","!!!","")</f>
        <v/>
      </c>
      <c r="F75" s="21" t="str">
        <f aca="false">IF(OR(E75="",E75="!!!"),"",IF(NOT(ISNA(VLOOKUP(E75,Q$1:Q74,1,FALSE()))),"OLD",IF(AND(E75&lt;&gt;"",E75&lt;&gt;"!!!"),"NEW","")))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IF(OR(E75="",E75="!!!",F75="NEW"),"",INDEX(N$2:N74,-1+SUMPRODUCT(MAX(ROW(E$2:E74)*(E75=E$2:E74)))))</f>
        <v/>
      </c>
      <c r="J75" s="25" t="str">
        <f aca="true">IF(OR(E75="",E75="!!!",F75="NEW"),"",COUNTBLANK(OFFSET(M$1,,,SUMPRODUCT(MAX(ROW(E$2:E75)*(E75=E$2:E75)))))-COUNTBLANK(OFFSET(M$1,,,SUMPRODUCT(MAX(ROW(Q$1:Q74)*(E75=Q$1:Q74))))))</f>
        <v/>
      </c>
      <c r="K75" s="25" t="str">
        <f aca="false">IF(OR(E75="",E75="!!!",F75="NEW"),"",INDEX(V$1:V74,SUMPRODUCT(MAX(ROW(Q$1:Q74)*(E75=Q$1:Q74)))))</f>
        <v/>
      </c>
      <c r="L75" s="26"/>
      <c r="M75" s="27"/>
    </row>
    <row r="76" customFormat="false" ht="15" hidden="false" customHeight="false" outlineLevel="0" collapsed="false">
      <c r="A76" s="19" t="s">
        <v>297</v>
      </c>
      <c r="E76" s="20" t="str">
        <f aca="false">IF(P76="?OLD","!!!","")</f>
        <v/>
      </c>
      <c r="F76" s="21" t="str">
        <f aca="false">IF(OR(E76="",E76="!!!"),"",IF(NOT(ISNA(VLOOKUP(E76,Q$1:Q75,1,FALSE()))),"OLD",IF(AND(E76&lt;&gt;"",E76&lt;&gt;"!!!"),"NEW","")))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IF(OR(E76="",E76="!!!",F76="NEW"),"",INDEX(N$2:N75,-1+SUMPRODUCT(MAX(ROW(E$2:E75)*(E76=E$2:E75)))))</f>
        <v/>
      </c>
      <c r="J76" s="25" t="str">
        <f aca="true">IF(OR(E76="",E76="!!!",F76="NEW"),"",COUNTBLANK(OFFSET(M$1,,,SUMPRODUCT(MAX(ROW(E$2:E76)*(E76=E$2:E76)))))-COUNTBLANK(OFFSET(M$1,,,SUMPRODUCT(MAX(ROW(Q$1:Q75)*(E76=Q$1:Q75))))))</f>
        <v/>
      </c>
      <c r="K76" s="25" t="str">
        <f aca="false">IF(OR(E76="",E76="!!!",F76="NEW"),"",INDEX(V$1:V75,SUMPRODUCT(MAX(ROW(Q$1:Q75)*(E76=Q$1:Q75)))))</f>
        <v/>
      </c>
      <c r="L76" s="26"/>
      <c r="M76" s="27"/>
    </row>
    <row r="77" customFormat="false" ht="15" hidden="false" customHeight="false" outlineLevel="0" collapsed="false">
      <c r="A77" s="19" t="s">
        <v>269</v>
      </c>
      <c r="E77" s="20" t="str">
        <f aca="false">IF(P77="?OLD","!!!","")</f>
        <v/>
      </c>
      <c r="F77" s="21" t="str">
        <f aca="false">IF(OR(E77="",E77="!!!"),"",IF(NOT(ISNA(VLOOKUP(E77,Q$1:Q76,1,FALSE()))),"OLD",IF(AND(E77&lt;&gt;"",E77&lt;&gt;"!!!"),"NEW","")))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IF(OR(E77="",E77="!!!",F77="NEW"),"",INDEX(N$2:N76,-1+SUMPRODUCT(MAX(ROW(E$2:E76)*(E77=E$2:E76)))))</f>
        <v/>
      </c>
      <c r="J77" s="25" t="str">
        <f aca="true">IF(OR(E77="",E77="!!!",F77="NEW"),"",COUNTBLANK(OFFSET(M$1,,,SUMPRODUCT(MAX(ROW(E$2:E77)*(E77=E$2:E77)))))-COUNTBLANK(OFFSET(M$1,,,SUMPRODUCT(MAX(ROW(Q$1:Q76)*(E77=Q$1:Q76))))))</f>
        <v/>
      </c>
      <c r="K77" s="25" t="str">
        <f aca="false">IF(OR(E77="",E77="!!!",F77="NEW"),"",INDEX(V$1:V76,SUMPRODUCT(MAX(ROW(Q$1:Q76)*(E77=Q$1:Q76)))))</f>
        <v/>
      </c>
      <c r="L77" s="26"/>
      <c r="M77" s="27"/>
    </row>
    <row r="78" customFormat="false" ht="15" hidden="false" customHeight="false" outlineLevel="0" collapsed="false">
      <c r="A78" s="19" t="s">
        <v>250</v>
      </c>
      <c r="E78" s="20" t="str">
        <f aca="false">IF(P78="?OLD","!!!","")</f>
        <v/>
      </c>
      <c r="F78" s="21" t="str">
        <f aca="false">IF(OR(E78="",E78="!!!"),"",IF(NOT(ISNA(VLOOKUP(E78,Q$1:Q77,1,FALSE()))),"OLD",IF(AND(E78&lt;&gt;"",E78&lt;&gt;"!!!"),"NEW","")))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IF(OR(E78="",E78="!!!",F78="NEW"),"",INDEX(N$2:N77,-1+SUMPRODUCT(MAX(ROW(E$2:E77)*(E78=E$2:E77)))))</f>
        <v/>
      </c>
      <c r="J78" s="25" t="str">
        <f aca="true">IF(OR(E78="",E78="!!!",F78="NEW"),"",COUNTBLANK(OFFSET(M$1,,,SUMPRODUCT(MAX(ROW(E$2:E78)*(E78=E$2:E78)))))-COUNTBLANK(OFFSET(M$1,,,SUMPRODUCT(MAX(ROW(Q$1:Q77)*(E78=Q$1:Q77))))))</f>
        <v/>
      </c>
      <c r="K78" s="25" t="str">
        <f aca="false">IF(OR(E78="",E78="!!!",F78="NEW"),"",INDEX(V$1:V77,SUMPRODUCT(MAX(ROW(Q$1:Q77)*(E78=Q$1:Q77)))))</f>
        <v/>
      </c>
      <c r="L78" s="26"/>
      <c r="M78" s="27"/>
    </row>
    <row r="79" customFormat="false" ht="15" hidden="false" customHeight="false" outlineLevel="0" collapsed="false">
      <c r="A79" s="19" t="s">
        <v>318</v>
      </c>
      <c r="E79" s="20" t="str">
        <f aca="false">IF(P79="?OLD","!!!","")</f>
        <v/>
      </c>
      <c r="F79" s="21" t="str">
        <f aca="false">IF(OR(E79="",E79="!!!"),"",IF(NOT(ISNA(VLOOKUP(E79,Q$1:Q78,1,FALSE()))),"OLD",IF(AND(E79&lt;&gt;"",E79&lt;&gt;"!!!"),"NEW","")))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IF(OR(E79="",E79="!!!",F79="NEW"),"",INDEX(N$2:N78,-1+SUMPRODUCT(MAX(ROW(E$2:E78)*(E79=E$2:E78)))))</f>
        <v/>
      </c>
      <c r="J79" s="25" t="str">
        <f aca="true">IF(OR(E79="",E79="!!!",F79="NEW"),"",COUNTBLANK(OFFSET(M$1,,,SUMPRODUCT(MAX(ROW(E$2:E79)*(E79=E$2:E79)))))-COUNTBLANK(OFFSET(M$1,,,SUMPRODUCT(MAX(ROW(Q$1:Q78)*(E79=Q$1:Q78))))))</f>
        <v/>
      </c>
      <c r="K79" s="25" t="str">
        <f aca="false">IF(OR(E79="",E79="!!!",F79="NEW"),"",INDEX(V$1:V78,SUMPRODUCT(MAX(ROW(Q$1:Q78)*(E79=Q$1:Q78)))))</f>
        <v/>
      </c>
      <c r="L79" s="26"/>
      <c r="M79" s="27"/>
    </row>
    <row r="80" customFormat="false" ht="15" hidden="false" customHeight="false" outlineLevel="0" collapsed="false">
      <c r="A80" s="19" t="s">
        <v>319</v>
      </c>
      <c r="B80" s="28" t="s">
        <v>271</v>
      </c>
      <c r="C80" s="28" t="s">
        <v>252</v>
      </c>
      <c r="D80" s="28" t="s">
        <v>253</v>
      </c>
      <c r="E80" s="20" t="s">
        <v>320</v>
      </c>
      <c r="F80" s="21" t="str">
        <f aca="false">IF(OR(E80="",E80="!!!"),"",IF(NOT(ISNA(VLOOKUP(E80,Q$1:Q79,1,FALSE()))),"OLD",IF(AND(E80&lt;&gt;"",E80&lt;&gt;"!!!"),"NEW","")))</f>
        <v>NEW</v>
      </c>
      <c r="G80" s="22" t="s">
        <v>283</v>
      </c>
      <c r="H80" s="23" t="str">
        <f aca="false">IF(J80&lt;&gt;1,"",IF(I80="SBJ","CB","?"))</f>
        <v/>
      </c>
      <c r="I80" s="24" t="str">
        <f aca="false">IF(OR(E80="",E80="!!!",F80="NEW"),"",INDEX(N$2:N79,-1+SUMPRODUCT(MAX(ROW(E$2:E79)*(E80=E$2:E79)))))</f>
        <v/>
      </c>
      <c r="J80" s="25" t="str">
        <f aca="true">IF(OR(E80="",E80="!!!",F80="NEW"),"",COUNTBLANK(OFFSET(M$1,,,SUMPRODUCT(MAX(ROW(E$2:E80)*(E80=E$2:E80)))))-COUNTBLANK(OFFSET(M$1,,,SUMPRODUCT(MAX(ROW(Q$1:Q79)*(E80=Q$1:Q79))))))</f>
        <v/>
      </c>
      <c r="K80" s="25" t="str">
        <f aca="false">IF(OR(E80="",E80="!!!",F80="NEW"),"",INDEX(V$1:V79,SUMPRODUCT(MAX(ROW(Q$1:Q79)*(E80=Q$1:Q79)))))</f>
        <v/>
      </c>
      <c r="L80" s="26"/>
      <c r="M80" s="27"/>
      <c r="N80" s="29"/>
      <c r="O80" s="29"/>
      <c r="P80" s="29"/>
    </row>
    <row r="81" customFormat="false" ht="15" hidden="false" customHeight="false" outlineLevel="0" collapsed="false">
      <c r="A81" s="19" t="s">
        <v>261</v>
      </c>
      <c r="E81" s="20" t="str">
        <f aca="false">IF(P81="?OLD","!!!","")</f>
        <v/>
      </c>
      <c r="F81" s="21" t="str">
        <f aca="false">IF(OR(E81="",E81="!!!"),"",IF(NOT(ISNA(VLOOKUP(E81,Q$1:Q80,1,FALSE()))),"OLD",IF(AND(E81&lt;&gt;"",E81&lt;&gt;"!!!"),"NEW","")))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IF(OR(E81="",E81="!!!",F81="NEW"),"",INDEX(N$2:N80,-1+SUMPRODUCT(MAX(ROW(E$2:E80)*(E81=E$2:E80)))))</f>
        <v/>
      </c>
      <c r="J81" s="25" t="str">
        <f aca="true">IF(OR(E81="",E81="!!!",F81="NEW"),"",COUNTBLANK(OFFSET(M$1,,,SUMPRODUCT(MAX(ROW(E$2:E81)*(E81=E$2:E81)))))-COUNTBLANK(OFFSET(M$1,,,SUMPRODUCT(MAX(ROW(Q$1:Q80)*(E81=Q$1:Q80))))))</f>
        <v/>
      </c>
      <c r="K81" s="25" t="str">
        <f aca="false">IF(OR(E81="",E81="!!!",F81="NEW"),"",INDEX(V$1:V80,SUMPRODUCT(MAX(ROW(Q$1:Q80)*(E81=Q$1:Q80)))))</f>
        <v/>
      </c>
      <c r="L81" s="26"/>
      <c r="M81" s="27"/>
    </row>
    <row r="82" customFormat="false" ht="15" hidden="false" customHeight="false" outlineLevel="0" collapsed="false">
      <c r="A82" s="19" t="s">
        <v>294</v>
      </c>
      <c r="E82" s="20" t="str">
        <f aca="false">IF(P82="?OLD","!!!","")</f>
        <v/>
      </c>
      <c r="F82" s="21" t="str">
        <f aca="false">IF(OR(E82="",E82="!!!"),"",IF(NOT(ISNA(VLOOKUP(E82,Q$1:Q81,1,FALSE()))),"OLD",IF(AND(E82&lt;&gt;"",E82&lt;&gt;"!!!"),"NEW","")))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IF(OR(E82="",E82="!!!",F82="NEW"),"",INDEX(N$2:N81,-1+SUMPRODUCT(MAX(ROW(E$2:E81)*(E82=E$2:E81)))))</f>
        <v/>
      </c>
      <c r="J82" s="25" t="str">
        <f aca="true">IF(OR(E82="",E82="!!!",F82="NEW"),"",COUNTBLANK(OFFSET(M$1,,,SUMPRODUCT(MAX(ROW(E$2:E82)*(E82=E$2:E82)))))-COUNTBLANK(OFFSET(M$1,,,SUMPRODUCT(MAX(ROW(Q$1:Q81)*(E82=Q$1:Q81))))))</f>
        <v/>
      </c>
      <c r="K82" s="25" t="str">
        <f aca="false">IF(OR(E82="",E82="!!!",F82="NEW"),"",INDEX(V$1:V81,SUMPRODUCT(MAX(ROW(Q$1:Q81)*(E82=Q$1:Q81)))))</f>
        <v/>
      </c>
      <c r="L82" s="26"/>
      <c r="M82" s="27"/>
    </row>
    <row r="83" customFormat="false" ht="15" hidden="false" customHeight="false" outlineLevel="0" collapsed="false">
      <c r="A83" s="19" t="s">
        <v>321</v>
      </c>
      <c r="E83" s="20" t="str">
        <f aca="false">IF(P83="?OLD","!!!","")</f>
        <v/>
      </c>
      <c r="F83" s="21" t="str">
        <f aca="false">IF(OR(E83="",E83="!!!"),"",IF(NOT(ISNA(VLOOKUP(E83,Q$1:Q82,1,FALSE()))),"OLD",IF(AND(E83&lt;&gt;"",E83&lt;&gt;"!!!"),"NEW","")))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4" t="str">
        <f aca="false">IF(OR(E83="",E83="!!!",F83="NEW"),"",INDEX(N$2:N82,-1+SUMPRODUCT(MAX(ROW(E$2:E82)*(E83=E$2:E82)))))</f>
        <v/>
      </c>
      <c r="J83" s="25" t="str">
        <f aca="true">IF(OR(E83="",E83="!!!",F83="NEW"),"",COUNTBLANK(OFFSET(M$1,,,SUMPRODUCT(MAX(ROW(E$2:E83)*(E83=E$2:E83)))))-COUNTBLANK(OFFSET(M$1,,,SUMPRODUCT(MAX(ROW(Q$1:Q82)*(E83=Q$1:Q82))))))</f>
        <v/>
      </c>
      <c r="K83" s="25" t="str">
        <f aca="false">IF(OR(E83="",E83="!!!",F83="NEW"),"",INDEX(V$1:V82,SUMPRODUCT(MAX(ROW(Q$1:Q82)*(E83=Q$1:Q82)))))</f>
        <v/>
      </c>
      <c r="L83" s="26"/>
      <c r="M83" s="27"/>
    </row>
    <row r="84" customFormat="false" ht="15" hidden="false" customHeight="false" outlineLevel="0" collapsed="false">
      <c r="A84" s="19" t="s">
        <v>309</v>
      </c>
      <c r="E84" s="20" t="str">
        <f aca="false">IF(P84="?OLD","!!!","")</f>
        <v/>
      </c>
      <c r="F84" s="21" t="str">
        <f aca="false">IF(OR(E84="",E84="!!!"),"",IF(NOT(ISNA(VLOOKUP(E84,Q$1:Q83,1,FALSE()))),"OLD",IF(AND(E84&lt;&gt;"",E84&lt;&gt;"!!!"),"NEW","")))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IF(OR(E84="",E84="!!!",F84="NEW"),"",INDEX(N$2:N83,-1+SUMPRODUCT(MAX(ROW(E$2:E83)*(E84=E$2:E83)))))</f>
        <v/>
      </c>
      <c r="J84" s="25" t="str">
        <f aca="true">IF(OR(E84="",E84="!!!",F84="NEW"),"",COUNTBLANK(OFFSET(M$1,,,SUMPRODUCT(MAX(ROW(E$2:E84)*(E84=E$2:E84)))))-COUNTBLANK(OFFSET(M$1,,,SUMPRODUCT(MAX(ROW(Q$1:Q83)*(E84=Q$1:Q83))))))</f>
        <v/>
      </c>
      <c r="K84" s="25" t="str">
        <f aca="false">IF(OR(E84="",E84="!!!",F84="NEW"),"",INDEX(V$1:V83,SUMPRODUCT(MAX(ROW(Q$1:Q83)*(E84=Q$1:Q83)))))</f>
        <v/>
      </c>
      <c r="L84" s="26"/>
      <c r="M84" s="27"/>
    </row>
    <row r="85" customFormat="false" ht="15" hidden="false" customHeight="false" outlineLevel="0" collapsed="false">
      <c r="A85" s="19" t="s">
        <v>75</v>
      </c>
      <c r="E85" s="20" t="str">
        <f aca="false">IF(P85="?OLD","!!!","")</f>
        <v/>
      </c>
      <c r="F85" s="21" t="str">
        <f aca="false">IF(OR(E85="",E85="!!!"),"",IF(NOT(ISNA(VLOOKUP(E85,Q$1:Q84,1,FALSE()))),"OLD",IF(AND(E85&lt;&gt;"",E85&lt;&gt;"!!!"),"NEW","")))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IF(OR(E85="",E85="!!!",F85="NEW"),"",INDEX(N$2:N84,-1+SUMPRODUCT(MAX(ROW(E$2:E84)*(E85=E$2:E84)))))</f>
        <v/>
      </c>
      <c r="J85" s="25" t="str">
        <f aca="true">IF(OR(E85="",E85="!!!",F85="NEW"),"",COUNTBLANK(OFFSET(M$1,,,SUMPRODUCT(MAX(ROW(E$2:E85)*(E85=E$2:E85)))))-COUNTBLANK(OFFSET(M$1,,,SUMPRODUCT(MAX(ROW(Q$1:Q84)*(E85=Q$1:Q84))))))</f>
        <v/>
      </c>
      <c r="K85" s="25" t="str">
        <f aca="false">IF(OR(E85="",E85="!!!",F85="NEW"),"",INDEX(V$1:V84,SUMPRODUCT(MAX(ROW(Q$1:Q84)*(E85=Q$1:Q84)))))</f>
        <v/>
      </c>
      <c r="L85" s="26"/>
      <c r="M85" s="27"/>
    </row>
    <row r="86" customFormat="false" ht="15" hidden="false" customHeight="false" outlineLevel="0" collapsed="false">
      <c r="A86" s="19" t="s">
        <v>269</v>
      </c>
      <c r="E86" s="20" t="str">
        <f aca="false">IF(P86="?OLD","!!!","")</f>
        <v/>
      </c>
      <c r="F86" s="21" t="str">
        <f aca="false">IF(OR(E86="",E86="!!!"),"",IF(NOT(ISNA(VLOOKUP(E86,Q$1:Q85,1,FALSE()))),"OLD",IF(AND(E86&lt;&gt;"",E86&lt;&gt;"!!!"),"NEW","")))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IF(OR(E86="",E86="!!!",F86="NEW"),"",INDEX(N$2:N85,-1+SUMPRODUCT(MAX(ROW(E$2:E85)*(E86=E$2:E85)))))</f>
        <v/>
      </c>
      <c r="J86" s="25" t="str">
        <f aca="true">IF(OR(E86="",E86="!!!",F86="NEW"),"",COUNTBLANK(OFFSET(M$1,,,SUMPRODUCT(MAX(ROW(E$2:E86)*(E86=E$2:E86)))))-COUNTBLANK(OFFSET(M$1,,,SUMPRODUCT(MAX(ROW(Q$1:Q85)*(E86=Q$1:Q85))))))</f>
        <v/>
      </c>
      <c r="K86" s="25" t="str">
        <f aca="false">IF(OR(E86="",E86="!!!",F86="NEW"),"",INDEX(V$1:V85,SUMPRODUCT(MAX(ROW(Q$1:Q85)*(E86=Q$1:Q85)))))</f>
        <v/>
      </c>
      <c r="L86" s="26"/>
      <c r="M86" s="27"/>
    </row>
    <row r="87" customFormat="false" ht="15" hidden="false" customHeight="false" outlineLevel="0" collapsed="false">
      <c r="A87" s="19" t="s">
        <v>271</v>
      </c>
      <c r="E87" s="20" t="str">
        <f aca="false">IF(P87="?OLD","!!!","")</f>
        <v/>
      </c>
      <c r="F87" s="21" t="str">
        <f aca="false">IF(OR(E87="",E87="!!!"),"",IF(NOT(ISNA(VLOOKUP(E87,Q$1:Q86,1,FALSE()))),"OLD",IF(AND(E87&lt;&gt;"",E87&lt;&gt;"!!!"),"NEW","")))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4" t="str">
        <f aca="false">IF(OR(E87="",E87="!!!",F87="NEW"),"",INDEX(N$2:N86,-1+SUMPRODUCT(MAX(ROW(E$2:E86)*(E87=E$2:E86)))))</f>
        <v/>
      </c>
      <c r="J87" s="25" t="str">
        <f aca="true">IF(OR(E87="",E87="!!!",F87="NEW"),"",COUNTBLANK(OFFSET(M$1,,,SUMPRODUCT(MAX(ROW(E$2:E87)*(E87=E$2:E87)))))-COUNTBLANK(OFFSET(M$1,,,SUMPRODUCT(MAX(ROW(Q$1:Q86)*(E87=Q$1:Q86))))))</f>
        <v/>
      </c>
      <c r="K87" s="25" t="str">
        <f aca="false">IF(OR(E87="",E87="!!!",F87="NEW"),"",INDEX(V$1:V86,SUMPRODUCT(MAX(ROW(Q$1:Q86)*(E87=Q$1:Q86)))))</f>
        <v/>
      </c>
      <c r="L87" s="26"/>
      <c r="M87" s="27"/>
    </row>
    <row r="88" customFormat="false" ht="15" hidden="false" customHeight="false" outlineLevel="0" collapsed="false">
      <c r="A88" s="19" t="s">
        <v>322</v>
      </c>
      <c r="B88" s="28" t="s">
        <v>258</v>
      </c>
      <c r="C88" s="28" t="s">
        <v>259</v>
      </c>
      <c r="E88" s="20" t="str">
        <f aca="false">IF(P88="?OLD","!!!","")</f>
        <v/>
      </c>
      <c r="F88" s="21" t="str">
        <f aca="false">IF(OR(E88="",E88="!!!"),"",IF(NOT(ISNA(VLOOKUP(E88,Q$1:Q87,1,FALSE()))),"OLD",IF(AND(E88&lt;&gt;"",E88&lt;&gt;"!!!"),"NEW","")))</f>
        <v/>
      </c>
      <c r="G88" s="22" t="str">
        <f aca="false">IF(OR(E88="",E88="!!!"),"",IF(OR(J88=0,AND(J88=1,K88=1),AND(J88=1,I88="SBJ"),AND(J88=1,I88=0)),"?IN_FOCUS",IF(J88&lt;=2,"?ACTIVATED",IF(J88&lt;&gt;"","?FAMILIAR",IF(F88="NEW",IF(ISNA(VLOOKUP(E88,#REF!,1,FALSE())),"?TYPE_IDENTIFIABLE","?REFERENTIAL"),"_")))))</f>
        <v/>
      </c>
      <c r="H88" s="23" t="str">
        <f aca="false">IF(J88&lt;&gt;1,"",IF(I88="SBJ","CB","?"))</f>
        <v/>
      </c>
      <c r="I88" s="24" t="str">
        <f aca="false">IF(OR(E88="",E88="!!!",F88="NEW"),"",INDEX(N$2:N87,-1+SUMPRODUCT(MAX(ROW(E$2:E87)*(E88=E$2:E87)))))</f>
        <v/>
      </c>
      <c r="J88" s="25" t="str">
        <f aca="true">IF(OR(E88="",E88="!!!",F88="NEW"),"",COUNTBLANK(OFFSET(M$1,,,SUMPRODUCT(MAX(ROW(E$2:E88)*(E88=E$2:E88)))))-COUNTBLANK(OFFSET(M$1,,,SUMPRODUCT(MAX(ROW(Q$1:Q87)*(E88=Q$1:Q87))))))</f>
        <v/>
      </c>
      <c r="K88" s="25" t="str">
        <f aca="false">IF(OR(E88="",E88="!!!",F88="NEW"),"",INDEX(V$1:V87,SUMPRODUCT(MAX(ROW(Q$1:Q87)*(E88=Q$1:Q87)))))</f>
        <v/>
      </c>
      <c r="L88" s="26"/>
      <c r="M88" s="27"/>
      <c r="N88" s="29"/>
      <c r="O88" s="29"/>
    </row>
    <row r="89" customFormat="false" ht="15" hidden="false" customHeight="false" outlineLevel="0" collapsed="false">
      <c r="A89" s="19" t="s">
        <v>261</v>
      </c>
      <c r="E89" s="20" t="str">
        <f aca="false">IF(P89="?OLD","!!!","")</f>
        <v/>
      </c>
      <c r="F89" s="21" t="str">
        <f aca="false">IF(OR(E89="",E89="!!!"),"",IF(NOT(ISNA(VLOOKUP(E89,Q$1:Q88,1,FALSE()))),"OLD",IF(AND(E89&lt;&gt;"",E89&lt;&gt;"!!!"),"NEW","")))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IF(OR(E89="",E89="!!!",F89="NEW"),"",INDEX(N$2:N88,-1+SUMPRODUCT(MAX(ROW(E$2:E88)*(E89=E$2:E88)))))</f>
        <v/>
      </c>
      <c r="J89" s="25" t="str">
        <f aca="true">IF(OR(E89="",E89="!!!",F89="NEW"),"",COUNTBLANK(OFFSET(M$1,,,SUMPRODUCT(MAX(ROW(E$2:E89)*(E89=E$2:E89)))))-COUNTBLANK(OFFSET(M$1,,,SUMPRODUCT(MAX(ROW(Q$1:Q88)*(E89=Q$1:Q88))))))</f>
        <v/>
      </c>
      <c r="K89" s="25" t="str">
        <f aca="false">IF(OR(E89="",E89="!!!",F89="NEW"),"",INDEX(V$1:V88,SUMPRODUCT(MAX(ROW(Q$1:Q88)*(E89=Q$1:Q88)))))</f>
        <v/>
      </c>
      <c r="L89" s="26"/>
      <c r="M89" s="27"/>
    </row>
    <row r="90" customFormat="false" ht="15" hidden="false" customHeight="false" outlineLevel="0" collapsed="false">
      <c r="A90" s="19" t="s">
        <v>323</v>
      </c>
      <c r="E90" s="20" t="str">
        <f aca="false">IF(P90="?OLD","!!!","")</f>
        <v/>
      </c>
      <c r="F90" s="21" t="str">
        <f aca="false">IF(OR(E90="",E90="!!!"),"",IF(NOT(ISNA(VLOOKUP(E90,Q$1:Q89,1,FALSE()))),"OLD",IF(AND(E90&lt;&gt;"",E90&lt;&gt;"!!!"),"NEW","")))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IF(OR(E90="",E90="!!!",F90="NEW"),"",INDEX(N$2:N89,-1+SUMPRODUCT(MAX(ROW(E$2:E89)*(E90=E$2:E89)))))</f>
        <v/>
      </c>
      <c r="J90" s="25" t="str">
        <f aca="true">IF(OR(E90="",E90="!!!",F90="NEW"),"",COUNTBLANK(OFFSET(M$1,,,SUMPRODUCT(MAX(ROW(E$2:E90)*(E90=E$2:E90)))))-COUNTBLANK(OFFSET(M$1,,,SUMPRODUCT(MAX(ROW(Q$1:Q89)*(E90=Q$1:Q89))))))</f>
        <v/>
      </c>
      <c r="K90" s="25" t="str">
        <f aca="false">IF(OR(E90="",E90="!!!",F90="NEW"),"",INDEX(V$1:V89,SUMPRODUCT(MAX(ROW(Q$1:Q89)*(E90=Q$1:Q89)))))</f>
        <v/>
      </c>
      <c r="L90" s="26"/>
      <c r="M90" s="27"/>
    </row>
    <row r="91" customFormat="false" ht="15" hidden="false" customHeight="false" outlineLevel="0" collapsed="false">
      <c r="A91" s="19" t="s">
        <v>250</v>
      </c>
      <c r="E91" s="20" t="str">
        <f aca="false">IF(P91="?OLD","!!!","")</f>
        <v/>
      </c>
      <c r="F91" s="21" t="str">
        <f aca="false">IF(OR(E91="",E91="!!!"),"",IF(NOT(ISNA(VLOOKUP(E91,Q$1:Q90,1,FALSE()))),"OLD",IF(AND(E91&lt;&gt;"",E91&lt;&gt;"!!!"),"NEW","")))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IF(OR(E91="",E91="!!!",F91="NEW"),"",INDEX(N$2:N90,-1+SUMPRODUCT(MAX(ROW(E$2:E90)*(E91=E$2:E90)))))</f>
        <v/>
      </c>
      <c r="J91" s="25" t="str">
        <f aca="true">IF(OR(E91="",E91="!!!",F91="NEW"),"",COUNTBLANK(OFFSET(M$1,,,SUMPRODUCT(MAX(ROW(E$2:E91)*(E91=E$2:E91)))))-COUNTBLANK(OFFSET(M$1,,,SUMPRODUCT(MAX(ROW(Q$1:Q90)*(E91=Q$1:Q90))))))</f>
        <v/>
      </c>
      <c r="K91" s="25" t="str">
        <f aca="false">IF(OR(E91="",E91="!!!",F91="NEW"),"",INDEX(V$1:V90,SUMPRODUCT(MAX(ROW(Q$1:Q90)*(E91=Q$1:Q90)))))</f>
        <v/>
      </c>
      <c r="L91" s="26"/>
      <c r="M91" s="27"/>
    </row>
    <row r="92" customFormat="false" ht="15" hidden="false" customHeight="false" outlineLevel="0" collapsed="false">
      <c r="A92" s="19" t="s">
        <v>319</v>
      </c>
      <c r="B92" s="28" t="s">
        <v>324</v>
      </c>
      <c r="C92" s="28" t="s">
        <v>252</v>
      </c>
      <c r="D92" s="28" t="s">
        <v>253</v>
      </c>
      <c r="E92" s="20" t="s">
        <v>320</v>
      </c>
      <c r="F92" s="21" t="str">
        <f aca="false">IF(OR(E92="",E92="!!!"),"",IF(NOT(ISNA(VLOOKUP(E92,Q$1:Q91,1,FALSE()))),"OLD",IF(AND(E92&lt;&gt;"",E92&lt;&gt;"!!!"),"NEW","")))</f>
        <v>NEW</v>
      </c>
      <c r="G92" s="22" t="s">
        <v>296</v>
      </c>
      <c r="H92" s="23" t="str">
        <f aca="false">IF(J92&lt;&gt;1,"",IF(I92="SBJ","CB","?"))</f>
        <v/>
      </c>
      <c r="I92" s="24" t="str">
        <f aca="false">IF(OR(E92="",E92="!!!",F92="NEW"),"",INDEX(N$2:N91,-1+SUMPRODUCT(MAX(ROW(E$2:E91)*(E92=E$2:E91)))))</f>
        <v/>
      </c>
      <c r="J92" s="25" t="str">
        <f aca="true">IF(OR(E92="",E92="!!!",F92="NEW"),"",COUNTBLANK(OFFSET(M$1,,,SUMPRODUCT(MAX(ROW(E$2:E92)*(E92=E$2:E92)))))-COUNTBLANK(OFFSET(M$1,,,SUMPRODUCT(MAX(ROW(Q$1:Q91)*(E92=Q$1:Q91))))))</f>
        <v/>
      </c>
      <c r="K92" s="25" t="str">
        <f aca="false">IF(OR(E92="",E92="!!!",F92="NEW"),"",INDEX(V$1:V91,SUMPRODUCT(MAX(ROW(Q$1:Q91)*(E92=Q$1:Q91)))))</f>
        <v/>
      </c>
      <c r="L92" s="26"/>
      <c r="M92" s="27"/>
      <c r="N92" s="29"/>
      <c r="O92" s="29"/>
      <c r="P92" s="29"/>
    </row>
    <row r="93" customFormat="false" ht="15" hidden="false" customHeight="false" outlineLevel="0" collapsed="false">
      <c r="A93" s="19" t="s">
        <v>325</v>
      </c>
      <c r="E93" s="20" t="str">
        <f aca="false">IF(P93="?OLD","!!!","")</f>
        <v/>
      </c>
      <c r="F93" s="21" t="str">
        <f aca="false">IF(OR(E93="",E93="!!!"),"",IF(NOT(ISNA(VLOOKUP(E93,Q$1:Q92,1,FALSE()))),"OLD",IF(AND(E93&lt;&gt;"",E93&lt;&gt;"!!!"),"NEW","")))</f>
        <v/>
      </c>
      <c r="G93" s="22" t="str">
        <f aca="false">IF(OR(E93="",E93="!!!"),"",IF(OR(J93=0,AND(J93=1,K93=1),AND(J93=1,I93="SBJ"),AND(J93=1,I93=0)),"?IN_FOCUS",IF(J93&lt;=2,"?ACTIVATED",IF(J93&lt;&gt;"","?FAMILIAR",IF(F93="NEW",IF(ISNA(VLOOKUP(E93,#REF!,1,FALSE())),"?TYPE_IDENTIFIABLE","?REFERENTIAL"),"_")))))</f>
        <v/>
      </c>
      <c r="H93" s="23" t="str">
        <f aca="false">IF(J93&lt;&gt;1,"",IF(I93="SBJ","CB","?"))</f>
        <v/>
      </c>
      <c r="I93" s="24" t="str">
        <f aca="false">IF(OR(E93="",E93="!!!",F93="NEW"),"",INDEX(N$2:N92,-1+SUMPRODUCT(MAX(ROW(E$2:E92)*(E93=E$2:E92)))))</f>
        <v/>
      </c>
      <c r="J93" s="25" t="str">
        <f aca="true">IF(OR(E93="",E93="!!!",F93="NEW"),"",COUNTBLANK(OFFSET(M$1,,,SUMPRODUCT(MAX(ROW(E$2:E93)*(E93=E$2:E93)))))-COUNTBLANK(OFFSET(M$1,,,SUMPRODUCT(MAX(ROW(Q$1:Q92)*(E93=Q$1:Q92))))))</f>
        <v/>
      </c>
      <c r="K93" s="25" t="str">
        <f aca="false">IF(OR(E93="",E93="!!!",F93="NEW"),"",INDEX(V$1:V92,SUMPRODUCT(MAX(ROW(Q$1:Q92)*(E93=Q$1:Q92)))))</f>
        <v/>
      </c>
      <c r="L93" s="26"/>
      <c r="M93" s="27"/>
    </row>
    <row r="94" customFormat="false" ht="15" hidden="false" customHeight="false" outlineLevel="0" collapsed="false">
      <c r="A94" s="19" t="s">
        <v>310</v>
      </c>
      <c r="B94" s="28" t="s">
        <v>326</v>
      </c>
      <c r="C94" s="28" t="s">
        <v>264</v>
      </c>
      <c r="D94" s="28" t="s">
        <v>253</v>
      </c>
      <c r="E94" s="20" t="s">
        <v>265</v>
      </c>
      <c r="F94" s="21" t="str">
        <f aca="false">IF(OR(E94="",E94="!!!"),"",IF(NOT(ISNA(VLOOKUP(E94,Q$1:Q93,1,FALSE()))),"OLD",IF(AND(E94&lt;&gt;"",E94&lt;&gt;"!!!"),"NEW","")))</f>
        <v>NEW</v>
      </c>
      <c r="G94" s="22" t="s">
        <v>296</v>
      </c>
      <c r="H94" s="23" t="str">
        <f aca="false">IF(J94&lt;&gt;1,"",IF(I94="SBJ","CB","?"))</f>
        <v/>
      </c>
      <c r="I94" s="24" t="str">
        <f aca="false">IF(OR(E94="",E94="!!!",F94="NEW"),"",INDEX(N$2:N93,-1+SUMPRODUCT(MAX(ROW(E$2:E93)*(E94=E$2:E93)))))</f>
        <v/>
      </c>
      <c r="J94" s="25" t="str">
        <f aca="true">IF(OR(E94="",E94="!!!",F94="NEW"),"",COUNTBLANK(OFFSET(M$1,,,SUMPRODUCT(MAX(ROW(E$2:E94)*(E94=E$2:E94)))))-COUNTBLANK(OFFSET(M$1,,,SUMPRODUCT(MAX(ROW(Q$1:Q93)*(E94=Q$1:Q93))))))</f>
        <v/>
      </c>
      <c r="K94" s="25" t="str">
        <f aca="false">IF(OR(E94="",E94="!!!",F94="NEW"),"",INDEX(V$1:V93,SUMPRODUCT(MAX(ROW(Q$1:Q93)*(E94=Q$1:Q93)))))</f>
        <v/>
      </c>
      <c r="L94" s="26"/>
      <c r="M94" s="27"/>
      <c r="N94" s="29"/>
      <c r="O94" s="29"/>
      <c r="P94" s="29"/>
    </row>
    <row r="95" customFormat="false" ht="15" hidden="false" customHeight="false" outlineLevel="0" collapsed="false">
      <c r="A95" s="19" t="s">
        <v>250</v>
      </c>
      <c r="E95" s="20" t="str">
        <f aca="false">IF(P95="?OLD","!!!","")</f>
        <v/>
      </c>
      <c r="F95" s="21" t="str">
        <f aca="false">IF(OR(E95="",E95="!!!"),"",IF(NOT(ISNA(VLOOKUP(E95,Q$1:Q94,1,FALSE()))),"OLD",IF(AND(E95&lt;&gt;"",E95&lt;&gt;"!!!"),"NEW","")))</f>
        <v/>
      </c>
      <c r="G95" s="22" t="str">
        <f aca="false">IF(OR(E95="",E95="!!!"),"",IF(OR(J95=0,AND(J95=1,K95=1),AND(J95=1,I95="SBJ"),AND(J95=1,I95=0)),"?IN_FOCUS",IF(J95&lt;=2,"?ACTIVATED",IF(J95&lt;&gt;"","?FAMILIAR",IF(F95="NEW",IF(ISNA(VLOOKUP(E95,#REF!,1,FALSE())),"?TYPE_IDENTIFIABLE","?REFERENTIAL"),"_")))))</f>
        <v/>
      </c>
      <c r="H95" s="23" t="str">
        <f aca="false">IF(J95&lt;&gt;1,"",IF(I95="SBJ","CB","?"))</f>
        <v/>
      </c>
      <c r="I95" s="24" t="str">
        <f aca="false">IF(OR(E95="",E95="!!!",F95="NEW"),"",INDEX(N$2:N94,-1+SUMPRODUCT(MAX(ROW(E$2:E94)*(E95=E$2:E94)))))</f>
        <v/>
      </c>
      <c r="J95" s="25" t="str">
        <f aca="true">IF(OR(E95="",E95="!!!",F95="NEW"),"",COUNTBLANK(OFFSET(M$1,,,SUMPRODUCT(MAX(ROW(E$2:E95)*(E95=E$2:E95)))))-COUNTBLANK(OFFSET(M$1,,,SUMPRODUCT(MAX(ROW(Q$1:Q94)*(E95=Q$1:Q94))))))</f>
        <v/>
      </c>
      <c r="K95" s="25" t="str">
        <f aca="false">IF(OR(E95="",E95="!!!",F95="NEW"),"",INDEX(V$1:V94,SUMPRODUCT(MAX(ROW(Q$1:Q94)*(E95=Q$1:Q94)))))</f>
        <v/>
      </c>
      <c r="L95" s="26"/>
      <c r="M95" s="27"/>
    </row>
    <row r="96" customFormat="false" ht="15" hidden="false" customHeight="false" outlineLevel="0" collapsed="false">
      <c r="A96" s="19" t="s">
        <v>327</v>
      </c>
      <c r="B96" s="28" t="s">
        <v>326</v>
      </c>
      <c r="C96" s="28" t="s">
        <v>252</v>
      </c>
      <c r="D96" s="28" t="s">
        <v>253</v>
      </c>
      <c r="E96" s="20" t="s">
        <v>328</v>
      </c>
      <c r="F96" s="21" t="str">
        <f aca="false">IF(OR(E96="",E96="!!!"),"",IF(NOT(ISNA(VLOOKUP(E96,Q$1:Q95,1,FALSE()))),"OLD",IF(AND(E96&lt;&gt;"",E96&lt;&gt;"!!!"),"NEW","")))</f>
        <v>NEW</v>
      </c>
      <c r="G96" s="22" t="s">
        <v>255</v>
      </c>
      <c r="H96" s="23" t="str">
        <f aca="false">IF(J96&lt;&gt;1,"",IF(I96="SBJ","CB","?"))</f>
        <v/>
      </c>
      <c r="I96" s="24" t="str">
        <f aca="false">IF(OR(E96="",E96="!!!",F96="NEW"),"",INDEX(N$2:N95,-1+SUMPRODUCT(MAX(ROW(E$2:E95)*(E96=E$2:E95)))))</f>
        <v/>
      </c>
      <c r="J96" s="25" t="str">
        <f aca="true">IF(OR(E96="",E96="!!!",F96="NEW"),"",COUNTBLANK(OFFSET(M$1,,,SUMPRODUCT(MAX(ROW(E$2:E96)*(E96=E$2:E96)))))-COUNTBLANK(OFFSET(M$1,,,SUMPRODUCT(MAX(ROW(Q$1:Q95)*(E96=Q$1:Q95))))))</f>
        <v/>
      </c>
      <c r="K96" s="25" t="str">
        <f aca="false">IF(OR(E96="",E96="!!!",F96="NEW"),"",INDEX(V$1:V95,SUMPRODUCT(MAX(ROW(Q$1:Q95)*(E96=Q$1:Q95)))))</f>
        <v/>
      </c>
      <c r="L96" s="26"/>
      <c r="M96" s="27"/>
      <c r="N96" s="29"/>
      <c r="O96" s="29"/>
      <c r="P96" s="29"/>
    </row>
    <row r="97" customFormat="false" ht="15" hidden="false" customHeight="false" outlineLevel="0" collapsed="false">
      <c r="A97" s="19" t="s">
        <v>309</v>
      </c>
      <c r="E97" s="20" t="str">
        <f aca="false">IF(P97="?OLD","!!!","")</f>
        <v/>
      </c>
      <c r="F97" s="21" t="str">
        <f aca="false">IF(OR(E97="",E97="!!!"),"",IF(NOT(ISNA(VLOOKUP(E97,Q$1:Q96,1,FALSE()))),"OLD",IF(AND(E97&lt;&gt;"",E97&lt;&gt;"!!!"),"NEW","")))</f>
        <v/>
      </c>
      <c r="G97" s="22" t="str">
        <f aca="false">IF(OR(E97="",E97="!!!"),"",IF(OR(J97=0,AND(J97=1,K97=1),AND(J97=1,I97="SBJ"),AND(J97=1,I97=0)),"?IN_FOCUS",IF(J97&lt;=2,"?ACTIVATED",IF(J97&lt;&gt;"","?FAMILIAR",IF(F97="NEW",IF(ISNA(VLOOKUP(E97,#REF!,1,FALSE())),"?TYPE_IDENTIFIABLE","?REFERENTIAL"),"_")))))</f>
        <v/>
      </c>
      <c r="H97" s="23" t="str">
        <f aca="false">IF(J97&lt;&gt;1,"",IF(I97="SBJ","CB","?"))</f>
        <v/>
      </c>
      <c r="I97" s="24" t="str">
        <f aca="false">IF(OR(E97="",E97="!!!",F97="NEW"),"",INDEX(N$2:N96,-1+SUMPRODUCT(MAX(ROW(E$2:E96)*(E97=E$2:E96)))))</f>
        <v/>
      </c>
      <c r="J97" s="25" t="str">
        <f aca="true">IF(OR(E97="",E97="!!!",F97="NEW"),"",COUNTBLANK(OFFSET(M$1,,,SUMPRODUCT(MAX(ROW(E$2:E97)*(E97=E$2:E97)))))-COUNTBLANK(OFFSET(M$1,,,SUMPRODUCT(MAX(ROW(Q$1:Q96)*(E97=Q$1:Q96))))))</f>
        <v/>
      </c>
      <c r="K97" s="25" t="str">
        <f aca="false">IF(OR(E97="",E97="!!!",F97="NEW"),"",INDEX(V$1:V96,SUMPRODUCT(MAX(ROW(Q$1:Q96)*(E97=Q$1:Q96)))))</f>
        <v/>
      </c>
      <c r="L97" s="26"/>
      <c r="M97" s="27"/>
    </row>
    <row r="98" customFormat="false" ht="15" hidden="false" customHeight="false" outlineLevel="0" collapsed="false">
      <c r="A98" s="19" t="s">
        <v>75</v>
      </c>
      <c r="E98" s="20" t="str">
        <f aca="false">IF(P98="?OLD","!!!","")</f>
        <v/>
      </c>
      <c r="F98" s="21" t="str">
        <f aca="false">IF(OR(E98="",E98="!!!"),"",IF(NOT(ISNA(VLOOKUP(E98,Q$1:Q97,1,FALSE()))),"OLD",IF(AND(E98&lt;&gt;"",E98&lt;&gt;"!!!"),"NEW","")))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IF(OR(E98="",E98="!!!",F98="NEW"),"",INDEX(N$2:N97,-1+SUMPRODUCT(MAX(ROW(E$2:E97)*(E98=E$2:E97)))))</f>
        <v/>
      </c>
      <c r="J98" s="25" t="str">
        <f aca="true">IF(OR(E98="",E98="!!!",F98="NEW"),"",COUNTBLANK(OFFSET(M$1,,,SUMPRODUCT(MAX(ROW(E$2:E98)*(E98=E$2:E98)))))-COUNTBLANK(OFFSET(M$1,,,SUMPRODUCT(MAX(ROW(Q$1:Q97)*(E98=Q$1:Q97))))))</f>
        <v/>
      </c>
      <c r="K98" s="25" t="str">
        <f aca="false">IF(OR(E98="",E98="!!!",F98="NEW"),"",INDEX(V$1:V97,SUMPRODUCT(MAX(ROW(Q$1:Q97)*(E98=Q$1:Q97)))))</f>
        <v/>
      </c>
      <c r="L98" s="26"/>
      <c r="M98" s="27"/>
    </row>
    <row r="99" customFormat="false" ht="15" hidden="false" customHeight="false" outlineLevel="0" collapsed="false">
      <c r="A99" s="19" t="s">
        <v>275</v>
      </c>
      <c r="E99" s="20" t="str">
        <f aca="false">IF(P99="?OLD","!!!","")</f>
        <v/>
      </c>
      <c r="F99" s="21" t="str">
        <f aca="false">IF(OR(E99="",E99="!!!"),"",IF(NOT(ISNA(VLOOKUP(E99,Q$1:Q98,1,FALSE()))),"OLD",IF(AND(E99&lt;&gt;"",E99&lt;&gt;"!!!"),"NEW","")))</f>
        <v/>
      </c>
      <c r="G99" s="22" t="str">
        <f aca="false">IF(OR(E99="",E99="!!!"),"",IF(OR(J99=0,AND(J99=1,K99=1),AND(J99=1,I99="SBJ"),AND(J99=1,I99=0)),"?IN_FOCUS",IF(J99&lt;=2,"?ACTIVATED",IF(J99&lt;&gt;"","?FAMILIAR",IF(F99="NEW",IF(ISNA(VLOOKUP(E99,#REF!,1,FALSE())),"?TYPE_IDENTIFIABLE","?REFERENTIAL"),"_")))))</f>
        <v/>
      </c>
      <c r="H99" s="23" t="str">
        <f aca="false">IF(J99&lt;&gt;1,"",IF(I99="SBJ","CB","?"))</f>
        <v/>
      </c>
      <c r="I99" s="24" t="str">
        <f aca="false">IF(OR(E99="",E99="!!!",F99="NEW"),"",INDEX(N$2:N98,-1+SUMPRODUCT(MAX(ROW(E$2:E98)*(E99=E$2:E98)))))</f>
        <v/>
      </c>
      <c r="J99" s="25" t="str">
        <f aca="true">IF(OR(E99="",E99="!!!",F99="NEW"),"",COUNTBLANK(OFFSET(M$1,,,SUMPRODUCT(MAX(ROW(E$2:E99)*(E99=E$2:E99)))))-COUNTBLANK(OFFSET(M$1,,,SUMPRODUCT(MAX(ROW(Q$1:Q98)*(E99=Q$1:Q98))))))</f>
        <v/>
      </c>
      <c r="K99" s="25" t="str">
        <f aca="false">IF(OR(E99="",E99="!!!",F99="NEW"),"",INDEX(V$1:V98,SUMPRODUCT(MAX(ROW(Q$1:Q98)*(E99=Q$1:Q98)))))</f>
        <v/>
      </c>
      <c r="L99" s="26"/>
      <c r="M99" s="27"/>
    </row>
    <row r="100" customFormat="false" ht="15" hidden="false" customHeight="false" outlineLevel="0" collapsed="false">
      <c r="A100" s="19"/>
      <c r="E100" s="20" t="str">
        <f aca="false">IF(P100="?OLD","!!!","")</f>
        <v/>
      </c>
      <c r="F100" s="21" t="str">
        <f aca="false">IF(OR(E100="",E100="!!!"),"",IF(NOT(ISNA(VLOOKUP(E100,Q$1:Q99,1,FALSE()))),"OLD",IF(AND(E100&lt;&gt;"",E100&lt;&gt;"!!!"),"NEW","")))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4" t="str">
        <f aca="false">IF(OR(E100="",E100="!!!",F100="NEW"),"",INDEX(N$2:N99,-1+SUMPRODUCT(MAX(ROW(E$2:E99)*(E100=E$2:E99)))))</f>
        <v/>
      </c>
      <c r="J100" s="25" t="str">
        <f aca="true">IF(OR(E100="",E100="!!!",F100="NEW"),"",COUNTBLANK(OFFSET(M$1,,,SUMPRODUCT(MAX(ROW(E$2:E100)*(E100=E$2:E100)))))-COUNTBLANK(OFFSET(M$1,,,SUMPRODUCT(MAX(ROW(Q$1:Q99)*(E100=Q$1:Q99))))))</f>
        <v/>
      </c>
      <c r="K100" s="25" t="str">
        <f aca="false">IF(OR(E100="",E100="!!!",F100="NEW"),"",INDEX(V$1:V99,SUMPRODUCT(MAX(ROW(Q$1:Q99)*(E100=Q$1:Q99)))))</f>
        <v/>
      </c>
      <c r="L100" s="26"/>
    </row>
    <row r="101" customFormat="false" ht="15" hidden="false" customHeight="false" outlineLevel="0" collapsed="false">
      <c r="A101" s="19" t="s">
        <v>329</v>
      </c>
      <c r="E101" s="20" t="str">
        <f aca="false">IF(P101="?OLD","!!!","")</f>
        <v/>
      </c>
      <c r="F101" s="21" t="str">
        <f aca="false">IF(OR(E101="",E101="!!!"),"",IF(NOT(ISNA(VLOOKUP(E101,Q$1:Q100,1,FALSE()))),"OLD",IF(AND(E101&lt;&gt;"",E101&lt;&gt;"!!!"),"NEW","")))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IF(OR(E101="",E101="!!!",F101="NEW"),"",INDEX(N$2:N100,-1+SUMPRODUCT(MAX(ROW(E$2:E100)*(E101=E$2:E100)))))</f>
        <v/>
      </c>
      <c r="J101" s="25" t="str">
        <f aca="true">IF(OR(E101="",E101="!!!",F101="NEW"),"",COUNTBLANK(OFFSET(M$1,,,SUMPRODUCT(MAX(ROW(E$2:E101)*(E101=E$2:E101)))))-COUNTBLANK(OFFSET(M$1,,,SUMPRODUCT(MAX(ROW(Q$1:Q100)*(E101=Q$1:Q100))))))</f>
        <v/>
      </c>
      <c r="K101" s="25" t="str">
        <f aca="false">IF(OR(E101="",E101="!!!",F101="NEW"),"",INDEX(V$1:V100,SUMPRODUCT(MAX(ROW(Q$1:Q100)*(E101=Q$1:Q100)))))</f>
        <v/>
      </c>
      <c r="L101" s="26"/>
      <c r="M101" s="27"/>
    </row>
    <row r="102" customFormat="false" ht="15" hidden="false" customHeight="false" outlineLevel="0" collapsed="false">
      <c r="A102" s="19" t="s">
        <v>248</v>
      </c>
      <c r="E102" s="20" t="str">
        <f aca="false">IF(P102="?OLD","!!!","")</f>
        <v/>
      </c>
      <c r="F102" s="21" t="str">
        <f aca="false">IF(OR(E102="",E102="!!!"),"",IF(NOT(ISNA(VLOOKUP(E102,Q$1:Q101,1,FALSE()))),"OLD",IF(AND(E102&lt;&gt;"",E102&lt;&gt;"!!!"),"NEW","")))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IF(OR(E102="",E102="!!!",F102="NEW"),"",INDEX(N$2:N101,-1+SUMPRODUCT(MAX(ROW(E$2:E101)*(E102=E$2:E101)))))</f>
        <v/>
      </c>
      <c r="J102" s="25" t="str">
        <f aca="true">IF(OR(E102="",E102="!!!",F102="NEW"),"",COUNTBLANK(OFFSET(M$1,,,SUMPRODUCT(MAX(ROW(E$2:E102)*(E102=E$2:E102)))))-COUNTBLANK(OFFSET(M$1,,,SUMPRODUCT(MAX(ROW(Q$1:Q101)*(E102=Q$1:Q101))))))</f>
        <v/>
      </c>
      <c r="K102" s="25" t="str">
        <f aca="false">IF(OR(E102="",E102="!!!",F102="NEW"),"",INDEX(V$1:V101,SUMPRODUCT(MAX(ROW(Q$1:Q101)*(E102=Q$1:Q101)))))</f>
        <v/>
      </c>
      <c r="L102" s="26"/>
      <c r="M102" s="27"/>
    </row>
    <row r="103" customFormat="false" ht="15" hidden="false" customHeight="false" outlineLevel="0" collapsed="false">
      <c r="A103" s="19" t="s">
        <v>278</v>
      </c>
      <c r="E103" s="20" t="str">
        <f aca="false">IF(P103="?OLD","!!!","")</f>
        <v/>
      </c>
      <c r="F103" s="21" t="str">
        <f aca="false">IF(OR(E103="",E103="!!!"),"",IF(NOT(ISNA(VLOOKUP(E103,Q$1:Q102,1,FALSE()))),"OLD",IF(AND(E103&lt;&gt;"",E103&lt;&gt;"!!!"),"NEW","")))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IF(OR(E103="",E103="!!!",F103="NEW"),"",INDEX(N$2:N102,-1+SUMPRODUCT(MAX(ROW(E$2:E102)*(E103=E$2:E102)))))</f>
        <v/>
      </c>
      <c r="J103" s="25" t="str">
        <f aca="true">IF(OR(E103="",E103="!!!",F103="NEW"),"",COUNTBLANK(OFFSET(M$1,,,SUMPRODUCT(MAX(ROW(E$2:E103)*(E103=E$2:E103)))))-COUNTBLANK(OFFSET(M$1,,,SUMPRODUCT(MAX(ROW(Q$1:Q102)*(E103=Q$1:Q102))))))</f>
        <v/>
      </c>
      <c r="K103" s="25" t="str">
        <f aca="false">IF(OR(E103="",E103="!!!",F103="NEW"),"",INDEX(V$1:V102,SUMPRODUCT(MAX(ROW(Q$1:Q102)*(E103=Q$1:Q102)))))</f>
        <v/>
      </c>
      <c r="L103" s="26"/>
      <c r="M103" s="27"/>
    </row>
    <row r="104" customFormat="false" ht="15" hidden="false" customHeight="false" outlineLevel="0" collapsed="false">
      <c r="A104" s="19" t="s">
        <v>268</v>
      </c>
      <c r="E104" s="20" t="str">
        <f aca="false">IF(P104="?OLD","!!!","")</f>
        <v/>
      </c>
      <c r="F104" s="21" t="str">
        <f aca="false">IF(OR(E104="",E104="!!!"),"",IF(NOT(ISNA(VLOOKUP(E104,Q$1:Q103,1,FALSE()))),"OLD",IF(AND(E104&lt;&gt;"",E104&lt;&gt;"!!!"),"NEW","")))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IF(OR(E104="",E104="!!!",F104="NEW"),"",INDEX(N$2:N103,-1+SUMPRODUCT(MAX(ROW(E$2:E103)*(E104=E$2:E103)))))</f>
        <v/>
      </c>
      <c r="J104" s="25" t="str">
        <f aca="true">IF(OR(E104="",E104="!!!",F104="NEW"),"",COUNTBLANK(OFFSET(M$1,,,SUMPRODUCT(MAX(ROW(E$2:E104)*(E104=E$2:E104)))))-COUNTBLANK(OFFSET(M$1,,,SUMPRODUCT(MAX(ROW(Q$1:Q103)*(E104=Q$1:Q103))))))</f>
        <v/>
      </c>
      <c r="K104" s="25" t="str">
        <f aca="false">IF(OR(E104="",E104="!!!",F104="NEW"),"",INDEX(V$1:V103,SUMPRODUCT(MAX(ROW(Q$1:Q103)*(E104=Q$1:Q103)))))</f>
        <v/>
      </c>
      <c r="L104" s="26"/>
      <c r="M104" s="27"/>
    </row>
    <row r="105" customFormat="false" ht="15" hidden="false" customHeight="false" outlineLevel="0" collapsed="false">
      <c r="A105" s="19" t="s">
        <v>330</v>
      </c>
      <c r="E105" s="20" t="str">
        <f aca="false">IF(P105="?OLD","!!!","")</f>
        <v/>
      </c>
      <c r="F105" s="21" t="str">
        <f aca="false">IF(OR(E105="",E105="!!!"),"",IF(NOT(ISNA(VLOOKUP(E105,Q$1:Q104,1,FALSE()))),"OLD",IF(AND(E105&lt;&gt;"",E105&lt;&gt;"!!!"),"NEW","")))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4" t="str">
        <f aca="false">IF(OR(E105="",E105="!!!",F105="NEW"),"",INDEX(N$2:N104,-1+SUMPRODUCT(MAX(ROW(E$2:E104)*(E105=E$2:E104)))))</f>
        <v/>
      </c>
      <c r="J105" s="25" t="str">
        <f aca="true">IF(OR(E105="",E105="!!!",F105="NEW"),"",COUNTBLANK(OFFSET(M$1,,,SUMPRODUCT(MAX(ROW(E$2:E105)*(E105=E$2:E105)))))-COUNTBLANK(OFFSET(M$1,,,SUMPRODUCT(MAX(ROW(Q$1:Q104)*(E105=Q$1:Q104))))))</f>
        <v/>
      </c>
      <c r="K105" s="25" t="str">
        <f aca="false">IF(OR(E105="",E105="!!!",F105="NEW"),"",INDEX(V$1:V104,SUMPRODUCT(MAX(ROW(Q$1:Q104)*(E105=Q$1:Q104)))))</f>
        <v/>
      </c>
      <c r="L105" s="26"/>
      <c r="M105" s="27"/>
    </row>
    <row r="106" customFormat="false" ht="15" hidden="false" customHeight="false" outlineLevel="0" collapsed="false">
      <c r="A106" s="19" t="s">
        <v>273</v>
      </c>
      <c r="E106" s="20" t="str">
        <f aca="false">IF(P106="?OLD","!!!","")</f>
        <v/>
      </c>
      <c r="F106" s="21" t="str">
        <f aca="false">IF(OR(E106="",E106="!!!"),"",IF(NOT(ISNA(VLOOKUP(E106,Q$1:Q105,1,FALSE()))),"OLD",IF(AND(E106&lt;&gt;"",E106&lt;&gt;"!!!"),"NEW","")))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IF(OR(E106="",E106="!!!",F106="NEW"),"",INDEX(N$2:N105,-1+SUMPRODUCT(MAX(ROW(E$2:E105)*(E106=E$2:E105)))))</f>
        <v/>
      </c>
      <c r="J106" s="25" t="str">
        <f aca="true">IF(OR(E106="",E106="!!!",F106="NEW"),"",COUNTBLANK(OFFSET(M$1,,,SUMPRODUCT(MAX(ROW(E$2:E106)*(E106=E$2:E106)))))-COUNTBLANK(OFFSET(M$1,,,SUMPRODUCT(MAX(ROW(Q$1:Q105)*(E106=Q$1:Q105))))))</f>
        <v/>
      </c>
      <c r="K106" s="25" t="str">
        <f aca="false">IF(OR(E106="",E106="!!!",F106="NEW"),"",INDEX(V$1:V105,SUMPRODUCT(MAX(ROW(Q$1:Q105)*(E106=Q$1:Q105)))))</f>
        <v/>
      </c>
      <c r="L106" s="26"/>
      <c r="M106" s="27"/>
    </row>
    <row r="107" customFormat="false" ht="15" hidden="false" customHeight="false" outlineLevel="0" collapsed="false">
      <c r="A107" s="19" t="s">
        <v>331</v>
      </c>
      <c r="E107" s="20" t="str">
        <f aca="false">IF(P107="?OLD","!!!","")</f>
        <v/>
      </c>
      <c r="F107" s="21" t="str">
        <f aca="false">IF(OR(E107="",E107="!!!"),"",IF(NOT(ISNA(VLOOKUP(E107,Q$1:Q106,1,FALSE()))),"OLD",IF(AND(E107&lt;&gt;"",E107&lt;&gt;"!!!"),"NEW","")))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4" t="str">
        <f aca="false">IF(OR(E107="",E107="!!!",F107="NEW"),"",INDEX(N$2:N106,-1+SUMPRODUCT(MAX(ROW(E$2:E106)*(E107=E$2:E106)))))</f>
        <v/>
      </c>
      <c r="J107" s="25" t="str">
        <f aca="true">IF(OR(E107="",E107="!!!",F107="NEW"),"",COUNTBLANK(OFFSET(M$1,,,SUMPRODUCT(MAX(ROW(E$2:E107)*(E107=E$2:E107)))))-COUNTBLANK(OFFSET(M$1,,,SUMPRODUCT(MAX(ROW(Q$1:Q106)*(E107=Q$1:Q106))))))</f>
        <v/>
      </c>
      <c r="K107" s="25" t="str">
        <f aca="false">IF(OR(E107="",E107="!!!",F107="NEW"),"",INDEX(V$1:V106,SUMPRODUCT(MAX(ROW(Q$1:Q106)*(E107=Q$1:Q106)))))</f>
        <v/>
      </c>
      <c r="L107" s="26"/>
      <c r="M107" s="27"/>
    </row>
    <row r="108" customFormat="false" ht="15" hidden="false" customHeight="false" outlineLevel="0" collapsed="false">
      <c r="A108" s="19" t="s">
        <v>332</v>
      </c>
      <c r="B108" s="28" t="s">
        <v>306</v>
      </c>
      <c r="C108" s="28" t="s">
        <v>333</v>
      </c>
      <c r="D108" s="28" t="s">
        <v>253</v>
      </c>
      <c r="E108" s="20" t="s">
        <v>334</v>
      </c>
      <c r="F108" s="21" t="str">
        <f aca="false">IF(OR(E108="",E108="!!!"),"",IF(NOT(ISNA(VLOOKUP(E108,Q$1:Q107,1,FALSE()))),"OLD",IF(AND(E108&lt;&gt;"",E108&lt;&gt;"!!!"),"NEW","")))</f>
        <v>NEW</v>
      </c>
      <c r="G108" s="22" t="s">
        <v>255</v>
      </c>
      <c r="H108" s="23" t="str">
        <f aca="false">IF(J108&lt;&gt;1,"",IF(I108="SBJ","CB","?"))</f>
        <v/>
      </c>
      <c r="I108" s="24" t="str">
        <f aca="false">IF(OR(E108="",E108="!!!",F108="NEW"),"",INDEX(N$2:N107,-1+SUMPRODUCT(MAX(ROW(E$2:E107)*(E108=E$2:E107)))))</f>
        <v/>
      </c>
      <c r="J108" s="25" t="str">
        <f aca="true">IF(OR(E108="",E108="!!!",F108="NEW"),"",COUNTBLANK(OFFSET(M$1,,,SUMPRODUCT(MAX(ROW(E$2:E108)*(E108=E$2:E108)))))-COUNTBLANK(OFFSET(M$1,,,SUMPRODUCT(MAX(ROW(Q$1:Q107)*(E108=Q$1:Q107))))))</f>
        <v/>
      </c>
      <c r="K108" s="25" t="str">
        <f aca="false">IF(OR(E108="",E108="!!!",F108="NEW"),"",INDEX(V$1:V107,SUMPRODUCT(MAX(ROW(Q$1:Q107)*(E108=Q$1:Q107)))))</f>
        <v/>
      </c>
      <c r="L108" s="26"/>
      <c r="M108" s="27"/>
      <c r="N108" s="29"/>
      <c r="O108" s="29"/>
      <c r="P108" s="29"/>
    </row>
    <row r="109" customFormat="false" ht="15" hidden="false" customHeight="false" outlineLevel="0" collapsed="false">
      <c r="A109" s="19" t="s">
        <v>261</v>
      </c>
      <c r="E109" s="20" t="str">
        <f aca="false">IF(P109="?OLD","!!!","")</f>
        <v/>
      </c>
      <c r="F109" s="21" t="str">
        <f aca="false">IF(OR(E109="",E109="!!!"),"",IF(NOT(ISNA(VLOOKUP(E109,Q$1:Q108,1,FALSE()))),"OLD",IF(AND(E109&lt;&gt;"",E109&lt;&gt;"!!!"),"NEW","")))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IF(OR(E109="",E109="!!!",F109="NEW"),"",INDEX(N$2:N108,-1+SUMPRODUCT(MAX(ROW(E$2:E108)*(E109=E$2:E108)))))</f>
        <v/>
      </c>
      <c r="J109" s="25" t="str">
        <f aca="true">IF(OR(E109="",E109="!!!",F109="NEW"),"",COUNTBLANK(OFFSET(M$1,,,SUMPRODUCT(MAX(ROW(E$2:E109)*(E109=E$2:E109)))))-COUNTBLANK(OFFSET(M$1,,,SUMPRODUCT(MAX(ROW(Q$1:Q108)*(E109=Q$1:Q108))))))</f>
        <v/>
      </c>
      <c r="K109" s="25" t="str">
        <f aca="false">IF(OR(E109="",E109="!!!",F109="NEW"),"",INDEX(V$1:V108,SUMPRODUCT(MAX(ROW(Q$1:Q108)*(E109=Q$1:Q108)))))</f>
        <v/>
      </c>
      <c r="L109" s="26"/>
      <c r="M109" s="27"/>
    </row>
    <row r="110" customFormat="false" ht="15" hidden="false" customHeight="false" outlineLevel="0" collapsed="false">
      <c r="A110" s="19" t="s">
        <v>335</v>
      </c>
      <c r="E110" s="20" t="str">
        <f aca="false">IF(P110="?OLD","!!!","")</f>
        <v/>
      </c>
      <c r="F110" s="21" t="str">
        <f aca="false">IF(OR(E110="",E110="!!!"),"",IF(NOT(ISNA(VLOOKUP(E110,Q$1:Q109,1,FALSE()))),"OLD",IF(AND(E110&lt;&gt;"",E110&lt;&gt;"!!!"),"NEW","")))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IF(OR(E110="",E110="!!!",F110="NEW"),"",INDEX(N$2:N109,-1+SUMPRODUCT(MAX(ROW(E$2:E109)*(E110=E$2:E109)))))</f>
        <v/>
      </c>
      <c r="J110" s="25" t="str">
        <f aca="true">IF(OR(E110="",E110="!!!",F110="NEW"),"",COUNTBLANK(OFFSET(M$1,,,SUMPRODUCT(MAX(ROW(E$2:E110)*(E110=E$2:E110)))))-COUNTBLANK(OFFSET(M$1,,,SUMPRODUCT(MAX(ROW(Q$1:Q109)*(E110=Q$1:Q109))))))</f>
        <v/>
      </c>
      <c r="K110" s="25" t="str">
        <f aca="false">IF(OR(E110="",E110="!!!",F110="NEW"),"",INDEX(V$1:V109,SUMPRODUCT(MAX(ROW(Q$1:Q109)*(E110=Q$1:Q109)))))</f>
        <v/>
      </c>
      <c r="L110" s="26"/>
      <c r="M110" s="27"/>
    </row>
    <row r="111" customFormat="false" ht="15" hidden="false" customHeight="false" outlineLevel="0" collapsed="false">
      <c r="A111" s="19" t="s">
        <v>336</v>
      </c>
      <c r="B111" s="28" t="s">
        <v>306</v>
      </c>
      <c r="C111" s="28" t="s">
        <v>259</v>
      </c>
      <c r="E111" s="20" t="str">
        <f aca="false">IF(P111="?OLD","!!!","")</f>
        <v/>
      </c>
      <c r="F111" s="21" t="str">
        <f aca="false">IF(OR(E111="",E111="!!!"),"",IF(NOT(ISNA(VLOOKUP(E111,Q$1:Q110,1,FALSE()))),"OLD",IF(AND(E111&lt;&gt;"",E111&lt;&gt;"!!!"),"NEW","")))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IF(OR(E111="",E111="!!!",F111="NEW"),"",INDEX(N$2:N110,-1+SUMPRODUCT(MAX(ROW(E$2:E110)*(E111=E$2:E110)))))</f>
        <v/>
      </c>
      <c r="J111" s="25" t="str">
        <f aca="true">IF(OR(E111="",E111="!!!",F111="NEW"),"",COUNTBLANK(OFFSET(M$1,,,SUMPRODUCT(MAX(ROW(E$2:E111)*(E111=E$2:E111)))))-COUNTBLANK(OFFSET(M$1,,,SUMPRODUCT(MAX(ROW(Q$1:Q110)*(E111=Q$1:Q110))))))</f>
        <v/>
      </c>
      <c r="K111" s="25" t="str">
        <f aca="false">IF(OR(E111="",E111="!!!",F111="NEW"),"",INDEX(V$1:V110,SUMPRODUCT(MAX(ROW(Q$1:Q110)*(E111=Q$1:Q110)))))</f>
        <v/>
      </c>
      <c r="L111" s="26"/>
      <c r="M111" s="27"/>
      <c r="N111" s="29"/>
      <c r="O111" s="29"/>
    </row>
    <row r="112" customFormat="false" ht="15" hidden="false" customHeight="false" outlineLevel="0" collapsed="false">
      <c r="A112" s="19" t="s">
        <v>261</v>
      </c>
      <c r="E112" s="20" t="str">
        <f aca="false">IF(P112="?OLD","!!!","")</f>
        <v/>
      </c>
      <c r="F112" s="21" t="str">
        <f aca="false">IF(OR(E112="",E112="!!!"),"",IF(NOT(ISNA(VLOOKUP(E112,Q$1:Q111,1,FALSE()))),"OLD",IF(AND(E112&lt;&gt;"",E112&lt;&gt;"!!!"),"NEW","")))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4" t="str">
        <f aca="false">IF(OR(E112="",E112="!!!",F112="NEW"),"",INDEX(N$2:N111,-1+SUMPRODUCT(MAX(ROW(E$2:E111)*(E112=E$2:E111)))))</f>
        <v/>
      </c>
      <c r="J112" s="25" t="str">
        <f aca="true">IF(OR(E112="",E112="!!!",F112="NEW"),"",COUNTBLANK(OFFSET(M$1,,,SUMPRODUCT(MAX(ROW(E$2:E112)*(E112=E$2:E112)))))-COUNTBLANK(OFFSET(M$1,,,SUMPRODUCT(MAX(ROW(Q$1:Q111)*(E112=Q$1:Q111))))))</f>
        <v/>
      </c>
      <c r="K112" s="25" t="str">
        <f aca="false">IF(OR(E112="",E112="!!!",F112="NEW"),"",INDEX(V$1:V111,SUMPRODUCT(MAX(ROW(Q$1:Q111)*(E112=Q$1:Q111)))))</f>
        <v/>
      </c>
      <c r="L112" s="26"/>
      <c r="M112" s="27"/>
    </row>
    <row r="113" customFormat="false" ht="15" hidden="false" customHeight="false" outlineLevel="0" collapsed="false">
      <c r="A113" s="19" t="s">
        <v>280</v>
      </c>
      <c r="E113" s="20" t="str">
        <f aca="false">IF(P113="?OLD","!!!","")</f>
        <v/>
      </c>
      <c r="F113" s="21" t="str">
        <f aca="false">IF(OR(E113="",E113="!!!"),"",IF(NOT(ISNA(VLOOKUP(E113,Q$1:Q112,1,FALSE()))),"OLD",IF(AND(E113&lt;&gt;"",E113&lt;&gt;"!!!"),"NEW","")))</f>
        <v/>
      </c>
      <c r="G113" s="22" t="str">
        <f aca="false">IF(OR(E113="",E113="!!!"),"",IF(OR(J113=0,AND(J113=1,K113=1),AND(J113=1,I113="SBJ"),AND(J113=1,I113=0)),"?IN_FOCUS",IF(J113&lt;=2,"?ACTIVATED",IF(J113&lt;&gt;"","?FAMILIAR",IF(F113="NEW",IF(ISNA(VLOOKUP(E113,#REF!,1,FALSE())),"?TYPE_IDENTIFIABLE","?REFERENTIAL"),"_")))))</f>
        <v/>
      </c>
      <c r="H113" s="23" t="str">
        <f aca="false">IF(J113&lt;&gt;1,"",IF(I113="SBJ","CB","?"))</f>
        <v/>
      </c>
      <c r="I113" s="24" t="str">
        <f aca="false">IF(OR(E113="",E113="!!!",F113="NEW"),"",INDEX(N$2:N112,-1+SUMPRODUCT(MAX(ROW(E$2:E112)*(E113=E$2:E112)))))</f>
        <v/>
      </c>
      <c r="J113" s="25" t="str">
        <f aca="true">IF(OR(E113="",E113="!!!",F113="NEW"),"",COUNTBLANK(OFFSET(M$1,,,SUMPRODUCT(MAX(ROW(E$2:E113)*(E113=E$2:E113)))))-COUNTBLANK(OFFSET(M$1,,,SUMPRODUCT(MAX(ROW(Q$1:Q112)*(E113=Q$1:Q112))))))</f>
        <v/>
      </c>
      <c r="K113" s="25" t="str">
        <f aca="false">IF(OR(E113="",E113="!!!",F113="NEW"),"",INDEX(V$1:V112,SUMPRODUCT(MAX(ROW(Q$1:Q112)*(E113=Q$1:Q112)))))</f>
        <v/>
      </c>
      <c r="L113" s="26"/>
      <c r="M113" s="27"/>
    </row>
    <row r="114" customFormat="false" ht="15" hidden="false" customHeight="false" outlineLevel="0" collapsed="false">
      <c r="A114" s="19" t="s">
        <v>337</v>
      </c>
      <c r="E114" s="20" t="str">
        <f aca="false">IF(P114="?OLD","!!!","")</f>
        <v/>
      </c>
      <c r="F114" s="21" t="str">
        <f aca="false">IF(OR(E114="",E114="!!!"),"",IF(NOT(ISNA(VLOOKUP(E114,Q$1:Q113,1,FALSE()))),"OLD",IF(AND(E114&lt;&gt;"",E114&lt;&gt;"!!!"),"NEW","")))</f>
        <v/>
      </c>
      <c r="G114" s="22" t="str">
        <f aca="false">IF(OR(E114="",E114="!!!"),"",IF(OR(J114=0,AND(J114=1,K114=1),AND(J114=1,I114="SBJ"),AND(J114=1,I114=0)),"?IN_FOCUS",IF(J114&lt;=2,"?ACTIVATED",IF(J114&lt;&gt;"","?FAMILIAR",IF(F114="NEW",IF(ISNA(VLOOKUP(E114,#REF!,1,FALSE())),"?TYPE_IDENTIFIABLE","?REFERENTIAL"),"_")))))</f>
        <v/>
      </c>
      <c r="H114" s="23" t="str">
        <f aca="false">IF(J114&lt;&gt;1,"",IF(I114="SBJ","CB","?"))</f>
        <v/>
      </c>
      <c r="I114" s="24" t="str">
        <f aca="false">IF(OR(E114="",E114="!!!",F114="NEW"),"",INDEX(N$2:N113,-1+SUMPRODUCT(MAX(ROW(E$2:E113)*(E114=E$2:E113)))))</f>
        <v/>
      </c>
      <c r="J114" s="25" t="str">
        <f aca="true">IF(OR(E114="",E114="!!!",F114="NEW"),"",COUNTBLANK(OFFSET(M$1,,,SUMPRODUCT(MAX(ROW(E$2:E114)*(E114=E$2:E114)))))-COUNTBLANK(OFFSET(M$1,,,SUMPRODUCT(MAX(ROW(Q$1:Q113)*(E114=Q$1:Q113))))))</f>
        <v/>
      </c>
      <c r="K114" s="25" t="str">
        <f aca="false">IF(OR(E114="",E114="!!!",F114="NEW"),"",INDEX(V$1:V113,SUMPRODUCT(MAX(ROW(Q$1:Q113)*(E114=Q$1:Q113)))))</f>
        <v/>
      </c>
      <c r="L114" s="26"/>
      <c r="M114" s="27"/>
    </row>
    <row r="115" customFormat="false" ht="15" hidden="false" customHeight="false" outlineLevel="0" collapsed="false">
      <c r="A115" s="19" t="s">
        <v>338</v>
      </c>
      <c r="B115" s="28" t="s">
        <v>271</v>
      </c>
      <c r="C115" s="28" t="s">
        <v>339</v>
      </c>
      <c r="E115" s="20" t="str">
        <f aca="false">IF(P115="?OLD","!!!","")</f>
        <v/>
      </c>
      <c r="F115" s="21" t="str">
        <f aca="false">IF(OR(E115="",E115="!!!"),"",IF(NOT(ISNA(VLOOKUP(E115,Q$1:Q114,1,FALSE()))),"OLD",IF(AND(E115&lt;&gt;"",E115&lt;&gt;"!!!"),"NEW","")))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IF(OR(E115="",E115="!!!",F115="NEW"),"",INDEX(N$2:N114,-1+SUMPRODUCT(MAX(ROW(E$2:E114)*(E115=E$2:E114)))))</f>
        <v/>
      </c>
      <c r="J115" s="25" t="str">
        <f aca="true">IF(OR(E115="",E115="!!!",F115="NEW"),"",COUNTBLANK(OFFSET(M$1,,,SUMPRODUCT(MAX(ROW(E$2:E115)*(E115=E$2:E115)))))-COUNTBLANK(OFFSET(M$1,,,SUMPRODUCT(MAX(ROW(Q$1:Q114)*(E115=Q$1:Q114))))))</f>
        <v/>
      </c>
      <c r="K115" s="25" t="str">
        <f aca="false">IF(OR(E115="",E115="!!!",F115="NEW"),"",INDEX(V$1:V114,SUMPRODUCT(MAX(ROW(Q$1:Q114)*(E115=Q$1:Q114)))))</f>
        <v/>
      </c>
      <c r="L115" s="26"/>
      <c r="M115" s="27"/>
      <c r="N115" s="29"/>
      <c r="O115" s="29"/>
    </row>
    <row r="116" customFormat="false" ht="15" hidden="false" customHeight="false" outlineLevel="0" collapsed="false">
      <c r="A116" s="19" t="s">
        <v>340</v>
      </c>
      <c r="E116" s="20" t="str">
        <f aca="false">IF(P116="?OLD","!!!","")</f>
        <v/>
      </c>
      <c r="F116" s="21" t="str">
        <f aca="false">IF(OR(E116="",E116="!!!"),"",IF(NOT(ISNA(VLOOKUP(E116,Q$1:Q115,1,FALSE()))),"OLD",IF(AND(E116&lt;&gt;"",E116&lt;&gt;"!!!"),"NEW","")))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IF(OR(E116="",E116="!!!",F116="NEW"),"",INDEX(N$2:N115,-1+SUMPRODUCT(MAX(ROW(E$2:E115)*(E116=E$2:E115)))))</f>
        <v/>
      </c>
      <c r="J116" s="25" t="str">
        <f aca="true">IF(OR(E116="",E116="!!!",F116="NEW"),"",COUNTBLANK(OFFSET(M$1,,,SUMPRODUCT(MAX(ROW(E$2:E116)*(E116=E$2:E116)))))-COUNTBLANK(OFFSET(M$1,,,SUMPRODUCT(MAX(ROW(Q$1:Q115)*(E116=Q$1:Q115))))))</f>
        <v/>
      </c>
      <c r="K116" s="25" t="str">
        <f aca="false">IF(OR(E116="",E116="!!!",F116="NEW"),"",INDEX(V$1:V115,SUMPRODUCT(MAX(ROW(Q$1:Q115)*(E116=Q$1:Q115)))))</f>
        <v/>
      </c>
      <c r="L116" s="26"/>
      <c r="M116" s="27"/>
    </row>
    <row r="117" customFormat="false" ht="15" hidden="false" customHeight="false" outlineLevel="0" collapsed="false">
      <c r="A117" s="19" t="s">
        <v>250</v>
      </c>
      <c r="E117" s="20" t="str">
        <f aca="false">IF(P117="?OLD","!!!","")</f>
        <v/>
      </c>
      <c r="F117" s="21" t="str">
        <f aca="false">IF(OR(E117="",E117="!!!"),"",IF(NOT(ISNA(VLOOKUP(E117,Q$1:Q116,1,FALSE()))),"OLD",IF(AND(E117&lt;&gt;"",E117&lt;&gt;"!!!"),"NEW","")))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4" t="str">
        <f aca="false">IF(OR(E117="",E117="!!!",F117="NEW"),"",INDEX(N$2:N116,-1+SUMPRODUCT(MAX(ROW(E$2:E116)*(E117=E$2:E116)))))</f>
        <v/>
      </c>
      <c r="J117" s="25" t="str">
        <f aca="true">IF(OR(E117="",E117="!!!",F117="NEW"),"",COUNTBLANK(OFFSET(M$1,,,SUMPRODUCT(MAX(ROW(E$2:E117)*(E117=E$2:E117)))))-COUNTBLANK(OFFSET(M$1,,,SUMPRODUCT(MAX(ROW(Q$1:Q116)*(E117=Q$1:Q116))))))</f>
        <v/>
      </c>
      <c r="K117" s="25" t="str">
        <f aca="false">IF(OR(E117="",E117="!!!",F117="NEW"),"",INDEX(V$1:V116,SUMPRODUCT(MAX(ROW(Q$1:Q116)*(E117=Q$1:Q116)))))</f>
        <v/>
      </c>
      <c r="L117" s="26"/>
      <c r="M117" s="27"/>
    </row>
    <row r="118" customFormat="false" ht="15" hidden="false" customHeight="false" outlineLevel="0" collapsed="false">
      <c r="A118" s="19" t="s">
        <v>281</v>
      </c>
      <c r="B118" s="28" t="s">
        <v>306</v>
      </c>
      <c r="C118" s="28" t="s">
        <v>252</v>
      </c>
      <c r="D118" s="28" t="s">
        <v>253</v>
      </c>
      <c r="E118" s="20" t="s">
        <v>282</v>
      </c>
      <c r="F118" s="21" t="str">
        <f aca="false">IF(OR(E118="",E118="!!!"),"",IF(NOT(ISNA(VLOOKUP(E118,Q$1:Q117,1,FALSE()))),"OLD",IF(AND(E118&lt;&gt;"",E118&lt;&gt;"!!!"),"NEW","")))</f>
        <v>NEW</v>
      </c>
      <c r="G118" s="22" t="s">
        <v>283</v>
      </c>
      <c r="H118" s="23" t="str">
        <f aca="false">IF(J118&lt;&gt;1,"",IF(I118="SBJ","CB","?"))</f>
        <v/>
      </c>
      <c r="I118" s="24" t="str">
        <f aca="false">IF(OR(E118="",E118="!!!",F118="NEW"),"",INDEX(N$2:N117,-1+SUMPRODUCT(MAX(ROW(E$2:E117)*(E118=E$2:E117)))))</f>
        <v/>
      </c>
      <c r="J118" s="25" t="str">
        <f aca="true">IF(OR(E118="",E118="!!!",F118="NEW"),"",COUNTBLANK(OFFSET(M$1,,,SUMPRODUCT(MAX(ROW(E$2:E118)*(E118=E$2:E118)))))-COUNTBLANK(OFFSET(M$1,,,SUMPRODUCT(MAX(ROW(Q$1:Q117)*(E118=Q$1:Q117))))))</f>
        <v/>
      </c>
      <c r="K118" s="25" t="str">
        <f aca="false">IF(OR(E118="",E118="!!!",F118="NEW"),"",INDEX(V$1:V117,SUMPRODUCT(MAX(ROW(Q$1:Q117)*(E118=Q$1:Q117)))))</f>
        <v/>
      </c>
      <c r="L118" s="26"/>
      <c r="M118" s="27"/>
      <c r="N118" s="29"/>
      <c r="O118" s="29"/>
      <c r="P118" s="29"/>
    </row>
    <row r="119" customFormat="false" ht="15" hidden="false" customHeight="false" outlineLevel="0" collapsed="false">
      <c r="A119" s="19" t="s">
        <v>275</v>
      </c>
      <c r="E119" s="20" t="str">
        <f aca="false">IF(P119="?OLD","!!!","")</f>
        <v/>
      </c>
      <c r="F119" s="21" t="str">
        <f aca="false">IF(OR(E119="",E119="!!!"),"",IF(NOT(ISNA(VLOOKUP(E119,Q$1:Q118,1,FALSE()))),"OLD",IF(AND(E119&lt;&gt;"",E119&lt;&gt;"!!!"),"NEW","")))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IF(OR(E119="",E119="!!!",F119="NEW"),"",INDEX(N$2:N118,-1+SUMPRODUCT(MAX(ROW(E$2:E118)*(E119=E$2:E118)))))</f>
        <v/>
      </c>
      <c r="J119" s="25" t="str">
        <f aca="true">IF(OR(E119="",E119="!!!",F119="NEW"),"",COUNTBLANK(OFFSET(M$1,,,SUMPRODUCT(MAX(ROW(E$2:E119)*(E119=E$2:E119)))))-COUNTBLANK(OFFSET(M$1,,,SUMPRODUCT(MAX(ROW(Q$1:Q118)*(E119=Q$1:Q118))))))</f>
        <v/>
      </c>
      <c r="K119" s="25" t="str">
        <f aca="false">IF(OR(E119="",E119="!!!",F119="NEW"),"",INDEX(V$1:V118,SUMPRODUCT(MAX(ROW(Q$1:Q118)*(E119=Q$1:Q118)))))</f>
        <v/>
      </c>
      <c r="L119" s="26"/>
      <c r="M119" s="27"/>
    </row>
    <row r="120" customFormat="false" ht="15" hidden="false" customHeight="false" outlineLevel="0" collapsed="false">
      <c r="A120" s="19"/>
      <c r="E120" s="20" t="str">
        <f aca="false">IF(P120="?OLD","!!!","")</f>
        <v/>
      </c>
      <c r="F120" s="21" t="str">
        <f aca="false">IF(OR(E120="",E120="!!!"),"",IF(NOT(ISNA(VLOOKUP(E120,Q$1:Q119,1,FALSE()))),"OLD",IF(AND(E120&lt;&gt;"",E120&lt;&gt;"!!!"),"NEW","")))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IF(OR(E120="",E120="!!!",F120="NEW"),"",INDEX(N$2:N119,-1+SUMPRODUCT(MAX(ROW(E$2:E119)*(E120=E$2:E119)))))</f>
        <v/>
      </c>
      <c r="J120" s="25" t="str">
        <f aca="true">IF(OR(E120="",E120="!!!",F120="NEW"),"",COUNTBLANK(OFFSET(M$1,,,SUMPRODUCT(MAX(ROW(E$2:E120)*(E120=E$2:E120)))))-COUNTBLANK(OFFSET(M$1,,,SUMPRODUCT(MAX(ROW(Q$1:Q119)*(E120=Q$1:Q119))))))</f>
        <v/>
      </c>
      <c r="K120" s="25" t="str">
        <f aca="false">IF(OR(E120="",E120="!!!",F120="NEW"),"",INDEX(V$1:V119,SUMPRODUCT(MAX(ROW(Q$1:Q119)*(E120=Q$1:Q119)))))</f>
        <v/>
      </c>
      <c r="L120" s="26"/>
    </row>
    <row r="121" customFormat="false" ht="15" hidden="false" customHeight="false" outlineLevel="0" collapsed="false">
      <c r="A121" s="19" t="s">
        <v>341</v>
      </c>
      <c r="E121" s="20" t="str">
        <f aca="false">IF(P121="?OLD","!!!","")</f>
        <v/>
      </c>
      <c r="F121" s="21" t="str">
        <f aca="false">IF(OR(E121="",E121="!!!"),"",IF(NOT(ISNA(VLOOKUP(E121,Q$1:Q120,1,FALSE()))),"OLD",IF(AND(E121&lt;&gt;"",E121&lt;&gt;"!!!"),"NEW","")))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IF(OR(E121="",E121="!!!",F121="NEW"),"",INDEX(N$2:N120,-1+SUMPRODUCT(MAX(ROW(E$2:E120)*(E121=E$2:E120)))))</f>
        <v/>
      </c>
      <c r="J121" s="25" t="str">
        <f aca="true">IF(OR(E121="",E121="!!!",F121="NEW"),"",COUNTBLANK(OFFSET(M$1,,,SUMPRODUCT(MAX(ROW(E$2:E121)*(E121=E$2:E121)))))-COUNTBLANK(OFFSET(M$1,,,SUMPRODUCT(MAX(ROW(Q$1:Q120)*(E121=Q$1:Q120))))))</f>
        <v/>
      </c>
      <c r="K121" s="25" t="str">
        <f aca="false">IF(OR(E121="",E121="!!!",F121="NEW"),"",INDEX(V$1:V120,SUMPRODUCT(MAX(ROW(Q$1:Q120)*(E121=Q$1:Q120)))))</f>
        <v/>
      </c>
      <c r="L121" s="26"/>
      <c r="M121" s="27"/>
    </row>
    <row r="122" customFormat="false" ht="15" hidden="false" customHeight="false" outlineLevel="0" collapsed="false">
      <c r="A122" s="19" t="s">
        <v>342</v>
      </c>
      <c r="E122" s="20" t="str">
        <f aca="false">IF(P122="?OLD","!!!","")</f>
        <v/>
      </c>
      <c r="F122" s="21" t="str">
        <f aca="false">IF(OR(E122="",E122="!!!"),"",IF(NOT(ISNA(VLOOKUP(E122,Q$1:Q121,1,FALSE()))),"OLD",IF(AND(E122&lt;&gt;"",E122&lt;&gt;"!!!"),"NEW","")))</f>
        <v/>
      </c>
      <c r="G122" s="22" t="str">
        <f aca="false">IF(OR(E122="",E122="!!!"),"",IF(OR(J122=0,AND(J122=1,K122=1),AND(J122=1,I122="SBJ"),AND(J122=1,I122=0)),"?IN_FOCUS",IF(J122&lt;=2,"?ACTIVATED",IF(J122&lt;&gt;"","?FAMILIAR",IF(F122="NEW",IF(ISNA(VLOOKUP(E122,#REF!,1,FALSE())),"?TYPE_IDENTIFIABLE","?REFERENTIAL"),"_")))))</f>
        <v/>
      </c>
      <c r="H122" s="23" t="str">
        <f aca="false">IF(J122&lt;&gt;1,"",IF(I122="SBJ","CB","?"))</f>
        <v/>
      </c>
      <c r="I122" s="24" t="str">
        <f aca="false">IF(OR(E122="",E122="!!!",F122="NEW"),"",INDEX(N$2:N121,-1+SUMPRODUCT(MAX(ROW(E$2:E121)*(E122=E$2:E121)))))</f>
        <v/>
      </c>
      <c r="J122" s="25" t="str">
        <f aca="true">IF(OR(E122="",E122="!!!",F122="NEW"),"",COUNTBLANK(OFFSET(M$1,,,SUMPRODUCT(MAX(ROW(E$2:E122)*(E122=E$2:E122)))))-COUNTBLANK(OFFSET(M$1,,,SUMPRODUCT(MAX(ROW(Q$1:Q121)*(E122=Q$1:Q121))))))</f>
        <v/>
      </c>
      <c r="K122" s="25" t="str">
        <f aca="false">IF(OR(E122="",E122="!!!",F122="NEW"),"",INDEX(V$1:V121,SUMPRODUCT(MAX(ROW(Q$1:Q121)*(E122=Q$1:Q121)))))</f>
        <v/>
      </c>
      <c r="L122" s="26"/>
      <c r="M122" s="27"/>
    </row>
    <row r="123" customFormat="false" ht="15" hidden="false" customHeight="false" outlineLevel="0" collapsed="false">
      <c r="A123" s="19" t="s">
        <v>343</v>
      </c>
      <c r="E123" s="20" t="str">
        <f aca="false">IF(P123="?OLD","!!!","")</f>
        <v/>
      </c>
      <c r="F123" s="21" t="str">
        <f aca="false">IF(OR(E123="",E123="!!!"),"",IF(NOT(ISNA(VLOOKUP(E123,Q$1:Q122,1,FALSE()))),"OLD",IF(AND(E123&lt;&gt;"",E123&lt;&gt;"!!!"),"NEW","")))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IF(OR(E123="",E123="!!!",F123="NEW"),"",INDEX(N$2:N122,-1+SUMPRODUCT(MAX(ROW(E$2:E122)*(E123=E$2:E122)))))</f>
        <v/>
      </c>
      <c r="J123" s="25" t="str">
        <f aca="true">IF(OR(E123="",E123="!!!",F123="NEW"),"",COUNTBLANK(OFFSET(M$1,,,SUMPRODUCT(MAX(ROW(E$2:E123)*(E123=E$2:E123)))))-COUNTBLANK(OFFSET(M$1,,,SUMPRODUCT(MAX(ROW(Q$1:Q122)*(E123=Q$1:Q122))))))</f>
        <v/>
      </c>
      <c r="K123" s="25" t="str">
        <f aca="false">IF(OR(E123="",E123="!!!",F123="NEW"),"",INDEX(V$1:V122,SUMPRODUCT(MAX(ROW(Q$1:Q122)*(E123=Q$1:Q122)))))</f>
        <v/>
      </c>
      <c r="L123" s="26"/>
      <c r="M123" s="27"/>
    </row>
    <row r="124" customFormat="false" ht="15" hidden="false" customHeight="false" outlineLevel="0" collapsed="false">
      <c r="A124" s="19" t="s">
        <v>285</v>
      </c>
      <c r="B124" s="28" t="s">
        <v>251</v>
      </c>
      <c r="C124" s="28" t="s">
        <v>344</v>
      </c>
      <c r="D124" s="28" t="s">
        <v>253</v>
      </c>
      <c r="E124" s="20" t="s">
        <v>345</v>
      </c>
      <c r="F124" s="21" t="str">
        <f aca="false">IF(OR(E124="",E124="!!!"),"",IF(NOT(ISNA(VLOOKUP(E124,Q$1:Q123,1,FALSE()))),"OLD",IF(AND(E124&lt;&gt;"",E124&lt;&gt;"!!!"),"NEW","")))</f>
        <v>NEW</v>
      </c>
      <c r="G124" s="22" t="s">
        <v>255</v>
      </c>
      <c r="H124" s="23" t="str">
        <f aca="false">IF(J124&lt;&gt;1,"",IF(I124="SBJ","CB","?"))</f>
        <v/>
      </c>
      <c r="I124" s="24" t="str">
        <f aca="false">IF(OR(E124="",E124="!!!",F124="NEW"),"",INDEX(N$2:N123,-1+SUMPRODUCT(MAX(ROW(E$2:E123)*(E124=E$2:E123)))))</f>
        <v/>
      </c>
      <c r="J124" s="25" t="str">
        <f aca="true">IF(OR(E124="",E124="!!!",F124="NEW"),"",COUNTBLANK(OFFSET(M$1,,,SUMPRODUCT(MAX(ROW(E$2:E124)*(E124=E$2:E124)))))-COUNTBLANK(OFFSET(M$1,,,SUMPRODUCT(MAX(ROW(Q$1:Q123)*(E124=Q$1:Q123))))))</f>
        <v/>
      </c>
      <c r="K124" s="25" t="str">
        <f aca="false">IF(OR(E124="",E124="!!!",F124="NEW"),"",INDEX(V$1:V123,SUMPRODUCT(MAX(ROW(Q$1:Q123)*(E124=Q$1:Q123)))))</f>
        <v/>
      </c>
      <c r="L124" s="26"/>
      <c r="M124" s="27"/>
      <c r="N124" s="29"/>
      <c r="O124" s="29"/>
      <c r="P124" s="29"/>
    </row>
    <row r="125" customFormat="false" ht="15" hidden="false" customHeight="false" outlineLevel="0" collapsed="false">
      <c r="A125" s="19" t="s">
        <v>346</v>
      </c>
      <c r="E125" s="20" t="str">
        <f aca="false">IF(P125="?OLD","!!!","")</f>
        <v/>
      </c>
      <c r="F125" s="21" t="str">
        <f aca="false">IF(OR(E125="",E125="!!!"),"",IF(NOT(ISNA(VLOOKUP(E125,Q$1:Q124,1,FALSE()))),"OLD",IF(AND(E125&lt;&gt;"",E125&lt;&gt;"!!!"),"NEW","")))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4" t="str">
        <f aca="false">IF(OR(E125="",E125="!!!",F125="NEW"),"",INDEX(N$2:N124,-1+SUMPRODUCT(MAX(ROW(E$2:E124)*(E125=E$2:E124)))))</f>
        <v/>
      </c>
      <c r="J125" s="25" t="str">
        <f aca="true">IF(OR(E125="",E125="!!!",F125="NEW"),"",COUNTBLANK(OFFSET(M$1,,,SUMPRODUCT(MAX(ROW(E$2:E125)*(E125=E$2:E125)))))-COUNTBLANK(OFFSET(M$1,,,SUMPRODUCT(MAX(ROW(Q$1:Q124)*(E125=Q$1:Q124))))))</f>
        <v/>
      </c>
      <c r="K125" s="25" t="str">
        <f aca="false">IF(OR(E125="",E125="!!!",F125="NEW"),"",INDEX(V$1:V124,SUMPRODUCT(MAX(ROW(Q$1:Q124)*(E125=Q$1:Q124)))))</f>
        <v/>
      </c>
      <c r="L125" s="26"/>
      <c r="M125" s="27"/>
    </row>
    <row r="126" customFormat="false" ht="15" hidden="false" customHeight="false" outlineLevel="0" collapsed="false">
      <c r="A126" s="19" t="s">
        <v>347</v>
      </c>
      <c r="E126" s="20" t="str">
        <f aca="false">IF(P126="?OLD","!!!","")</f>
        <v/>
      </c>
      <c r="F126" s="21" t="str">
        <f aca="false">IF(OR(E126="",E126="!!!"),"",IF(NOT(ISNA(VLOOKUP(E126,Q$1:Q125,1,FALSE()))),"OLD",IF(AND(E126&lt;&gt;"",E126&lt;&gt;"!!!"),"NEW","")))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IF(OR(E126="",E126="!!!",F126="NEW"),"",INDEX(N$2:N125,-1+SUMPRODUCT(MAX(ROW(E$2:E125)*(E126=E$2:E125)))))</f>
        <v/>
      </c>
      <c r="J126" s="25" t="str">
        <f aca="true">IF(OR(E126="",E126="!!!",F126="NEW"),"",COUNTBLANK(OFFSET(M$1,,,SUMPRODUCT(MAX(ROW(E$2:E126)*(E126=E$2:E126)))))-COUNTBLANK(OFFSET(M$1,,,SUMPRODUCT(MAX(ROW(Q$1:Q125)*(E126=Q$1:Q125))))))</f>
        <v/>
      </c>
      <c r="K126" s="25" t="str">
        <f aca="false">IF(OR(E126="",E126="!!!",F126="NEW"),"",INDEX(V$1:V125,SUMPRODUCT(MAX(ROW(Q$1:Q125)*(E126=Q$1:Q125)))))</f>
        <v/>
      </c>
      <c r="L126" s="26"/>
      <c r="M126" s="27"/>
    </row>
    <row r="127" customFormat="false" ht="15" hidden="false" customHeight="false" outlineLevel="0" collapsed="false">
      <c r="A127" s="19" t="s">
        <v>261</v>
      </c>
      <c r="E127" s="20" t="str">
        <f aca="false">IF(P127="?OLD","!!!","")</f>
        <v/>
      </c>
      <c r="F127" s="21" t="str">
        <f aca="false">IF(OR(E127="",E127="!!!"),"",IF(NOT(ISNA(VLOOKUP(E127,Q$1:Q126,1,FALSE()))),"OLD",IF(AND(E127&lt;&gt;"",E127&lt;&gt;"!!!"),"NEW","")))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IF(OR(E127="",E127="!!!",F127="NEW"),"",INDEX(N$2:N126,-1+SUMPRODUCT(MAX(ROW(E$2:E126)*(E127=E$2:E126)))))</f>
        <v/>
      </c>
      <c r="J127" s="25" t="str">
        <f aca="true">IF(OR(E127="",E127="!!!",F127="NEW"),"",COUNTBLANK(OFFSET(M$1,,,SUMPRODUCT(MAX(ROW(E$2:E127)*(E127=E$2:E127)))))-COUNTBLANK(OFFSET(M$1,,,SUMPRODUCT(MAX(ROW(Q$1:Q126)*(E127=Q$1:Q126))))))</f>
        <v/>
      </c>
      <c r="K127" s="25" t="str">
        <f aca="false">IF(OR(E127="",E127="!!!",F127="NEW"),"",INDEX(V$1:V126,SUMPRODUCT(MAX(ROW(Q$1:Q126)*(E127=Q$1:Q126)))))</f>
        <v/>
      </c>
      <c r="L127" s="26"/>
      <c r="M127" s="27"/>
    </row>
    <row r="128" customFormat="false" ht="15" hidden="false" customHeight="false" outlineLevel="0" collapsed="false">
      <c r="A128" s="19" t="s">
        <v>250</v>
      </c>
      <c r="E128" s="20" t="str">
        <f aca="false">IF(P128="?OLD","!!!","")</f>
        <v/>
      </c>
      <c r="F128" s="21" t="str">
        <f aca="false">IF(OR(E128="",E128="!!!"),"",IF(NOT(ISNA(VLOOKUP(E128,Q$1:Q127,1,FALSE()))),"OLD",IF(AND(E128&lt;&gt;"",E128&lt;&gt;"!!!"),"NEW","")))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IF(OR(E128="",E128="!!!",F128="NEW"),"",INDEX(N$2:N127,-1+SUMPRODUCT(MAX(ROW(E$2:E127)*(E128=E$2:E127)))))</f>
        <v/>
      </c>
      <c r="J128" s="25" t="str">
        <f aca="true">IF(OR(E128="",E128="!!!",F128="NEW"),"",COUNTBLANK(OFFSET(M$1,,,SUMPRODUCT(MAX(ROW(E$2:E128)*(E128=E$2:E128)))))-COUNTBLANK(OFFSET(M$1,,,SUMPRODUCT(MAX(ROW(Q$1:Q127)*(E128=Q$1:Q127))))))</f>
        <v/>
      </c>
      <c r="K128" s="25" t="str">
        <f aca="false">IF(OR(E128="",E128="!!!",F128="NEW"),"",INDEX(V$1:V127,SUMPRODUCT(MAX(ROW(Q$1:Q127)*(E128=Q$1:Q127)))))</f>
        <v/>
      </c>
      <c r="L128" s="26"/>
      <c r="M128" s="27"/>
    </row>
    <row r="129" customFormat="false" ht="15" hidden="false" customHeight="false" outlineLevel="0" collapsed="false">
      <c r="A129" s="19" t="s">
        <v>348</v>
      </c>
      <c r="B129" s="28" t="s">
        <v>263</v>
      </c>
      <c r="C129" s="28" t="s">
        <v>252</v>
      </c>
      <c r="D129" s="28" t="s">
        <v>253</v>
      </c>
      <c r="E129" s="20" t="s">
        <v>349</v>
      </c>
      <c r="F129" s="21" t="str">
        <f aca="false">IF(OR(E129="",E129="!!!"),"",IF(NOT(ISNA(VLOOKUP(E129,Q$1:Q128,1,FALSE()))),"OLD",IF(AND(E129&lt;&gt;"",E129&lt;&gt;"!!!"),"NEW","")))</f>
        <v>NEW</v>
      </c>
      <c r="G129" s="22" t="s">
        <v>255</v>
      </c>
      <c r="H129" s="23" t="str">
        <f aca="false">IF(J129&lt;&gt;1,"",IF(I129="SBJ","CB","?"))</f>
        <v/>
      </c>
      <c r="I129" s="24" t="str">
        <f aca="false">IF(OR(E129="",E129="!!!",F129="NEW"),"",INDEX(N$2:N128,-1+SUMPRODUCT(MAX(ROW(E$2:E128)*(E129=E$2:E128)))))</f>
        <v/>
      </c>
      <c r="J129" s="25" t="str">
        <f aca="true">IF(OR(E129="",E129="!!!",F129="NEW"),"",COUNTBLANK(OFFSET(M$1,,,SUMPRODUCT(MAX(ROW(E$2:E129)*(E129=E$2:E129)))))-COUNTBLANK(OFFSET(M$1,,,SUMPRODUCT(MAX(ROW(Q$1:Q128)*(E129=Q$1:Q128))))))</f>
        <v/>
      </c>
      <c r="K129" s="25" t="str">
        <f aca="false">IF(OR(E129="",E129="!!!",F129="NEW"),"",INDEX(V$1:V128,SUMPRODUCT(MAX(ROW(Q$1:Q128)*(E129=Q$1:Q128)))))</f>
        <v/>
      </c>
      <c r="L129" s="26"/>
      <c r="M129" s="27"/>
      <c r="N129" s="29"/>
      <c r="O129" s="29"/>
      <c r="P129" s="29"/>
    </row>
    <row r="130" customFormat="false" ht="15" hidden="false" customHeight="false" outlineLevel="0" collapsed="false">
      <c r="A130" s="19" t="s">
        <v>279</v>
      </c>
      <c r="E130" s="20" t="str">
        <f aca="false">IF(P130="?OLD","!!!","")</f>
        <v/>
      </c>
      <c r="F130" s="21" t="str">
        <f aca="false">IF(OR(E130="",E130="!!!"),"",IF(NOT(ISNA(VLOOKUP(E130,Q$1:Q129,1,FALSE()))),"OLD",IF(AND(E130&lt;&gt;"",E130&lt;&gt;"!!!"),"NEW","")))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IF(OR(E130="",E130="!!!",F130="NEW"),"",INDEX(N$2:N129,-1+SUMPRODUCT(MAX(ROW(E$2:E129)*(E130=E$2:E129)))))</f>
        <v/>
      </c>
      <c r="J130" s="25" t="str">
        <f aca="true">IF(OR(E130="",E130="!!!",F130="NEW"),"",COUNTBLANK(OFFSET(M$1,,,SUMPRODUCT(MAX(ROW(E$2:E130)*(E130=E$2:E130)))))-COUNTBLANK(OFFSET(M$1,,,SUMPRODUCT(MAX(ROW(Q$1:Q129)*(E130=Q$1:Q129))))))</f>
        <v/>
      </c>
      <c r="K130" s="25" t="str">
        <f aca="false">IF(OR(E130="",E130="!!!",F130="NEW"),"",INDEX(V$1:V129,SUMPRODUCT(MAX(ROW(Q$1:Q129)*(E130=Q$1:Q129)))))</f>
        <v/>
      </c>
      <c r="L130" s="26"/>
      <c r="M130" s="27"/>
    </row>
    <row r="131" customFormat="false" ht="15" hidden="false" customHeight="false" outlineLevel="0" collapsed="false">
      <c r="A131" s="19" t="s">
        <v>350</v>
      </c>
      <c r="E131" s="20" t="str">
        <f aca="false">IF(P131="?OLD","!!!","")</f>
        <v/>
      </c>
      <c r="F131" s="21" t="str">
        <f aca="false">IF(OR(E131="",E131="!!!"),"",IF(NOT(ISNA(VLOOKUP(E131,Q$1:Q130,1,FALSE()))),"OLD",IF(AND(E131&lt;&gt;"",E131&lt;&gt;"!!!"),"NEW","")))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4" t="str">
        <f aca="false">IF(OR(E131="",E131="!!!",F131="NEW"),"",INDEX(N$2:N130,-1+SUMPRODUCT(MAX(ROW(E$2:E130)*(E131=E$2:E130)))))</f>
        <v/>
      </c>
      <c r="J131" s="25" t="str">
        <f aca="true">IF(OR(E131="",E131="!!!",F131="NEW"),"",COUNTBLANK(OFFSET(M$1,,,SUMPRODUCT(MAX(ROW(E$2:E131)*(E131=E$2:E131)))))-COUNTBLANK(OFFSET(M$1,,,SUMPRODUCT(MAX(ROW(Q$1:Q130)*(E131=Q$1:Q130))))))</f>
        <v/>
      </c>
      <c r="K131" s="25" t="str">
        <f aca="false">IF(OR(E131="",E131="!!!",F131="NEW"),"",INDEX(V$1:V130,SUMPRODUCT(MAX(ROW(Q$1:Q130)*(E131=Q$1:Q130)))))</f>
        <v/>
      </c>
      <c r="L131" s="26"/>
      <c r="M131" s="27"/>
    </row>
    <row r="132" customFormat="false" ht="15" hidden="false" customHeight="false" outlineLevel="0" collapsed="false">
      <c r="A132" s="19" t="s">
        <v>261</v>
      </c>
      <c r="E132" s="20" t="str">
        <f aca="false">IF(P132="?OLD","!!!","")</f>
        <v/>
      </c>
      <c r="F132" s="21" t="str">
        <f aca="false">IF(OR(E132="",E132="!!!"),"",IF(NOT(ISNA(VLOOKUP(E132,Q$1:Q131,1,FALSE()))),"OLD",IF(AND(E132&lt;&gt;"",E132&lt;&gt;"!!!"),"NEW","")))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IF(OR(E132="",E132="!!!",F132="NEW"),"",INDEX(N$2:N131,-1+SUMPRODUCT(MAX(ROW(E$2:E131)*(E132=E$2:E131)))))</f>
        <v/>
      </c>
      <c r="J132" s="25" t="str">
        <f aca="true">IF(OR(E132="",E132="!!!",F132="NEW"),"",COUNTBLANK(OFFSET(M$1,,,SUMPRODUCT(MAX(ROW(E$2:E132)*(E132=E$2:E132)))))-COUNTBLANK(OFFSET(M$1,,,SUMPRODUCT(MAX(ROW(Q$1:Q131)*(E132=Q$1:Q131))))))</f>
        <v/>
      </c>
      <c r="K132" s="25" t="str">
        <f aca="false">IF(OR(E132="",E132="!!!",F132="NEW"),"",INDEX(V$1:V131,SUMPRODUCT(MAX(ROW(Q$1:Q131)*(E132=Q$1:Q131)))))</f>
        <v/>
      </c>
      <c r="L132" s="26"/>
      <c r="M132" s="27"/>
    </row>
    <row r="133" customFormat="false" ht="15" hidden="false" customHeight="false" outlineLevel="0" collapsed="false">
      <c r="A133" s="19" t="s">
        <v>294</v>
      </c>
      <c r="E133" s="20" t="str">
        <f aca="false">IF(P133="?OLD","!!!","")</f>
        <v/>
      </c>
      <c r="F133" s="21" t="str">
        <f aca="false">IF(OR(E133="",E133="!!!"),"",IF(NOT(ISNA(VLOOKUP(E133,Q$1:Q132,1,FALSE()))),"OLD",IF(AND(E133&lt;&gt;"",E133&lt;&gt;"!!!"),"NEW","")))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IF(OR(E133="",E133="!!!",F133="NEW"),"",INDEX(N$2:N132,-1+SUMPRODUCT(MAX(ROW(E$2:E132)*(E133=E$2:E132)))))</f>
        <v/>
      </c>
      <c r="J133" s="25" t="str">
        <f aca="true">IF(OR(E133="",E133="!!!",F133="NEW"),"",COUNTBLANK(OFFSET(M$1,,,SUMPRODUCT(MAX(ROW(E$2:E133)*(E133=E$2:E133)))))-COUNTBLANK(OFFSET(M$1,,,SUMPRODUCT(MAX(ROW(Q$1:Q132)*(E133=Q$1:Q132))))))</f>
        <v/>
      </c>
      <c r="K133" s="25" t="str">
        <f aca="false">IF(OR(E133="",E133="!!!",F133="NEW"),"",INDEX(V$1:V132,SUMPRODUCT(MAX(ROW(Q$1:Q132)*(E133=Q$1:Q132)))))</f>
        <v/>
      </c>
      <c r="L133" s="26"/>
      <c r="M133" s="27"/>
    </row>
    <row r="134" customFormat="false" ht="15" hidden="false" customHeight="false" outlineLevel="0" collapsed="false">
      <c r="A134" s="19" t="s">
        <v>268</v>
      </c>
      <c r="E134" s="20" t="str">
        <f aca="false">IF(P134="?OLD","!!!","")</f>
        <v/>
      </c>
      <c r="F134" s="21" t="str">
        <f aca="false">IF(OR(E134="",E134="!!!"),"",IF(NOT(ISNA(VLOOKUP(E134,Q$1:Q133,1,FALSE()))),"OLD",IF(AND(E134&lt;&gt;"",E134&lt;&gt;"!!!"),"NEW","")))</f>
        <v/>
      </c>
      <c r="G134" s="22" t="str">
        <f aca="false">IF(OR(E134="",E134="!!!"),"",IF(OR(J134=0,AND(J134=1,K134=1),AND(J134=1,I134="SBJ"),AND(J134=1,I134=0)),"?IN_FOCUS",IF(J134&lt;=2,"?ACTIVATED",IF(J134&lt;&gt;"","?FAMILIAR",IF(F134="NEW",IF(ISNA(VLOOKUP(E134,#REF!,1,FALSE())),"?TYPE_IDENTIFIABLE","?REFERENTIAL"),"_")))))</f>
        <v/>
      </c>
      <c r="H134" s="23" t="str">
        <f aca="false">IF(J134&lt;&gt;1,"",IF(I134="SBJ","CB","?"))</f>
        <v/>
      </c>
      <c r="I134" s="24" t="str">
        <f aca="false">IF(OR(E134="",E134="!!!",F134="NEW"),"",INDEX(N$2:N133,-1+SUMPRODUCT(MAX(ROW(E$2:E133)*(E134=E$2:E133)))))</f>
        <v/>
      </c>
      <c r="J134" s="25" t="str">
        <f aca="true">IF(OR(E134="",E134="!!!",F134="NEW"),"",COUNTBLANK(OFFSET(M$1,,,SUMPRODUCT(MAX(ROW(E$2:E134)*(E134=E$2:E134)))))-COUNTBLANK(OFFSET(M$1,,,SUMPRODUCT(MAX(ROW(Q$1:Q133)*(E134=Q$1:Q133))))))</f>
        <v/>
      </c>
      <c r="K134" s="25" t="str">
        <f aca="false">IF(OR(E134="",E134="!!!",F134="NEW"),"",INDEX(V$1:V133,SUMPRODUCT(MAX(ROW(Q$1:Q133)*(E134=Q$1:Q133)))))</f>
        <v/>
      </c>
      <c r="L134" s="26"/>
      <c r="M134" s="27"/>
    </row>
    <row r="135" customFormat="false" ht="15" hidden="false" customHeight="false" outlineLevel="0" collapsed="false">
      <c r="A135" s="19" t="s">
        <v>351</v>
      </c>
      <c r="E135" s="20" t="str">
        <f aca="false">IF(P135="?OLD","!!!","")</f>
        <v/>
      </c>
      <c r="F135" s="21" t="str">
        <f aca="false">IF(OR(E135="",E135="!!!"),"",IF(NOT(ISNA(VLOOKUP(E135,Q$1:Q134,1,FALSE()))),"OLD",IF(AND(E135&lt;&gt;"",E135&lt;&gt;"!!!"),"NEW","")))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IF(OR(E135="",E135="!!!",F135="NEW"),"",INDEX(N$2:N134,-1+SUMPRODUCT(MAX(ROW(E$2:E134)*(E135=E$2:E134)))))</f>
        <v/>
      </c>
      <c r="J135" s="25" t="str">
        <f aca="true">IF(OR(E135="",E135="!!!",F135="NEW"),"",COUNTBLANK(OFFSET(M$1,,,SUMPRODUCT(MAX(ROW(E$2:E135)*(E135=E$2:E135)))))-COUNTBLANK(OFFSET(M$1,,,SUMPRODUCT(MAX(ROW(Q$1:Q134)*(E135=Q$1:Q134))))))</f>
        <v/>
      </c>
      <c r="K135" s="25" t="str">
        <f aca="false">IF(OR(E135="",E135="!!!",F135="NEW"),"",INDEX(V$1:V134,SUMPRODUCT(MAX(ROW(Q$1:Q134)*(E135=Q$1:Q134)))))</f>
        <v/>
      </c>
      <c r="L135" s="26"/>
      <c r="M135" s="27"/>
    </row>
    <row r="136" customFormat="false" ht="15" hidden="false" customHeight="false" outlineLevel="0" collapsed="false">
      <c r="A136" s="19" t="s">
        <v>261</v>
      </c>
      <c r="E136" s="20" t="str">
        <f aca="false">IF(P136="?OLD","!!!","")</f>
        <v/>
      </c>
      <c r="F136" s="21" t="str">
        <f aca="false">IF(OR(E136="",E136="!!!"),"",IF(NOT(ISNA(VLOOKUP(E136,Q$1:Q135,1,FALSE()))),"OLD",IF(AND(E136&lt;&gt;"",E136&lt;&gt;"!!!"),"NEW","")))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4" t="str">
        <f aca="false">IF(OR(E136="",E136="!!!",F136="NEW"),"",INDEX(N$2:N135,-1+SUMPRODUCT(MAX(ROW(E$2:E135)*(E136=E$2:E135)))))</f>
        <v/>
      </c>
      <c r="J136" s="25" t="str">
        <f aca="true">IF(OR(E136="",E136="!!!",F136="NEW"),"",COUNTBLANK(OFFSET(M$1,,,SUMPRODUCT(MAX(ROW(E$2:E136)*(E136=E$2:E136)))))-COUNTBLANK(OFFSET(M$1,,,SUMPRODUCT(MAX(ROW(Q$1:Q135)*(E136=Q$1:Q135))))))</f>
        <v/>
      </c>
      <c r="K136" s="25" t="str">
        <f aca="false">IF(OR(E136="",E136="!!!",F136="NEW"),"",INDEX(V$1:V135,SUMPRODUCT(MAX(ROW(Q$1:Q135)*(E136=Q$1:Q135)))))</f>
        <v/>
      </c>
      <c r="L136" s="26"/>
      <c r="M136" s="27"/>
    </row>
    <row r="137" customFormat="false" ht="15" hidden="false" customHeight="false" outlineLevel="0" collapsed="false">
      <c r="A137" s="19" t="s">
        <v>352</v>
      </c>
      <c r="E137" s="20" t="str">
        <f aca="false">IF(P137="?OLD","!!!","")</f>
        <v/>
      </c>
      <c r="F137" s="21" t="str">
        <f aca="false">IF(OR(E137="",E137="!!!"),"",IF(NOT(ISNA(VLOOKUP(E137,Q$1:Q136,1,FALSE()))),"OLD",IF(AND(E137&lt;&gt;"",E137&lt;&gt;"!!!"),"NEW","")))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IF(OR(E137="",E137="!!!",F137="NEW"),"",INDEX(N$2:N136,-1+SUMPRODUCT(MAX(ROW(E$2:E136)*(E137=E$2:E136)))))</f>
        <v/>
      </c>
      <c r="J137" s="25" t="str">
        <f aca="true">IF(OR(E137="",E137="!!!",F137="NEW"),"",COUNTBLANK(OFFSET(M$1,,,SUMPRODUCT(MAX(ROW(E$2:E137)*(E137=E$2:E137)))))-COUNTBLANK(OFFSET(M$1,,,SUMPRODUCT(MAX(ROW(Q$1:Q136)*(E137=Q$1:Q136))))))</f>
        <v/>
      </c>
      <c r="K137" s="25" t="str">
        <f aca="false">IF(OR(E137="",E137="!!!",F137="NEW"),"",INDEX(V$1:V136,SUMPRODUCT(MAX(ROW(Q$1:Q136)*(E137=Q$1:Q136)))))</f>
        <v/>
      </c>
      <c r="L137" s="26"/>
      <c r="M137" s="27"/>
    </row>
    <row r="138" customFormat="false" ht="15" hidden="false" customHeight="false" outlineLevel="0" collapsed="false">
      <c r="A138" s="19" t="s">
        <v>353</v>
      </c>
      <c r="B138" s="28" t="s">
        <v>324</v>
      </c>
      <c r="C138" s="28" t="s">
        <v>354</v>
      </c>
      <c r="E138" s="20" t="str">
        <f aca="false">IF(P138="?OLD","!!!","")</f>
        <v/>
      </c>
      <c r="F138" s="21" t="str">
        <f aca="false">IF(OR(E138="",E138="!!!"),"",IF(NOT(ISNA(VLOOKUP(E138,Q$1:Q137,1,FALSE()))),"OLD",IF(AND(E138&lt;&gt;"",E138&lt;&gt;"!!!"),"NEW","")))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4" t="str">
        <f aca="false">IF(OR(E138="",E138="!!!",F138="NEW"),"",INDEX(N$2:N137,-1+SUMPRODUCT(MAX(ROW(E$2:E137)*(E138=E$2:E137)))))</f>
        <v/>
      </c>
      <c r="J138" s="25" t="str">
        <f aca="true">IF(OR(E138="",E138="!!!",F138="NEW"),"",COUNTBLANK(OFFSET(M$1,,,SUMPRODUCT(MAX(ROW(E$2:E138)*(E138=E$2:E138)))))-COUNTBLANK(OFFSET(M$1,,,SUMPRODUCT(MAX(ROW(Q$1:Q137)*(E138=Q$1:Q137))))))</f>
        <v/>
      </c>
      <c r="K138" s="25" t="str">
        <f aca="false">IF(OR(E138="",E138="!!!",F138="NEW"),"",INDEX(V$1:V137,SUMPRODUCT(MAX(ROW(Q$1:Q137)*(E138=Q$1:Q137)))))</f>
        <v/>
      </c>
      <c r="L138" s="26"/>
      <c r="M138" s="27"/>
      <c r="N138" s="29"/>
      <c r="O138" s="29"/>
    </row>
    <row r="139" customFormat="false" ht="15" hidden="false" customHeight="false" outlineLevel="0" collapsed="false">
      <c r="A139" s="19" t="s">
        <v>347</v>
      </c>
      <c r="E139" s="20" t="str">
        <f aca="false">IF(P139="?OLD","!!!","")</f>
        <v/>
      </c>
      <c r="F139" s="21" t="str">
        <f aca="false">IF(OR(E139="",E139="!!!"),"",IF(NOT(ISNA(VLOOKUP(E139,Q$1:Q138,1,FALSE()))),"OLD",IF(AND(E139&lt;&gt;"",E139&lt;&gt;"!!!"),"NEW","")))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4" t="str">
        <f aca="false">IF(OR(E139="",E139="!!!",F139="NEW"),"",INDEX(N$2:N138,-1+SUMPRODUCT(MAX(ROW(E$2:E138)*(E139=E$2:E138)))))</f>
        <v/>
      </c>
      <c r="J139" s="25" t="str">
        <f aca="true">IF(OR(E139="",E139="!!!",F139="NEW"),"",COUNTBLANK(OFFSET(M$1,,,SUMPRODUCT(MAX(ROW(E$2:E139)*(E139=E$2:E139)))))-COUNTBLANK(OFFSET(M$1,,,SUMPRODUCT(MAX(ROW(Q$1:Q138)*(E139=Q$1:Q138))))))</f>
        <v/>
      </c>
      <c r="K139" s="25" t="str">
        <f aca="false">IF(OR(E139="",E139="!!!",F139="NEW"),"",INDEX(V$1:V138,SUMPRODUCT(MAX(ROW(Q$1:Q138)*(E139=Q$1:Q138)))))</f>
        <v/>
      </c>
      <c r="L139" s="26"/>
      <c r="M139" s="27"/>
    </row>
    <row r="140" customFormat="false" ht="15" hidden="false" customHeight="false" outlineLevel="0" collapsed="false">
      <c r="A140" s="19" t="s">
        <v>310</v>
      </c>
      <c r="B140" s="28" t="s">
        <v>326</v>
      </c>
      <c r="C140" s="28" t="s">
        <v>264</v>
      </c>
      <c r="D140" s="28" t="s">
        <v>253</v>
      </c>
      <c r="E140" s="20" t="s">
        <v>334</v>
      </c>
      <c r="F140" s="21" t="str">
        <f aca="false">IF(OR(E140="",E140="!!!"),"",IF(NOT(ISNA(VLOOKUP(E140,Q$1:Q139,1,FALSE()))),"OLD",IF(AND(E140&lt;&gt;"",E140&lt;&gt;"!!!"),"NEW","")))</f>
        <v>NEW</v>
      </c>
      <c r="G140" s="22" t="s">
        <v>266</v>
      </c>
      <c r="H140" s="23" t="s">
        <v>243</v>
      </c>
      <c r="I140" s="24" t="str">
        <f aca="false">IF(OR(E140="",E140="!!!",F140="NEW"),"",INDEX(N$2:N139,-1+SUMPRODUCT(MAX(ROW(E$2:E139)*(E140=E$2:E139)))))</f>
        <v/>
      </c>
      <c r="J140" s="25" t="str">
        <f aca="true">IF(OR(E140="",E140="!!!",F140="NEW"),"",COUNTBLANK(OFFSET(M$1,,,SUMPRODUCT(MAX(ROW(E$2:E140)*(E140=E$2:E140)))))-COUNTBLANK(OFFSET(M$1,,,SUMPRODUCT(MAX(ROW(Q$1:Q139)*(E140=Q$1:Q139))))))</f>
        <v/>
      </c>
      <c r="K140" s="25" t="str">
        <f aca="false">IF(OR(E140="",E140="!!!",F140="NEW"),"",INDEX(V$1:V139,SUMPRODUCT(MAX(ROW(Q$1:Q139)*(E140=Q$1:Q139)))))</f>
        <v/>
      </c>
      <c r="L140" s="26"/>
      <c r="M140" s="27"/>
      <c r="N140" s="29"/>
      <c r="O140" s="29"/>
      <c r="P140" s="29"/>
    </row>
    <row r="141" customFormat="false" ht="15" hidden="false" customHeight="false" outlineLevel="0" collapsed="false">
      <c r="A141" s="19" t="s">
        <v>355</v>
      </c>
      <c r="E141" s="20" t="str">
        <f aca="false">IF(P141="?OLD","!!!","")</f>
        <v/>
      </c>
      <c r="F141" s="21" t="str">
        <f aca="false">IF(OR(E141="",E141="!!!"),"",IF(NOT(ISNA(VLOOKUP(E141,Q$1:Q140,1,FALSE()))),"OLD",IF(AND(E141&lt;&gt;"",E141&lt;&gt;"!!!"),"NEW","")))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IF(OR(E141="",E141="!!!",F141="NEW"),"",INDEX(N$2:N140,-1+SUMPRODUCT(MAX(ROW(E$2:E140)*(E141=E$2:E140)))))</f>
        <v/>
      </c>
      <c r="J141" s="25" t="str">
        <f aca="true">IF(OR(E141="",E141="!!!",F141="NEW"),"",COUNTBLANK(OFFSET(M$1,,,SUMPRODUCT(MAX(ROW(E$2:E141)*(E141=E$2:E141)))))-COUNTBLANK(OFFSET(M$1,,,SUMPRODUCT(MAX(ROW(Q$1:Q140)*(E141=Q$1:Q140))))))</f>
        <v/>
      </c>
      <c r="K141" s="25" t="str">
        <f aca="false">IF(OR(E141="",E141="!!!",F141="NEW"),"",INDEX(V$1:V140,SUMPRODUCT(MAX(ROW(Q$1:Q140)*(E141=Q$1:Q140)))))</f>
        <v/>
      </c>
      <c r="L141" s="26"/>
      <c r="M141" s="27"/>
    </row>
    <row r="142" customFormat="false" ht="15" hidden="false" customHeight="false" outlineLevel="0" collapsed="false">
      <c r="A142" s="19" t="s">
        <v>273</v>
      </c>
      <c r="E142" s="20" t="str">
        <f aca="false">IF(P142="?OLD","!!!","")</f>
        <v/>
      </c>
      <c r="F142" s="21" t="str">
        <f aca="false">IF(OR(E142="",E142="!!!"),"",IF(NOT(ISNA(VLOOKUP(E142,Q$1:Q141,1,FALSE()))),"OLD",IF(AND(E142&lt;&gt;"",E142&lt;&gt;"!!!"),"NEW","")))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IF(OR(E142="",E142="!!!",F142="NEW"),"",INDEX(N$2:N141,-1+SUMPRODUCT(MAX(ROW(E$2:E141)*(E142=E$2:E141)))))</f>
        <v/>
      </c>
      <c r="J142" s="25" t="str">
        <f aca="true">IF(OR(E142="",E142="!!!",F142="NEW"),"",COUNTBLANK(OFFSET(M$1,,,SUMPRODUCT(MAX(ROW(E$2:E142)*(E142=E$2:E142)))))-COUNTBLANK(OFFSET(M$1,,,SUMPRODUCT(MAX(ROW(Q$1:Q141)*(E142=Q$1:Q141))))))</f>
        <v/>
      </c>
      <c r="K142" s="25" t="str">
        <f aca="false">IF(OR(E142="",E142="!!!",F142="NEW"),"",INDEX(V$1:V141,SUMPRODUCT(MAX(ROW(Q$1:Q141)*(E142=Q$1:Q141)))))</f>
        <v/>
      </c>
      <c r="L142" s="26"/>
      <c r="M142" s="27"/>
    </row>
    <row r="143" customFormat="false" ht="15" hidden="false" customHeight="false" outlineLevel="0" collapsed="false">
      <c r="A143" s="19" t="s">
        <v>356</v>
      </c>
      <c r="B143" s="28" t="s">
        <v>357</v>
      </c>
      <c r="C143" s="28" t="s">
        <v>358</v>
      </c>
      <c r="D143" s="28" t="s">
        <v>253</v>
      </c>
      <c r="E143" s="20" t="s">
        <v>334</v>
      </c>
      <c r="F143" s="21" t="str">
        <f aca="false">IF(OR(E143="",E143="!!!"),"",IF(NOT(ISNA(VLOOKUP(E143,Q$1:Q142,1,FALSE()))),"OLD",IF(AND(E143&lt;&gt;"",E143&lt;&gt;"!!!"),"NEW","")))</f>
        <v>NEW</v>
      </c>
      <c r="G143" s="22" t="s">
        <v>296</v>
      </c>
      <c r="H143" s="23" t="str">
        <f aca="false">IF(J143&lt;&gt;1,"",IF(I143="SBJ","CB","?"))</f>
        <v/>
      </c>
      <c r="I143" s="24" t="str">
        <f aca="false">IF(OR(E143="",E143="!!!",F143="NEW"),"",INDEX(N$2:N142,-1+SUMPRODUCT(MAX(ROW(E$2:E142)*(E143=E$2:E142)))))</f>
        <v/>
      </c>
      <c r="J143" s="25" t="str">
        <f aca="true">IF(OR(E143="",E143="!!!",F143="NEW"),"",COUNTBLANK(OFFSET(M$1,,,SUMPRODUCT(MAX(ROW(E$2:E143)*(E143=E$2:E143)))))-COUNTBLANK(OFFSET(M$1,,,SUMPRODUCT(MAX(ROW(Q$1:Q142)*(E143=Q$1:Q142))))))</f>
        <v/>
      </c>
      <c r="K143" s="25" t="str">
        <f aca="false">IF(OR(E143="",E143="!!!",F143="NEW"),"",INDEX(V$1:V142,SUMPRODUCT(MAX(ROW(Q$1:Q142)*(E143=Q$1:Q142)))))</f>
        <v/>
      </c>
      <c r="L143" s="26"/>
      <c r="M143" s="27"/>
      <c r="N143" s="29"/>
      <c r="O143" s="29"/>
      <c r="P143" s="29"/>
    </row>
    <row r="144" customFormat="false" ht="15" hidden="false" customHeight="false" outlineLevel="0" collapsed="false">
      <c r="A144" s="19" t="s">
        <v>359</v>
      </c>
      <c r="E144" s="20" t="str">
        <f aca="false">IF(P144="?OLD","!!!","")</f>
        <v/>
      </c>
      <c r="F144" s="21" t="str">
        <f aca="false">IF(OR(E144="",E144="!!!"),"",IF(NOT(ISNA(VLOOKUP(E144,Q$1:Q143,1,FALSE()))),"OLD",IF(AND(E144&lt;&gt;"",E144&lt;&gt;"!!!"),"NEW","")))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IF(OR(E144="",E144="!!!",F144="NEW"),"",INDEX(N$2:N143,-1+SUMPRODUCT(MAX(ROW(E$2:E143)*(E144=E$2:E143)))))</f>
        <v/>
      </c>
      <c r="J144" s="25" t="str">
        <f aca="true">IF(OR(E144="",E144="!!!",F144="NEW"),"",COUNTBLANK(OFFSET(M$1,,,SUMPRODUCT(MAX(ROW(E$2:E144)*(E144=E$2:E144)))))-COUNTBLANK(OFFSET(M$1,,,SUMPRODUCT(MAX(ROW(Q$1:Q143)*(E144=Q$1:Q143))))))</f>
        <v/>
      </c>
      <c r="K144" s="25" t="str">
        <f aca="false">IF(OR(E144="",E144="!!!",F144="NEW"),"",INDEX(V$1:V143,SUMPRODUCT(MAX(ROW(Q$1:Q143)*(E144=Q$1:Q143)))))</f>
        <v/>
      </c>
      <c r="L144" s="26"/>
      <c r="M144" s="27"/>
    </row>
    <row r="145" customFormat="false" ht="15" hidden="false" customHeight="false" outlineLevel="0" collapsed="false">
      <c r="A145" s="19" t="s">
        <v>360</v>
      </c>
      <c r="B145" s="28" t="s">
        <v>293</v>
      </c>
      <c r="C145" s="28" t="s">
        <v>314</v>
      </c>
      <c r="D145" s="28" t="s">
        <v>253</v>
      </c>
      <c r="E145" s="20" t="s">
        <v>361</v>
      </c>
      <c r="F145" s="21" t="str">
        <f aca="false">IF(OR(E145="",E145="!!!"),"",IF(NOT(ISNA(VLOOKUP(E145,Q$1:Q144,1,FALSE()))),"OLD",IF(AND(E145&lt;&gt;"",E145&lt;&gt;"!!!"),"NEW","")))</f>
        <v>NEW</v>
      </c>
      <c r="G145" s="22" t="s">
        <v>255</v>
      </c>
      <c r="H145" s="23" t="str">
        <f aca="false">IF(J145&lt;&gt;1,"",IF(I145="SBJ","CB","?"))</f>
        <v/>
      </c>
      <c r="I145" s="24" t="str">
        <f aca="false">IF(OR(E145="",E145="!!!",F145="NEW"),"",INDEX(N$2:N144,-1+SUMPRODUCT(MAX(ROW(E$2:E144)*(E145=E$2:E144)))))</f>
        <v/>
      </c>
      <c r="J145" s="25" t="str">
        <f aca="true">IF(OR(E145="",E145="!!!",F145="NEW"),"",COUNTBLANK(OFFSET(M$1,,,SUMPRODUCT(MAX(ROW(E$2:E145)*(E145=E$2:E145)))))-COUNTBLANK(OFFSET(M$1,,,SUMPRODUCT(MAX(ROW(Q$1:Q144)*(E145=Q$1:Q144))))))</f>
        <v/>
      </c>
      <c r="K145" s="25" t="str">
        <f aca="false">IF(OR(E145="",E145="!!!",F145="NEW"),"",INDEX(V$1:V144,SUMPRODUCT(MAX(ROW(Q$1:Q144)*(E145=Q$1:Q144)))))</f>
        <v/>
      </c>
      <c r="L145" s="26"/>
      <c r="M145" s="27"/>
      <c r="N145" s="29"/>
      <c r="O145" s="29"/>
      <c r="P145" s="29"/>
    </row>
    <row r="146" customFormat="false" ht="15" hidden="false" customHeight="false" outlineLevel="0" collapsed="false">
      <c r="A146" s="19" t="s">
        <v>275</v>
      </c>
      <c r="E146" s="20" t="str">
        <f aca="false">IF(P146="?OLD","!!!","")</f>
        <v/>
      </c>
      <c r="F146" s="21" t="str">
        <f aca="false">IF(OR(E146="",E146="!!!"),"",IF(NOT(ISNA(VLOOKUP(E146,Q$1:Q145,1,FALSE()))),"OLD",IF(AND(E146&lt;&gt;"",E146&lt;&gt;"!!!"),"NEW","")))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IF(OR(E146="",E146="!!!",F146="NEW"),"",INDEX(N$2:N145,-1+SUMPRODUCT(MAX(ROW(E$2:E145)*(E146=E$2:E145)))))</f>
        <v/>
      </c>
      <c r="J146" s="25" t="str">
        <f aca="true">IF(OR(E146="",E146="!!!",F146="NEW"),"",COUNTBLANK(OFFSET(M$1,,,SUMPRODUCT(MAX(ROW(E$2:E146)*(E146=E$2:E146)))))-COUNTBLANK(OFFSET(M$1,,,SUMPRODUCT(MAX(ROW(Q$1:Q145)*(E146=Q$1:Q145))))))</f>
        <v/>
      </c>
      <c r="K146" s="25" t="str">
        <f aca="false">IF(OR(E146="",E146="!!!",F146="NEW"),"",INDEX(V$1:V145,SUMPRODUCT(MAX(ROW(Q$1:Q145)*(E146=Q$1:Q145)))))</f>
        <v/>
      </c>
      <c r="L146" s="26"/>
      <c r="M146" s="27"/>
    </row>
    <row r="147" customFormat="false" ht="15" hidden="false" customHeight="false" outlineLevel="0" collapsed="false">
      <c r="A147" s="19"/>
      <c r="E147" s="20" t="str">
        <f aca="false">IF(P147="?OLD","!!!","")</f>
        <v/>
      </c>
      <c r="F147" s="21" t="str">
        <f aca="false">IF(OR(E147="",E147="!!!"),"",IF(NOT(ISNA(VLOOKUP(E147,Q$1:Q146,1,FALSE()))),"OLD",IF(AND(E147&lt;&gt;"",E147&lt;&gt;"!!!"),"NEW","")))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4" t="str">
        <f aca="false">IF(OR(E147="",E147="!!!",F147="NEW"),"",INDEX(N$2:N146,-1+SUMPRODUCT(MAX(ROW(E$2:E146)*(E147=E$2:E146)))))</f>
        <v/>
      </c>
      <c r="J147" s="25" t="str">
        <f aca="true">IF(OR(E147="",E147="!!!",F147="NEW"),"",COUNTBLANK(OFFSET(M$1,,,SUMPRODUCT(MAX(ROW(E$2:E147)*(E147=E$2:E147)))))-COUNTBLANK(OFFSET(M$1,,,SUMPRODUCT(MAX(ROW(Q$1:Q146)*(E147=Q$1:Q146))))))</f>
        <v/>
      </c>
      <c r="K147" s="25" t="str">
        <f aca="false">IF(OR(E147="",E147="!!!",F147="NEW"),"",INDEX(V$1:V146,SUMPRODUCT(MAX(ROW(Q$1:Q146)*(E147=Q$1:Q146)))))</f>
        <v/>
      </c>
      <c r="L147" s="26"/>
    </row>
    <row r="148" customFormat="false" ht="15" hidden="false" customHeight="false" outlineLevel="0" collapsed="false">
      <c r="A148" s="19" t="s">
        <v>362</v>
      </c>
      <c r="E148" s="20" t="str">
        <f aca="false">IF(P148="?OLD","!!!","")</f>
        <v/>
      </c>
      <c r="F148" s="21" t="str">
        <f aca="false">IF(OR(E148="",E148="!!!"),"",IF(NOT(ISNA(VLOOKUP(E148,Q$1:Q147,1,FALSE()))),"OLD",IF(AND(E148&lt;&gt;"",E148&lt;&gt;"!!!"),"NEW","")))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4" t="str">
        <f aca="false">IF(OR(E148="",E148="!!!",F148="NEW"),"",INDEX(N$2:N147,-1+SUMPRODUCT(MAX(ROW(E$2:E147)*(E148=E$2:E147)))))</f>
        <v/>
      </c>
      <c r="J148" s="25" t="str">
        <f aca="true">IF(OR(E148="",E148="!!!",F148="NEW"),"",COUNTBLANK(OFFSET(M$1,,,SUMPRODUCT(MAX(ROW(E$2:E148)*(E148=E$2:E148)))))-COUNTBLANK(OFFSET(M$1,,,SUMPRODUCT(MAX(ROW(Q$1:Q147)*(E148=Q$1:Q147))))))</f>
        <v/>
      </c>
      <c r="K148" s="25" t="str">
        <f aca="false">IF(OR(E148="",E148="!!!",F148="NEW"),"",INDEX(V$1:V147,SUMPRODUCT(MAX(ROW(Q$1:Q147)*(E148=Q$1:Q147)))))</f>
        <v/>
      </c>
      <c r="L148" s="26"/>
      <c r="M148" s="27"/>
    </row>
    <row r="149" customFormat="false" ht="15" hidden="false" customHeight="false" outlineLevel="0" collapsed="false">
      <c r="A149" s="19" t="s">
        <v>363</v>
      </c>
      <c r="E149" s="20" t="str">
        <f aca="false">IF(P149="?OLD","!!!","")</f>
        <v/>
      </c>
      <c r="F149" s="21" t="str">
        <f aca="false">IF(OR(E149="",E149="!!!"),"",IF(NOT(ISNA(VLOOKUP(E149,Q$1:Q148,1,FALSE()))),"OLD",IF(AND(E149&lt;&gt;"",E149&lt;&gt;"!!!"),"NEW","")))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4" t="str">
        <f aca="false">IF(OR(E149="",E149="!!!",F149="NEW"),"",INDEX(N$2:N148,-1+SUMPRODUCT(MAX(ROW(E$2:E148)*(E149=E$2:E148)))))</f>
        <v/>
      </c>
      <c r="J149" s="25" t="str">
        <f aca="true">IF(OR(E149="",E149="!!!",F149="NEW"),"",COUNTBLANK(OFFSET(M$1,,,SUMPRODUCT(MAX(ROW(E$2:E149)*(E149=E$2:E149)))))-COUNTBLANK(OFFSET(M$1,,,SUMPRODUCT(MAX(ROW(Q$1:Q148)*(E149=Q$1:Q148))))))</f>
        <v/>
      </c>
      <c r="K149" s="25" t="str">
        <f aca="false">IF(OR(E149="",E149="!!!",F149="NEW"),"",INDEX(V$1:V148,SUMPRODUCT(MAX(ROW(Q$1:Q148)*(E149=Q$1:Q148)))))</f>
        <v/>
      </c>
      <c r="L149" s="26"/>
      <c r="M149" s="27"/>
    </row>
    <row r="150" customFormat="false" ht="15" hidden="false" customHeight="false" outlineLevel="0" collapsed="false">
      <c r="A150" s="19" t="s">
        <v>317</v>
      </c>
      <c r="B150" s="28" t="s">
        <v>263</v>
      </c>
      <c r="C150" s="28" t="s">
        <v>264</v>
      </c>
      <c r="D150" s="28" t="s">
        <v>253</v>
      </c>
      <c r="E150" s="20" t="s">
        <v>334</v>
      </c>
      <c r="F150" s="21" t="str">
        <f aca="false">IF(OR(E150="",E150="!!!"),"",IF(NOT(ISNA(VLOOKUP(E150,Q$1:Q149,1,FALSE()))),"OLD",IF(AND(E150&lt;&gt;"",E150&lt;&gt;"!!!"),"NEW","")))</f>
        <v>NEW</v>
      </c>
      <c r="G150" s="22" t="s">
        <v>266</v>
      </c>
      <c r="H150" s="23" t="s">
        <v>243</v>
      </c>
      <c r="I150" s="24" t="str">
        <f aca="false">IF(OR(E150="",E150="!!!",F150="NEW"),"",INDEX(N$2:N149,-1+SUMPRODUCT(MAX(ROW(E$2:E149)*(E150=E$2:E149)))))</f>
        <v/>
      </c>
      <c r="J150" s="25" t="str">
        <f aca="true">IF(OR(E150="",E150="!!!",F150="NEW"),"",COUNTBLANK(OFFSET(M$1,,,SUMPRODUCT(MAX(ROW(E$2:E150)*(E150=E$2:E150)))))-COUNTBLANK(OFFSET(M$1,,,SUMPRODUCT(MAX(ROW(Q$1:Q149)*(E150=Q$1:Q149))))))</f>
        <v/>
      </c>
      <c r="K150" s="25" t="str">
        <f aca="false">IF(OR(E150="",E150="!!!",F150="NEW"),"",INDEX(V$1:V149,SUMPRODUCT(MAX(ROW(Q$1:Q149)*(E150=Q$1:Q149)))))</f>
        <v/>
      </c>
      <c r="L150" s="26"/>
      <c r="M150" s="27"/>
      <c r="N150" s="29"/>
      <c r="O150" s="29"/>
      <c r="P150" s="29"/>
    </row>
    <row r="151" customFormat="false" ht="15" hidden="false" customHeight="false" outlineLevel="0" collapsed="false">
      <c r="A151" s="19" t="s">
        <v>268</v>
      </c>
      <c r="E151" s="20" t="str">
        <f aca="false">IF(P151="?OLD","!!!","")</f>
        <v/>
      </c>
      <c r="F151" s="21" t="str">
        <f aca="false">IF(OR(E151="",E151="!!!"),"",IF(NOT(ISNA(VLOOKUP(E151,Q$1:Q150,1,FALSE()))),"OLD",IF(AND(E151&lt;&gt;"",E151&lt;&gt;"!!!"),"NEW","")))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IF(OR(E151="",E151="!!!",F151="NEW"),"",INDEX(N$2:N150,-1+SUMPRODUCT(MAX(ROW(E$2:E150)*(E151=E$2:E150)))))</f>
        <v/>
      </c>
      <c r="J151" s="25" t="str">
        <f aca="true">IF(OR(E151="",E151="!!!",F151="NEW"),"",COUNTBLANK(OFFSET(M$1,,,SUMPRODUCT(MAX(ROW(E$2:E151)*(E151=E$2:E151)))))-COUNTBLANK(OFFSET(M$1,,,SUMPRODUCT(MAX(ROW(Q$1:Q150)*(E151=Q$1:Q150))))))</f>
        <v/>
      </c>
      <c r="K151" s="25" t="str">
        <f aca="false">IF(OR(E151="",E151="!!!",F151="NEW"),"",INDEX(V$1:V150,SUMPRODUCT(MAX(ROW(Q$1:Q150)*(E151=Q$1:Q150)))))</f>
        <v/>
      </c>
      <c r="L151" s="26"/>
      <c r="M151" s="27"/>
    </row>
    <row r="152" customFormat="false" ht="15" hidden="false" customHeight="false" outlineLevel="0" collapsed="false">
      <c r="A152" s="19" t="s">
        <v>218</v>
      </c>
      <c r="E152" s="20" t="str">
        <f aca="false">IF(P152="?OLD","!!!","")</f>
        <v/>
      </c>
      <c r="F152" s="21" t="str">
        <f aca="false">IF(OR(E152="",E152="!!!"),"",IF(NOT(ISNA(VLOOKUP(E152,Q$1:Q151,1,FALSE()))),"OLD",IF(AND(E152&lt;&gt;"",E152&lt;&gt;"!!!"),"NEW","")))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4" t="str">
        <f aca="false">IF(OR(E152="",E152="!!!",F152="NEW"),"",INDEX(N$2:N151,-1+SUMPRODUCT(MAX(ROW(E$2:E151)*(E152=E$2:E151)))))</f>
        <v/>
      </c>
      <c r="J152" s="25" t="str">
        <f aca="true">IF(OR(E152="",E152="!!!",F152="NEW"),"",COUNTBLANK(OFFSET(M$1,,,SUMPRODUCT(MAX(ROW(E$2:E152)*(E152=E$2:E152)))))-COUNTBLANK(OFFSET(M$1,,,SUMPRODUCT(MAX(ROW(Q$1:Q151)*(E152=Q$1:Q151))))))</f>
        <v/>
      </c>
      <c r="K152" s="25" t="str">
        <f aca="false">IF(OR(E152="",E152="!!!",F152="NEW"),"",INDEX(V$1:V151,SUMPRODUCT(MAX(ROW(Q$1:Q151)*(E152=Q$1:Q151)))))</f>
        <v/>
      </c>
      <c r="L152" s="26"/>
      <c r="M152" s="27"/>
    </row>
    <row r="153" customFormat="false" ht="15" hidden="false" customHeight="false" outlineLevel="0" collapsed="false">
      <c r="A153" s="19" t="s">
        <v>57</v>
      </c>
      <c r="E153" s="20" t="str">
        <f aca="false">IF(P153="?OLD","!!!","")</f>
        <v/>
      </c>
      <c r="F153" s="21" t="str">
        <f aca="false">IF(OR(E153="",E153="!!!"),"",IF(NOT(ISNA(VLOOKUP(E153,Q$1:Q152,1,FALSE()))),"OLD",IF(AND(E153&lt;&gt;"",E153&lt;&gt;"!!!"),"NEW","")))</f>
        <v/>
      </c>
      <c r="G153" s="22" t="str">
        <f aca="false">IF(OR(E153="",E153="!!!"),"",IF(OR(J153=0,AND(J153=1,K153=1),AND(J153=1,I153="SBJ"),AND(J153=1,I153=0)),"?IN_FOCUS",IF(J153&lt;=2,"?ACTIVATED",IF(J153&lt;&gt;"","?FAMILIAR",IF(F153="NEW",IF(ISNA(VLOOKUP(E153,#REF!,1,FALSE())),"?TYPE_IDENTIFIABLE","?REFERENTIAL"),"_")))))</f>
        <v/>
      </c>
      <c r="H153" s="23" t="str">
        <f aca="false">IF(J153&lt;&gt;1,"",IF(I153="SBJ","CB","?"))</f>
        <v/>
      </c>
      <c r="I153" s="24" t="str">
        <f aca="false">IF(OR(E153="",E153="!!!",F153="NEW"),"",INDEX(N$2:N152,-1+SUMPRODUCT(MAX(ROW(E$2:E152)*(E153=E$2:E152)))))</f>
        <v/>
      </c>
      <c r="J153" s="25" t="str">
        <f aca="true">IF(OR(E153="",E153="!!!",F153="NEW"),"",COUNTBLANK(OFFSET(M$1,,,SUMPRODUCT(MAX(ROW(E$2:E153)*(E153=E$2:E153)))))-COUNTBLANK(OFFSET(M$1,,,SUMPRODUCT(MAX(ROW(Q$1:Q152)*(E153=Q$1:Q152))))))</f>
        <v/>
      </c>
      <c r="K153" s="25" t="str">
        <f aca="false">IF(OR(E153="",E153="!!!",F153="NEW"),"",INDEX(V$1:V152,SUMPRODUCT(MAX(ROW(Q$1:Q152)*(E153=Q$1:Q152)))))</f>
        <v/>
      </c>
      <c r="L153" s="26"/>
      <c r="M153" s="27"/>
    </row>
    <row r="154" customFormat="false" ht="15" hidden="false" customHeight="false" outlineLevel="0" collapsed="false">
      <c r="A154" s="19" t="s">
        <v>294</v>
      </c>
      <c r="E154" s="20" t="str">
        <f aca="false">IF(P154="?OLD","!!!","")</f>
        <v/>
      </c>
      <c r="F154" s="21" t="str">
        <f aca="false">IF(OR(E154="",E154="!!!"),"",IF(NOT(ISNA(VLOOKUP(E154,Q$1:Q153,1,FALSE()))),"OLD",IF(AND(E154&lt;&gt;"",E154&lt;&gt;"!!!"),"NEW","")))</f>
        <v/>
      </c>
      <c r="G154" s="22" t="str">
        <f aca="false">IF(OR(E154="",E154="!!!"),"",IF(OR(J154=0,AND(J154=1,K154=1),AND(J154=1,I154="SBJ"),AND(J154=1,I154=0)),"?IN_FOCUS",IF(J154&lt;=2,"?ACTIVATED",IF(J154&lt;&gt;"","?FAMILIAR",IF(F154="NEW",IF(ISNA(VLOOKUP(E154,#REF!,1,FALSE())),"?TYPE_IDENTIFIABLE","?REFERENTIAL"),"_")))))</f>
        <v/>
      </c>
      <c r="H154" s="23" t="str">
        <f aca="false">IF(J154&lt;&gt;1,"",IF(I154="SBJ","CB","?"))</f>
        <v/>
      </c>
      <c r="I154" s="24" t="str">
        <f aca="false">IF(OR(E154="",E154="!!!",F154="NEW"),"",INDEX(N$2:N153,-1+SUMPRODUCT(MAX(ROW(E$2:E153)*(E154=E$2:E153)))))</f>
        <v/>
      </c>
      <c r="J154" s="25" t="str">
        <f aca="true">IF(OR(E154="",E154="!!!",F154="NEW"),"",COUNTBLANK(OFFSET(M$1,,,SUMPRODUCT(MAX(ROW(E$2:E154)*(E154=E$2:E154)))))-COUNTBLANK(OFFSET(M$1,,,SUMPRODUCT(MAX(ROW(Q$1:Q153)*(E154=Q$1:Q153))))))</f>
        <v/>
      </c>
      <c r="K154" s="25" t="str">
        <f aca="false">IF(OR(E154="",E154="!!!",F154="NEW"),"",INDEX(V$1:V153,SUMPRODUCT(MAX(ROW(Q$1:Q153)*(E154=Q$1:Q153)))))</f>
        <v/>
      </c>
      <c r="L154" s="26"/>
      <c r="M154" s="27"/>
    </row>
    <row r="155" customFormat="false" ht="15" hidden="false" customHeight="false" outlineLevel="0" collapsed="false">
      <c r="A155" s="19" t="s">
        <v>364</v>
      </c>
      <c r="E155" s="20" t="str">
        <f aca="false">IF(P155="?OLD","!!!","")</f>
        <v/>
      </c>
      <c r="F155" s="21" t="str">
        <f aca="false">IF(OR(E155="",E155="!!!"),"",IF(NOT(ISNA(VLOOKUP(E155,Q$1:Q154,1,FALSE()))),"OLD",IF(AND(E155&lt;&gt;"",E155&lt;&gt;"!!!"),"NEW","")))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IF(OR(E155="",E155="!!!",F155="NEW"),"",INDEX(N$2:N154,-1+SUMPRODUCT(MAX(ROW(E$2:E154)*(E155=E$2:E154)))))</f>
        <v/>
      </c>
      <c r="J155" s="25" t="str">
        <f aca="true">IF(OR(E155="",E155="!!!",F155="NEW"),"",COUNTBLANK(OFFSET(M$1,,,SUMPRODUCT(MAX(ROW(E$2:E155)*(E155=E$2:E155)))))-COUNTBLANK(OFFSET(M$1,,,SUMPRODUCT(MAX(ROW(Q$1:Q154)*(E155=Q$1:Q154))))))</f>
        <v/>
      </c>
      <c r="K155" s="25" t="str">
        <f aca="false">IF(OR(E155="",E155="!!!",F155="NEW"),"",INDEX(V$1:V154,SUMPRODUCT(MAX(ROW(Q$1:Q154)*(E155=Q$1:Q154)))))</f>
        <v/>
      </c>
      <c r="L155" s="26"/>
      <c r="M155" s="27"/>
    </row>
    <row r="156" customFormat="false" ht="15" hidden="false" customHeight="false" outlineLevel="0" collapsed="false">
      <c r="A156" s="19" t="s">
        <v>261</v>
      </c>
      <c r="E156" s="20" t="str">
        <f aca="false">IF(P156="?OLD","!!!","")</f>
        <v/>
      </c>
      <c r="F156" s="21" t="str">
        <f aca="false">IF(OR(E156="",E156="!!!"),"",IF(NOT(ISNA(VLOOKUP(E156,Q$1:Q155,1,FALSE()))),"OLD",IF(AND(E156&lt;&gt;"",E156&lt;&gt;"!!!"),"NEW","")))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IF(OR(E156="",E156="!!!",F156="NEW"),"",INDEX(N$2:N155,-1+SUMPRODUCT(MAX(ROW(E$2:E155)*(E156=E$2:E155)))))</f>
        <v/>
      </c>
      <c r="J156" s="25" t="str">
        <f aca="true">IF(OR(E156="",E156="!!!",F156="NEW"),"",COUNTBLANK(OFFSET(M$1,,,SUMPRODUCT(MAX(ROW(E$2:E156)*(E156=E$2:E156)))))-COUNTBLANK(OFFSET(M$1,,,SUMPRODUCT(MAX(ROW(Q$1:Q155)*(E156=Q$1:Q155))))))</f>
        <v/>
      </c>
      <c r="K156" s="25" t="str">
        <f aca="false">IF(OR(E156="",E156="!!!",F156="NEW"),"",INDEX(V$1:V155,SUMPRODUCT(MAX(ROW(Q$1:Q155)*(E156=Q$1:Q155)))))</f>
        <v/>
      </c>
      <c r="L156" s="26"/>
      <c r="M156" s="27"/>
    </row>
    <row r="157" customFormat="false" ht="15" hidden="false" customHeight="false" outlineLevel="0" collapsed="false">
      <c r="A157" s="19" t="s">
        <v>365</v>
      </c>
      <c r="E157" s="20" t="str">
        <f aca="false">IF(P157="?OLD","!!!","")</f>
        <v/>
      </c>
      <c r="F157" s="21" t="str">
        <f aca="false">IF(OR(E157="",E157="!!!"),"",IF(NOT(ISNA(VLOOKUP(E157,Q$1:Q156,1,FALSE()))),"OLD",IF(AND(E157&lt;&gt;"",E157&lt;&gt;"!!!"),"NEW","")))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4" t="str">
        <f aca="false">IF(OR(E157="",E157="!!!",F157="NEW"),"",INDEX(N$2:N156,-1+SUMPRODUCT(MAX(ROW(E$2:E156)*(E157=E$2:E156)))))</f>
        <v/>
      </c>
      <c r="J157" s="25" t="str">
        <f aca="true">IF(OR(E157="",E157="!!!",F157="NEW"),"",COUNTBLANK(OFFSET(M$1,,,SUMPRODUCT(MAX(ROW(E$2:E157)*(E157=E$2:E157)))))-COUNTBLANK(OFFSET(M$1,,,SUMPRODUCT(MAX(ROW(Q$1:Q156)*(E157=Q$1:Q156))))))</f>
        <v/>
      </c>
      <c r="K157" s="25" t="str">
        <f aca="false">IF(OR(E157="",E157="!!!",F157="NEW"),"",INDEX(V$1:V156,SUMPRODUCT(MAX(ROW(Q$1:Q156)*(E157=Q$1:Q156)))))</f>
        <v/>
      </c>
      <c r="L157" s="26"/>
      <c r="M157" s="27"/>
    </row>
    <row r="158" customFormat="false" ht="15" hidden="false" customHeight="false" outlineLevel="0" collapsed="false">
      <c r="A158" s="19" t="s">
        <v>309</v>
      </c>
      <c r="E158" s="20" t="str">
        <f aca="false">IF(P158="?OLD","!!!","")</f>
        <v/>
      </c>
      <c r="F158" s="21" t="str">
        <f aca="false">IF(OR(E158="",E158="!!!"),"",IF(NOT(ISNA(VLOOKUP(E158,Q$1:Q157,1,FALSE()))),"OLD",IF(AND(E158&lt;&gt;"",E158&lt;&gt;"!!!"),"NEW","")))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4" t="str">
        <f aca="false">IF(OR(E158="",E158="!!!",F158="NEW"),"",INDEX(N$2:N157,-1+SUMPRODUCT(MAX(ROW(E$2:E157)*(E158=E$2:E157)))))</f>
        <v/>
      </c>
      <c r="J158" s="25" t="str">
        <f aca="true">IF(OR(E158="",E158="!!!",F158="NEW"),"",COUNTBLANK(OFFSET(M$1,,,SUMPRODUCT(MAX(ROW(E$2:E158)*(E158=E$2:E158)))))-COUNTBLANK(OFFSET(M$1,,,SUMPRODUCT(MAX(ROW(Q$1:Q157)*(E158=Q$1:Q157))))))</f>
        <v/>
      </c>
      <c r="K158" s="25" t="str">
        <f aca="false">IF(OR(E158="",E158="!!!",F158="NEW"),"",INDEX(V$1:V157,SUMPRODUCT(MAX(ROW(Q$1:Q157)*(E158=Q$1:Q157)))))</f>
        <v/>
      </c>
      <c r="L158" s="26"/>
      <c r="M158" s="27"/>
    </row>
    <row r="159" customFormat="false" ht="15" hidden="false" customHeight="false" outlineLevel="0" collapsed="false">
      <c r="A159" s="19" t="s">
        <v>145</v>
      </c>
      <c r="E159" s="20" t="str">
        <f aca="false">IF(P159="?OLD","!!!","")</f>
        <v/>
      </c>
      <c r="F159" s="21" t="str">
        <f aca="false">IF(OR(E159="",E159="!!!"),"",IF(NOT(ISNA(VLOOKUP(E159,Q$1:Q158,1,FALSE()))),"OLD",IF(AND(E159&lt;&gt;"",E159&lt;&gt;"!!!"),"NEW","")))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IF(OR(E159="",E159="!!!",F159="NEW"),"",INDEX(N$2:N158,-1+SUMPRODUCT(MAX(ROW(E$2:E158)*(E159=E$2:E158)))))</f>
        <v/>
      </c>
      <c r="J159" s="25" t="str">
        <f aca="true">IF(OR(E159="",E159="!!!",F159="NEW"),"",COUNTBLANK(OFFSET(M$1,,,SUMPRODUCT(MAX(ROW(E$2:E159)*(E159=E$2:E159)))))-COUNTBLANK(OFFSET(M$1,,,SUMPRODUCT(MAX(ROW(Q$1:Q158)*(E159=Q$1:Q158))))))</f>
        <v/>
      </c>
      <c r="K159" s="25" t="str">
        <f aca="false">IF(OR(E159="",E159="!!!",F159="NEW"),"",INDEX(V$1:V158,SUMPRODUCT(MAX(ROW(Q$1:Q158)*(E159=Q$1:Q158)))))</f>
        <v/>
      </c>
      <c r="L159" s="26"/>
      <c r="M159" s="27"/>
    </row>
    <row r="160" customFormat="false" ht="15" hidden="false" customHeight="false" outlineLevel="0" collapsed="false">
      <c r="A160" s="19" t="s">
        <v>366</v>
      </c>
      <c r="E160" s="20" t="str">
        <f aca="false">IF(P160="?OLD","!!!","")</f>
        <v/>
      </c>
      <c r="F160" s="21" t="str">
        <f aca="false">IF(OR(E160="",E160="!!!"),"",IF(NOT(ISNA(VLOOKUP(E160,Q$1:Q159,1,FALSE()))),"OLD",IF(AND(E160&lt;&gt;"",E160&lt;&gt;"!!!"),"NEW","")))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4" t="str">
        <f aca="false">IF(OR(E160="",E160="!!!",F160="NEW"),"",INDEX(N$2:N159,-1+SUMPRODUCT(MAX(ROW(E$2:E159)*(E160=E$2:E159)))))</f>
        <v/>
      </c>
      <c r="J160" s="25" t="str">
        <f aca="true">IF(OR(E160="",E160="!!!",F160="NEW"),"",COUNTBLANK(OFFSET(M$1,,,SUMPRODUCT(MAX(ROW(E$2:E160)*(E160=E$2:E160)))))-COUNTBLANK(OFFSET(M$1,,,SUMPRODUCT(MAX(ROW(Q$1:Q159)*(E160=Q$1:Q159))))))</f>
        <v/>
      </c>
      <c r="K160" s="25" t="str">
        <f aca="false">IF(OR(E160="",E160="!!!",F160="NEW"),"",INDEX(V$1:V159,SUMPRODUCT(MAX(ROW(Q$1:Q159)*(E160=Q$1:Q159)))))</f>
        <v/>
      </c>
      <c r="L160" s="26"/>
      <c r="M160" s="27"/>
    </row>
    <row r="161" customFormat="false" ht="15" hidden="false" customHeight="false" outlineLevel="0" collapsed="false">
      <c r="A161" s="19" t="s">
        <v>261</v>
      </c>
      <c r="E161" s="20" t="str">
        <f aca="false">IF(P161="?OLD","!!!","")</f>
        <v/>
      </c>
      <c r="F161" s="21" t="str">
        <f aca="false">IF(OR(E161="",E161="!!!"),"",IF(NOT(ISNA(VLOOKUP(E161,Q$1:Q160,1,FALSE()))),"OLD",IF(AND(E161&lt;&gt;"",E161&lt;&gt;"!!!"),"NEW","")))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IF(OR(E161="",E161="!!!",F161="NEW"),"",INDEX(N$2:N160,-1+SUMPRODUCT(MAX(ROW(E$2:E160)*(E161=E$2:E160)))))</f>
        <v/>
      </c>
      <c r="J161" s="25" t="str">
        <f aca="true">IF(OR(E161="",E161="!!!",F161="NEW"),"",COUNTBLANK(OFFSET(M$1,,,SUMPRODUCT(MAX(ROW(E$2:E161)*(E161=E$2:E161)))))-COUNTBLANK(OFFSET(M$1,,,SUMPRODUCT(MAX(ROW(Q$1:Q160)*(E161=Q$1:Q160))))))</f>
        <v/>
      </c>
      <c r="K161" s="25" t="str">
        <f aca="false">IF(OR(E161="",E161="!!!",F161="NEW"),"",INDEX(V$1:V160,SUMPRODUCT(MAX(ROW(Q$1:Q160)*(E161=Q$1:Q160)))))</f>
        <v/>
      </c>
      <c r="L161" s="26"/>
      <c r="M161" s="27"/>
    </row>
    <row r="162" customFormat="false" ht="15" hidden="false" customHeight="false" outlineLevel="0" collapsed="false">
      <c r="A162" s="19" t="s">
        <v>367</v>
      </c>
      <c r="E162" s="20" t="str">
        <f aca="false">IF(P162="?OLD","!!!","")</f>
        <v/>
      </c>
      <c r="F162" s="21" t="str">
        <f aca="false">IF(OR(E162="",E162="!!!"),"",IF(NOT(ISNA(VLOOKUP(E162,Q$1:Q161,1,FALSE()))),"OLD",IF(AND(E162&lt;&gt;"",E162&lt;&gt;"!!!"),"NEW","")))</f>
        <v/>
      </c>
      <c r="G162" s="22" t="str">
        <f aca="false">IF(OR(E162="",E162="!!!"),"",IF(OR(J162=0,AND(J162=1,K162=1),AND(J162=1,I162="SBJ"),AND(J162=1,I162=0)),"?IN_FOCUS",IF(J162&lt;=2,"?ACTIVATED",IF(J162&lt;&gt;"","?FAMILIAR",IF(F162="NEW",IF(ISNA(VLOOKUP(E162,#REF!,1,FALSE())),"?TYPE_IDENTIFIABLE","?REFERENTIAL"),"_")))))</f>
        <v/>
      </c>
      <c r="H162" s="23" t="str">
        <f aca="false">IF(J162&lt;&gt;1,"",IF(I162="SBJ","CB","?"))</f>
        <v/>
      </c>
      <c r="I162" s="24" t="str">
        <f aca="false">IF(OR(E162="",E162="!!!",F162="NEW"),"",INDEX(N$2:N161,-1+SUMPRODUCT(MAX(ROW(E$2:E161)*(E162=E$2:E161)))))</f>
        <v/>
      </c>
      <c r="J162" s="25" t="str">
        <f aca="true">IF(OR(E162="",E162="!!!",F162="NEW"),"",COUNTBLANK(OFFSET(M$1,,,SUMPRODUCT(MAX(ROW(E$2:E162)*(E162=E$2:E162)))))-COUNTBLANK(OFFSET(M$1,,,SUMPRODUCT(MAX(ROW(Q$1:Q161)*(E162=Q$1:Q161))))))</f>
        <v/>
      </c>
      <c r="K162" s="25" t="str">
        <f aca="false">IF(OR(E162="",E162="!!!",F162="NEW"),"",INDEX(V$1:V161,SUMPRODUCT(MAX(ROW(Q$1:Q161)*(E162=Q$1:Q161)))))</f>
        <v/>
      </c>
      <c r="L162" s="26"/>
      <c r="M162" s="27"/>
    </row>
    <row r="163" customFormat="false" ht="15" hidden="false" customHeight="false" outlineLevel="0" collapsed="false">
      <c r="A163" s="19" t="s">
        <v>368</v>
      </c>
      <c r="E163" s="20" t="str">
        <f aca="false">IF(P163="?OLD","!!!","")</f>
        <v/>
      </c>
      <c r="F163" s="21" t="str">
        <f aca="false">IF(OR(E163="",E163="!!!"),"",IF(NOT(ISNA(VLOOKUP(E163,Q$1:Q162,1,FALSE()))),"OLD",IF(AND(E163&lt;&gt;"",E163&lt;&gt;"!!!"),"NEW","")))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4" t="str">
        <f aca="false">IF(OR(E163="",E163="!!!",F163="NEW"),"",INDEX(N$2:N162,-1+SUMPRODUCT(MAX(ROW(E$2:E162)*(E163=E$2:E162)))))</f>
        <v/>
      </c>
      <c r="J163" s="25" t="str">
        <f aca="true">IF(OR(E163="",E163="!!!",F163="NEW"),"",COUNTBLANK(OFFSET(M$1,,,SUMPRODUCT(MAX(ROW(E$2:E163)*(E163=E$2:E163)))))-COUNTBLANK(OFFSET(M$1,,,SUMPRODUCT(MAX(ROW(Q$1:Q162)*(E163=Q$1:Q162))))))</f>
        <v/>
      </c>
      <c r="K163" s="25" t="str">
        <f aca="false">IF(OR(E163="",E163="!!!",F163="NEW"),"",INDEX(V$1:V162,SUMPRODUCT(MAX(ROW(Q$1:Q162)*(E163=Q$1:Q162)))))</f>
        <v/>
      </c>
      <c r="L163" s="26"/>
      <c r="M163" s="27"/>
    </row>
    <row r="164" customFormat="false" ht="15" hidden="false" customHeight="false" outlineLevel="0" collapsed="false">
      <c r="A164" s="19" t="s">
        <v>261</v>
      </c>
      <c r="E164" s="20" t="str">
        <f aca="false">IF(P164="?OLD","!!!","")</f>
        <v/>
      </c>
      <c r="F164" s="21" t="str">
        <f aca="false">IF(OR(E164="",E164="!!!"),"",IF(NOT(ISNA(VLOOKUP(E164,Q$1:Q163,1,FALSE()))),"OLD",IF(AND(E164&lt;&gt;"",E164&lt;&gt;"!!!"),"NEW","")))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IF(OR(E164="",E164="!!!",F164="NEW"),"",INDEX(N$2:N163,-1+SUMPRODUCT(MAX(ROW(E$2:E163)*(E164=E$2:E163)))))</f>
        <v/>
      </c>
      <c r="J164" s="25" t="str">
        <f aca="true">IF(OR(E164="",E164="!!!",F164="NEW"),"",COUNTBLANK(OFFSET(M$1,,,SUMPRODUCT(MAX(ROW(E$2:E164)*(E164=E$2:E164)))))-COUNTBLANK(OFFSET(M$1,,,SUMPRODUCT(MAX(ROW(Q$1:Q163)*(E164=Q$1:Q163))))))</f>
        <v/>
      </c>
      <c r="K164" s="25" t="str">
        <f aca="false">IF(OR(E164="",E164="!!!",F164="NEW"),"",INDEX(V$1:V163,SUMPRODUCT(MAX(ROW(Q$1:Q163)*(E164=Q$1:Q163)))))</f>
        <v/>
      </c>
      <c r="L164" s="26"/>
      <c r="M164" s="27"/>
    </row>
    <row r="165" customFormat="false" ht="15" hidden="false" customHeight="false" outlineLevel="0" collapsed="false">
      <c r="A165" s="19" t="s">
        <v>369</v>
      </c>
      <c r="E165" s="20" t="str">
        <f aca="false">IF(P165="?OLD","!!!","")</f>
        <v/>
      </c>
      <c r="F165" s="21" t="str">
        <f aca="false">IF(OR(E165="",E165="!!!"),"",IF(NOT(ISNA(VLOOKUP(E165,Q$1:Q164,1,FALSE()))),"OLD",IF(AND(E165&lt;&gt;"",E165&lt;&gt;"!!!"),"NEW","")))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4" t="str">
        <f aca="false">IF(OR(E165="",E165="!!!",F165="NEW"),"",INDEX(N$2:N164,-1+SUMPRODUCT(MAX(ROW(E$2:E164)*(E165=E$2:E164)))))</f>
        <v/>
      </c>
      <c r="J165" s="25" t="str">
        <f aca="true">IF(OR(E165="",E165="!!!",F165="NEW"),"",COUNTBLANK(OFFSET(M$1,,,SUMPRODUCT(MAX(ROW(E$2:E165)*(E165=E$2:E165)))))-COUNTBLANK(OFFSET(M$1,,,SUMPRODUCT(MAX(ROW(Q$1:Q164)*(E165=Q$1:Q164))))))</f>
        <v/>
      </c>
      <c r="K165" s="25" t="str">
        <f aca="false">IF(OR(E165="",E165="!!!",F165="NEW"),"",INDEX(V$1:V164,SUMPRODUCT(MAX(ROW(Q$1:Q164)*(E165=Q$1:Q164)))))</f>
        <v/>
      </c>
      <c r="L165" s="26"/>
      <c r="M165" s="27"/>
    </row>
    <row r="166" customFormat="false" ht="15" hidden="false" customHeight="false" outlineLevel="0" collapsed="false">
      <c r="A166" s="19" t="s">
        <v>370</v>
      </c>
      <c r="E166" s="20" t="str">
        <f aca="false">IF(P166="?OLD","!!!","")</f>
        <v/>
      </c>
      <c r="F166" s="21" t="str">
        <f aca="false">IF(OR(E166="",E166="!!!"),"",IF(NOT(ISNA(VLOOKUP(E166,Q$1:Q165,1,FALSE()))),"OLD",IF(AND(E166&lt;&gt;"",E166&lt;&gt;"!!!"),"NEW","")))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IF(OR(E166="",E166="!!!",F166="NEW"),"",INDEX(N$2:N165,-1+SUMPRODUCT(MAX(ROW(E$2:E165)*(E166=E$2:E165)))))</f>
        <v/>
      </c>
      <c r="J166" s="25" t="str">
        <f aca="true">IF(OR(E166="",E166="!!!",F166="NEW"),"",COUNTBLANK(OFFSET(M$1,,,SUMPRODUCT(MAX(ROW(E$2:E166)*(E166=E$2:E166)))))-COUNTBLANK(OFFSET(M$1,,,SUMPRODUCT(MAX(ROW(Q$1:Q165)*(E166=Q$1:Q165))))))</f>
        <v/>
      </c>
      <c r="K166" s="25" t="str">
        <f aca="false">IF(OR(E166="",E166="!!!",F166="NEW"),"",INDEX(V$1:V165,SUMPRODUCT(MAX(ROW(Q$1:Q165)*(E166=Q$1:Q165)))))</f>
        <v/>
      </c>
      <c r="L166" s="26"/>
      <c r="M166" s="27"/>
    </row>
    <row r="167" customFormat="false" ht="15" hidden="false" customHeight="false" outlineLevel="0" collapsed="false">
      <c r="A167" s="19" t="s">
        <v>218</v>
      </c>
      <c r="E167" s="20" t="str">
        <f aca="false">IF(P167="?OLD","!!!","")</f>
        <v/>
      </c>
      <c r="F167" s="21" t="str">
        <f aca="false">IF(OR(E167="",E167="!!!"),"",IF(NOT(ISNA(VLOOKUP(E167,Q$1:Q166,1,FALSE()))),"OLD",IF(AND(E167&lt;&gt;"",E167&lt;&gt;"!!!"),"NEW","")))</f>
        <v/>
      </c>
      <c r="G167" s="22" t="str">
        <f aca="false">IF(OR(E167="",E167="!!!"),"",IF(OR(J167=0,AND(J167=1,K167=1),AND(J167=1,I167="SBJ"),AND(J167=1,I167=0)),"?IN_FOCUS",IF(J167&lt;=2,"?ACTIVATED",IF(J167&lt;&gt;"","?FAMILIAR",IF(F167="NEW",IF(ISNA(VLOOKUP(E167,#REF!,1,FALSE())),"?TYPE_IDENTIFIABLE","?REFERENTIAL"),"_")))))</f>
        <v/>
      </c>
      <c r="H167" s="23" t="str">
        <f aca="false">IF(J167&lt;&gt;1,"",IF(I167="SBJ","CB","?"))</f>
        <v/>
      </c>
      <c r="I167" s="24" t="str">
        <f aca="false">IF(OR(E167="",E167="!!!",F167="NEW"),"",INDEX(N$2:N166,-1+SUMPRODUCT(MAX(ROW(E$2:E166)*(E167=E$2:E166)))))</f>
        <v/>
      </c>
      <c r="J167" s="25" t="str">
        <f aca="true">IF(OR(E167="",E167="!!!",F167="NEW"),"",COUNTBLANK(OFFSET(M$1,,,SUMPRODUCT(MAX(ROW(E$2:E167)*(E167=E$2:E167)))))-COUNTBLANK(OFFSET(M$1,,,SUMPRODUCT(MAX(ROW(Q$1:Q166)*(E167=Q$1:Q166))))))</f>
        <v/>
      </c>
      <c r="K167" s="25" t="str">
        <f aca="false">IF(OR(E167="",E167="!!!",F167="NEW"),"",INDEX(V$1:V166,SUMPRODUCT(MAX(ROW(Q$1:Q166)*(E167=Q$1:Q166)))))</f>
        <v/>
      </c>
      <c r="L167" s="26"/>
      <c r="M167" s="27"/>
    </row>
    <row r="168" customFormat="false" ht="15" hidden="false" customHeight="false" outlineLevel="0" collapsed="false">
      <c r="A168" s="19" t="s">
        <v>371</v>
      </c>
      <c r="E168" s="20" t="str">
        <f aca="false">IF(P168="?OLD","!!!","")</f>
        <v/>
      </c>
      <c r="F168" s="21" t="str">
        <f aca="false">IF(OR(E168="",E168="!!!"),"",IF(NOT(ISNA(VLOOKUP(E168,Q$1:Q167,1,FALSE()))),"OLD",IF(AND(E168&lt;&gt;"",E168&lt;&gt;"!!!"),"NEW","")))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IF(OR(E168="",E168="!!!",F168="NEW"),"",INDEX(N$2:N167,-1+SUMPRODUCT(MAX(ROW(E$2:E167)*(E168=E$2:E167)))))</f>
        <v/>
      </c>
      <c r="J168" s="25" t="str">
        <f aca="true">IF(OR(E168="",E168="!!!",F168="NEW"),"",COUNTBLANK(OFFSET(M$1,,,SUMPRODUCT(MAX(ROW(E$2:E168)*(E168=E$2:E168)))))-COUNTBLANK(OFFSET(M$1,,,SUMPRODUCT(MAX(ROW(Q$1:Q167)*(E168=Q$1:Q167))))))</f>
        <v/>
      </c>
      <c r="K168" s="25" t="str">
        <f aca="false">IF(OR(E168="",E168="!!!",F168="NEW"),"",INDEX(V$1:V167,SUMPRODUCT(MAX(ROW(Q$1:Q167)*(E168=Q$1:Q167)))))</f>
        <v/>
      </c>
      <c r="L168" s="26"/>
      <c r="M168" s="27"/>
    </row>
    <row r="169" customFormat="false" ht="15" hidden="false" customHeight="false" outlineLevel="0" collapsed="false">
      <c r="A169" s="19" t="s">
        <v>372</v>
      </c>
      <c r="B169" s="28" t="s">
        <v>301</v>
      </c>
      <c r="E169" s="20" t="str">
        <f aca="false">IF(P169="?OLD","!!!","")</f>
        <v/>
      </c>
      <c r="F169" s="21" t="str">
        <f aca="false">IF(OR(E169="",E169="!!!"),"",IF(NOT(ISNA(VLOOKUP(E169,Q$1:Q168,1,FALSE()))),"OLD",IF(AND(E169&lt;&gt;"",E169&lt;&gt;"!!!"),"NEW","")))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IF(OR(E169="",E169="!!!",F169="NEW"),"",INDEX(N$2:N168,-1+SUMPRODUCT(MAX(ROW(E$2:E168)*(E169=E$2:E168)))))</f>
        <v/>
      </c>
      <c r="J169" s="25" t="str">
        <f aca="true">IF(OR(E169="",E169="!!!",F169="NEW"),"",COUNTBLANK(OFFSET(M$1,,,SUMPRODUCT(MAX(ROW(E$2:E169)*(E169=E$2:E169)))))-COUNTBLANK(OFFSET(M$1,,,SUMPRODUCT(MAX(ROW(Q$1:Q168)*(E169=Q$1:Q168))))))</f>
        <v/>
      </c>
      <c r="K169" s="25" t="str">
        <f aca="false">IF(OR(E169="",E169="!!!",F169="NEW"),"",INDEX(V$1:V168,SUMPRODUCT(MAX(ROW(Q$1:Q168)*(E169=Q$1:Q168)))))</f>
        <v/>
      </c>
      <c r="L169" s="26"/>
      <c r="M169" s="27"/>
      <c r="N169" s="29"/>
    </row>
    <row r="170" customFormat="false" ht="15" hidden="false" customHeight="false" outlineLevel="0" collapsed="false">
      <c r="A170" s="19" t="s">
        <v>75</v>
      </c>
      <c r="E170" s="20" t="str">
        <f aca="false">IF(P170="?OLD","!!!","")</f>
        <v/>
      </c>
      <c r="F170" s="21" t="str">
        <f aca="false">IF(OR(E170="",E170="!!!"),"",IF(NOT(ISNA(VLOOKUP(E170,Q$1:Q169,1,FALSE()))),"OLD",IF(AND(E170&lt;&gt;"",E170&lt;&gt;"!!!"),"NEW","")))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IF(OR(E170="",E170="!!!",F170="NEW"),"",INDEX(N$2:N169,-1+SUMPRODUCT(MAX(ROW(E$2:E169)*(E170=E$2:E169)))))</f>
        <v/>
      </c>
      <c r="J170" s="25" t="str">
        <f aca="true">IF(OR(E170="",E170="!!!",F170="NEW"),"",COUNTBLANK(OFFSET(M$1,,,SUMPRODUCT(MAX(ROW(E$2:E170)*(E170=E$2:E170)))))-COUNTBLANK(OFFSET(M$1,,,SUMPRODUCT(MAX(ROW(Q$1:Q169)*(E170=Q$1:Q169))))))</f>
        <v/>
      </c>
      <c r="K170" s="25" t="str">
        <f aca="false">IF(OR(E170="",E170="!!!",F170="NEW"),"",INDEX(V$1:V169,SUMPRODUCT(MAX(ROW(Q$1:Q169)*(E170=Q$1:Q169)))))</f>
        <v/>
      </c>
      <c r="L170" s="26"/>
      <c r="M170" s="27"/>
    </row>
    <row r="171" customFormat="false" ht="15" hidden="false" customHeight="false" outlineLevel="0" collapsed="false">
      <c r="A171" s="19" t="s">
        <v>373</v>
      </c>
      <c r="B171" s="28" t="s">
        <v>374</v>
      </c>
      <c r="C171" s="28" t="s">
        <v>333</v>
      </c>
      <c r="D171" s="28" t="s">
        <v>253</v>
      </c>
      <c r="E171" s="20" t="s">
        <v>373</v>
      </c>
      <c r="F171" s="21" t="str">
        <f aca="false">IF(OR(E171="",E171="!!!"),"",IF(NOT(ISNA(VLOOKUP(E171,Q$1:Q170,1,FALSE()))),"OLD",IF(AND(E171&lt;&gt;"",E171&lt;&gt;"!!!"),"NEW","")))</f>
        <v>NEW</v>
      </c>
      <c r="G171" s="22" t="s">
        <v>255</v>
      </c>
      <c r="H171" s="23" t="str">
        <f aca="false">IF(J171&lt;&gt;1,"",IF(I171="SBJ","CB","?"))</f>
        <v/>
      </c>
      <c r="I171" s="24" t="str">
        <f aca="false">IF(OR(E171="",E171="!!!",F171="NEW"),"",INDEX(N$2:N170,-1+SUMPRODUCT(MAX(ROW(E$2:E170)*(E171=E$2:E170)))))</f>
        <v/>
      </c>
      <c r="J171" s="25" t="str">
        <f aca="true">IF(OR(E171="",E171="!!!",F171="NEW"),"",COUNTBLANK(OFFSET(M$1,,,SUMPRODUCT(MAX(ROW(E$2:E171)*(E171=E$2:E171)))))-COUNTBLANK(OFFSET(M$1,,,SUMPRODUCT(MAX(ROW(Q$1:Q170)*(E171=Q$1:Q170))))))</f>
        <v/>
      </c>
      <c r="K171" s="25" t="str">
        <f aca="false">IF(OR(E171="",E171="!!!",F171="NEW"),"",INDEX(V$1:V170,SUMPRODUCT(MAX(ROW(Q$1:Q170)*(E171=Q$1:Q170)))))</f>
        <v/>
      </c>
      <c r="L171" s="26"/>
      <c r="M171" s="27"/>
      <c r="N171" s="29"/>
      <c r="O171" s="29"/>
      <c r="P171" s="29"/>
    </row>
    <row r="172" customFormat="false" ht="15" hidden="false" customHeight="false" outlineLevel="0" collapsed="false">
      <c r="A172" s="19" t="s">
        <v>375</v>
      </c>
      <c r="E172" s="20" t="str">
        <f aca="false">IF(P172="?OLD","!!!","")</f>
        <v/>
      </c>
      <c r="F172" s="21" t="str">
        <f aca="false">IF(OR(E172="",E172="!!!"),"",IF(NOT(ISNA(VLOOKUP(E172,Q$1:Q171,1,FALSE()))),"OLD",IF(AND(E172&lt;&gt;"",E172&lt;&gt;"!!!"),"NEW","")))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4" t="str">
        <f aca="false">IF(OR(E172="",E172="!!!",F172="NEW"),"",INDEX(N$2:N171,-1+SUMPRODUCT(MAX(ROW(E$2:E171)*(E172=E$2:E171)))))</f>
        <v/>
      </c>
      <c r="J172" s="25" t="str">
        <f aca="true">IF(OR(E172="",E172="!!!",F172="NEW"),"",COUNTBLANK(OFFSET(M$1,,,SUMPRODUCT(MAX(ROW(E$2:E172)*(E172=E$2:E172)))))-COUNTBLANK(OFFSET(M$1,,,SUMPRODUCT(MAX(ROW(Q$1:Q171)*(E172=Q$1:Q171))))))</f>
        <v/>
      </c>
      <c r="K172" s="25" t="str">
        <f aca="false">IF(OR(E172="",E172="!!!",F172="NEW"),"",INDEX(V$1:V171,SUMPRODUCT(MAX(ROW(Q$1:Q171)*(E172=Q$1:Q171)))))</f>
        <v/>
      </c>
      <c r="L172" s="26"/>
      <c r="M172" s="27"/>
    </row>
    <row r="173" customFormat="false" ht="15" hidden="false" customHeight="false" outlineLevel="0" collapsed="false">
      <c r="A173" s="19"/>
      <c r="E173" s="20" t="str">
        <f aca="false">IF(P173="?OLD","!!!","")</f>
        <v/>
      </c>
      <c r="F173" s="21" t="str">
        <f aca="false">IF(OR(E173="",E173="!!!"),"",IF(NOT(ISNA(VLOOKUP(E173,Q$1:Q172,1,FALSE()))),"OLD",IF(AND(E173&lt;&gt;"",E173&lt;&gt;"!!!"),"NEW","")))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IF(OR(E173="",E173="!!!",F173="NEW"),"",INDEX(N$2:N172,-1+SUMPRODUCT(MAX(ROW(E$2:E172)*(E173=E$2:E172)))))</f>
        <v/>
      </c>
      <c r="J173" s="25" t="str">
        <f aca="true">IF(OR(E173="",E173="!!!",F173="NEW"),"",COUNTBLANK(OFFSET(M$1,,,SUMPRODUCT(MAX(ROW(E$2:E173)*(E173=E$2:E173)))))-COUNTBLANK(OFFSET(M$1,,,SUMPRODUCT(MAX(ROW(Q$1:Q172)*(E173=Q$1:Q172))))))</f>
        <v/>
      </c>
      <c r="K173" s="25" t="str">
        <f aca="false">IF(OR(E173="",E173="!!!",F173="NEW"),"",INDEX(V$1:V172,SUMPRODUCT(MAX(ROW(Q$1:Q172)*(E173=Q$1:Q172)))))</f>
        <v/>
      </c>
      <c r="L173" s="26"/>
    </row>
    <row r="174" customFormat="false" ht="15" hidden="false" customHeight="false" outlineLevel="0" collapsed="false">
      <c r="A174" s="19" t="s">
        <v>376</v>
      </c>
      <c r="E174" s="20" t="str">
        <f aca="false">IF(P174="?OLD","!!!","")</f>
        <v/>
      </c>
      <c r="F174" s="21" t="str">
        <f aca="false">IF(OR(E174="",E174="!!!"),"",IF(NOT(ISNA(VLOOKUP(E174,Q$1:Q173,1,FALSE()))),"OLD",IF(AND(E174&lt;&gt;"",E174&lt;&gt;"!!!"),"NEW","")))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IF(OR(E174="",E174="!!!",F174="NEW"),"",INDEX(N$2:N173,-1+SUMPRODUCT(MAX(ROW(E$2:E173)*(E174=E$2:E173)))))</f>
        <v/>
      </c>
      <c r="J174" s="25" t="str">
        <f aca="true">IF(OR(E174="",E174="!!!",F174="NEW"),"",COUNTBLANK(OFFSET(M$1,,,SUMPRODUCT(MAX(ROW(E$2:E174)*(E174=E$2:E174)))))-COUNTBLANK(OFFSET(M$1,,,SUMPRODUCT(MAX(ROW(Q$1:Q173)*(E174=Q$1:Q173))))))</f>
        <v/>
      </c>
      <c r="K174" s="25" t="str">
        <f aca="false">IF(OR(E174="",E174="!!!",F174="NEW"),"",INDEX(V$1:V173,SUMPRODUCT(MAX(ROW(Q$1:Q173)*(E174=Q$1:Q173)))))</f>
        <v/>
      </c>
      <c r="L174" s="26"/>
      <c r="M174" s="27"/>
    </row>
    <row r="175" customFormat="false" ht="15" hidden="false" customHeight="false" outlineLevel="0" collapsed="false">
      <c r="A175" s="19" t="s">
        <v>377</v>
      </c>
      <c r="E175" s="20" t="str">
        <f aca="false">IF(P175="?OLD","!!!","")</f>
        <v/>
      </c>
      <c r="F175" s="21" t="str">
        <f aca="false">IF(OR(E175="",E175="!!!"),"",IF(NOT(ISNA(VLOOKUP(E175,Q$1:Q174,1,FALSE()))),"OLD",IF(AND(E175&lt;&gt;"",E175&lt;&gt;"!!!"),"NEW","")))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IF(OR(E175="",E175="!!!",F175="NEW"),"",INDEX(N$2:N174,-1+SUMPRODUCT(MAX(ROW(E$2:E174)*(E175=E$2:E174)))))</f>
        <v/>
      </c>
      <c r="J175" s="25" t="str">
        <f aca="true">IF(OR(E175="",E175="!!!",F175="NEW"),"",COUNTBLANK(OFFSET(M$1,,,SUMPRODUCT(MAX(ROW(E$2:E175)*(E175=E$2:E175)))))-COUNTBLANK(OFFSET(M$1,,,SUMPRODUCT(MAX(ROW(Q$1:Q174)*(E175=Q$1:Q174))))))</f>
        <v/>
      </c>
      <c r="K175" s="25" t="str">
        <f aca="false">IF(OR(E175="",E175="!!!",F175="NEW"),"",INDEX(V$1:V174,SUMPRODUCT(MAX(ROW(Q$1:Q174)*(E175=Q$1:Q174)))))</f>
        <v/>
      </c>
      <c r="L175" s="26"/>
      <c r="M175" s="27"/>
    </row>
    <row r="176" customFormat="false" ht="15" hidden="false" customHeight="false" outlineLevel="0" collapsed="false">
      <c r="A176" s="19" t="s">
        <v>378</v>
      </c>
      <c r="E176" s="20" t="str">
        <f aca="false">IF(P176="?OLD","!!!","")</f>
        <v/>
      </c>
      <c r="F176" s="21" t="str">
        <f aca="false">IF(OR(E176="",E176="!!!"),"",IF(NOT(ISNA(VLOOKUP(E176,Q$1:Q175,1,FALSE()))),"OLD",IF(AND(E176&lt;&gt;"",E176&lt;&gt;"!!!"),"NEW","")))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4" t="str">
        <f aca="false">IF(OR(E176="",E176="!!!",F176="NEW"),"",INDEX(N$2:N175,-1+SUMPRODUCT(MAX(ROW(E$2:E175)*(E176=E$2:E175)))))</f>
        <v/>
      </c>
      <c r="J176" s="25" t="str">
        <f aca="true">IF(OR(E176="",E176="!!!",F176="NEW"),"",COUNTBLANK(OFFSET(M$1,,,SUMPRODUCT(MAX(ROW(E$2:E176)*(E176=E$2:E176)))))-COUNTBLANK(OFFSET(M$1,,,SUMPRODUCT(MAX(ROW(Q$1:Q175)*(E176=Q$1:Q175))))))</f>
        <v/>
      </c>
      <c r="K176" s="25" t="str">
        <f aca="false">IF(OR(E176="",E176="!!!",F176="NEW"),"",INDEX(V$1:V175,SUMPRODUCT(MAX(ROW(Q$1:Q175)*(E176=Q$1:Q175)))))</f>
        <v/>
      </c>
      <c r="L176" s="26"/>
      <c r="M176" s="27"/>
    </row>
    <row r="177" customFormat="false" ht="15" hidden="false" customHeight="false" outlineLevel="0" collapsed="false">
      <c r="A177" s="19" t="s">
        <v>379</v>
      </c>
      <c r="B177" s="28" t="s">
        <v>263</v>
      </c>
      <c r="C177" s="28" t="s">
        <v>264</v>
      </c>
      <c r="D177" s="28" t="s">
        <v>253</v>
      </c>
      <c r="E177" s="20" t="s">
        <v>334</v>
      </c>
      <c r="F177" s="21" t="str">
        <f aca="false">IF(OR(E177="",E177="!!!"),"",IF(NOT(ISNA(VLOOKUP(E177,Q$1:Q176,1,FALSE()))),"OLD",IF(AND(E177&lt;&gt;"",E177&lt;&gt;"!!!"),"NEW","")))</f>
        <v>NEW</v>
      </c>
      <c r="G177" s="22" t="s">
        <v>296</v>
      </c>
      <c r="H177" s="23" t="str">
        <f aca="false">IF(J177&lt;&gt;1,"",IF(I177="SBJ","CB","?"))</f>
        <v/>
      </c>
      <c r="I177" s="24" t="str">
        <f aca="false">IF(OR(E177="",E177="!!!",F177="NEW"),"",INDEX(N$2:N176,-1+SUMPRODUCT(MAX(ROW(E$2:E176)*(E177=E$2:E176)))))</f>
        <v/>
      </c>
      <c r="J177" s="25" t="str">
        <f aca="true">IF(OR(E177="",E177="!!!",F177="NEW"),"",COUNTBLANK(OFFSET(M$1,,,SUMPRODUCT(MAX(ROW(E$2:E177)*(E177=E$2:E177)))))-COUNTBLANK(OFFSET(M$1,,,SUMPRODUCT(MAX(ROW(Q$1:Q176)*(E177=Q$1:Q176))))))</f>
        <v/>
      </c>
      <c r="K177" s="25" t="str">
        <f aca="false">IF(OR(E177="",E177="!!!",F177="NEW"),"",INDEX(V$1:V176,SUMPRODUCT(MAX(ROW(Q$1:Q176)*(E177=Q$1:Q176)))))</f>
        <v/>
      </c>
      <c r="L177" s="26"/>
      <c r="M177" s="27"/>
      <c r="N177" s="29"/>
      <c r="O177" s="29"/>
      <c r="P177" s="29"/>
    </row>
    <row r="178" customFormat="false" ht="15" hidden="false" customHeight="false" outlineLevel="0" collapsed="false">
      <c r="A178" s="19" t="s">
        <v>43</v>
      </c>
      <c r="E178" s="20" t="str">
        <f aca="false">IF(P178="?OLD","!!!","")</f>
        <v/>
      </c>
      <c r="F178" s="21" t="str">
        <f aca="false">IF(OR(E178="",E178="!!!"),"",IF(NOT(ISNA(VLOOKUP(E178,Q$1:Q177,1,FALSE()))),"OLD",IF(AND(E178&lt;&gt;"",E178&lt;&gt;"!!!"),"NEW","")))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4" t="str">
        <f aca="false">IF(OR(E178="",E178="!!!",F178="NEW"),"",INDEX(N$2:N177,-1+SUMPRODUCT(MAX(ROW(E$2:E177)*(E178=E$2:E177)))))</f>
        <v/>
      </c>
      <c r="J178" s="25" t="str">
        <f aca="true">IF(OR(E178="",E178="!!!",F178="NEW"),"",COUNTBLANK(OFFSET(M$1,,,SUMPRODUCT(MAX(ROW(E$2:E178)*(E178=E$2:E178)))))-COUNTBLANK(OFFSET(M$1,,,SUMPRODUCT(MAX(ROW(Q$1:Q177)*(E178=Q$1:Q177))))))</f>
        <v/>
      </c>
      <c r="K178" s="25" t="str">
        <f aca="false">IF(OR(E178="",E178="!!!",F178="NEW"),"",INDEX(V$1:V177,SUMPRODUCT(MAX(ROW(Q$1:Q177)*(E178=Q$1:Q177)))))</f>
        <v/>
      </c>
      <c r="L178" s="26"/>
      <c r="M178" s="27"/>
    </row>
    <row r="179" customFormat="false" ht="15" hidden="false" customHeight="false" outlineLevel="0" collapsed="false">
      <c r="A179" s="19" t="s">
        <v>261</v>
      </c>
      <c r="E179" s="20" t="str">
        <f aca="false">IF(P179="?OLD","!!!","")</f>
        <v/>
      </c>
      <c r="F179" s="21" t="str">
        <f aca="false">IF(OR(E179="",E179="!!!"),"",IF(NOT(ISNA(VLOOKUP(E179,Q$1:Q178,1,FALSE()))),"OLD",IF(AND(E179&lt;&gt;"",E179&lt;&gt;"!!!"),"NEW","")))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4" t="str">
        <f aca="false">IF(OR(E179="",E179="!!!",F179="NEW"),"",INDEX(N$2:N178,-1+SUMPRODUCT(MAX(ROW(E$2:E178)*(E179=E$2:E178)))))</f>
        <v/>
      </c>
      <c r="J179" s="25" t="str">
        <f aca="true">IF(OR(E179="",E179="!!!",F179="NEW"),"",COUNTBLANK(OFFSET(M$1,,,SUMPRODUCT(MAX(ROW(E$2:E179)*(E179=E$2:E179)))))-COUNTBLANK(OFFSET(M$1,,,SUMPRODUCT(MAX(ROW(Q$1:Q178)*(E179=Q$1:Q178))))))</f>
        <v/>
      </c>
      <c r="K179" s="25" t="str">
        <f aca="false">IF(OR(E179="",E179="!!!",F179="NEW"),"",INDEX(V$1:V178,SUMPRODUCT(MAX(ROW(Q$1:Q178)*(E179=Q$1:Q178)))))</f>
        <v/>
      </c>
      <c r="L179" s="26"/>
      <c r="M179" s="27"/>
    </row>
    <row r="180" customFormat="false" ht="15" hidden="false" customHeight="false" outlineLevel="0" collapsed="false">
      <c r="A180" s="19" t="s">
        <v>353</v>
      </c>
      <c r="B180" s="28" t="s">
        <v>380</v>
      </c>
      <c r="C180" s="28" t="s">
        <v>354</v>
      </c>
      <c r="E180" s="20" t="str">
        <f aca="false">IF(P180="?OLD","!!!","")</f>
        <v/>
      </c>
      <c r="F180" s="21" t="str">
        <f aca="false">IF(OR(E180="",E180="!!!"),"",IF(NOT(ISNA(VLOOKUP(E180,Q$1:Q179,1,FALSE()))),"OLD",IF(AND(E180&lt;&gt;"",E180&lt;&gt;"!!!"),"NEW","")))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IF(OR(E180="",E180="!!!",F180="NEW"),"",INDEX(N$2:N179,-1+SUMPRODUCT(MAX(ROW(E$2:E179)*(E180=E$2:E179)))))</f>
        <v/>
      </c>
      <c r="J180" s="25" t="str">
        <f aca="true">IF(OR(E180="",E180="!!!",F180="NEW"),"",COUNTBLANK(OFFSET(M$1,,,SUMPRODUCT(MAX(ROW(E$2:E180)*(E180=E$2:E180)))))-COUNTBLANK(OFFSET(M$1,,,SUMPRODUCT(MAX(ROW(Q$1:Q179)*(E180=Q$1:Q179))))))</f>
        <v/>
      </c>
      <c r="K180" s="25" t="str">
        <f aca="false">IF(OR(E180="",E180="!!!",F180="NEW"),"",INDEX(V$1:V179,SUMPRODUCT(MAX(ROW(Q$1:Q179)*(E180=Q$1:Q179)))))</f>
        <v/>
      </c>
      <c r="L180" s="26"/>
      <c r="M180" s="27"/>
      <c r="N180" s="29"/>
      <c r="O180" s="29"/>
    </row>
    <row r="181" customFormat="false" ht="15" hidden="false" customHeight="false" outlineLevel="0" collapsed="false">
      <c r="A181" s="19" t="s">
        <v>273</v>
      </c>
      <c r="E181" s="20" t="str">
        <f aca="false">IF(P181="?OLD","!!!","")</f>
        <v/>
      </c>
      <c r="F181" s="21" t="str">
        <f aca="false">IF(OR(E181="",E181="!!!"),"",IF(NOT(ISNA(VLOOKUP(E181,Q$1:Q180,1,FALSE()))),"OLD",IF(AND(E181&lt;&gt;"",E181&lt;&gt;"!!!"),"NEW","")))</f>
        <v/>
      </c>
      <c r="G181" s="22" t="str">
        <f aca="false">IF(OR(E181="",E181="!!!"),"",IF(OR(J181=0,AND(J181=1,K181=1),AND(J181=1,I181="SBJ"),AND(J181=1,I181=0)),"?IN_FOCUS",IF(J181&lt;=2,"?ACTIVATED",IF(J181&lt;&gt;"","?FAMILIAR",IF(F181="NEW",IF(ISNA(VLOOKUP(E181,#REF!,1,FALSE())),"?TYPE_IDENTIFIABLE","?REFERENTIAL"),"_")))))</f>
        <v/>
      </c>
      <c r="H181" s="23" t="str">
        <f aca="false">IF(J181&lt;&gt;1,"",IF(I181="SBJ","CB","?"))</f>
        <v/>
      </c>
      <c r="I181" s="24" t="str">
        <f aca="false">IF(OR(E181="",E181="!!!",F181="NEW"),"",INDEX(N$2:N180,-1+SUMPRODUCT(MAX(ROW(E$2:E180)*(E181=E$2:E180)))))</f>
        <v/>
      </c>
      <c r="J181" s="25" t="str">
        <f aca="true">IF(OR(E181="",E181="!!!",F181="NEW"),"",COUNTBLANK(OFFSET(M$1,,,SUMPRODUCT(MAX(ROW(E$2:E181)*(E181=E$2:E181)))))-COUNTBLANK(OFFSET(M$1,,,SUMPRODUCT(MAX(ROW(Q$1:Q180)*(E181=Q$1:Q180))))))</f>
        <v/>
      </c>
      <c r="K181" s="25" t="str">
        <f aca="false">IF(OR(E181="",E181="!!!",F181="NEW"),"",INDEX(V$1:V180,SUMPRODUCT(MAX(ROW(Q$1:Q180)*(E181=Q$1:Q180)))))</f>
        <v/>
      </c>
      <c r="L181" s="26"/>
      <c r="M181" s="27"/>
    </row>
    <row r="182" customFormat="false" ht="15" hidden="false" customHeight="false" outlineLevel="0" collapsed="false">
      <c r="A182" s="19" t="s">
        <v>381</v>
      </c>
      <c r="B182" s="28" t="s">
        <v>258</v>
      </c>
      <c r="C182" s="28" t="s">
        <v>358</v>
      </c>
      <c r="D182" s="28" t="s">
        <v>253</v>
      </c>
      <c r="E182" s="20" t="s">
        <v>334</v>
      </c>
      <c r="F182" s="21" t="str">
        <f aca="false">IF(OR(E182="",E182="!!!"),"",IF(NOT(ISNA(VLOOKUP(E182,Q$1:Q181,1,FALSE()))),"OLD",IF(AND(E182&lt;&gt;"",E182&lt;&gt;"!!!"),"NEW","")))</f>
        <v>NEW</v>
      </c>
      <c r="G182" s="22" t="s">
        <v>296</v>
      </c>
      <c r="H182" s="23" t="str">
        <f aca="false">IF(J182&lt;&gt;1,"",IF(I182="SBJ","CB","?"))</f>
        <v/>
      </c>
      <c r="I182" s="24" t="str">
        <f aca="false">IF(OR(E182="",E182="!!!",F182="NEW"),"",INDEX(N$2:N181,-1+SUMPRODUCT(MAX(ROW(E$2:E181)*(E182=E$2:E181)))))</f>
        <v/>
      </c>
      <c r="J182" s="25" t="str">
        <f aca="true">IF(OR(E182="",E182="!!!",F182="NEW"),"",COUNTBLANK(OFFSET(M$1,,,SUMPRODUCT(MAX(ROW(E$2:E182)*(E182=E$2:E182)))))-COUNTBLANK(OFFSET(M$1,,,SUMPRODUCT(MAX(ROW(Q$1:Q181)*(E182=Q$1:Q181))))))</f>
        <v/>
      </c>
      <c r="K182" s="25" t="str">
        <f aca="false">IF(OR(E182="",E182="!!!",F182="NEW"),"",INDEX(V$1:V181,SUMPRODUCT(MAX(ROW(Q$1:Q181)*(E182=Q$1:Q181)))))</f>
        <v/>
      </c>
      <c r="L182" s="26"/>
      <c r="M182" s="27"/>
      <c r="N182" s="29"/>
      <c r="O182" s="29"/>
      <c r="P182" s="29"/>
    </row>
    <row r="183" customFormat="false" ht="15" hidden="false" customHeight="false" outlineLevel="0" collapsed="false">
      <c r="A183" s="19" t="s">
        <v>359</v>
      </c>
      <c r="E183" s="20" t="str">
        <f aca="false">IF(P183="?OLD","!!!","")</f>
        <v/>
      </c>
      <c r="F183" s="21" t="str">
        <f aca="false">IF(OR(E183="",E183="!!!"),"",IF(NOT(ISNA(VLOOKUP(E183,Q$1:Q182,1,FALSE()))),"OLD",IF(AND(E183&lt;&gt;"",E183&lt;&gt;"!!!"),"NEW","")))</f>
        <v/>
      </c>
      <c r="G183" s="22" t="str">
        <f aca="false">IF(OR(E183="",E183="!!!"),"",IF(OR(J183=0,AND(J183=1,K183=1),AND(J183=1,I183="SBJ"),AND(J183=1,I183=0)),"?IN_FOCUS",IF(J183&lt;=2,"?ACTIVATED",IF(J183&lt;&gt;"","?FAMILIAR",IF(F183="NEW",IF(ISNA(VLOOKUP(E183,#REF!,1,FALSE())),"?TYPE_IDENTIFIABLE","?REFERENTIAL"),"_")))))</f>
        <v/>
      </c>
      <c r="H183" s="23" t="str">
        <f aca="false">IF(J183&lt;&gt;1,"",IF(I183="SBJ","CB","?"))</f>
        <v/>
      </c>
      <c r="I183" s="24" t="str">
        <f aca="false">IF(OR(E183="",E183="!!!",F183="NEW"),"",INDEX(N$2:N182,-1+SUMPRODUCT(MAX(ROW(E$2:E182)*(E183=E$2:E182)))))</f>
        <v/>
      </c>
      <c r="J183" s="25" t="str">
        <f aca="true">IF(OR(E183="",E183="!!!",F183="NEW"),"",COUNTBLANK(OFFSET(M$1,,,SUMPRODUCT(MAX(ROW(E$2:E183)*(E183=E$2:E183)))))-COUNTBLANK(OFFSET(M$1,,,SUMPRODUCT(MAX(ROW(Q$1:Q182)*(E183=Q$1:Q182))))))</f>
        <v/>
      </c>
      <c r="K183" s="25" t="str">
        <f aca="false">IF(OR(E183="",E183="!!!",F183="NEW"),"",INDEX(V$1:V182,SUMPRODUCT(MAX(ROW(Q$1:Q182)*(E183=Q$1:Q182)))))</f>
        <v/>
      </c>
      <c r="L183" s="26"/>
      <c r="M183" s="27"/>
    </row>
    <row r="184" customFormat="false" ht="15" hidden="false" customHeight="false" outlineLevel="0" collapsed="false">
      <c r="A184" s="19" t="s">
        <v>382</v>
      </c>
      <c r="E184" s="20" t="str">
        <f aca="false">IF(P184="?OLD","!!!","")</f>
        <v/>
      </c>
      <c r="F184" s="21" t="str">
        <f aca="false">IF(OR(E184="",E184="!!!"),"",IF(NOT(ISNA(VLOOKUP(E184,Q$1:Q183,1,FALSE()))),"OLD",IF(AND(E184&lt;&gt;"",E184&lt;&gt;"!!!"),"NEW","")))</f>
        <v/>
      </c>
      <c r="G184" s="22" t="str">
        <f aca="false">IF(OR(E184="",E184="!!!"),"",IF(OR(J184=0,AND(J184=1,K184=1),AND(J184=1,I184="SBJ"),AND(J184=1,I184=0)),"?IN_FOCUS",IF(J184&lt;=2,"?ACTIVATED",IF(J184&lt;&gt;"","?FAMILIAR",IF(F184="NEW",IF(ISNA(VLOOKUP(E184,#REF!,1,FALSE())),"?TYPE_IDENTIFIABLE","?REFERENTIAL"),"_")))))</f>
        <v/>
      </c>
      <c r="H184" s="23" t="str">
        <f aca="false">IF(J184&lt;&gt;1,"",IF(I184="SBJ","CB","?"))</f>
        <v/>
      </c>
      <c r="I184" s="24" t="str">
        <f aca="false">IF(OR(E184="",E184="!!!",F184="NEW"),"",INDEX(N$2:N183,-1+SUMPRODUCT(MAX(ROW(E$2:E183)*(E184=E$2:E183)))))</f>
        <v/>
      </c>
      <c r="J184" s="25" t="str">
        <f aca="true">IF(OR(E184="",E184="!!!",F184="NEW"),"",COUNTBLANK(OFFSET(M$1,,,SUMPRODUCT(MAX(ROW(E$2:E184)*(E184=E$2:E184)))))-COUNTBLANK(OFFSET(M$1,,,SUMPRODUCT(MAX(ROW(Q$1:Q183)*(E184=Q$1:Q183))))))</f>
        <v/>
      </c>
      <c r="K184" s="25" t="str">
        <f aca="false">IF(OR(E184="",E184="!!!",F184="NEW"),"",INDEX(V$1:V183,SUMPRODUCT(MAX(ROW(Q$1:Q183)*(E184=Q$1:Q183)))))</f>
        <v/>
      </c>
      <c r="L184" s="26"/>
      <c r="M184" s="27"/>
    </row>
    <row r="185" customFormat="false" ht="15" hidden="false" customHeight="false" outlineLevel="0" collapsed="false">
      <c r="A185" s="19" t="s">
        <v>360</v>
      </c>
      <c r="B185" s="28" t="s">
        <v>306</v>
      </c>
      <c r="C185" s="28" t="s">
        <v>314</v>
      </c>
      <c r="D185" s="28" t="s">
        <v>253</v>
      </c>
      <c r="E185" s="20" t="s">
        <v>383</v>
      </c>
      <c r="F185" s="21" t="s">
        <v>384</v>
      </c>
      <c r="G185" s="22" t="s">
        <v>255</v>
      </c>
      <c r="H185" s="23" t="str">
        <f aca="false">IF(J185&lt;&gt;1,"",IF(I185="SBJ","CB","?"))</f>
        <v/>
      </c>
      <c r="I185" s="24" t="str">
        <f aca="false">IF(OR(E185="",E185="!!!",F185="NEW"),"",INDEX(N$2:N184,-1+SUMPRODUCT(MAX(ROW(E$2:E184)*(E185=E$2:E184)))))</f>
        <v/>
      </c>
      <c r="J185" s="25" t="str">
        <f aca="true">IF(OR(E185="",E185="!!!",F185="NEW"),"",COUNTBLANK(OFFSET(M$1,,,SUMPRODUCT(MAX(ROW(E$2:E185)*(E185=E$2:E185)))))-COUNTBLANK(OFFSET(M$1,,,SUMPRODUCT(MAX(ROW(Q$1:Q184)*(E185=Q$1:Q184))))))</f>
        <v/>
      </c>
      <c r="K185" s="25" t="str">
        <f aca="false">IF(OR(E185="",E185="!!!",F185="NEW"),"",INDEX(V$1:V184,SUMPRODUCT(MAX(ROW(Q$1:Q184)*(E185=Q$1:Q184)))))</f>
        <v/>
      </c>
      <c r="L185" s="26"/>
      <c r="M185" s="27"/>
      <c r="N185" s="29"/>
      <c r="O185" s="29"/>
      <c r="P185" s="29"/>
    </row>
    <row r="186" customFormat="false" ht="15" hidden="false" customHeight="false" outlineLevel="0" collapsed="false">
      <c r="A186" s="19" t="s">
        <v>375</v>
      </c>
      <c r="E186" s="20" t="str">
        <f aca="false">IF(P186="?OLD","!!!","")</f>
        <v/>
      </c>
      <c r="F186" s="21" t="str">
        <f aca="false">IF(OR(E186="",E186="!!!"),"",IF(NOT(ISNA(VLOOKUP(E186,Q$1:Q185,1,FALSE()))),"OLD",IF(AND(E186&lt;&gt;"",E186&lt;&gt;"!!!"),"NEW","")))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IF(OR(E186="",E186="!!!",F186="NEW"),"",INDEX(N$2:N185,-1+SUMPRODUCT(MAX(ROW(E$2:E185)*(E186=E$2:E185)))))</f>
        <v/>
      </c>
      <c r="J186" s="25" t="str">
        <f aca="true">IF(OR(E186="",E186="!!!",F186="NEW"),"",COUNTBLANK(OFFSET(M$1,,,SUMPRODUCT(MAX(ROW(E$2:E186)*(E186=E$2:E186)))))-COUNTBLANK(OFFSET(M$1,,,SUMPRODUCT(MAX(ROW(Q$1:Q185)*(E186=Q$1:Q185))))))</f>
        <v/>
      </c>
      <c r="K186" s="25" t="str">
        <f aca="false">IF(OR(E186="",E186="!!!",F186="NEW"),"",INDEX(V$1:V185,SUMPRODUCT(MAX(ROW(Q$1:Q185)*(E186=Q$1:Q185)))))</f>
        <v/>
      </c>
      <c r="L186" s="26"/>
      <c r="M186" s="27"/>
    </row>
    <row r="187" customFormat="false" ht="15" hidden="false" customHeight="false" outlineLevel="0" collapsed="false">
      <c r="A187" s="19"/>
      <c r="E187" s="20" t="str">
        <f aca="false">IF(P187="?OLD","!!!","")</f>
        <v/>
      </c>
      <c r="F187" s="21" t="str">
        <f aca="false">IF(OR(E187="",E187="!!!"),"",IF(NOT(ISNA(VLOOKUP(E187,Q$1:Q186,1,FALSE()))),"OLD",IF(AND(E187&lt;&gt;"",E187&lt;&gt;"!!!"),"NEW","")))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IF(OR(E187="",E187="!!!",F187="NEW"),"",INDEX(N$2:N186,-1+SUMPRODUCT(MAX(ROW(E$2:E186)*(E187=E$2:E186)))))</f>
        <v/>
      </c>
      <c r="J187" s="25" t="str">
        <f aca="true">IF(OR(E187="",E187="!!!",F187="NEW"),"",COUNTBLANK(OFFSET(M$1,,,SUMPRODUCT(MAX(ROW(E$2:E187)*(E187=E$2:E187)))))-COUNTBLANK(OFFSET(M$1,,,SUMPRODUCT(MAX(ROW(Q$1:Q186)*(E187=Q$1:Q186))))))</f>
        <v/>
      </c>
      <c r="K187" s="25" t="str">
        <f aca="false">IF(OR(E187="",E187="!!!",F187="NEW"),"",INDEX(V$1:V186,SUMPRODUCT(MAX(ROW(Q$1:Q186)*(E187=Q$1:Q186)))))</f>
        <v/>
      </c>
      <c r="L187" s="26"/>
    </row>
    <row r="188" customFormat="false" ht="15" hidden="false" customHeight="false" outlineLevel="0" collapsed="false">
      <c r="A188" s="19" t="s">
        <v>385</v>
      </c>
      <c r="E188" s="20" t="str">
        <f aca="false">IF(P188="?OLD","!!!","")</f>
        <v/>
      </c>
      <c r="F188" s="21" t="str">
        <f aca="false">IF(OR(E188="",E188="!!!"),"",IF(NOT(ISNA(VLOOKUP(E188,Q$1:Q188,1,FALSE()))),"OLD",IF(AND(E188&lt;&gt;"",E188&lt;&gt;"!!!"),"NEW","")))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4" t="str">
        <f aca="false">IF(OR(E188="",E188="!!!",F188="NEW"),"",INDEX(N$2:N188,-1+SUMPRODUCT(MAX(ROW(E$2:E188)*(E188=E$2:E188)))))</f>
        <v/>
      </c>
      <c r="J188" s="25" t="str">
        <f aca="true">IF(OR(E188="",E188="!!!",F188="NEW"),"",COUNTBLANK(OFFSET(M$1,,,SUMPRODUCT(MAX(ROW(E$2:E189)*(E188=E$2:E189)))))-COUNTBLANK(OFFSET(M$1,,,SUMPRODUCT(MAX(ROW(Q$1:Q188)*(E188=Q$1:Q188))))))</f>
        <v/>
      </c>
      <c r="K188" s="25" t="str">
        <f aca="false">IF(OR(E188="",E188="!!!",F188="NEW"),"",INDEX(V$1:V188,SUMPRODUCT(MAX(ROW(Q$1:Q188)*(E188=Q$1:Q188)))))</f>
        <v/>
      </c>
      <c r="L188" s="26"/>
      <c r="M188" s="27"/>
    </row>
    <row r="189" customFormat="false" ht="15" hidden="false" customHeight="false" outlineLevel="0" collapsed="false">
      <c r="A189" s="19" t="s">
        <v>46</v>
      </c>
      <c r="B189" s="28" t="s">
        <v>271</v>
      </c>
      <c r="C189" s="28" t="s">
        <v>333</v>
      </c>
      <c r="D189" s="28" t="s">
        <v>253</v>
      </c>
      <c r="E189" s="20" t="s">
        <v>46</v>
      </c>
      <c r="F189" s="21" t="str">
        <f aca="false">IF(OR(E189="",E189="!!!"),"",IF(NOT(ISNA(VLOOKUP(E189,Q$1:Q189,1,FALSE()))),"OLD",IF(AND(E189&lt;&gt;"",E189&lt;&gt;"!!!"),"NEW","")))</f>
        <v>NEW</v>
      </c>
      <c r="G189" s="22" t="s">
        <v>255</v>
      </c>
      <c r="H189" s="23" t="str">
        <f aca="false">IF(J189&lt;&gt;1,"",IF(I189="SBJ","CB","?"))</f>
        <v/>
      </c>
      <c r="I189" s="24" t="str">
        <f aca="false">IF(OR(E189="",E189="!!!",F189="NEW"),"",INDEX(N$2:N189,-1+SUMPRODUCT(MAX(ROW(E$2:E189)*(E189=E$2:E189)))))</f>
        <v/>
      </c>
      <c r="J189" s="25" t="str">
        <f aca="true">IF(OR(E189="",E189="!!!",F189="NEW"),"",COUNTBLANK(OFFSET(M$1,,,SUMPRODUCT(MAX(ROW(E$2:E190)*(E189=E$2:E190)))))-COUNTBLANK(OFFSET(M$1,,,SUMPRODUCT(MAX(ROW(Q$1:Q189)*(E189=Q$1:Q189))))))</f>
        <v/>
      </c>
      <c r="K189" s="25" t="str">
        <f aca="false">IF(OR(E189="",E189="!!!",F189="NEW"),"",INDEX(V$1:V189,SUMPRODUCT(MAX(ROW(Q$1:Q189)*(E189=Q$1:Q189)))))</f>
        <v/>
      </c>
      <c r="L189" s="26"/>
      <c r="M189" s="27"/>
      <c r="N189" s="29"/>
      <c r="O189" s="29"/>
      <c r="P189" s="29"/>
    </row>
    <row r="190" customFormat="false" ht="15" hidden="false" customHeight="false" outlineLevel="0" collapsed="false">
      <c r="A190" s="19" t="s">
        <v>261</v>
      </c>
      <c r="E190" s="20" t="str">
        <f aca="false">IF(P190="?OLD","!!!","")</f>
        <v/>
      </c>
      <c r="F190" s="21" t="str">
        <f aca="false">IF(OR(E190="",E190="!!!"),"",IF(NOT(ISNA(VLOOKUP(E190,Q$1:Q190,1,FALSE()))),"OLD",IF(AND(E190&lt;&gt;"",E190&lt;&gt;"!!!"),"NEW","")))</f>
        <v/>
      </c>
      <c r="G190" s="22" t="str">
        <f aca="false">IF(OR(E190="",E190="!!!"),"",IF(OR(J190=0,AND(J190=1,K190=1),AND(J190=1,I190="SBJ"),AND(J190=1,I190=0)),"?IN_FOCUS",IF(J190&lt;=2,"?ACTIVATED",IF(J190&lt;&gt;"","?FAMILIAR",IF(F190="NEW",IF(ISNA(VLOOKUP(E190,#REF!,1,FALSE())),"?TYPE_IDENTIFIABLE","?REFERENTIAL"),"_")))))</f>
        <v/>
      </c>
      <c r="H190" s="23" t="str">
        <f aca="false">IF(J190&lt;&gt;1,"",IF(I190="SBJ","CB","?"))</f>
        <v/>
      </c>
      <c r="I190" s="24" t="str">
        <f aca="false">IF(OR(E190="",E190="!!!",F190="NEW"),"",INDEX(N$2:N190,-1+SUMPRODUCT(MAX(ROW(E$2:E190)*(E190=E$2:E190)))))</f>
        <v/>
      </c>
      <c r="J190" s="25" t="str">
        <f aca="true">IF(OR(E190="",E190="!!!",F190="NEW"),"",COUNTBLANK(OFFSET(M$1,,,SUMPRODUCT(MAX(ROW(E$2:E191)*(E190=E$2:E191)))))-COUNTBLANK(OFFSET(M$1,,,SUMPRODUCT(MAX(ROW(Q$1:Q190)*(E190=Q$1:Q190))))))</f>
        <v/>
      </c>
      <c r="K190" s="25" t="str">
        <f aca="false">IF(OR(E190="",E190="!!!",F190="NEW"),"",INDEX(V$1:V190,SUMPRODUCT(MAX(ROW(Q$1:Q190)*(E190=Q$1:Q190)))))</f>
        <v/>
      </c>
      <c r="L190" s="26"/>
      <c r="M190" s="27"/>
    </row>
    <row r="191" customFormat="false" ht="15" hidden="false" customHeight="false" outlineLevel="0" collapsed="false">
      <c r="A191" s="19" t="s">
        <v>386</v>
      </c>
      <c r="B191" s="28" t="s">
        <v>271</v>
      </c>
      <c r="C191" s="28" t="s">
        <v>333</v>
      </c>
      <c r="D191" s="28" t="s">
        <v>253</v>
      </c>
      <c r="E191" s="20" t="s">
        <v>386</v>
      </c>
      <c r="F191" s="21" t="str">
        <f aca="false">IF(OR(E191="",E191="!!!"),"",IF(NOT(ISNA(VLOOKUP(E191,Q$1:Q191,1,FALSE()))),"OLD",IF(AND(E191&lt;&gt;"",E191&lt;&gt;"!!!"),"NEW","")))</f>
        <v>NEW</v>
      </c>
      <c r="G191" s="22" t="s">
        <v>255</v>
      </c>
      <c r="H191" s="23" t="str">
        <f aca="false">IF(J191&lt;&gt;1,"",IF(I191="SBJ","CB","?"))</f>
        <v/>
      </c>
      <c r="I191" s="24" t="str">
        <f aca="false">IF(OR(E191="",E191="!!!",F191="NEW"),"",INDEX(N$2:N191,-1+SUMPRODUCT(MAX(ROW(E$2:E191)*(E191=E$2:E191)))))</f>
        <v/>
      </c>
      <c r="J191" s="25" t="str">
        <f aca="true">IF(OR(E191="",E191="!!!",F191="NEW"),"",COUNTBLANK(OFFSET(M$1,,,SUMPRODUCT(MAX(ROW(E$2:E192)*(E191=E$2:E192)))))-COUNTBLANK(OFFSET(M$1,,,SUMPRODUCT(MAX(ROW(Q$1:Q191)*(E191=Q$1:Q191))))))</f>
        <v/>
      </c>
      <c r="K191" s="25" t="str">
        <f aca="false">IF(OR(E191="",E191="!!!",F191="NEW"),"",INDEX(V$1:V191,SUMPRODUCT(MAX(ROW(Q$1:Q191)*(E191=Q$1:Q191)))))</f>
        <v/>
      </c>
      <c r="L191" s="26"/>
      <c r="M191" s="27"/>
      <c r="N191" s="29"/>
      <c r="O191" s="29"/>
      <c r="P191" s="29"/>
    </row>
    <row r="192" customFormat="false" ht="15" hidden="false" customHeight="false" outlineLevel="0" collapsed="false">
      <c r="A192" s="19" t="s">
        <v>261</v>
      </c>
      <c r="E192" s="20" t="str">
        <f aca="false">IF(P192="?OLD","!!!","")</f>
        <v/>
      </c>
      <c r="F192" s="21" t="str">
        <f aca="false">IF(OR(E192="",E192="!!!"),"",IF(NOT(ISNA(VLOOKUP(E192,Q$1:Q192,1,FALSE()))),"OLD",IF(AND(E192&lt;&gt;"",E192&lt;&gt;"!!!"),"NEW","")))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4" t="str">
        <f aca="false">IF(OR(E192="",E192="!!!",F192="NEW"),"",INDEX(N$2:N192,-1+SUMPRODUCT(MAX(ROW(E$2:E192)*(E192=E$2:E192)))))</f>
        <v/>
      </c>
      <c r="J192" s="25" t="str">
        <f aca="true">IF(OR(E192="",E192="!!!",F192="NEW"),"",COUNTBLANK(OFFSET(M$1,,,SUMPRODUCT(MAX(ROW(E$2:E193)*(E192=E$2:E193)))))-COUNTBLANK(OFFSET(M$1,,,SUMPRODUCT(MAX(ROW(Q$1:Q192)*(E192=Q$1:Q192))))))</f>
        <v/>
      </c>
      <c r="K192" s="25" t="str">
        <f aca="false">IF(OR(E192="",E192="!!!",F192="NEW"),"",INDEX(V$1:V192,SUMPRODUCT(MAX(ROW(Q$1:Q192)*(E192=Q$1:Q192)))))</f>
        <v/>
      </c>
      <c r="L192" s="26"/>
      <c r="M192" s="27"/>
    </row>
    <row r="193" customFormat="false" ht="15" hidden="false" customHeight="false" outlineLevel="0" collapsed="false">
      <c r="A193" s="19" t="s">
        <v>387</v>
      </c>
      <c r="B193" s="28" t="s">
        <v>271</v>
      </c>
      <c r="C193" s="28" t="s">
        <v>333</v>
      </c>
      <c r="D193" s="28" t="s">
        <v>253</v>
      </c>
      <c r="E193" s="20" t="s">
        <v>387</v>
      </c>
      <c r="F193" s="21" t="str">
        <f aca="false">IF(OR(E193="",E193="!!!"),"",IF(NOT(ISNA(VLOOKUP(E193,Q$1:Q193,1,FALSE()))),"OLD",IF(AND(E193&lt;&gt;"",E193&lt;&gt;"!!!"),"NEW","")))</f>
        <v>NEW</v>
      </c>
      <c r="G193" s="22" t="s">
        <v>255</v>
      </c>
      <c r="H193" s="23" t="str">
        <f aca="false">IF(J193&lt;&gt;1,"",IF(I193="SBJ","CB","?"))</f>
        <v/>
      </c>
      <c r="I193" s="24" t="str">
        <f aca="false">IF(OR(E193="",E193="!!!",F193="NEW"),"",INDEX(N$2:N193,-1+SUMPRODUCT(MAX(ROW(E$2:E193)*(E193=E$2:E193)))))</f>
        <v/>
      </c>
      <c r="J193" s="25" t="str">
        <f aca="true">IF(OR(E193="",E193="!!!",F193="NEW"),"",COUNTBLANK(OFFSET(M$1,,,SUMPRODUCT(MAX(ROW(E$2:E194)*(E193=E$2:E194)))))-COUNTBLANK(OFFSET(M$1,,,SUMPRODUCT(MAX(ROW(Q$1:Q193)*(E193=Q$1:Q193))))))</f>
        <v/>
      </c>
      <c r="K193" s="25" t="str">
        <f aca="false">IF(OR(E193="",E193="!!!",F193="NEW"),"",INDEX(V$1:V193,SUMPRODUCT(MAX(ROW(Q$1:Q193)*(E193=Q$1:Q193)))))</f>
        <v/>
      </c>
      <c r="L193" s="26"/>
      <c r="M193" s="27"/>
      <c r="N193" s="29"/>
      <c r="O193" s="29"/>
      <c r="P193" s="29"/>
    </row>
    <row r="194" customFormat="false" ht="15" hidden="false" customHeight="false" outlineLevel="0" collapsed="false">
      <c r="A194" s="19" t="s">
        <v>261</v>
      </c>
      <c r="E194" s="20" t="str">
        <f aca="false">IF(P194="?OLD","!!!","")</f>
        <v/>
      </c>
      <c r="F194" s="21" t="str">
        <f aca="false">IF(OR(E194="",E194="!!!"),"",IF(NOT(ISNA(VLOOKUP(E194,Q$1:Q194,1,FALSE()))),"OLD",IF(AND(E194&lt;&gt;"",E194&lt;&gt;"!!!"),"NEW","")))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IF(OR(E194="",E194="!!!",F194="NEW"),"",INDEX(N$2:N194,-1+SUMPRODUCT(MAX(ROW(E$2:E194)*(E194=E$2:E194)))))</f>
        <v/>
      </c>
      <c r="J194" s="25" t="str">
        <f aca="true">IF(OR(E194="",E194="!!!",F194="NEW"),"",COUNTBLANK(OFFSET(M$1,,,SUMPRODUCT(MAX(ROW(E$2:E195)*(E194=E$2:E195)))))-COUNTBLANK(OFFSET(M$1,,,SUMPRODUCT(MAX(ROW(Q$1:Q194)*(E194=Q$1:Q194))))))</f>
        <v/>
      </c>
      <c r="K194" s="25" t="str">
        <f aca="false">IF(OR(E194="",E194="!!!",F194="NEW"),"",INDEX(V$1:V194,SUMPRODUCT(MAX(ROW(Q$1:Q194)*(E194=Q$1:Q194)))))</f>
        <v/>
      </c>
      <c r="L194" s="26"/>
      <c r="M194" s="27"/>
    </row>
    <row r="195" customFormat="false" ht="15" hidden="false" customHeight="false" outlineLevel="0" collapsed="false">
      <c r="A195" s="19" t="s">
        <v>294</v>
      </c>
      <c r="E195" s="20" t="str">
        <f aca="false">IF(P195="?OLD","!!!","")</f>
        <v/>
      </c>
      <c r="F195" s="21" t="str">
        <f aca="false">IF(OR(E195="",E195="!!!"),"",IF(NOT(ISNA(VLOOKUP(E195,Q$1:Q195,1,FALSE()))),"OLD",IF(AND(E195&lt;&gt;"",E195&lt;&gt;"!!!"),"NEW","")))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IF(OR(E195="",E195="!!!",F195="NEW"),"",INDEX(N$2:N195,-1+SUMPRODUCT(MAX(ROW(E$2:E195)*(E195=E$2:E195)))))</f>
        <v/>
      </c>
      <c r="J195" s="25" t="str">
        <f aca="true">IF(OR(E195="",E195="!!!",F195="NEW"),"",COUNTBLANK(OFFSET(M$1,,,SUMPRODUCT(MAX(ROW(E$2:E196)*(E195=E$2:E196)))))-COUNTBLANK(OFFSET(M$1,,,SUMPRODUCT(MAX(ROW(Q$1:Q195)*(E195=Q$1:Q195))))))</f>
        <v/>
      </c>
      <c r="K195" s="25" t="str">
        <f aca="false">IF(OR(E195="",E195="!!!",F195="NEW"),"",INDEX(V$1:V195,SUMPRODUCT(MAX(ROW(Q$1:Q195)*(E195=Q$1:Q195)))))</f>
        <v/>
      </c>
      <c r="L195" s="26"/>
      <c r="M195" s="27"/>
    </row>
    <row r="196" customFormat="false" ht="15" hidden="false" customHeight="false" outlineLevel="0" collapsed="false">
      <c r="A196" s="19" t="s">
        <v>388</v>
      </c>
      <c r="B196" s="28" t="s">
        <v>271</v>
      </c>
      <c r="C196" s="28" t="s">
        <v>259</v>
      </c>
      <c r="E196" s="20" t="str">
        <f aca="false">IF(P196="?OLD","!!!","")</f>
        <v/>
      </c>
      <c r="F196" s="21" t="str">
        <f aca="false">IF(OR(E196="",E196="!!!"),"",IF(NOT(ISNA(VLOOKUP(E196,Q$1:Q196,1,FALSE()))),"OLD",IF(AND(E196&lt;&gt;"",E196&lt;&gt;"!!!"),"NEW","")))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4" t="str">
        <f aca="false">IF(OR(E196="",E196="!!!",F196="NEW"),"",INDEX(N$2:N196,-1+SUMPRODUCT(MAX(ROW(E$2:E196)*(E196=E$2:E196)))))</f>
        <v/>
      </c>
      <c r="J196" s="25" t="str">
        <f aca="true">IF(OR(E196="",E196="!!!",F196="NEW"),"",COUNTBLANK(OFFSET(M$1,,,SUMPRODUCT(MAX(ROW(E$2:E197)*(E196=E$2:E197)))))-COUNTBLANK(OFFSET(M$1,,,SUMPRODUCT(MAX(ROW(Q$1:Q196)*(E196=Q$1:Q196))))))</f>
        <v/>
      </c>
      <c r="K196" s="25" t="str">
        <f aca="false">IF(OR(E196="",E196="!!!",F196="NEW"),"",INDEX(V$1:V196,SUMPRODUCT(MAX(ROW(Q$1:Q196)*(E196=Q$1:Q196)))))</f>
        <v/>
      </c>
      <c r="L196" s="26"/>
      <c r="M196" s="27"/>
      <c r="N196" s="29"/>
      <c r="O196" s="29"/>
    </row>
    <row r="197" customFormat="false" ht="15" hidden="false" customHeight="false" outlineLevel="0" collapsed="false">
      <c r="A197" s="19" t="s">
        <v>280</v>
      </c>
      <c r="E197" s="20" t="str">
        <f aca="false">IF(P197="?OLD","!!!","")</f>
        <v/>
      </c>
      <c r="F197" s="21" t="str">
        <f aca="false">IF(OR(E197="",E197="!!!"),"",IF(NOT(ISNA(VLOOKUP(E197,Q$1:Q197,1,FALSE()))),"OLD",IF(AND(E197&lt;&gt;"",E197&lt;&gt;"!!!"),"NEW","")))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IF(OR(E197="",E197="!!!",F197="NEW"),"",INDEX(N$2:N197,-1+SUMPRODUCT(MAX(ROW(E$2:E197)*(E197=E$2:E197)))))</f>
        <v/>
      </c>
      <c r="J197" s="25" t="str">
        <f aca="true">IF(OR(E197="",E197="!!!",F197="NEW"),"",COUNTBLANK(OFFSET(M$1,,,SUMPRODUCT(MAX(ROW(E$2:E198)*(E197=E$2:E198)))))-COUNTBLANK(OFFSET(M$1,,,SUMPRODUCT(MAX(ROW(Q$1:Q197)*(E197=Q$1:Q197))))))</f>
        <v/>
      </c>
      <c r="K197" s="25" t="str">
        <f aca="false">IF(OR(E197="",E197="!!!",F197="NEW"),"",INDEX(V$1:V197,SUMPRODUCT(MAX(ROW(Q$1:Q197)*(E197=Q$1:Q197)))))</f>
        <v/>
      </c>
      <c r="L197" s="26"/>
      <c r="M197" s="27"/>
    </row>
    <row r="198" customFormat="false" ht="15" hidden="false" customHeight="false" outlineLevel="0" collapsed="false">
      <c r="A198" s="19" t="s">
        <v>389</v>
      </c>
      <c r="B198" s="28" t="s">
        <v>306</v>
      </c>
      <c r="C198" s="28" t="s">
        <v>333</v>
      </c>
      <c r="D198" s="28" t="s">
        <v>253</v>
      </c>
      <c r="E198" s="20" t="s">
        <v>389</v>
      </c>
      <c r="F198" s="21" t="str">
        <f aca="false">IF(OR(E198="",E198="!!!"),"",IF(NOT(ISNA(VLOOKUP(E198,Q$1:Q198,1,FALSE()))),"OLD",IF(AND(E198&lt;&gt;"",E198&lt;&gt;"!!!"),"NEW","")))</f>
        <v>NEW</v>
      </c>
      <c r="G198" s="22" t="s">
        <v>255</v>
      </c>
      <c r="H198" s="23" t="str">
        <f aca="false">IF(J198&lt;&gt;1,"",IF(I198="SBJ","CB","?"))</f>
        <v/>
      </c>
      <c r="I198" s="24" t="str">
        <f aca="false">IF(OR(E198="",E198="!!!",F198="NEW"),"",INDEX(N$2:N198,-1+SUMPRODUCT(MAX(ROW(E$2:E198)*(E198=E$2:E198)))))</f>
        <v/>
      </c>
      <c r="J198" s="25" t="str">
        <f aca="true">IF(OR(E198="",E198="!!!",F198="NEW"),"",COUNTBLANK(OFFSET(M$1,,,SUMPRODUCT(MAX(ROW(E$2:E199)*(E198=E$2:E199)))))-COUNTBLANK(OFFSET(M$1,,,SUMPRODUCT(MAX(ROW(Q$1:Q198)*(E198=Q$1:Q198))))))</f>
        <v/>
      </c>
      <c r="K198" s="25" t="str">
        <f aca="false">IF(OR(E198="",E198="!!!",F198="NEW"),"",INDEX(V$1:V198,SUMPRODUCT(MAX(ROW(Q$1:Q198)*(E198=Q$1:Q198)))))</f>
        <v/>
      </c>
      <c r="L198" s="26"/>
      <c r="M198" s="27"/>
      <c r="N198" s="29"/>
      <c r="O198" s="29"/>
      <c r="P198" s="29"/>
    </row>
    <row r="199" customFormat="false" ht="15" hidden="false" customHeight="false" outlineLevel="0" collapsed="false">
      <c r="A199" s="19" t="s">
        <v>261</v>
      </c>
      <c r="E199" s="20" t="str">
        <f aca="false">IF(P199="?OLD","!!!","")</f>
        <v/>
      </c>
      <c r="F199" s="21" t="str">
        <f aca="false">IF(OR(E199="",E199="!!!"),"",IF(NOT(ISNA(VLOOKUP(E199,Q$1:Q199,1,FALSE()))),"OLD",IF(AND(E199&lt;&gt;"",E199&lt;&gt;"!!!"),"NEW","")))</f>
        <v/>
      </c>
      <c r="G199" s="22" t="str">
        <f aca="false">IF(OR(E199="",E199="!!!"),"",IF(OR(J199=0,AND(J199=1,K199=1),AND(J199=1,I199="SBJ"),AND(J199=1,I199=0)),"?IN_FOCUS",IF(J199&lt;=2,"?ACTIVATED",IF(J199&lt;&gt;"","?FAMILIAR",IF(F199="NEW",IF(ISNA(VLOOKUP(E199,#REF!,1,FALSE())),"?TYPE_IDENTIFIABLE","?REFERENTIAL"),"_")))))</f>
        <v/>
      </c>
      <c r="H199" s="23" t="str">
        <f aca="false">IF(J199&lt;&gt;1,"",IF(I199="SBJ","CB","?"))</f>
        <v/>
      </c>
      <c r="I199" s="24" t="str">
        <f aca="false">IF(OR(E199="",E199="!!!",F199="NEW"),"",INDEX(N$2:N199,-1+SUMPRODUCT(MAX(ROW(E$2:E199)*(E199=E$2:E199)))))</f>
        <v/>
      </c>
      <c r="J199" s="25" t="str">
        <f aca="true">IF(OR(E199="",E199="!!!",F199="NEW"),"",COUNTBLANK(OFFSET(M$1,,,SUMPRODUCT(MAX(ROW(E$2:E200)*(E199=E$2:E200)))))-COUNTBLANK(OFFSET(M$1,,,SUMPRODUCT(MAX(ROW(Q$1:Q199)*(E199=Q$1:Q199))))))</f>
        <v/>
      </c>
      <c r="K199" s="25" t="str">
        <f aca="false">IF(OR(E199="",E199="!!!",F199="NEW"),"",INDEX(V$1:V199,SUMPRODUCT(MAX(ROW(Q$1:Q199)*(E199=Q$1:Q199)))))</f>
        <v/>
      </c>
      <c r="L199" s="26"/>
      <c r="M199" s="27"/>
    </row>
    <row r="200" customFormat="false" ht="15" hidden="false" customHeight="false" outlineLevel="0" collapsed="false">
      <c r="A200" s="19" t="s">
        <v>390</v>
      </c>
      <c r="B200" s="28" t="s">
        <v>258</v>
      </c>
      <c r="C200" s="28" t="s">
        <v>333</v>
      </c>
      <c r="D200" s="28" t="s">
        <v>253</v>
      </c>
      <c r="E200" s="20" t="s">
        <v>390</v>
      </c>
      <c r="F200" s="21" t="str">
        <f aca="false">IF(OR(E200="",E200="!!!"),"",IF(NOT(ISNA(VLOOKUP(E200,Q$1:Q200,1,FALSE()))),"OLD",IF(AND(E200&lt;&gt;"",E200&lt;&gt;"!!!"),"NEW","")))</f>
        <v>NEW</v>
      </c>
      <c r="G200" s="22" t="s">
        <v>283</v>
      </c>
      <c r="H200" s="23" t="str">
        <f aca="false">IF(J200&lt;&gt;1,"",IF(I200="SBJ","CB","?"))</f>
        <v/>
      </c>
      <c r="I200" s="24" t="str">
        <f aca="false">IF(OR(E200="",E200="!!!",F200="NEW"),"",INDEX(N$2:N200,-1+SUMPRODUCT(MAX(ROW(E$2:E200)*(E200=E$2:E200)))))</f>
        <v/>
      </c>
      <c r="J200" s="25" t="str">
        <f aca="true">IF(OR(E200="",E200="!!!",F200="NEW"),"",COUNTBLANK(OFFSET(M$1,,,SUMPRODUCT(MAX(ROW(E$2:E201)*(E200=E$2:E201)))))-COUNTBLANK(OFFSET(M$1,,,SUMPRODUCT(MAX(ROW(Q$1:Q200)*(E200=Q$1:Q200))))))</f>
        <v/>
      </c>
      <c r="K200" s="25" t="str">
        <f aca="false">IF(OR(E200="",E200="!!!",F200="NEW"),"",INDEX(V$1:V200,SUMPRODUCT(MAX(ROW(Q$1:Q200)*(E200=Q$1:Q200)))))</f>
        <v/>
      </c>
      <c r="L200" s="26"/>
      <c r="M200" s="27"/>
      <c r="N200" s="29"/>
      <c r="O200" s="29"/>
      <c r="P200" s="29"/>
    </row>
    <row r="201" customFormat="false" ht="15" hidden="false" customHeight="false" outlineLevel="0" collapsed="false">
      <c r="A201" s="19" t="s">
        <v>261</v>
      </c>
      <c r="E201" s="20" t="str">
        <f aca="false">IF(P201="?OLD","!!!","")</f>
        <v/>
      </c>
      <c r="F201" s="21" t="str">
        <f aca="false">IF(OR(E201="",E201="!!!"),"",IF(NOT(ISNA(VLOOKUP(E201,Q$1:Q201,1,FALSE()))),"OLD",IF(AND(E201&lt;&gt;"",E201&lt;&gt;"!!!"),"NEW","")))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4" t="str">
        <f aca="false">IF(OR(E201="",E201="!!!",F201="NEW"),"",INDEX(N$2:N201,-1+SUMPRODUCT(MAX(ROW(E$2:E201)*(E201=E$2:E201)))))</f>
        <v/>
      </c>
      <c r="J201" s="25" t="str">
        <f aca="true">IF(OR(E201="",E201="!!!",F201="NEW"),"",COUNTBLANK(OFFSET(M$1,,,SUMPRODUCT(MAX(ROW(E$2:E202)*(E201=E$2:E202)))))-COUNTBLANK(OFFSET(M$1,,,SUMPRODUCT(MAX(ROW(Q$1:Q201)*(E201=Q$1:Q201))))))</f>
        <v/>
      </c>
      <c r="K201" s="25" t="str">
        <f aca="false">IF(OR(E201="",E201="!!!",F201="NEW"),"",INDEX(V$1:V201,SUMPRODUCT(MAX(ROW(Q$1:Q201)*(E201=Q$1:Q201)))))</f>
        <v/>
      </c>
      <c r="L201" s="26"/>
      <c r="M201" s="27"/>
    </row>
    <row r="202" customFormat="false" ht="15" hidden="false" customHeight="false" outlineLevel="0" collapsed="false">
      <c r="A202" s="19" t="s">
        <v>391</v>
      </c>
      <c r="B202" s="28" t="s">
        <v>258</v>
      </c>
      <c r="C202" s="28" t="s">
        <v>333</v>
      </c>
      <c r="D202" s="28" t="s">
        <v>253</v>
      </c>
      <c r="E202" s="20" t="s">
        <v>391</v>
      </c>
      <c r="F202" s="21" t="str">
        <f aca="false">IF(OR(E202="",E202="!!!"),"",IF(NOT(ISNA(VLOOKUP(E202,Q$1:Q202,1,FALSE()))),"OLD",IF(AND(E202&lt;&gt;"",E202&lt;&gt;"!!!"),"NEW","")))</f>
        <v>NEW</v>
      </c>
      <c r="G202" s="22" t="s">
        <v>255</v>
      </c>
      <c r="H202" s="23" t="str">
        <f aca="false">IF(J202&lt;&gt;1,"",IF(I202="SBJ","CB","?"))</f>
        <v/>
      </c>
      <c r="I202" s="24" t="str">
        <f aca="false">IF(OR(E202="",E202="!!!",F202="NEW"),"",INDEX(N$2:N202,-1+SUMPRODUCT(MAX(ROW(E$2:E202)*(E202=E$2:E202)))))</f>
        <v/>
      </c>
      <c r="J202" s="25" t="str">
        <f aca="true">IF(OR(E202="",E202="!!!",F202="NEW"),"",COUNTBLANK(OFFSET(M$1,,,SUMPRODUCT(MAX(ROW(E$2:E203)*(E202=E$2:E203)))))-COUNTBLANK(OFFSET(M$1,,,SUMPRODUCT(MAX(ROW(Q$1:Q202)*(E202=Q$1:Q202))))))</f>
        <v/>
      </c>
      <c r="K202" s="25" t="str">
        <f aca="false">IF(OR(E202="",E202="!!!",F202="NEW"),"",INDEX(V$1:V202,SUMPRODUCT(MAX(ROW(Q$1:Q202)*(E202=Q$1:Q202)))))</f>
        <v/>
      </c>
      <c r="L202" s="26"/>
      <c r="M202" s="27"/>
      <c r="N202" s="29"/>
      <c r="O202" s="29"/>
      <c r="P202" s="29"/>
    </row>
    <row r="203" customFormat="false" ht="15" hidden="false" customHeight="false" outlineLevel="0" collapsed="false">
      <c r="A203" s="19" t="s">
        <v>261</v>
      </c>
      <c r="E203" s="20" t="str">
        <f aca="false">IF(P203="?OLD","!!!","")</f>
        <v/>
      </c>
      <c r="F203" s="21" t="str">
        <f aca="false">IF(OR(E203="",E203="!!!"),"",IF(NOT(ISNA(VLOOKUP(E203,Q$1:Q203,1,FALSE()))),"OLD",IF(AND(E203&lt;&gt;"",E203&lt;&gt;"!!!"),"NEW","")))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IF(OR(E203="",E203="!!!",F203="NEW"),"",INDEX(N$2:N203,-1+SUMPRODUCT(MAX(ROW(E$2:E203)*(E203=E$2:E203)))))</f>
        <v/>
      </c>
      <c r="J203" s="25" t="str">
        <f aca="true">IF(OR(E203="",E203="!!!",F203="NEW"),"",COUNTBLANK(OFFSET(M$1,,,SUMPRODUCT(MAX(ROW(E$2:E204)*(E203=E$2:E204)))))-COUNTBLANK(OFFSET(M$1,,,SUMPRODUCT(MAX(ROW(Q$1:Q203)*(E203=Q$1:Q203))))))</f>
        <v/>
      </c>
      <c r="K203" s="25" t="str">
        <f aca="false">IF(OR(E203="",E203="!!!",F203="NEW"),"",INDEX(V$1:V203,SUMPRODUCT(MAX(ROW(Q$1:Q203)*(E203=Q$1:Q203)))))</f>
        <v/>
      </c>
      <c r="L203" s="26"/>
      <c r="M203" s="27"/>
    </row>
    <row r="204" customFormat="false" ht="15" hidden="false" customHeight="false" outlineLevel="0" collapsed="false">
      <c r="A204" s="19" t="s">
        <v>392</v>
      </c>
      <c r="B204" s="28" t="s">
        <v>258</v>
      </c>
      <c r="C204" s="28" t="s">
        <v>333</v>
      </c>
      <c r="D204" s="28" t="s">
        <v>253</v>
      </c>
      <c r="E204" s="20" t="s">
        <v>392</v>
      </c>
      <c r="F204" s="21" t="str">
        <f aca="false">IF(OR(E204="",E204="!!!"),"",IF(NOT(ISNA(VLOOKUP(E204,Q$1:Q204,1,FALSE()))),"OLD",IF(AND(E204&lt;&gt;"",E204&lt;&gt;"!!!"),"NEW","")))</f>
        <v>NEW</v>
      </c>
      <c r="G204" s="22" t="s">
        <v>255</v>
      </c>
      <c r="H204" s="23" t="str">
        <f aca="false">IF(J204&lt;&gt;1,"",IF(I204="SBJ","CB","?"))</f>
        <v/>
      </c>
      <c r="I204" s="24" t="str">
        <f aca="false">IF(OR(E204="",E204="!!!",F204="NEW"),"",INDEX(N$2:N204,-1+SUMPRODUCT(MAX(ROW(E$2:E204)*(E204=E$2:E204)))))</f>
        <v/>
      </c>
      <c r="J204" s="25" t="str">
        <f aca="true">IF(OR(E204="",E204="!!!",F204="NEW"),"",COUNTBLANK(OFFSET(M$1,,,SUMPRODUCT(MAX(ROW(E$2:E205)*(E204=E$2:E205)))))-COUNTBLANK(OFFSET(M$1,,,SUMPRODUCT(MAX(ROW(Q$1:Q204)*(E204=Q$1:Q204))))))</f>
        <v/>
      </c>
      <c r="K204" s="25" t="str">
        <f aca="false">IF(OR(E204="",E204="!!!",F204="NEW"),"",INDEX(V$1:V204,SUMPRODUCT(MAX(ROW(Q$1:Q204)*(E204=Q$1:Q204)))))</f>
        <v/>
      </c>
      <c r="L204" s="26"/>
      <c r="M204" s="27"/>
      <c r="N204" s="29"/>
      <c r="O204" s="29"/>
      <c r="P204" s="29"/>
    </row>
    <row r="205" customFormat="false" ht="15" hidden="false" customHeight="false" outlineLevel="0" collapsed="false">
      <c r="A205" s="19" t="s">
        <v>261</v>
      </c>
      <c r="E205" s="20" t="str">
        <f aca="false">IF(P205="?OLD","!!!","")</f>
        <v/>
      </c>
      <c r="F205" s="21" t="str">
        <f aca="false">IF(OR(E205="",E205="!!!"),"",IF(NOT(ISNA(VLOOKUP(E205,Q$1:Q205,1,FALSE()))),"OLD",IF(AND(E205&lt;&gt;"",E205&lt;&gt;"!!!"),"NEW","")))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IF(OR(E205="",E205="!!!",F205="NEW"),"",INDEX(N$2:N205,-1+SUMPRODUCT(MAX(ROW(E$2:E205)*(E205=E$2:E205)))))</f>
        <v/>
      </c>
      <c r="J205" s="25" t="str">
        <f aca="true">IF(OR(E205="",E205="!!!",F205="NEW"),"",COUNTBLANK(OFFSET(M$1,,,SUMPRODUCT(MAX(ROW(E$2:E206)*(E205=E$2:E206)))))-COUNTBLANK(OFFSET(M$1,,,SUMPRODUCT(MAX(ROW(Q$1:Q205)*(E205=Q$1:Q205))))))</f>
        <v/>
      </c>
      <c r="K205" s="25" t="str">
        <f aca="false">IF(OR(E205="",E205="!!!",F205="NEW"),"",INDEX(V$1:V205,SUMPRODUCT(MAX(ROW(Q$1:Q205)*(E205=Q$1:Q205)))))</f>
        <v/>
      </c>
      <c r="L205" s="26"/>
      <c r="M205" s="27"/>
    </row>
    <row r="206" customFormat="false" ht="15" hidden="false" customHeight="false" outlineLevel="0" collapsed="false">
      <c r="A206" s="19" t="s">
        <v>393</v>
      </c>
      <c r="B206" s="28" t="s">
        <v>258</v>
      </c>
      <c r="C206" s="28" t="s">
        <v>333</v>
      </c>
      <c r="D206" s="28" t="s">
        <v>253</v>
      </c>
      <c r="E206" s="20" t="s">
        <v>393</v>
      </c>
      <c r="F206" s="21" t="str">
        <f aca="false">IF(OR(E206="",E206="!!!"),"",IF(NOT(ISNA(VLOOKUP(E206,Q$1:Q206,1,FALSE()))),"OLD",IF(AND(E206&lt;&gt;"",E206&lt;&gt;"!!!"),"NEW","")))</f>
        <v>NEW</v>
      </c>
      <c r="G206" s="22" t="s">
        <v>255</v>
      </c>
      <c r="H206" s="23" t="str">
        <f aca="false">IF(J206&lt;&gt;1,"",IF(I206="SBJ","CB","?"))</f>
        <v/>
      </c>
      <c r="I206" s="24" t="str">
        <f aca="false">IF(OR(E206="",E206="!!!",F206="NEW"),"",INDEX(N$2:N206,-1+SUMPRODUCT(MAX(ROW(E$2:E206)*(E206=E$2:E206)))))</f>
        <v/>
      </c>
      <c r="J206" s="25" t="str">
        <f aca="true">IF(OR(E206="",E206="!!!",F206="NEW"),"",COUNTBLANK(OFFSET(M$1,,,SUMPRODUCT(MAX(ROW(E$2:E207)*(E206=E$2:E207)))))-COUNTBLANK(OFFSET(M$1,,,SUMPRODUCT(MAX(ROW(Q$1:Q206)*(E206=Q$1:Q206))))))</f>
        <v/>
      </c>
      <c r="K206" s="25" t="str">
        <f aca="false">IF(OR(E206="",E206="!!!",F206="NEW"),"",INDEX(V$1:V206,SUMPRODUCT(MAX(ROW(Q$1:Q206)*(E206=Q$1:Q206)))))</f>
        <v/>
      </c>
      <c r="L206" s="26"/>
      <c r="M206" s="27"/>
      <c r="N206" s="29"/>
      <c r="O206" s="29"/>
      <c r="P206" s="29"/>
    </row>
    <row r="207" customFormat="false" ht="15" hidden="false" customHeight="false" outlineLevel="0" collapsed="false">
      <c r="A207" s="19" t="s">
        <v>261</v>
      </c>
      <c r="E207" s="20" t="str">
        <f aca="false">IF(P207="?OLD","!!!","")</f>
        <v/>
      </c>
      <c r="F207" s="21" t="str">
        <f aca="false">IF(OR(E207="",E207="!!!"),"",IF(NOT(ISNA(VLOOKUP(E207,Q$1:Q207,1,FALSE()))),"OLD",IF(AND(E207&lt;&gt;"",E207&lt;&gt;"!!!"),"NEW","")))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4" t="str">
        <f aca="false">IF(OR(E207="",E207="!!!",F207="NEW"),"",INDEX(N$2:N207,-1+SUMPRODUCT(MAX(ROW(E$2:E207)*(E207=E$2:E207)))))</f>
        <v/>
      </c>
      <c r="J207" s="25" t="str">
        <f aca="true">IF(OR(E207="",E207="!!!",F207="NEW"),"",COUNTBLANK(OFFSET(M$1,,,SUMPRODUCT(MAX(ROW(E$2:E208)*(E207=E$2:E208)))))-COUNTBLANK(OFFSET(M$1,,,SUMPRODUCT(MAX(ROW(Q$1:Q207)*(E207=Q$1:Q207))))))</f>
        <v/>
      </c>
      <c r="K207" s="25" t="str">
        <f aca="false">IF(OR(E207="",E207="!!!",F207="NEW"),"",INDEX(V$1:V207,SUMPRODUCT(MAX(ROW(Q$1:Q207)*(E207=Q$1:Q207)))))</f>
        <v/>
      </c>
      <c r="L207" s="26"/>
      <c r="M207" s="27"/>
    </row>
    <row r="208" customFormat="false" ht="15" hidden="false" customHeight="false" outlineLevel="0" collapsed="false">
      <c r="A208" s="19"/>
    </row>
    <row r="209" customFormat="false" ht="15" hidden="false" customHeight="false" outlineLevel="0" collapsed="false">
      <c r="A209" s="19" t="s">
        <v>394</v>
      </c>
    </row>
    <row r="210" customFormat="false" ht="15" hidden="false" customHeight="false" outlineLevel="0" collapsed="false">
      <c r="A210" s="19" t="s">
        <v>50</v>
      </c>
      <c r="B210" s="28" t="s">
        <v>271</v>
      </c>
      <c r="C210" s="28" t="s">
        <v>333</v>
      </c>
      <c r="D210" s="28" t="s">
        <v>253</v>
      </c>
      <c r="E210" s="20" t="s">
        <v>50</v>
      </c>
      <c r="F210" s="21" t="str">
        <f aca="false">IF(OR(E210="",E210="!!!"),"",IF(NOT(ISNA(VLOOKUP(E210,Q$1:Q208,1,FALSE()))),"OLD",IF(AND(E210&lt;&gt;"",E210&lt;&gt;"!!!"),"NEW","")))</f>
        <v>NEW</v>
      </c>
      <c r="G210" s="22" t="s">
        <v>255</v>
      </c>
      <c r="H210" s="23" t="str">
        <f aca="false">IF(J210&lt;&gt;1,"",IF(I210="SBJ","CB","?"))</f>
        <v/>
      </c>
      <c r="I210" s="24" t="str">
        <f aca="false">IF(OR(E210="",E210="!!!",F210="NEW"),"",INDEX(N$2:N208,-1+SUMPRODUCT(MAX(ROW(E$2:E208)*(E210=E$2:E208)))))</f>
        <v/>
      </c>
      <c r="J210" s="25" t="str">
        <f aca="true">IF(OR(E210="",E210="!!!",F210="NEW"),"",COUNTBLANK(OFFSET(M$1,,,SUMPRODUCT(MAX(ROW(E$2:E209)*(E210=E$2:E209)))))-COUNTBLANK(OFFSET(M$1,,,SUMPRODUCT(MAX(ROW(Q$1:Q208)*(E210=Q$1:Q208))))))</f>
        <v/>
      </c>
      <c r="K210" s="25" t="str">
        <f aca="false">IF(OR(E210="",E210="!!!",F210="NEW"),"",INDEX(V$1:V208,SUMPRODUCT(MAX(ROW(Q$1:Q208)*(E210=Q$1:Q208)))))</f>
        <v/>
      </c>
      <c r="L210" s="26"/>
      <c r="M210" s="27"/>
      <c r="N210" s="29"/>
      <c r="O210" s="29"/>
      <c r="P210" s="29"/>
    </row>
    <row r="211" customFormat="false" ht="15" hidden="false" customHeight="false" outlineLevel="0" collapsed="false">
      <c r="A211" s="19" t="s">
        <v>261</v>
      </c>
      <c r="E211" s="20" t="str">
        <f aca="false">IF(P211="?OLD","!!!","")</f>
        <v/>
      </c>
      <c r="F211" s="21" t="str">
        <f aca="false">IF(OR(E211="",E211="!!!"),"",IF(NOT(ISNA(VLOOKUP(E211,Q$1:Q209,1,FALSE()))),"OLD",IF(AND(E211&lt;&gt;"",E211&lt;&gt;"!!!"),"NEW","")))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IF(OR(E211="",E211="!!!",F211="NEW"),"",INDEX(N$2:N209,-1+SUMPRODUCT(MAX(ROW(E$2:E209)*(E211=E$2:E209)))))</f>
        <v/>
      </c>
      <c r="J211" s="25" t="str">
        <f aca="true">IF(OR(E211="",E211="!!!",F211="NEW"),"",COUNTBLANK(OFFSET(M$1,,,SUMPRODUCT(MAX(ROW(E$2:E210)*(E211=E$2:E210)))))-COUNTBLANK(OFFSET(M$1,,,SUMPRODUCT(MAX(ROW(Q$1:Q209)*(E211=Q$1:Q209))))))</f>
        <v/>
      </c>
      <c r="K211" s="25" t="str">
        <f aca="false">IF(OR(E211="",E211="!!!",F211="NEW"),"",INDEX(V$1:V209,SUMPRODUCT(MAX(ROW(Q$1:Q209)*(E211=Q$1:Q209)))))</f>
        <v/>
      </c>
      <c r="L211" s="26"/>
      <c r="M211" s="27"/>
    </row>
    <row r="212" customFormat="false" ht="15" hidden="false" customHeight="false" outlineLevel="0" collapsed="false">
      <c r="A212" s="19" t="s">
        <v>395</v>
      </c>
      <c r="B212" s="28" t="s">
        <v>271</v>
      </c>
      <c r="C212" s="28" t="s">
        <v>333</v>
      </c>
      <c r="D212" s="28" t="s">
        <v>253</v>
      </c>
      <c r="E212" s="20" t="s">
        <v>395</v>
      </c>
      <c r="F212" s="21" t="str">
        <f aca="false">IF(OR(E212="",E212="!!!"),"",IF(NOT(ISNA(VLOOKUP(E212,Q$1:Q210,1,FALSE()))),"OLD",IF(AND(E212&lt;&gt;"",E212&lt;&gt;"!!!"),"NEW","")))</f>
        <v>NEW</v>
      </c>
      <c r="G212" s="22" t="s">
        <v>255</v>
      </c>
      <c r="H212" s="23" t="str">
        <f aca="false">IF(J212&lt;&gt;1,"",IF(I212="SBJ","CB","?"))</f>
        <v/>
      </c>
      <c r="I212" s="24" t="str">
        <f aca="false">IF(OR(E212="",E212="!!!",F212="NEW"),"",INDEX(N$2:N210,-1+SUMPRODUCT(MAX(ROW(E$2:E210)*(E212=E$2:E210)))))</f>
        <v/>
      </c>
      <c r="J212" s="25" t="str">
        <f aca="true">IF(OR(E212="",E212="!!!",F212="NEW"),"",COUNTBLANK(OFFSET(M$1,,,SUMPRODUCT(MAX(ROW(E$2:E211)*(E212=E$2:E211)))))-COUNTBLANK(OFFSET(M$1,,,SUMPRODUCT(MAX(ROW(Q$1:Q210)*(E212=Q$1:Q210))))))</f>
        <v/>
      </c>
      <c r="K212" s="25" t="str">
        <f aca="false">IF(OR(E212="",E212="!!!",F212="NEW"),"",INDEX(V$1:V210,SUMPRODUCT(MAX(ROW(Q$1:Q210)*(E212=Q$1:Q210)))))</f>
        <v/>
      </c>
      <c r="L212" s="26"/>
      <c r="M212" s="27"/>
      <c r="N212" s="29"/>
      <c r="O212" s="29"/>
      <c r="P212" s="29"/>
    </row>
    <row r="213" customFormat="false" ht="15" hidden="false" customHeight="false" outlineLevel="0" collapsed="false">
      <c r="A213" s="19" t="s">
        <v>261</v>
      </c>
      <c r="E213" s="20" t="str">
        <f aca="false">IF(P213="?OLD","!!!","")</f>
        <v/>
      </c>
      <c r="F213" s="21" t="str">
        <f aca="false">IF(OR(E213="",E213="!!!"),"",IF(NOT(ISNA(VLOOKUP(E213,Q$1:Q211,1,FALSE()))),"OLD",IF(AND(E213&lt;&gt;"",E213&lt;&gt;"!!!"),"NEW","")))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IF(OR(E213="",E213="!!!",F213="NEW"),"",INDEX(N$2:N211,-1+SUMPRODUCT(MAX(ROW(E$2:E211)*(E213=E$2:E211)))))</f>
        <v/>
      </c>
      <c r="J213" s="25" t="str">
        <f aca="true">IF(OR(E213="",E213="!!!",F213="NEW"),"",COUNTBLANK(OFFSET(M$1,,,SUMPRODUCT(MAX(ROW(E$2:E212)*(E213=E$2:E212)))))-COUNTBLANK(OFFSET(M$1,,,SUMPRODUCT(MAX(ROW(Q$1:Q211)*(E213=Q$1:Q211))))))</f>
        <v/>
      </c>
      <c r="K213" s="25" t="str">
        <f aca="false">IF(OR(E213="",E213="!!!",F213="NEW"),"",INDEX(V$1:V211,SUMPRODUCT(MAX(ROW(Q$1:Q211)*(E213=Q$1:Q211)))))</f>
        <v/>
      </c>
      <c r="L213" s="26"/>
      <c r="M213" s="27"/>
    </row>
    <row r="214" customFormat="false" ht="15" hidden="false" customHeight="false" outlineLevel="0" collapsed="false">
      <c r="A214" s="19" t="s">
        <v>396</v>
      </c>
      <c r="B214" s="28" t="s">
        <v>271</v>
      </c>
      <c r="C214" s="28" t="s">
        <v>333</v>
      </c>
      <c r="D214" s="28" t="s">
        <v>253</v>
      </c>
      <c r="E214" s="20" t="s">
        <v>396</v>
      </c>
      <c r="F214" s="21" t="str">
        <f aca="false">IF(OR(E214="",E214="!!!"),"",IF(NOT(ISNA(VLOOKUP(E214,Q$1:Q212,1,FALSE()))),"OLD",IF(AND(E214&lt;&gt;"",E214&lt;&gt;"!!!"),"NEW","")))</f>
        <v>NEW</v>
      </c>
      <c r="G214" s="22" t="s">
        <v>255</v>
      </c>
      <c r="H214" s="23" t="str">
        <f aca="false">IF(J214&lt;&gt;1,"",IF(I214="SBJ","CB","?"))</f>
        <v/>
      </c>
      <c r="I214" s="24" t="str">
        <f aca="false">IF(OR(E214="",E214="!!!",F214="NEW"),"",INDEX(N$2:N212,-1+SUMPRODUCT(MAX(ROW(E$2:E212)*(E214=E$2:E212)))))</f>
        <v/>
      </c>
      <c r="J214" s="25" t="str">
        <f aca="true">IF(OR(E214="",E214="!!!",F214="NEW"),"",COUNTBLANK(OFFSET(M$1,,,SUMPRODUCT(MAX(ROW(E$2:E213)*(E214=E$2:E213)))))-COUNTBLANK(OFFSET(M$1,,,SUMPRODUCT(MAX(ROW(Q$1:Q212)*(E214=Q$1:Q212))))))</f>
        <v/>
      </c>
      <c r="K214" s="25" t="str">
        <f aca="false">IF(OR(E214="",E214="!!!",F214="NEW"),"",INDEX(V$1:V212,SUMPRODUCT(MAX(ROW(Q$1:Q212)*(E214=Q$1:Q212)))))</f>
        <v/>
      </c>
      <c r="L214" s="26"/>
      <c r="M214" s="27"/>
      <c r="N214" s="29"/>
      <c r="O214" s="29"/>
      <c r="P214" s="29"/>
    </row>
    <row r="215" customFormat="false" ht="15" hidden="false" customHeight="false" outlineLevel="0" collapsed="false">
      <c r="A215" s="19" t="s">
        <v>261</v>
      </c>
      <c r="E215" s="20" t="str">
        <f aca="false">IF(P215="?OLD","!!!","")</f>
        <v/>
      </c>
      <c r="F215" s="21" t="str">
        <f aca="false">IF(OR(E215="",E215="!!!"),"",IF(NOT(ISNA(VLOOKUP(E215,Q$1:Q213,1,FALSE()))),"OLD",IF(AND(E215&lt;&gt;"",E215&lt;&gt;"!!!"),"NEW","")))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4" t="str">
        <f aca="false">IF(OR(E215="",E215="!!!",F215="NEW"),"",INDEX(N$2:N213,-1+SUMPRODUCT(MAX(ROW(E$2:E213)*(E215=E$2:E213)))))</f>
        <v/>
      </c>
      <c r="J215" s="25" t="str">
        <f aca="true">IF(OR(E215="",E215="!!!",F215="NEW"),"",COUNTBLANK(OFFSET(M$1,,,SUMPRODUCT(MAX(ROW(E$2:E214)*(E215=E$2:E214)))))-COUNTBLANK(OFFSET(M$1,,,SUMPRODUCT(MAX(ROW(Q$1:Q213)*(E215=Q$1:Q213))))))</f>
        <v/>
      </c>
      <c r="K215" s="25" t="str">
        <f aca="false">IF(OR(E215="",E215="!!!",F215="NEW"),"",INDEX(V$1:V213,SUMPRODUCT(MAX(ROW(Q$1:Q213)*(E215=Q$1:Q213)))))</f>
        <v/>
      </c>
      <c r="L215" s="26"/>
      <c r="M215" s="27"/>
    </row>
    <row r="216" customFormat="false" ht="15" hidden="false" customHeight="false" outlineLevel="0" collapsed="false">
      <c r="A216" s="19" t="s">
        <v>250</v>
      </c>
      <c r="E216" s="20" t="str">
        <f aca="false">IF(P216="?OLD","!!!","")</f>
        <v/>
      </c>
      <c r="F216" s="21" t="str">
        <f aca="false">IF(OR(E216="",E216="!!!"),"",IF(NOT(ISNA(VLOOKUP(E216,Q$1:Q214,1,FALSE()))),"OLD",IF(AND(E216&lt;&gt;"",E216&lt;&gt;"!!!"),"NEW","")))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IF(OR(E216="",E216="!!!",F216="NEW"),"",INDEX(N$2:N214,-1+SUMPRODUCT(MAX(ROW(E$2:E214)*(E216=E$2:E214)))))</f>
        <v/>
      </c>
      <c r="J216" s="25" t="str">
        <f aca="true">IF(OR(E216="",E216="!!!",F216="NEW"),"",COUNTBLANK(OFFSET(M$1,,,SUMPRODUCT(MAX(ROW(E$2:E215)*(E216=E$2:E215)))))-COUNTBLANK(OFFSET(M$1,,,SUMPRODUCT(MAX(ROW(Q$1:Q214)*(E216=Q$1:Q214))))))</f>
        <v/>
      </c>
      <c r="K216" s="25" t="str">
        <f aca="false">IF(OR(E216="",E216="!!!",F216="NEW"),"",INDEX(V$1:V214,SUMPRODUCT(MAX(ROW(Q$1:Q214)*(E216=Q$1:Q214)))))</f>
        <v/>
      </c>
      <c r="L216" s="26"/>
      <c r="M216" s="27"/>
    </row>
    <row r="217" customFormat="false" ht="15" hidden="false" customHeight="false" outlineLevel="0" collapsed="false">
      <c r="A217" s="19" t="s">
        <v>397</v>
      </c>
      <c r="B217" s="28" t="s">
        <v>271</v>
      </c>
      <c r="C217" s="28" t="s">
        <v>314</v>
      </c>
      <c r="D217" s="28" t="s">
        <v>253</v>
      </c>
      <c r="E217" s="20" t="s">
        <v>398</v>
      </c>
      <c r="F217" s="21" t="str">
        <f aca="false">IF(OR(E217="",E217="!!!"),"",IF(NOT(ISNA(VLOOKUP(E217,Q$1:Q215,1,FALSE()))),"OLD",IF(AND(E217&lt;&gt;"",E217&lt;&gt;"!!!"),"NEW","")))</f>
        <v>NEW</v>
      </c>
      <c r="G217" s="22" t="s">
        <v>255</v>
      </c>
      <c r="H217" s="23" t="str">
        <f aca="false">IF(J217&lt;&gt;1,"",IF(I217="SBJ","CB","?"))</f>
        <v/>
      </c>
      <c r="I217" s="24" t="str">
        <f aca="false">IF(OR(E217="",E217="!!!",F217="NEW"),"",INDEX(N$2:N215,-1+SUMPRODUCT(MAX(ROW(E$2:E215)*(E217=E$2:E215)))))</f>
        <v/>
      </c>
      <c r="J217" s="25" t="str">
        <f aca="true">IF(OR(E217="",E217="!!!",F217="NEW"),"",COUNTBLANK(OFFSET(M$1,,,SUMPRODUCT(MAX(ROW(E$2:E216)*(E217=E$2:E216)))))-COUNTBLANK(OFFSET(M$1,,,SUMPRODUCT(MAX(ROW(Q$1:Q215)*(E217=Q$1:Q215))))))</f>
        <v/>
      </c>
      <c r="K217" s="25" t="str">
        <f aca="false">IF(OR(E217="",E217="!!!",F217="NEW"),"",INDEX(V$1:V215,SUMPRODUCT(MAX(ROW(Q$1:Q215)*(E217=Q$1:Q215)))))</f>
        <v/>
      </c>
      <c r="L217" s="26"/>
      <c r="M217" s="27"/>
      <c r="N217" s="29"/>
      <c r="O217" s="29"/>
      <c r="P217" s="29"/>
    </row>
    <row r="218" customFormat="false" ht="15" hidden="false" customHeight="false" outlineLevel="0" collapsed="false">
      <c r="A218" s="19" t="s">
        <v>256</v>
      </c>
      <c r="E218" s="20" t="str">
        <f aca="false">IF(P218="?OLD","!!!","")</f>
        <v/>
      </c>
      <c r="F218" s="21" t="str">
        <f aca="false">IF(OR(E218="",E218="!!!"),"",IF(NOT(ISNA(VLOOKUP(E218,Q$1:Q216,1,FALSE()))),"OLD",IF(AND(E218&lt;&gt;"",E218&lt;&gt;"!!!"),"NEW","")))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4" t="str">
        <f aca="false">IF(OR(E218="",E218="!!!",F218="NEW"),"",INDEX(N$2:N216,-1+SUMPRODUCT(MAX(ROW(E$2:E216)*(E218=E$2:E216)))))</f>
        <v/>
      </c>
      <c r="J218" s="25" t="str">
        <f aca="true">IF(OR(E218="",E218="!!!",F218="NEW"),"",COUNTBLANK(OFFSET(M$1,,,SUMPRODUCT(MAX(ROW(E$2:E217)*(E218=E$2:E217)))))-COUNTBLANK(OFFSET(M$1,,,SUMPRODUCT(MAX(ROW(Q$1:Q216)*(E218=Q$1:Q216))))))</f>
        <v/>
      </c>
      <c r="K218" s="25" t="str">
        <f aca="false">IF(OR(E218="",E218="!!!",F218="NEW"),"",INDEX(V$1:V216,SUMPRODUCT(MAX(ROW(Q$1:Q216)*(E218=Q$1:Q216)))))</f>
        <v/>
      </c>
      <c r="L218" s="26"/>
      <c r="M218" s="27"/>
    </row>
    <row r="219" customFormat="false" ht="15" hidden="false" customHeight="false" outlineLevel="0" collapsed="false">
      <c r="A219" s="19" t="s">
        <v>399</v>
      </c>
      <c r="B219" s="28" t="s">
        <v>306</v>
      </c>
      <c r="C219" s="28" t="s">
        <v>333</v>
      </c>
      <c r="D219" s="28" t="s">
        <v>253</v>
      </c>
      <c r="E219" s="20" t="s">
        <v>398</v>
      </c>
      <c r="F219" s="21" t="str">
        <f aca="false">IF(OR(E219="",E219="!!!"),"",IF(NOT(ISNA(VLOOKUP(E219,Q$1:Q217,1,FALSE()))),"OLD",IF(AND(E219&lt;&gt;"",E219&lt;&gt;"!!!"),"NEW","")))</f>
        <v>NEW</v>
      </c>
      <c r="G219" s="22" t="s">
        <v>296</v>
      </c>
      <c r="H219" s="23" t="str">
        <f aca="false">IF(J219&lt;&gt;1,"",IF(I219="SBJ","CB","?"))</f>
        <v/>
      </c>
      <c r="I219" s="24" t="str">
        <f aca="false">IF(OR(E219="",E219="!!!",F219="NEW"),"",INDEX(N$2:N217,-1+SUMPRODUCT(MAX(ROW(E$2:E217)*(E219=E$2:E217)))))</f>
        <v/>
      </c>
      <c r="J219" s="25" t="str">
        <f aca="true">IF(OR(E219="",E219="!!!",F219="NEW"),"",COUNTBLANK(OFFSET(M$1,,,SUMPRODUCT(MAX(ROW(E$2:E218)*(E219=E$2:E218)))))-COUNTBLANK(OFFSET(M$1,,,SUMPRODUCT(MAX(ROW(Q$1:Q217)*(E219=Q$1:Q217))))))</f>
        <v/>
      </c>
      <c r="K219" s="25" t="str">
        <f aca="false">IF(OR(E219="",E219="!!!",F219="NEW"),"",INDEX(V$1:V217,SUMPRODUCT(MAX(ROW(Q$1:Q217)*(E219=Q$1:Q217)))))</f>
        <v/>
      </c>
      <c r="L219" s="26"/>
      <c r="M219" s="27"/>
      <c r="N219" s="29"/>
      <c r="O219" s="29"/>
      <c r="P219" s="29"/>
    </row>
    <row r="220" customFormat="false" ht="15" hidden="false" customHeight="false" outlineLevel="0" collapsed="false">
      <c r="A220" s="19" t="s">
        <v>400</v>
      </c>
      <c r="E220" s="20" t="str">
        <f aca="false">IF(P220="?OLD","!!!","")</f>
        <v/>
      </c>
      <c r="F220" s="21" t="str">
        <f aca="false">IF(OR(E220="",E220="!!!"),"",IF(NOT(ISNA(VLOOKUP(E220,Q$1:Q218,1,FALSE()))),"OLD",IF(AND(E220&lt;&gt;"",E220&lt;&gt;"!!!"),"NEW","")))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IF(OR(E220="",E220="!!!",F220="NEW"),"",INDEX(N$2:N218,-1+SUMPRODUCT(MAX(ROW(E$2:E218)*(E220=E$2:E218)))))</f>
        <v/>
      </c>
      <c r="J220" s="25" t="str">
        <f aca="true">IF(OR(E220="",E220="!!!",F220="NEW"),"",COUNTBLANK(OFFSET(M$1,,,SUMPRODUCT(MAX(ROW(E$2:E219)*(E220=E$2:E219)))))-COUNTBLANK(OFFSET(M$1,,,SUMPRODUCT(MAX(ROW(Q$1:Q218)*(E220=Q$1:Q218))))))</f>
        <v/>
      </c>
      <c r="K220" s="25" t="str">
        <f aca="false">IF(OR(E220="",E220="!!!",F220="NEW"),"",INDEX(V$1:V218,SUMPRODUCT(MAX(ROW(Q$1:Q218)*(E220=Q$1:Q218)))))</f>
        <v/>
      </c>
      <c r="L220" s="26"/>
      <c r="M220" s="27"/>
    </row>
    <row r="221" customFormat="false" ht="15" hidden="false" customHeight="false" outlineLevel="0" collapsed="false">
      <c r="A221" s="19" t="s">
        <v>401</v>
      </c>
      <c r="B221" s="28" t="s">
        <v>258</v>
      </c>
      <c r="C221" s="28" t="s">
        <v>333</v>
      </c>
      <c r="D221" s="28" t="s">
        <v>253</v>
      </c>
      <c r="E221" s="20" t="s">
        <v>398</v>
      </c>
      <c r="F221" s="21" t="str">
        <f aca="false">IF(OR(E221="",E221="!!!"),"",IF(NOT(ISNA(VLOOKUP(E221,Q$1:Q219,1,FALSE()))),"OLD",IF(AND(E221&lt;&gt;"",E221&lt;&gt;"!!!"),"NEW","")))</f>
        <v>NEW</v>
      </c>
      <c r="G221" s="22" t="s">
        <v>296</v>
      </c>
      <c r="H221" s="23" t="str">
        <f aca="false">IF(J221&lt;&gt;1,"",IF(I221="SBJ","CB","?"))</f>
        <v/>
      </c>
      <c r="I221" s="24" t="str">
        <f aca="false">IF(OR(E221="",E221="!!!",F221="NEW"),"",INDEX(N$2:N219,-1+SUMPRODUCT(MAX(ROW(E$2:E219)*(E221=E$2:E219)))))</f>
        <v/>
      </c>
      <c r="J221" s="25" t="str">
        <f aca="true">IF(OR(E221="",E221="!!!",F221="NEW"),"",COUNTBLANK(OFFSET(M$1,,,SUMPRODUCT(MAX(ROW(E$2:E220)*(E221=E$2:E220)))))-COUNTBLANK(OFFSET(M$1,,,SUMPRODUCT(MAX(ROW(Q$1:Q219)*(E221=Q$1:Q219))))))</f>
        <v/>
      </c>
      <c r="K221" s="25" t="str">
        <f aca="false">IF(OR(E221="",E221="!!!",F221="NEW"),"",INDEX(V$1:V219,SUMPRODUCT(MAX(ROW(Q$1:Q219)*(E221=Q$1:Q219)))))</f>
        <v/>
      </c>
      <c r="L221" s="26"/>
      <c r="M221" s="27"/>
      <c r="N221" s="29"/>
      <c r="O221" s="29"/>
      <c r="P221" s="29"/>
    </row>
    <row r="222" customFormat="false" ht="15" hidden="false" customHeight="false" outlineLevel="0" collapsed="false">
      <c r="A222" s="19" t="s">
        <v>261</v>
      </c>
      <c r="E222" s="20" t="str">
        <f aca="false">IF(P222="?OLD","!!!","")</f>
        <v/>
      </c>
      <c r="F222" s="21" t="str">
        <f aca="false">IF(OR(E222="",E222="!!!"),"",IF(NOT(ISNA(VLOOKUP(E222,Q$1:Q220,1,FALSE()))),"OLD",IF(AND(E222&lt;&gt;"",E222&lt;&gt;"!!!"),"NEW","")))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IF(OR(E222="",E222="!!!",F222="NEW"),"",INDEX(N$2:N220,-1+SUMPRODUCT(MAX(ROW(E$2:E220)*(E222=E$2:E220)))))</f>
        <v/>
      </c>
      <c r="J222" s="25" t="str">
        <f aca="true">IF(OR(E222="",E222="!!!",F222="NEW"),"",COUNTBLANK(OFFSET(M$1,,,SUMPRODUCT(MAX(ROW(E$2:E221)*(E222=E$2:E221)))))-COUNTBLANK(OFFSET(M$1,,,SUMPRODUCT(MAX(ROW(Q$1:Q220)*(E222=Q$1:Q220))))))</f>
        <v/>
      </c>
      <c r="K222" s="25" t="str">
        <f aca="false">IF(OR(E222="",E222="!!!",F222="NEW"),"",INDEX(V$1:V220,SUMPRODUCT(MAX(ROW(Q$1:Q220)*(E222=Q$1:Q220)))))</f>
        <v/>
      </c>
      <c r="L222" s="26"/>
      <c r="M222" s="27"/>
    </row>
    <row r="223" customFormat="false" ht="15" hidden="false" customHeight="false" outlineLevel="0" collapsed="false">
      <c r="A223" s="19" t="s">
        <v>402</v>
      </c>
      <c r="B223" s="28" t="s">
        <v>271</v>
      </c>
      <c r="C223" s="28" t="s">
        <v>259</v>
      </c>
      <c r="E223" s="20" t="str">
        <f aca="false">IF(P223="?OLD","!!!","")</f>
        <v/>
      </c>
      <c r="F223" s="21" t="str">
        <f aca="false">IF(OR(E223="",E223="!!!"),"",IF(NOT(ISNA(VLOOKUP(E223,Q$1:Q221,1,FALSE()))),"OLD",IF(AND(E223&lt;&gt;"",E223&lt;&gt;"!!!"),"NEW","")))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4" t="str">
        <f aca="false">IF(OR(E223="",E223="!!!",F223="NEW"),"",INDEX(N$2:N221,-1+SUMPRODUCT(MAX(ROW(E$2:E221)*(E223=E$2:E221)))))</f>
        <v/>
      </c>
      <c r="J223" s="25" t="str">
        <f aca="true">IF(OR(E223="",E223="!!!",F223="NEW"),"",COUNTBLANK(OFFSET(M$1,,,SUMPRODUCT(MAX(ROW(E$2:E222)*(E223=E$2:E222)))))-COUNTBLANK(OFFSET(M$1,,,SUMPRODUCT(MAX(ROW(Q$1:Q221)*(E223=Q$1:Q221))))))</f>
        <v/>
      </c>
      <c r="K223" s="25" t="str">
        <f aca="false">IF(OR(E223="",E223="!!!",F223="NEW"),"",INDEX(V$1:V221,SUMPRODUCT(MAX(ROW(Q$1:Q221)*(E223=Q$1:Q221)))))</f>
        <v/>
      </c>
      <c r="L223" s="26"/>
      <c r="M223" s="27"/>
      <c r="N223" s="29"/>
      <c r="O223" s="29"/>
    </row>
    <row r="224" customFormat="false" ht="15" hidden="false" customHeight="false" outlineLevel="0" collapsed="false">
      <c r="A224" s="19" t="s">
        <v>280</v>
      </c>
      <c r="E224" s="20" t="str">
        <f aca="false">IF(P224="?OLD","!!!","")</f>
        <v/>
      </c>
      <c r="F224" s="21" t="str">
        <f aca="false">IF(OR(E224="",E224="!!!"),"",IF(NOT(ISNA(VLOOKUP(E224,Q$1:Q222,1,FALSE()))),"OLD",IF(AND(E224&lt;&gt;"",E224&lt;&gt;"!!!"),"NEW","")))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IF(OR(E224="",E224="!!!",F224="NEW"),"",INDEX(N$2:N222,-1+SUMPRODUCT(MAX(ROW(E$2:E222)*(E224=E$2:E222)))))</f>
        <v/>
      </c>
      <c r="J224" s="25" t="str">
        <f aca="true">IF(OR(E224="",E224="!!!",F224="NEW"),"",COUNTBLANK(OFFSET(M$1,,,SUMPRODUCT(MAX(ROW(E$2:E223)*(E224=E$2:E223)))))-COUNTBLANK(OFFSET(M$1,,,SUMPRODUCT(MAX(ROW(Q$1:Q222)*(E224=Q$1:Q222))))))</f>
        <v/>
      </c>
      <c r="K224" s="25" t="str">
        <f aca="false">IF(OR(E224="",E224="!!!",F224="NEW"),"",INDEX(V$1:V222,SUMPRODUCT(MAX(ROW(Q$1:Q222)*(E224=Q$1:Q222)))))</f>
        <v/>
      </c>
      <c r="L224" s="26"/>
      <c r="M224" s="27"/>
    </row>
    <row r="225" customFormat="false" ht="15" hidden="false" customHeight="false" outlineLevel="0" collapsed="false">
      <c r="A225" s="19" t="s">
        <v>403</v>
      </c>
      <c r="B225" s="28" t="s">
        <v>306</v>
      </c>
      <c r="C225" s="28" t="s">
        <v>333</v>
      </c>
      <c r="D225" s="28" t="s">
        <v>253</v>
      </c>
      <c r="E225" s="20" t="s">
        <v>403</v>
      </c>
      <c r="F225" s="21" t="str">
        <f aca="false">IF(OR(E225="",E225="!!!"),"",IF(NOT(ISNA(VLOOKUP(E225,Q$1:Q223,1,FALSE()))),"OLD",IF(AND(E225&lt;&gt;"",E225&lt;&gt;"!!!"),"NEW","")))</f>
        <v>NEW</v>
      </c>
      <c r="G225" s="22" t="s">
        <v>255</v>
      </c>
      <c r="H225" s="23" t="str">
        <f aca="false">IF(J225&lt;&gt;1,"",IF(I225="SBJ","CB","?"))</f>
        <v/>
      </c>
      <c r="I225" s="24" t="str">
        <f aca="false">IF(OR(E225="",E225="!!!",F225="NEW"),"",INDEX(N$2:N223,-1+SUMPRODUCT(MAX(ROW(E$2:E223)*(E225=E$2:E223)))))</f>
        <v/>
      </c>
      <c r="J225" s="25" t="str">
        <f aca="true">IF(OR(E225="",E225="!!!",F225="NEW"),"",COUNTBLANK(OFFSET(M$1,,,SUMPRODUCT(MAX(ROW(E$2:E224)*(E225=E$2:E224)))))-COUNTBLANK(OFFSET(M$1,,,SUMPRODUCT(MAX(ROW(Q$1:Q223)*(E225=Q$1:Q223))))))</f>
        <v/>
      </c>
      <c r="K225" s="25" t="str">
        <f aca="false">IF(OR(E225="",E225="!!!",F225="NEW"),"",INDEX(V$1:V223,SUMPRODUCT(MAX(ROW(Q$1:Q223)*(E225=Q$1:Q223)))))</f>
        <v/>
      </c>
      <c r="L225" s="26"/>
      <c r="M225" s="27"/>
      <c r="N225" s="29"/>
      <c r="O225" s="29"/>
      <c r="P225" s="29"/>
    </row>
    <row r="226" customFormat="false" ht="15" hidden="false" customHeight="false" outlineLevel="0" collapsed="false">
      <c r="A226" s="19" t="s">
        <v>261</v>
      </c>
      <c r="E226" s="20" t="str">
        <f aca="false">IF(P226="?OLD","!!!","")</f>
        <v/>
      </c>
      <c r="F226" s="21" t="str">
        <f aca="false">IF(OR(E226="",E226="!!!"),"",IF(NOT(ISNA(VLOOKUP(E226,Q$1:Q224,1,FALSE()))),"OLD",IF(AND(E226&lt;&gt;"",E226&lt;&gt;"!!!"),"NEW","")))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IF(OR(E226="",E226="!!!",F226="NEW"),"",INDEX(N$2:N224,-1+SUMPRODUCT(MAX(ROW(E$2:E224)*(E226=E$2:E224)))))</f>
        <v/>
      </c>
      <c r="J226" s="25" t="str">
        <f aca="true">IF(OR(E226="",E226="!!!",F226="NEW"),"",COUNTBLANK(OFFSET(M$1,,,SUMPRODUCT(MAX(ROW(E$2:E225)*(E226=E$2:E225)))))-COUNTBLANK(OFFSET(M$1,,,SUMPRODUCT(MAX(ROW(Q$1:Q224)*(E226=Q$1:Q224))))))</f>
        <v/>
      </c>
      <c r="K226" s="25" t="str">
        <f aca="false">IF(OR(E226="",E226="!!!",F226="NEW"),"",INDEX(V$1:V224,SUMPRODUCT(MAX(ROW(Q$1:Q224)*(E226=Q$1:Q224)))))</f>
        <v/>
      </c>
      <c r="L226" s="26"/>
      <c r="M226" s="27"/>
    </row>
    <row r="227" customFormat="false" ht="15" hidden="false" customHeight="false" outlineLevel="0" collapsed="false">
      <c r="A227" s="19" t="s">
        <v>404</v>
      </c>
      <c r="E227" s="20" t="str">
        <f aca="false">IF(P227="?OLD","!!!","")</f>
        <v/>
      </c>
      <c r="F227" s="21" t="str">
        <f aca="false">IF(OR(E227="",E227="!!!"),"",IF(NOT(ISNA(VLOOKUP(E227,Q$1:Q225,1,FALSE()))),"OLD",IF(AND(E227&lt;&gt;"",E227&lt;&gt;"!!!"),"NEW","")))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IF(OR(E227="",E227="!!!",F227="NEW"),"",INDEX(N$2:N225,-1+SUMPRODUCT(MAX(ROW(E$2:E225)*(E227=E$2:E225)))))</f>
        <v/>
      </c>
      <c r="J227" s="25" t="str">
        <f aca="true">IF(OR(E227="",E227="!!!",F227="NEW"),"",COUNTBLANK(OFFSET(M$1,,,SUMPRODUCT(MAX(ROW(E$2:E226)*(E227=E$2:E226)))))-COUNTBLANK(OFFSET(M$1,,,SUMPRODUCT(MAX(ROW(Q$1:Q225)*(E227=Q$1:Q225))))))</f>
        <v/>
      </c>
      <c r="K227" s="25" t="str">
        <f aca="false">IF(OR(E227="",E227="!!!",F227="NEW"),"",INDEX(V$1:V225,SUMPRODUCT(MAX(ROW(Q$1:Q225)*(E227=Q$1:Q225)))))</f>
        <v/>
      </c>
      <c r="L227" s="26"/>
      <c r="M227" s="27"/>
    </row>
    <row r="228" customFormat="false" ht="15" hidden="false" customHeight="false" outlineLevel="0" collapsed="false">
      <c r="A228" s="19" t="s">
        <v>332</v>
      </c>
      <c r="B228" s="28" t="s">
        <v>271</v>
      </c>
      <c r="C228" s="28" t="s">
        <v>333</v>
      </c>
      <c r="D228" s="28" t="s">
        <v>253</v>
      </c>
      <c r="E228" s="20" t="s">
        <v>332</v>
      </c>
      <c r="F228" s="21" t="str">
        <f aca="false">IF(OR(E228="",E228="!!!"),"",IF(NOT(ISNA(VLOOKUP(E228,Q$1:Q226,1,FALSE()))),"OLD",IF(AND(E228&lt;&gt;"",E228&lt;&gt;"!!!"),"NEW","")))</f>
        <v>NEW</v>
      </c>
      <c r="G228" s="22" t="s">
        <v>255</v>
      </c>
      <c r="H228" s="23" t="str">
        <f aca="false">IF(J228&lt;&gt;1,"",IF(I228="SBJ","CB","?"))</f>
        <v/>
      </c>
      <c r="I228" s="24" t="str">
        <f aca="false">IF(OR(E228="",E228="!!!",F228="NEW"),"",INDEX(N$2:N226,-1+SUMPRODUCT(MAX(ROW(E$2:E226)*(E228=E$2:E226)))))</f>
        <v/>
      </c>
      <c r="J228" s="25" t="str">
        <f aca="true">IF(OR(E228="",E228="!!!",F228="NEW"),"",COUNTBLANK(OFFSET(M$1,,,SUMPRODUCT(MAX(ROW(E$2:E227)*(E228=E$2:E227)))))-COUNTBLANK(OFFSET(M$1,,,SUMPRODUCT(MAX(ROW(Q$1:Q226)*(E228=Q$1:Q226))))))</f>
        <v/>
      </c>
      <c r="K228" s="25" t="str">
        <f aca="false">IF(OR(E228="",E228="!!!",F228="NEW"),"",INDEX(V$1:V226,SUMPRODUCT(MAX(ROW(Q$1:Q226)*(E228=Q$1:Q226)))))</f>
        <v/>
      </c>
      <c r="L228" s="26"/>
      <c r="M228" s="27"/>
      <c r="N228" s="29"/>
      <c r="O228" s="29"/>
      <c r="P228" s="29"/>
    </row>
    <row r="229" customFormat="false" ht="15" hidden="false" customHeight="false" outlineLevel="0" collapsed="false">
      <c r="A229" s="19" t="s">
        <v>294</v>
      </c>
      <c r="E229" s="20" t="str">
        <f aca="false">IF(P229="?OLD","!!!","")</f>
        <v/>
      </c>
      <c r="F229" s="21" t="str">
        <f aca="false">IF(OR(E229="",E229="!!!"),"",IF(NOT(ISNA(VLOOKUP(E229,Q$1:Q227,1,FALSE()))),"OLD",IF(AND(E229&lt;&gt;"",E229&lt;&gt;"!!!"),"NEW","")))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IF(OR(E229="",E229="!!!",F229="NEW"),"",INDEX(N$2:N227,-1+SUMPRODUCT(MAX(ROW(E$2:E227)*(E229=E$2:E227)))))</f>
        <v/>
      </c>
      <c r="J229" s="25" t="str">
        <f aca="true">IF(OR(E229="",E229="!!!",F229="NEW"),"",COUNTBLANK(OFFSET(M$1,,,SUMPRODUCT(MAX(ROW(E$2:E228)*(E229=E$2:E228)))))-COUNTBLANK(OFFSET(M$1,,,SUMPRODUCT(MAX(ROW(Q$1:Q227)*(E229=Q$1:Q227))))))</f>
        <v/>
      </c>
      <c r="K229" s="25" t="str">
        <f aca="false">IF(OR(E229="",E229="!!!",F229="NEW"),"",INDEX(V$1:V227,SUMPRODUCT(MAX(ROW(Q$1:Q227)*(E229=Q$1:Q227)))))</f>
        <v/>
      </c>
      <c r="L229" s="26"/>
      <c r="M229" s="27"/>
    </row>
    <row r="230" customFormat="false" ht="15" hidden="false" customHeight="false" outlineLevel="0" collapsed="false">
      <c r="A230" s="19" t="s">
        <v>405</v>
      </c>
      <c r="B230" s="28" t="s">
        <v>271</v>
      </c>
      <c r="C230" s="28" t="s">
        <v>259</v>
      </c>
      <c r="E230" s="20" t="str">
        <f aca="false">IF(P230="?OLD","!!!","")</f>
        <v/>
      </c>
      <c r="F230" s="21" t="str">
        <f aca="false">IF(OR(E230="",E230="!!!"),"",IF(NOT(ISNA(VLOOKUP(E230,Q$1:Q228,1,FALSE()))),"OLD",IF(AND(E230&lt;&gt;"",E230&lt;&gt;"!!!"),"NEW","")))</f>
        <v/>
      </c>
      <c r="G230" s="22" t="str">
        <f aca="false">IF(OR(E230="",E230="!!!"),"",IF(OR(J230=0,AND(J230=1,K230=1),AND(J230=1,I230="SBJ"),AND(J230=1,I230=0)),"?IN_FOCUS",IF(J230&lt;=2,"?ACTIVATED",IF(J230&lt;&gt;"","?FAMILIAR",IF(F230="NEW",IF(ISNA(VLOOKUP(E230,#REF!,1,FALSE())),"?TYPE_IDENTIFIABLE","?REFERENTIAL"),"_")))))</f>
        <v/>
      </c>
      <c r="H230" s="23" t="str">
        <f aca="false">IF(J230&lt;&gt;1,"",IF(I230="SBJ","CB","?"))</f>
        <v/>
      </c>
      <c r="I230" s="24" t="str">
        <f aca="false">IF(OR(E230="",E230="!!!",F230="NEW"),"",INDEX(N$2:N228,-1+SUMPRODUCT(MAX(ROW(E$2:E228)*(E230=E$2:E228)))))</f>
        <v/>
      </c>
      <c r="J230" s="25" t="str">
        <f aca="true">IF(OR(E230="",E230="!!!",F230="NEW"),"",COUNTBLANK(OFFSET(M$1,,,SUMPRODUCT(MAX(ROW(E$2:E229)*(E230=E$2:E229)))))-COUNTBLANK(OFFSET(M$1,,,SUMPRODUCT(MAX(ROW(Q$1:Q228)*(E230=Q$1:Q228))))))</f>
        <v/>
      </c>
      <c r="K230" s="25" t="str">
        <f aca="false">IF(OR(E230="",E230="!!!",F230="NEW"),"",INDEX(V$1:V228,SUMPRODUCT(MAX(ROW(Q$1:Q228)*(E230=Q$1:Q228)))))</f>
        <v/>
      </c>
      <c r="L230" s="26"/>
      <c r="M230" s="27"/>
      <c r="N230" s="29"/>
      <c r="O230" s="29"/>
    </row>
    <row r="231" customFormat="false" ht="15" hidden="false" customHeight="false" outlineLevel="0" collapsed="false">
      <c r="A231" s="19" t="s">
        <v>261</v>
      </c>
      <c r="E231" s="20" t="str">
        <f aca="false">IF(P231="?OLD","!!!","")</f>
        <v/>
      </c>
      <c r="F231" s="21" t="str">
        <f aca="false">IF(OR(E231="",E231="!!!"),"",IF(NOT(ISNA(VLOOKUP(E231,Q$1:Q229,1,FALSE()))),"OLD",IF(AND(E231&lt;&gt;"",E231&lt;&gt;"!!!"),"NEW","")))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IF(OR(E231="",E231="!!!",F231="NEW"),"",INDEX(N$2:N229,-1+SUMPRODUCT(MAX(ROW(E$2:E229)*(E231=E$2:E229)))))</f>
        <v/>
      </c>
      <c r="J231" s="25" t="str">
        <f aca="true">IF(OR(E231="",E231="!!!",F231="NEW"),"",COUNTBLANK(OFFSET(M$1,,,SUMPRODUCT(MAX(ROW(E$2:E230)*(E231=E$2:E230)))))-COUNTBLANK(OFFSET(M$1,,,SUMPRODUCT(MAX(ROW(Q$1:Q229)*(E231=Q$1:Q229))))))</f>
        <v/>
      </c>
      <c r="K231" s="25" t="str">
        <f aca="false">IF(OR(E231="",E231="!!!",F231="NEW"),"",INDEX(V$1:V229,SUMPRODUCT(MAX(ROW(Q$1:Q229)*(E231=Q$1:Q229)))))</f>
        <v/>
      </c>
      <c r="L231" s="26"/>
      <c r="M231" s="27"/>
    </row>
    <row r="232" customFormat="false" ht="15" hidden="false" customHeight="false" outlineLevel="0" collapsed="false">
      <c r="A232" s="19"/>
    </row>
    <row r="233" customFormat="false" ht="15" hidden="false" customHeight="false" outlineLevel="0" collapsed="false">
      <c r="A233" s="19" t="s">
        <v>362</v>
      </c>
    </row>
    <row r="234" customFormat="false" ht="15" hidden="false" customHeight="false" outlineLevel="0" collapsed="false">
      <c r="A234" s="19" t="s">
        <v>406</v>
      </c>
    </row>
    <row r="235" customFormat="false" ht="15" hidden="false" customHeight="false" outlineLevel="0" collapsed="false">
      <c r="A235" s="19" t="s">
        <v>53</v>
      </c>
      <c r="B235" s="28" t="s">
        <v>271</v>
      </c>
      <c r="C235" s="28" t="s">
        <v>333</v>
      </c>
      <c r="D235" s="28" t="s">
        <v>253</v>
      </c>
      <c r="E235" s="20" t="s">
        <v>53</v>
      </c>
      <c r="F235" s="21" t="str">
        <f aca="false">IF(OR(E235="",E235="!!!"),"",IF(NOT(ISNA(VLOOKUP(E235,Q$1:Q230,1,FALSE()))),"OLD",IF(AND(E235&lt;&gt;"",E235&lt;&gt;"!!!"),"NEW","")))</f>
        <v>NEW</v>
      </c>
      <c r="G235" s="22" t="s">
        <v>255</v>
      </c>
      <c r="H235" s="23" t="str">
        <f aca="false">IF(J235&lt;&gt;1,"",IF(I235="SBJ","CB","?"))</f>
        <v/>
      </c>
      <c r="I235" s="24" t="str">
        <f aca="false">IF(OR(E235="",E235="!!!",F235="NEW"),"",INDEX(N$2:N230,-1+SUMPRODUCT(MAX(ROW(E$2:E230)*(E235=E$2:E230)))))</f>
        <v/>
      </c>
      <c r="J235" s="25" t="str">
        <f aca="true">IF(OR(E235="",E235="!!!",F235="NEW"),"",COUNTBLANK(OFFSET(M$1,,,SUMPRODUCT(MAX(ROW(E$2:E231)*(E235=E$2:E231)))))-COUNTBLANK(OFFSET(M$1,,,SUMPRODUCT(MAX(ROW(Q$1:Q230)*(E235=Q$1:Q230))))))</f>
        <v/>
      </c>
      <c r="K235" s="25" t="str">
        <f aca="false">IF(OR(E235="",E235="!!!",F235="NEW"),"",INDEX(V$1:V230,SUMPRODUCT(MAX(ROW(Q$1:Q230)*(E235=Q$1:Q230)))))</f>
        <v/>
      </c>
      <c r="L235" s="26"/>
      <c r="M235" s="27"/>
      <c r="N235" s="29"/>
      <c r="O235" s="29"/>
      <c r="P235" s="29"/>
    </row>
    <row r="236" customFormat="false" ht="15" hidden="false" customHeight="false" outlineLevel="0" collapsed="false">
      <c r="A236" s="19" t="s">
        <v>294</v>
      </c>
      <c r="E236" s="20" t="str">
        <f aca="false">IF(P236="?OLD","!!!","")</f>
        <v/>
      </c>
      <c r="F236" s="21" t="str">
        <f aca="false">IF(OR(E236="",E236="!!!"),"",IF(NOT(ISNA(VLOOKUP(E236,Q$1:Q231,1,FALSE()))),"OLD",IF(AND(E236&lt;&gt;"",E236&lt;&gt;"!!!"),"NEW","")))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4" t="str">
        <f aca="false">IF(OR(E236="",E236="!!!",F236="NEW"),"",INDEX(N$2:N231,-1+SUMPRODUCT(MAX(ROW(E$2:E231)*(E236=E$2:E231)))))</f>
        <v/>
      </c>
      <c r="J236" s="25" t="str">
        <f aca="true">IF(OR(E236="",E236="!!!",F236="NEW"),"",COUNTBLANK(OFFSET(M$1,,,SUMPRODUCT(MAX(ROW(E$2:E232)*(E236=E$2:E232)))))-COUNTBLANK(OFFSET(M$1,,,SUMPRODUCT(MAX(ROW(Q$1:Q231)*(E236=Q$1:Q231))))))</f>
        <v/>
      </c>
      <c r="K236" s="25" t="str">
        <f aca="false">IF(OR(E236="",E236="!!!",F236="NEW"),"",INDEX(V$1:V231,SUMPRODUCT(MAX(ROW(Q$1:Q231)*(E236=Q$1:Q231)))))</f>
        <v/>
      </c>
      <c r="L236" s="26"/>
      <c r="M236" s="27"/>
    </row>
    <row r="237" customFormat="false" ht="15" hidden="false" customHeight="false" outlineLevel="0" collapsed="false">
      <c r="A237" s="19" t="s">
        <v>407</v>
      </c>
      <c r="B237" s="28" t="s">
        <v>271</v>
      </c>
      <c r="C237" s="28" t="s">
        <v>333</v>
      </c>
      <c r="D237" s="28" t="s">
        <v>253</v>
      </c>
      <c r="E237" s="20" t="s">
        <v>407</v>
      </c>
      <c r="F237" s="21" t="str">
        <f aca="false">IF(OR(E237="",E237="!!!"),"",IF(NOT(ISNA(VLOOKUP(E237,Q$1:Q232,1,FALSE()))),"OLD",IF(AND(E237&lt;&gt;"",E237&lt;&gt;"!!!"),"NEW","")))</f>
        <v>NEW</v>
      </c>
      <c r="G237" s="22" t="s">
        <v>255</v>
      </c>
      <c r="H237" s="23" t="str">
        <f aca="false">IF(J237&lt;&gt;1,"",IF(I237="SBJ","CB","?"))</f>
        <v/>
      </c>
      <c r="I237" s="24" t="str">
        <f aca="false">IF(OR(E237="",E237="!!!",F237="NEW"),"",INDEX(N$2:N232,-1+SUMPRODUCT(MAX(ROW(E$2:E232)*(E237=E$2:E232)))))</f>
        <v/>
      </c>
      <c r="J237" s="25" t="str">
        <f aca="true">IF(OR(E237="",E237="!!!",F237="NEW"),"",COUNTBLANK(OFFSET(M$1,,,SUMPRODUCT(MAX(ROW(E$2:E233)*(E237=E$2:E233)))))-COUNTBLANK(OFFSET(M$1,,,SUMPRODUCT(MAX(ROW(Q$1:Q232)*(E237=Q$1:Q232))))))</f>
        <v/>
      </c>
      <c r="K237" s="25" t="str">
        <f aca="false">IF(OR(E237="",E237="!!!",F237="NEW"),"",INDEX(V$1:V232,SUMPRODUCT(MAX(ROW(Q$1:Q232)*(E237=Q$1:Q232)))))</f>
        <v/>
      </c>
      <c r="L237" s="26"/>
      <c r="M237" s="27"/>
      <c r="N237" s="29"/>
      <c r="O237" s="29"/>
      <c r="P237" s="29"/>
    </row>
    <row r="238" customFormat="false" ht="15" hidden="false" customHeight="false" outlineLevel="0" collapsed="false">
      <c r="A238" s="19" t="s">
        <v>408</v>
      </c>
      <c r="E238" s="20" t="str">
        <f aca="false">IF(P238="?OLD","!!!","")</f>
        <v/>
      </c>
      <c r="F238" s="21" t="str">
        <f aca="false">IF(OR(E238="",E238="!!!"),"",IF(NOT(ISNA(VLOOKUP(E238,Q$1:Q233,1,FALSE()))),"OLD",IF(AND(E238&lt;&gt;"",E238&lt;&gt;"!!!"),"NEW","")))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IF(OR(E238="",E238="!!!",F238="NEW"),"",INDEX(N$2:N233,-1+SUMPRODUCT(MAX(ROW(E$2:E233)*(E238=E$2:E233)))))</f>
        <v/>
      </c>
      <c r="J238" s="25" t="str">
        <f aca="true">IF(OR(E238="",E238="!!!",F238="NEW"),"",COUNTBLANK(OFFSET(M$1,,,SUMPRODUCT(MAX(ROW(E$2:E234)*(E238=E$2:E234)))))-COUNTBLANK(OFFSET(M$1,,,SUMPRODUCT(MAX(ROW(Q$1:Q233)*(E238=Q$1:Q233))))))</f>
        <v/>
      </c>
      <c r="K238" s="25" t="str">
        <f aca="false">IF(OR(E238="",E238="!!!",F238="NEW"),"",INDEX(V$1:V233,SUMPRODUCT(MAX(ROW(Q$1:Q233)*(E238=Q$1:Q233)))))</f>
        <v/>
      </c>
      <c r="L238" s="26"/>
      <c r="M238" s="27"/>
    </row>
    <row r="239" customFormat="false" ht="15" hidden="false" customHeight="false" outlineLevel="0" collapsed="false">
      <c r="A239" s="19" t="s">
        <v>379</v>
      </c>
      <c r="B239" s="28" t="s">
        <v>251</v>
      </c>
      <c r="C239" s="28" t="s">
        <v>264</v>
      </c>
      <c r="D239" s="28" t="s">
        <v>253</v>
      </c>
      <c r="E239" s="20" t="s">
        <v>334</v>
      </c>
      <c r="F239" s="21" t="str">
        <f aca="false">IF(OR(E239="",E239="!!!"),"",IF(NOT(ISNA(VLOOKUP(E239,Q$1:Q234,1,FALSE()))),"OLD",IF(AND(E239&lt;&gt;"",E239&lt;&gt;"!!!"),"NEW","")))</f>
        <v>NEW</v>
      </c>
      <c r="G239" s="22" t="s">
        <v>266</v>
      </c>
      <c r="H239" s="23" t="s">
        <v>243</v>
      </c>
      <c r="I239" s="24" t="str">
        <f aca="false">IF(OR(E239="",E239="!!!",F239="NEW"),"",INDEX(N$2:N234,-1+SUMPRODUCT(MAX(ROW(E$2:E234)*(E239=E$2:E234)))))</f>
        <v/>
      </c>
      <c r="J239" s="25" t="str">
        <f aca="true">IF(OR(E239="",E239="!!!",F239="NEW"),"",COUNTBLANK(OFFSET(M$1,,,SUMPRODUCT(MAX(ROW(E$2:E235)*(E239=E$2:E235)))))-COUNTBLANK(OFFSET(M$1,,,SUMPRODUCT(MAX(ROW(Q$1:Q234)*(E239=Q$1:Q234))))))</f>
        <v/>
      </c>
      <c r="K239" s="25" t="str">
        <f aca="false">IF(OR(E239="",E239="!!!",F239="NEW"),"",INDEX(V$1:V234,SUMPRODUCT(MAX(ROW(Q$1:Q234)*(E239=Q$1:Q234)))))</f>
        <v/>
      </c>
      <c r="L239" s="26"/>
      <c r="M239" s="27"/>
      <c r="N239" s="29"/>
      <c r="O239" s="29"/>
      <c r="P239" s="29"/>
    </row>
    <row r="240" customFormat="false" ht="15" hidden="false" customHeight="false" outlineLevel="0" collapsed="false">
      <c r="A240" s="19" t="s">
        <v>43</v>
      </c>
      <c r="E240" s="20" t="str">
        <f aca="false">IF(P240="?OLD","!!!","")</f>
        <v/>
      </c>
      <c r="F240" s="21" t="str">
        <f aca="false">IF(OR(E240="",E240="!!!"),"",IF(NOT(ISNA(VLOOKUP(E240,Q$1:Q235,1,FALSE()))),"OLD",IF(AND(E240&lt;&gt;"",E240&lt;&gt;"!!!"),"NEW","")))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IF(OR(E240="",E240="!!!",F240="NEW"),"",INDEX(N$2:N235,-1+SUMPRODUCT(MAX(ROW(E$2:E235)*(E240=E$2:E235)))))</f>
        <v/>
      </c>
      <c r="J240" s="25" t="str">
        <f aca="true">IF(OR(E240="",E240="!!!",F240="NEW"),"",COUNTBLANK(OFFSET(M$1,,,SUMPRODUCT(MAX(ROW(E$2:E236)*(E240=E$2:E236)))))-COUNTBLANK(OFFSET(M$1,,,SUMPRODUCT(MAX(ROW(Q$1:Q235)*(E240=Q$1:Q235))))))</f>
        <v/>
      </c>
      <c r="K240" s="25" t="str">
        <f aca="false">IF(OR(E240="",E240="!!!",F240="NEW"),"",INDEX(V$1:V235,SUMPRODUCT(MAX(ROW(Q$1:Q235)*(E240=Q$1:Q235)))))</f>
        <v/>
      </c>
      <c r="L240" s="26"/>
      <c r="M240" s="27"/>
    </row>
    <row r="241" customFormat="false" ht="57.45" hidden="false" customHeight="false" outlineLevel="0" collapsed="false">
      <c r="A241" s="19" t="s">
        <v>310</v>
      </c>
      <c r="B241" s="28" t="s">
        <v>286</v>
      </c>
      <c r="C241" s="28" t="s">
        <v>264</v>
      </c>
      <c r="D241" s="28" t="s">
        <v>253</v>
      </c>
      <c r="E241" s="20"/>
      <c r="F241" s="21" t="str">
        <f aca="false">IF(OR(E241="",E241="!!!"),"",IF(NOT(ISNA(VLOOKUP(E241,Q$1:Q236,1,FALSE()))),"OLD",IF(AND(E241&lt;&gt;"",E241&lt;&gt;"!!!"),"NEW","")))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IF(OR(E241="",E241="!!!",F241="NEW"),"",INDEX(N$2:N236,-1+SUMPRODUCT(MAX(ROW(E$2:E236)*(E241=E$2:E236)))))</f>
        <v/>
      </c>
      <c r="J241" s="25" t="str">
        <f aca="true">IF(OR(E241="",E241="!!!",F241="NEW"),"",COUNTBLANK(OFFSET(M$1,,,SUMPRODUCT(MAX(ROW(E$2:E237)*(E241=E$2:E237)))))-COUNTBLANK(OFFSET(M$1,,,SUMPRODUCT(MAX(ROW(Q$1:Q236)*(E241=Q$1:Q236))))))</f>
        <v/>
      </c>
      <c r="K241" s="25" t="str">
        <f aca="false">IF(OR(E241="",E241="!!!",F241="NEW"),"",INDEX(V$1:V236,SUMPRODUCT(MAX(ROW(Q$1:Q236)*(E241=Q$1:Q236)))))</f>
        <v/>
      </c>
      <c r="L241" s="26" t="s">
        <v>409</v>
      </c>
      <c r="M241" s="27"/>
      <c r="N241" s="29"/>
      <c r="O241" s="29"/>
      <c r="P241" s="29"/>
    </row>
    <row r="242" customFormat="false" ht="15" hidden="false" customHeight="false" outlineLevel="0" collapsed="false">
      <c r="A242" s="19" t="s">
        <v>355</v>
      </c>
      <c r="E242" s="20" t="str">
        <f aca="false">IF(P242="?OLD","!!!","")</f>
        <v/>
      </c>
      <c r="F242" s="21" t="str">
        <f aca="false">IF(OR(E242="",E242="!!!"),"",IF(NOT(ISNA(VLOOKUP(E242,Q$1:Q237,1,FALSE()))),"OLD",IF(AND(E242&lt;&gt;"",E242&lt;&gt;"!!!"),"NEW","")))</f>
        <v/>
      </c>
      <c r="G242" s="22" t="str">
        <f aca="false">IF(OR(E242="",E242="!!!"),"",IF(OR(J242=0,AND(J242=1,K242=1),AND(J242=1,I242="SBJ"),AND(J242=1,I242=0)),"?IN_FOCUS",IF(J242&lt;=2,"?ACTIVATED",IF(J242&lt;&gt;"","?FAMILIAR",IF(F242="NEW",IF(ISNA(VLOOKUP(E242,#REF!,1,FALSE())),"?TYPE_IDENTIFIABLE","?REFERENTIAL"),"_")))))</f>
        <v/>
      </c>
      <c r="H242" s="23" t="str">
        <f aca="false">IF(J242&lt;&gt;1,"",IF(I242="SBJ","CB","?"))</f>
        <v/>
      </c>
      <c r="I242" s="24" t="str">
        <f aca="false">IF(OR(E242="",E242="!!!",F242="NEW"),"",INDEX(N$2:N237,-1+SUMPRODUCT(MAX(ROW(E$2:E237)*(E242=E$2:E237)))))</f>
        <v/>
      </c>
      <c r="J242" s="25" t="str">
        <f aca="true">IF(OR(E242="",E242="!!!",F242="NEW"),"",COUNTBLANK(OFFSET(M$1,,,SUMPRODUCT(MAX(ROW(E$2:E238)*(E242=E$2:E238)))))-COUNTBLANK(OFFSET(M$1,,,SUMPRODUCT(MAX(ROW(Q$1:Q237)*(E242=Q$1:Q237))))))</f>
        <v/>
      </c>
      <c r="K242" s="25" t="str">
        <f aca="false">IF(OR(E242="",E242="!!!",F242="NEW"),"",INDEX(V$1:V237,SUMPRODUCT(MAX(ROW(Q$1:Q237)*(E242=Q$1:Q237)))))</f>
        <v/>
      </c>
      <c r="L242" s="26"/>
      <c r="M242" s="27"/>
    </row>
    <row r="243" customFormat="false" ht="15" hidden="false" customHeight="false" outlineLevel="0" collapsed="false">
      <c r="A243" s="19" t="s">
        <v>273</v>
      </c>
      <c r="E243" s="20" t="str">
        <f aca="false">IF(P243="?OLD","!!!","")</f>
        <v/>
      </c>
      <c r="F243" s="21" t="str">
        <f aca="false">IF(OR(E243="",E243="!!!"),"",IF(NOT(ISNA(VLOOKUP(E243,Q$1:Q238,1,FALSE()))),"OLD",IF(AND(E243&lt;&gt;"",E243&lt;&gt;"!!!"),"NEW","")))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4" t="str">
        <f aca="false">IF(OR(E243="",E243="!!!",F243="NEW"),"",INDEX(N$2:N238,-1+SUMPRODUCT(MAX(ROW(E$2:E238)*(E243=E$2:E238)))))</f>
        <v/>
      </c>
      <c r="J243" s="25" t="str">
        <f aca="true">IF(OR(E243="",E243="!!!",F243="NEW"),"",COUNTBLANK(OFFSET(M$1,,,SUMPRODUCT(MAX(ROW(E$2:E239)*(E243=E$2:E239)))))-COUNTBLANK(OFFSET(M$1,,,SUMPRODUCT(MAX(ROW(Q$1:Q238)*(E243=Q$1:Q238))))))</f>
        <v/>
      </c>
      <c r="K243" s="25" t="str">
        <f aca="false">IF(OR(E243="",E243="!!!",F243="NEW"),"",INDEX(V$1:V238,SUMPRODUCT(MAX(ROW(Q$1:Q238)*(E243=Q$1:Q238)))))</f>
        <v/>
      </c>
      <c r="L243" s="26"/>
      <c r="M243" s="27"/>
    </row>
    <row r="244" customFormat="false" ht="15" hidden="false" customHeight="false" outlineLevel="0" collapsed="false">
      <c r="A244" s="19" t="s">
        <v>381</v>
      </c>
      <c r="B244" s="28" t="s">
        <v>357</v>
      </c>
      <c r="C244" s="28" t="s">
        <v>358</v>
      </c>
      <c r="D244" s="28" t="s">
        <v>253</v>
      </c>
      <c r="E244" s="20" t="s">
        <v>334</v>
      </c>
      <c r="F244" s="21" t="str">
        <f aca="false">IF(OR(E244="",E244="!!!"),"",IF(NOT(ISNA(VLOOKUP(E244,Q$1:Q239,1,FALSE()))),"OLD",IF(AND(E244&lt;&gt;"",E244&lt;&gt;"!!!"),"NEW","")))</f>
        <v>NEW</v>
      </c>
      <c r="G244" s="22" t="s">
        <v>296</v>
      </c>
      <c r="H244" s="23" t="str">
        <f aca="false">IF(J244&lt;&gt;1,"",IF(I244="SBJ","CB","?"))</f>
        <v/>
      </c>
      <c r="I244" s="24" t="str">
        <f aca="false">IF(OR(E244="",E244="!!!",F244="NEW"),"",INDEX(N$2:N239,-1+SUMPRODUCT(MAX(ROW(E$2:E239)*(E244=E$2:E239)))))</f>
        <v/>
      </c>
      <c r="J244" s="25" t="str">
        <f aca="true">IF(OR(E244="",E244="!!!",F244="NEW"),"",COUNTBLANK(OFFSET(M$1,,,SUMPRODUCT(MAX(ROW(E$2:E240)*(E244=E$2:E240)))))-COUNTBLANK(OFFSET(M$1,,,SUMPRODUCT(MAX(ROW(Q$1:Q239)*(E244=Q$1:Q239))))))</f>
        <v/>
      </c>
      <c r="K244" s="25" t="str">
        <f aca="false">IF(OR(E244="",E244="!!!",F244="NEW"),"",INDEX(V$1:V239,SUMPRODUCT(MAX(ROW(Q$1:Q239)*(E244=Q$1:Q239)))))</f>
        <v/>
      </c>
      <c r="L244" s="26"/>
      <c r="M244" s="27"/>
      <c r="N244" s="29"/>
      <c r="O244" s="29"/>
      <c r="P244" s="29"/>
    </row>
    <row r="245" customFormat="false" ht="15" hidden="false" customHeight="false" outlineLevel="0" collapsed="false">
      <c r="A245" s="19" t="s">
        <v>322</v>
      </c>
      <c r="B245" s="28" t="s">
        <v>293</v>
      </c>
      <c r="C245" s="28" t="s">
        <v>314</v>
      </c>
      <c r="D245" s="28" t="s">
        <v>253</v>
      </c>
      <c r="E245" s="20" t="s">
        <v>410</v>
      </c>
      <c r="F245" s="21" t="str">
        <f aca="false">IF(OR(E245="",E245="!!!"),"",IF(NOT(ISNA(VLOOKUP(E245,Q$1:Q240,1,FALSE()))),"OLD",IF(AND(E245&lt;&gt;"",E245&lt;&gt;"!!!"),"NEW","")))</f>
        <v>NEW</v>
      </c>
      <c r="G245" s="22" t="s">
        <v>266</v>
      </c>
      <c r="H245" s="23" t="str">
        <f aca="false">IF(J245&lt;&gt;1,"",IF(I245="SBJ","CB","?"))</f>
        <v/>
      </c>
      <c r="I245" s="24" t="str">
        <f aca="false">IF(OR(E245="",E245="!!!",F245="NEW"),"",INDEX(N$2:N240,-1+SUMPRODUCT(MAX(ROW(E$2:E240)*(E245=E$2:E240)))))</f>
        <v/>
      </c>
      <c r="J245" s="25" t="str">
        <f aca="true">IF(OR(E245="",E245="!!!",F245="NEW"),"",COUNTBLANK(OFFSET(M$1,,,SUMPRODUCT(MAX(ROW(E$2:E241)*(E245=E$2:E241)))))-COUNTBLANK(OFFSET(M$1,,,SUMPRODUCT(MAX(ROW(Q$1:Q240)*(E245=Q$1:Q240))))))</f>
        <v/>
      </c>
      <c r="K245" s="25" t="str">
        <f aca="false">IF(OR(E245="",E245="!!!",F245="NEW"),"",INDEX(V$1:V240,SUMPRODUCT(MAX(ROW(Q$1:Q240)*(E245=Q$1:Q240)))))</f>
        <v/>
      </c>
      <c r="L245" s="26"/>
      <c r="M245" s="27"/>
      <c r="N245" s="29"/>
      <c r="O245" s="29"/>
      <c r="P245" s="29"/>
    </row>
    <row r="246" customFormat="false" ht="15" hidden="false" customHeight="false" outlineLevel="0" collapsed="false">
      <c r="A246" s="19" t="s">
        <v>250</v>
      </c>
      <c r="E246" s="20" t="str">
        <f aca="false">IF(P246="?OLD","!!!","")</f>
        <v/>
      </c>
      <c r="F246" s="21" t="str">
        <f aca="false">IF(OR(E246="",E246="!!!"),"",IF(NOT(ISNA(VLOOKUP(E246,Q$1:Q241,1,FALSE()))),"OLD",IF(AND(E246&lt;&gt;"",E246&lt;&gt;"!!!"),"NEW","")))</f>
        <v/>
      </c>
      <c r="G246" s="22" t="str">
        <f aca="false">IF(OR(E246="",E246="!!!"),"",IF(OR(J246=0,AND(J246=1,K246=1),AND(J246=1,I246="SBJ"),AND(J246=1,I246=0)),"?IN_FOCUS",IF(J246&lt;=2,"?ACTIVATED",IF(J246&lt;&gt;"","?FAMILIAR",IF(F246="NEW",IF(ISNA(VLOOKUP(E246,#REF!,1,FALSE())),"?TYPE_IDENTIFIABLE","?REFERENTIAL"),"_")))))</f>
        <v/>
      </c>
      <c r="H246" s="23" t="str">
        <f aca="false">IF(J246&lt;&gt;1,"",IF(I246="SBJ","CB","?"))</f>
        <v/>
      </c>
      <c r="I246" s="24" t="str">
        <f aca="false">IF(OR(E246="",E246="!!!",F246="NEW"),"",INDEX(N$2:N241,-1+SUMPRODUCT(MAX(ROW(E$2:E241)*(E246=E$2:E241)))))</f>
        <v/>
      </c>
      <c r="J246" s="25" t="str">
        <f aca="true">IF(OR(E246="",E246="!!!",F246="NEW"),"",COUNTBLANK(OFFSET(M$1,,,SUMPRODUCT(MAX(ROW(E$2:E242)*(E246=E$2:E242)))))-COUNTBLANK(OFFSET(M$1,,,SUMPRODUCT(MAX(ROW(Q$1:Q241)*(E246=Q$1:Q241))))))</f>
        <v/>
      </c>
      <c r="K246" s="25" t="str">
        <f aca="false">IF(OR(E246="",E246="!!!",F246="NEW"),"",INDEX(V$1:V241,SUMPRODUCT(MAX(ROW(Q$1:Q241)*(E246=Q$1:Q241)))))</f>
        <v/>
      </c>
      <c r="L246" s="26"/>
      <c r="M246" s="27"/>
    </row>
    <row r="247" customFormat="false" ht="15" hidden="false" customHeight="false" outlineLevel="0" collapsed="false">
      <c r="A247" s="19" t="s">
        <v>291</v>
      </c>
      <c r="E247" s="20" t="str">
        <f aca="false">IF(P247="?OLD","!!!","")</f>
        <v/>
      </c>
      <c r="F247" s="21" t="str">
        <f aca="false">IF(OR(E247="",E247="!!!"),"",IF(NOT(ISNA(VLOOKUP(E247,Q$1:Q242,1,FALSE()))),"OLD",IF(AND(E247&lt;&gt;"",E247&lt;&gt;"!!!"),"NEW","")))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IF(OR(E247="",E247="!!!",F247="NEW"),"",INDEX(N$2:N242,-1+SUMPRODUCT(MAX(ROW(E$2:E242)*(E247=E$2:E242)))))</f>
        <v/>
      </c>
      <c r="J247" s="25" t="str">
        <f aca="true">IF(OR(E247="",E247="!!!",F247="NEW"),"",COUNTBLANK(OFFSET(M$1,,,SUMPRODUCT(MAX(ROW(E$2:E243)*(E247=E$2:E243)))))-COUNTBLANK(OFFSET(M$1,,,SUMPRODUCT(MAX(ROW(Q$1:Q242)*(E247=Q$1:Q242))))))</f>
        <v/>
      </c>
      <c r="K247" s="25" t="str">
        <f aca="false">IF(OR(E247="",E247="!!!",F247="NEW"),"",INDEX(V$1:V242,SUMPRODUCT(MAX(ROW(Q$1:Q242)*(E247=Q$1:Q242)))))</f>
        <v/>
      </c>
      <c r="L247" s="26"/>
      <c r="M247" s="27"/>
    </row>
    <row r="248" customFormat="false" ht="23.85" hidden="false" customHeight="false" outlineLevel="0" collapsed="false">
      <c r="A248" s="19" t="s">
        <v>411</v>
      </c>
      <c r="B248" s="28" t="s">
        <v>374</v>
      </c>
      <c r="C248" s="28" t="s">
        <v>314</v>
      </c>
      <c r="D248" s="28" t="s">
        <v>253</v>
      </c>
      <c r="E248" s="20"/>
      <c r="F248" s="21" t="str">
        <f aca="false">IF(OR(E248="",E248="!!!"),"",IF(NOT(ISNA(VLOOKUP(E248,Q$1:Q243,1,FALSE()))),"OLD",IF(AND(E248&lt;&gt;"",E248&lt;&gt;"!!!"),"NEW","")))</f>
        <v/>
      </c>
      <c r="G248" s="22" t="str">
        <f aca="false">IF(OR(E248="",E248="!!!"),"",IF(OR(J248=0,AND(J248=1,K248=1),AND(J248=1,I248="SBJ"),AND(J248=1,I248=0)),"?IN_FOCUS",IF(J248&lt;=2,"?ACTIVATED",IF(J248&lt;&gt;"","?FAMILIAR",IF(F248="NEW",IF(ISNA(VLOOKUP(E248,#REF!,1,FALSE())),"?TYPE_IDENTIFIABLE","?REFERENTIAL"),"_")))))</f>
        <v/>
      </c>
      <c r="H248" s="23" t="str">
        <f aca="false">IF(J248&lt;&gt;1,"",IF(I248="SBJ","CB","?"))</f>
        <v/>
      </c>
      <c r="I248" s="24" t="str">
        <f aca="false">IF(OR(E248="",E248="!!!",F248="NEW"),"",INDEX(N$2:N243,-1+SUMPRODUCT(MAX(ROW(E$2:E243)*(E248=E$2:E243)))))</f>
        <v/>
      </c>
      <c r="J248" s="25" t="str">
        <f aca="true">IF(OR(E248="",E248="!!!",F248="NEW"),"",COUNTBLANK(OFFSET(M$1,,,SUMPRODUCT(MAX(ROW(E$2:E244)*(E248=E$2:E244)))))-COUNTBLANK(OFFSET(M$1,,,SUMPRODUCT(MAX(ROW(Q$1:Q243)*(E248=Q$1:Q243))))))</f>
        <v/>
      </c>
      <c r="K248" s="25" t="str">
        <f aca="false">IF(OR(E248="",E248="!!!",F248="NEW"),"",INDEX(V$1:V243,SUMPRODUCT(MAX(ROW(Q$1:Q243)*(E248=Q$1:Q243)))))</f>
        <v/>
      </c>
      <c r="L248" s="26" t="s">
        <v>412</v>
      </c>
      <c r="M248" s="27"/>
      <c r="N248" s="29"/>
      <c r="O248" s="29"/>
      <c r="P248" s="29"/>
    </row>
    <row r="249" customFormat="false" ht="15" hidden="false" customHeight="false" outlineLevel="0" collapsed="false">
      <c r="A249" s="19" t="s">
        <v>256</v>
      </c>
      <c r="E249" s="20" t="str">
        <f aca="false">IF(P249="?OLD","!!!","")</f>
        <v/>
      </c>
      <c r="F249" s="21" t="str">
        <f aca="false">IF(OR(E249="",E249="!!!"),"",IF(NOT(ISNA(VLOOKUP(E249,Q$1:Q244,1,FALSE()))),"OLD",IF(AND(E249&lt;&gt;"",E249&lt;&gt;"!!!"),"NEW","")))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IF(OR(E249="",E249="!!!",F249="NEW"),"",INDEX(N$2:N244,-1+SUMPRODUCT(MAX(ROW(E$2:E244)*(E249=E$2:E244)))))</f>
        <v/>
      </c>
      <c r="J249" s="25" t="str">
        <f aca="true">IF(OR(E249="",E249="!!!",F249="NEW"),"",COUNTBLANK(OFFSET(M$1,,,SUMPRODUCT(MAX(ROW(E$2:E245)*(E249=E$2:E245)))))-COUNTBLANK(OFFSET(M$1,,,SUMPRODUCT(MAX(ROW(Q$1:Q244)*(E249=Q$1:Q244))))))</f>
        <v/>
      </c>
      <c r="K249" s="25" t="str">
        <f aca="false">IF(OR(E249="",E249="!!!",F249="NEW"),"",INDEX(V$1:V244,SUMPRODUCT(MAX(ROW(Q$1:Q244)*(E249=Q$1:Q244)))))</f>
        <v/>
      </c>
      <c r="L249" s="26"/>
      <c r="M249" s="27"/>
    </row>
    <row r="250" customFormat="false" ht="15" hidden="false" customHeight="false" outlineLevel="0" collapsed="false">
      <c r="A250" s="19" t="s">
        <v>413</v>
      </c>
      <c r="B250" s="28" t="s">
        <v>357</v>
      </c>
      <c r="C250" s="28" t="s">
        <v>333</v>
      </c>
      <c r="D250" s="28" t="s">
        <v>253</v>
      </c>
      <c r="E250" s="20" t="s">
        <v>413</v>
      </c>
      <c r="F250" s="21" t="str">
        <f aca="false">IF(OR(E250="",E250="!!!"),"",IF(NOT(ISNA(VLOOKUP(E250,Q$1:Q245,1,FALSE()))),"OLD",IF(AND(E250&lt;&gt;"",E250&lt;&gt;"!!!"),"NEW","")))</f>
        <v>NEW</v>
      </c>
      <c r="G250" s="22" t="s">
        <v>283</v>
      </c>
      <c r="H250" s="23" t="str">
        <f aca="false">IF(J250&lt;&gt;1,"",IF(I250="SBJ","CB","?"))</f>
        <v/>
      </c>
      <c r="I250" s="24" t="str">
        <f aca="false">IF(OR(E250="",E250="!!!",F250="NEW"),"",INDEX(N$2:N245,-1+SUMPRODUCT(MAX(ROW(E$2:E245)*(E250=E$2:E245)))))</f>
        <v/>
      </c>
      <c r="J250" s="25" t="str">
        <f aca="true">IF(OR(E250="",E250="!!!",F250="NEW"),"",COUNTBLANK(OFFSET(M$1,,,SUMPRODUCT(MAX(ROW(E$2:E246)*(E250=E$2:E246)))))-COUNTBLANK(OFFSET(M$1,,,SUMPRODUCT(MAX(ROW(Q$1:Q245)*(E250=Q$1:Q245))))))</f>
        <v/>
      </c>
      <c r="K250" s="25" t="str">
        <f aca="false">IF(OR(E250="",E250="!!!",F250="NEW"),"",INDEX(V$1:V245,SUMPRODUCT(MAX(ROW(Q$1:Q245)*(E250=Q$1:Q245)))))</f>
        <v/>
      </c>
      <c r="L250" s="26"/>
      <c r="M250" s="27"/>
      <c r="N250" s="29"/>
      <c r="O250" s="29"/>
      <c r="P250" s="29"/>
    </row>
    <row r="251" customFormat="false" ht="15" hidden="false" customHeight="false" outlineLevel="0" collapsed="false">
      <c r="A251" s="19" t="s">
        <v>414</v>
      </c>
      <c r="E251" s="20" t="str">
        <f aca="false">IF(P251="?OLD","!!!","")</f>
        <v/>
      </c>
      <c r="F251" s="21" t="str">
        <f aca="false">IF(OR(E251="",E251="!!!"),"",IF(NOT(ISNA(VLOOKUP(E251,Q$1:Q246,1,FALSE()))),"OLD",IF(AND(E251&lt;&gt;"",E251&lt;&gt;"!!!"),"NEW","")))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4" t="str">
        <f aca="false">IF(OR(E251="",E251="!!!",F251="NEW"),"",INDEX(N$2:N246,-1+SUMPRODUCT(MAX(ROW(E$2:E246)*(E251=E$2:E246)))))</f>
        <v/>
      </c>
      <c r="J251" s="25" t="str">
        <f aca="true">IF(OR(E251="",E251="!!!",F251="NEW"),"",COUNTBLANK(OFFSET(M$1,,,SUMPRODUCT(MAX(ROW(E$2:E247)*(E251=E$2:E247)))))-COUNTBLANK(OFFSET(M$1,,,SUMPRODUCT(MAX(ROW(Q$1:Q246)*(E251=Q$1:Q246))))))</f>
        <v/>
      </c>
      <c r="K251" s="25" t="str">
        <f aca="false">IF(OR(E251="",E251="!!!",F251="NEW"),"",INDEX(V$1:V246,SUMPRODUCT(MAX(ROW(Q$1:Q246)*(E251=Q$1:Q246)))))</f>
        <v/>
      </c>
      <c r="L251" s="26"/>
      <c r="M251" s="27"/>
    </row>
    <row r="252" customFormat="false" ht="15" hidden="false" customHeight="false" outlineLevel="0" collapsed="false">
      <c r="A252" s="19" t="s">
        <v>367</v>
      </c>
      <c r="E252" s="20" t="str">
        <f aca="false">IF(P252="?OLD","!!!","")</f>
        <v/>
      </c>
      <c r="F252" s="21" t="str">
        <f aca="false">IF(OR(E252="",E252="!!!"),"",IF(NOT(ISNA(VLOOKUP(E252,Q$1:Q247,1,FALSE()))),"OLD",IF(AND(E252&lt;&gt;"",E252&lt;&gt;"!!!"),"NEW","")))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IF(OR(E252="",E252="!!!",F252="NEW"),"",INDEX(N$2:N247,-1+SUMPRODUCT(MAX(ROW(E$2:E247)*(E252=E$2:E247)))))</f>
        <v/>
      </c>
      <c r="J252" s="25" t="str">
        <f aca="true">IF(OR(E252="",E252="!!!",F252="NEW"),"",COUNTBLANK(OFFSET(M$1,,,SUMPRODUCT(MAX(ROW(E$2:E248)*(E252=E$2:E248)))))-COUNTBLANK(OFFSET(M$1,,,SUMPRODUCT(MAX(ROW(Q$1:Q247)*(E252=Q$1:Q247))))))</f>
        <v/>
      </c>
      <c r="K252" s="25" t="str">
        <f aca="false">IF(OR(E252="",E252="!!!",F252="NEW"),"",INDEX(V$1:V247,SUMPRODUCT(MAX(ROW(Q$1:Q247)*(E252=Q$1:Q247)))))</f>
        <v/>
      </c>
      <c r="L252" s="26"/>
      <c r="M252" s="27"/>
    </row>
    <row r="253" customFormat="false" ht="15" hidden="false" customHeight="false" outlineLevel="0" collapsed="false">
      <c r="A253" s="19"/>
      <c r="E253" s="20" t="str">
        <f aca="false">IF(P253="?OLD","!!!","")</f>
        <v/>
      </c>
      <c r="F253" s="21" t="str">
        <f aca="false">IF(OR(E253="",E253="!!!"),"",IF(NOT(ISNA(VLOOKUP(E253,Q$1:Q248,1,FALSE()))),"OLD",IF(AND(E253&lt;&gt;"",E253&lt;&gt;"!!!"),"NEW","")))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IF(OR(E253="",E253="!!!",F253="NEW"),"",INDEX(N$2:N248,-1+SUMPRODUCT(MAX(ROW(E$2:E248)*(E253=E$2:E248)))))</f>
        <v/>
      </c>
      <c r="J253" s="25" t="str">
        <f aca="true">IF(OR(E253="",E253="!!!",F253="NEW"),"",COUNTBLANK(OFFSET(M$1,,,SUMPRODUCT(MAX(ROW(E$2:E249)*(E253=E$2:E249)))))-COUNTBLANK(OFFSET(M$1,,,SUMPRODUCT(MAX(ROW(Q$1:Q248)*(E253=Q$1:Q248))))))</f>
        <v/>
      </c>
      <c r="K253" s="25" t="str">
        <f aca="false">IF(OR(E253="",E253="!!!",F253="NEW"),"",INDEX(V$1:V248,SUMPRODUCT(MAX(ROW(Q$1:Q248)*(E253=Q$1:Q248)))))</f>
        <v/>
      </c>
      <c r="L253" s="26"/>
    </row>
    <row r="254" customFormat="false" ht="15" hidden="false" customHeight="false" outlineLevel="0" collapsed="false">
      <c r="A254" s="19" t="s">
        <v>362</v>
      </c>
      <c r="E254" s="20" t="str">
        <f aca="false">IF(P254="?OLD","!!!","")</f>
        <v/>
      </c>
      <c r="F254" s="21" t="str">
        <f aca="false">IF(OR(E254="",E254="!!!"),"",IF(NOT(ISNA(VLOOKUP(E254,Q$1:Q249,1,FALSE()))),"OLD",IF(AND(E254&lt;&gt;"",E254&lt;&gt;"!!!"),"NEW","")))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IF(OR(E254="",E254="!!!",F254="NEW"),"",INDEX(N$2:N249,-1+SUMPRODUCT(MAX(ROW(E$2:E249)*(E254=E$2:E249)))))</f>
        <v/>
      </c>
      <c r="J254" s="25" t="str">
        <f aca="true">IF(OR(E254="",E254="!!!",F254="NEW"),"",COUNTBLANK(OFFSET(M$1,,,SUMPRODUCT(MAX(ROW(E$2:E250)*(E254=E$2:E250)))))-COUNTBLANK(OFFSET(M$1,,,SUMPRODUCT(MAX(ROW(Q$1:Q249)*(E254=Q$1:Q249))))))</f>
        <v/>
      </c>
      <c r="K254" s="25" t="str">
        <f aca="false">IF(OR(E254="",E254="!!!",F254="NEW"),"",INDEX(V$1:V249,SUMPRODUCT(MAX(ROW(Q$1:Q249)*(E254=Q$1:Q249)))))</f>
        <v/>
      </c>
      <c r="L254" s="26"/>
      <c r="M254" s="27"/>
    </row>
    <row r="255" customFormat="false" ht="15" hidden="false" customHeight="false" outlineLevel="0" collapsed="false">
      <c r="A255" s="19" t="s">
        <v>415</v>
      </c>
      <c r="E255" s="20" t="str">
        <f aca="false">IF(P255="?OLD","!!!","")</f>
        <v/>
      </c>
      <c r="F255" s="21" t="str">
        <f aca="false">IF(OR(E255="",E255="!!!"),"",IF(NOT(ISNA(VLOOKUP(E255,Q$1:Q250,1,FALSE()))),"OLD",IF(AND(E255&lt;&gt;"",E255&lt;&gt;"!!!"),"NEW","")))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IF(OR(E255="",E255="!!!",F255="NEW"),"",INDEX(N$2:N250,-1+SUMPRODUCT(MAX(ROW(E$2:E250)*(E255=E$2:E250)))))</f>
        <v/>
      </c>
      <c r="J255" s="25" t="str">
        <f aca="true">IF(OR(E255="",E255="!!!",F255="NEW"),"",COUNTBLANK(OFFSET(M$1,,,SUMPRODUCT(MAX(ROW(E$2:E251)*(E255=E$2:E251)))))-COUNTBLANK(OFFSET(M$1,,,SUMPRODUCT(MAX(ROW(Q$1:Q250)*(E255=Q$1:Q250))))))</f>
        <v/>
      </c>
      <c r="K255" s="25" t="str">
        <f aca="false">IF(OR(E255="",E255="!!!",F255="NEW"),"",INDEX(V$1:V250,SUMPRODUCT(MAX(ROW(Q$1:Q250)*(E255=Q$1:Q250)))))</f>
        <v/>
      </c>
      <c r="L255" s="26"/>
      <c r="M255" s="27"/>
    </row>
    <row r="256" customFormat="false" ht="57.45" hidden="false" customHeight="false" outlineLevel="0" collapsed="false">
      <c r="A256" s="19" t="s">
        <v>317</v>
      </c>
      <c r="B256" s="28" t="s">
        <v>263</v>
      </c>
      <c r="C256" s="28" t="s">
        <v>264</v>
      </c>
      <c r="D256" s="28" t="s">
        <v>253</v>
      </c>
      <c r="E256" s="20"/>
      <c r="F256" s="21" t="str">
        <f aca="false">IF(OR(E256="",E256="!!!"),"",IF(NOT(ISNA(VLOOKUP(E256,Q$1:Q251,1,FALSE()))),"OLD",IF(AND(E256&lt;&gt;"",E256&lt;&gt;"!!!"),"NEW","")))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IF(OR(E256="",E256="!!!",F256="NEW"),"",INDEX(N$2:N251,-1+SUMPRODUCT(MAX(ROW(E$2:E251)*(E256=E$2:E251)))))</f>
        <v/>
      </c>
      <c r="J256" s="25" t="str">
        <f aca="true">IF(OR(E256="",E256="!!!",F256="NEW"),"",COUNTBLANK(OFFSET(M$1,,,SUMPRODUCT(MAX(ROW(E$2:E252)*(E256=E$2:E252)))))-COUNTBLANK(OFFSET(M$1,,,SUMPRODUCT(MAX(ROW(Q$1:Q251)*(E256=Q$1:Q251))))))</f>
        <v/>
      </c>
      <c r="K256" s="25" t="str">
        <f aca="false">IF(OR(E256="",E256="!!!",F256="NEW"),"",INDEX(V$1:V251,SUMPRODUCT(MAX(ROW(Q$1:Q251)*(E256=Q$1:Q251)))))</f>
        <v/>
      </c>
      <c r="L256" s="26" t="s">
        <v>409</v>
      </c>
      <c r="M256" s="27"/>
      <c r="N256" s="29"/>
      <c r="O256" s="29"/>
      <c r="P256" s="29"/>
    </row>
    <row r="257" customFormat="false" ht="15" hidden="false" customHeight="false" outlineLevel="0" collapsed="false">
      <c r="A257" s="19" t="s">
        <v>268</v>
      </c>
      <c r="E257" s="20" t="str">
        <f aca="false">IF(P257="?OLD","!!!","")</f>
        <v/>
      </c>
      <c r="F257" s="21" t="str">
        <f aca="false">IF(OR(E257="",E257="!!!"),"",IF(NOT(ISNA(VLOOKUP(E257,Q$1:Q252,1,FALSE()))),"OLD",IF(AND(E257&lt;&gt;"",E257&lt;&gt;"!!!"),"NEW","")))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IF(OR(E257="",E257="!!!",F257="NEW"),"",INDEX(N$2:N252,-1+SUMPRODUCT(MAX(ROW(E$2:E252)*(E257=E$2:E252)))))</f>
        <v/>
      </c>
      <c r="J257" s="25" t="str">
        <f aca="true">IF(OR(E257="",E257="!!!",F257="NEW"),"",COUNTBLANK(OFFSET(M$1,,,SUMPRODUCT(MAX(ROW(E$2:E253)*(E257=E$2:E253)))))-COUNTBLANK(OFFSET(M$1,,,SUMPRODUCT(MAX(ROW(Q$1:Q252)*(E257=Q$1:Q252))))))</f>
        <v/>
      </c>
      <c r="K257" s="25" t="str">
        <f aca="false">IF(OR(E257="",E257="!!!",F257="NEW"),"",INDEX(V$1:V252,SUMPRODUCT(MAX(ROW(Q$1:Q252)*(E257=Q$1:Q252)))))</f>
        <v/>
      </c>
      <c r="L257" s="26"/>
      <c r="M257" s="27"/>
    </row>
    <row r="258" customFormat="false" ht="15" hidden="false" customHeight="false" outlineLevel="0" collapsed="false">
      <c r="A258" s="19" t="s">
        <v>218</v>
      </c>
      <c r="E258" s="20" t="str">
        <f aca="false">IF(P258="?OLD","!!!","")</f>
        <v/>
      </c>
      <c r="F258" s="21" t="str">
        <f aca="false">IF(OR(E258="",E258="!!!"),"",IF(NOT(ISNA(VLOOKUP(E258,Q$1:Q253,1,FALSE()))),"OLD",IF(AND(E258&lt;&gt;"",E258&lt;&gt;"!!!"),"NEW","")))</f>
        <v/>
      </c>
      <c r="G258" s="22" t="str">
        <f aca="false">IF(OR(E258="",E258="!!!"),"",IF(OR(J258=0,AND(J258=1,K258=1),AND(J258=1,I258="SBJ"),AND(J258=1,I258=0)),"?IN_FOCUS",IF(J258&lt;=2,"?ACTIVATED",IF(J258&lt;&gt;"","?FAMILIAR",IF(F258="NEW",IF(ISNA(VLOOKUP(E258,#REF!,1,FALSE())),"?TYPE_IDENTIFIABLE","?REFERENTIAL"),"_")))))</f>
        <v/>
      </c>
      <c r="H258" s="23" t="str">
        <f aca="false">IF(J258&lt;&gt;1,"",IF(I258="SBJ","CB","?"))</f>
        <v/>
      </c>
      <c r="I258" s="24" t="str">
        <f aca="false">IF(OR(E258="",E258="!!!",F258="NEW"),"",INDEX(N$2:N253,-1+SUMPRODUCT(MAX(ROW(E$2:E253)*(E258=E$2:E253)))))</f>
        <v/>
      </c>
      <c r="J258" s="25" t="str">
        <f aca="true">IF(OR(E258="",E258="!!!",F258="NEW"),"",COUNTBLANK(OFFSET(M$1,,,SUMPRODUCT(MAX(ROW(E$2:E254)*(E258=E$2:E254)))))-COUNTBLANK(OFFSET(M$1,,,SUMPRODUCT(MAX(ROW(Q$1:Q253)*(E258=Q$1:Q253))))))</f>
        <v/>
      </c>
      <c r="K258" s="25" t="str">
        <f aca="false">IF(OR(E258="",E258="!!!",F258="NEW"),"",INDEX(V$1:V253,SUMPRODUCT(MAX(ROW(Q$1:Q253)*(E258=Q$1:Q253)))))</f>
        <v/>
      </c>
      <c r="L258" s="26"/>
      <c r="M258" s="27"/>
    </row>
    <row r="259" customFormat="false" ht="15" hidden="false" customHeight="false" outlineLevel="0" collapsed="false">
      <c r="A259" s="19" t="s">
        <v>57</v>
      </c>
      <c r="E259" s="20" t="str">
        <f aca="false">IF(P259="?OLD","!!!","")</f>
        <v/>
      </c>
      <c r="F259" s="21" t="str">
        <f aca="false">IF(OR(E259="",E259="!!!"),"",IF(NOT(ISNA(VLOOKUP(E259,Q$1:Q254,1,FALSE()))),"OLD",IF(AND(E259&lt;&gt;"",E259&lt;&gt;"!!!"),"NEW","")))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IF(OR(E259="",E259="!!!",F259="NEW"),"",INDEX(N$2:N254,-1+SUMPRODUCT(MAX(ROW(E$2:E254)*(E259=E$2:E254)))))</f>
        <v/>
      </c>
      <c r="J259" s="25" t="str">
        <f aca="true">IF(OR(E259="",E259="!!!",F259="NEW"),"",COUNTBLANK(OFFSET(M$1,,,SUMPRODUCT(MAX(ROW(E$2:E255)*(E259=E$2:E255)))))-COUNTBLANK(OFFSET(M$1,,,SUMPRODUCT(MAX(ROW(Q$1:Q254)*(E259=Q$1:Q254))))))</f>
        <v/>
      </c>
      <c r="K259" s="25" t="str">
        <f aca="false">IF(OR(E259="",E259="!!!",F259="NEW"),"",INDEX(V$1:V254,SUMPRODUCT(MAX(ROW(Q$1:Q254)*(E259=Q$1:Q254)))))</f>
        <v/>
      </c>
      <c r="L259" s="26"/>
      <c r="M259" s="27"/>
    </row>
    <row r="260" customFormat="false" ht="15" hidden="false" customHeight="false" outlineLevel="0" collapsed="false">
      <c r="A260" s="19" t="s">
        <v>261</v>
      </c>
      <c r="E260" s="20" t="str">
        <f aca="false">IF(P260="?OLD","!!!","")</f>
        <v/>
      </c>
      <c r="F260" s="21" t="str">
        <f aca="false">IF(OR(E260="",E260="!!!"),"",IF(NOT(ISNA(VLOOKUP(E260,Q$1:Q255,1,FALSE()))),"OLD",IF(AND(E260&lt;&gt;"",E260&lt;&gt;"!!!"),"NEW","")))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IF(OR(E260="",E260="!!!",F260="NEW"),"",INDEX(N$2:N255,-1+SUMPRODUCT(MAX(ROW(E$2:E255)*(E260=E$2:E255)))))</f>
        <v/>
      </c>
      <c r="J260" s="25" t="str">
        <f aca="true">IF(OR(E260="",E260="!!!",F260="NEW"),"",COUNTBLANK(OFFSET(M$1,,,SUMPRODUCT(MAX(ROW(E$2:E256)*(E260=E$2:E256)))))-COUNTBLANK(OFFSET(M$1,,,SUMPRODUCT(MAX(ROW(Q$1:Q255)*(E260=Q$1:Q255))))))</f>
        <v/>
      </c>
      <c r="K260" s="25" t="str">
        <f aca="false">IF(OR(E260="",E260="!!!",F260="NEW"),"",INDEX(V$1:V255,SUMPRODUCT(MAX(ROW(Q$1:Q255)*(E260=Q$1:Q255)))))</f>
        <v/>
      </c>
      <c r="L260" s="26"/>
      <c r="M260" s="27"/>
    </row>
    <row r="261" customFormat="false" ht="15" hidden="false" customHeight="false" outlineLevel="0" collapsed="false">
      <c r="A261" s="19" t="s">
        <v>294</v>
      </c>
      <c r="E261" s="20" t="str">
        <f aca="false">IF(P261="?OLD","!!!","")</f>
        <v/>
      </c>
      <c r="F261" s="21" t="str">
        <f aca="false">IF(OR(E261="",E261="!!!"),"",IF(NOT(ISNA(VLOOKUP(E261,Q$1:Q256,1,FALSE()))),"OLD",IF(AND(E261&lt;&gt;"",E261&lt;&gt;"!!!"),"NEW","")))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IF(OR(E261="",E261="!!!",F261="NEW"),"",INDEX(N$2:N256,-1+SUMPRODUCT(MAX(ROW(E$2:E256)*(E261=E$2:E256)))))</f>
        <v/>
      </c>
      <c r="J261" s="25" t="str">
        <f aca="true">IF(OR(E261="",E261="!!!",F261="NEW"),"",COUNTBLANK(OFFSET(M$1,,,SUMPRODUCT(MAX(ROW(E$2:E257)*(E261=E$2:E257)))))-COUNTBLANK(OFFSET(M$1,,,SUMPRODUCT(MAX(ROW(Q$1:Q256)*(E261=Q$1:Q256))))))</f>
        <v/>
      </c>
      <c r="K261" s="25" t="str">
        <f aca="false">IF(OR(E261="",E261="!!!",F261="NEW"),"",INDEX(V$1:V256,SUMPRODUCT(MAX(ROW(Q$1:Q256)*(E261=Q$1:Q256)))))</f>
        <v/>
      </c>
      <c r="L261" s="26"/>
      <c r="M261" s="27"/>
    </row>
    <row r="262" customFormat="false" ht="15" hidden="false" customHeight="false" outlineLevel="0" collapsed="false">
      <c r="A262" s="19" t="s">
        <v>268</v>
      </c>
      <c r="E262" s="20" t="str">
        <f aca="false">IF(P262="?OLD","!!!","")</f>
        <v/>
      </c>
      <c r="F262" s="21" t="str">
        <f aca="false">IF(OR(E262="",E262="!!!"),"",IF(NOT(ISNA(VLOOKUP(E262,Q$1:Q257,1,FALSE()))),"OLD",IF(AND(E262&lt;&gt;"",E262&lt;&gt;"!!!"),"NEW","")))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4" t="str">
        <f aca="false">IF(OR(E262="",E262="!!!",F262="NEW"),"",INDEX(N$2:N257,-1+SUMPRODUCT(MAX(ROW(E$2:E257)*(E262=E$2:E257)))))</f>
        <v/>
      </c>
      <c r="J262" s="25" t="str">
        <f aca="true">IF(OR(E262="",E262="!!!",F262="NEW"),"",COUNTBLANK(OFFSET(M$1,,,SUMPRODUCT(MAX(ROW(E$2:E258)*(E262=E$2:E258)))))-COUNTBLANK(OFFSET(M$1,,,SUMPRODUCT(MAX(ROW(Q$1:Q257)*(E262=Q$1:Q257))))))</f>
        <v/>
      </c>
      <c r="K262" s="25" t="str">
        <f aca="false">IF(OR(E262="",E262="!!!",F262="NEW"),"",INDEX(V$1:V257,SUMPRODUCT(MAX(ROW(Q$1:Q257)*(E262=Q$1:Q257)))))</f>
        <v/>
      </c>
      <c r="L262" s="26"/>
      <c r="M262" s="27"/>
    </row>
    <row r="263" customFormat="false" ht="15" hidden="false" customHeight="false" outlineLevel="0" collapsed="false">
      <c r="A263" s="19" t="s">
        <v>416</v>
      </c>
      <c r="E263" s="20" t="str">
        <f aca="false">IF(P263="?OLD","!!!","")</f>
        <v/>
      </c>
      <c r="F263" s="21" t="str">
        <f aca="false">IF(OR(E263="",E263="!!!"),"",IF(NOT(ISNA(VLOOKUP(E263,Q$1:Q258,1,FALSE()))),"OLD",IF(AND(E263&lt;&gt;"",E263&lt;&gt;"!!!"),"NEW","")))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IF(OR(E263="",E263="!!!",F263="NEW"),"",INDEX(N$2:N258,-1+SUMPRODUCT(MAX(ROW(E$2:E258)*(E263=E$2:E258)))))</f>
        <v/>
      </c>
      <c r="J263" s="25" t="str">
        <f aca="true">IF(OR(E263="",E263="!!!",F263="NEW"),"",COUNTBLANK(OFFSET(M$1,,,SUMPRODUCT(MAX(ROW(E$2:E259)*(E263=E$2:E259)))))-COUNTBLANK(OFFSET(M$1,,,SUMPRODUCT(MAX(ROW(Q$1:Q258)*(E263=Q$1:Q258))))))</f>
        <v/>
      </c>
      <c r="K263" s="25" t="str">
        <f aca="false">IF(OR(E263="",E263="!!!",F263="NEW"),"",INDEX(V$1:V258,SUMPRODUCT(MAX(ROW(Q$1:Q258)*(E263=Q$1:Q258)))))</f>
        <v/>
      </c>
      <c r="L263" s="26"/>
      <c r="M263" s="27"/>
    </row>
    <row r="264" customFormat="false" ht="15" hidden="false" customHeight="false" outlineLevel="0" collapsed="false">
      <c r="A264" s="19" t="s">
        <v>261</v>
      </c>
      <c r="E264" s="20" t="str">
        <f aca="false">IF(P264="?OLD","!!!","")</f>
        <v/>
      </c>
      <c r="F264" s="21" t="str">
        <f aca="false">IF(OR(E264="",E264="!!!"),"",IF(NOT(ISNA(VLOOKUP(E264,Q$1:Q259,1,FALSE()))),"OLD",IF(AND(E264&lt;&gt;"",E264&lt;&gt;"!!!"),"NEW","")))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IF(OR(E264="",E264="!!!",F264="NEW"),"",INDEX(N$2:N259,-1+SUMPRODUCT(MAX(ROW(E$2:E259)*(E264=E$2:E259)))))</f>
        <v/>
      </c>
      <c r="J264" s="25" t="str">
        <f aca="true">IF(OR(E264="",E264="!!!",F264="NEW"),"",COUNTBLANK(OFFSET(M$1,,,SUMPRODUCT(MAX(ROW(E$2:E260)*(E264=E$2:E260)))))-COUNTBLANK(OFFSET(M$1,,,SUMPRODUCT(MAX(ROW(Q$1:Q259)*(E264=Q$1:Q259))))))</f>
        <v/>
      </c>
      <c r="K264" s="25" t="str">
        <f aca="false">IF(OR(E264="",E264="!!!",F264="NEW"),"",INDEX(V$1:V259,SUMPRODUCT(MAX(ROW(Q$1:Q259)*(E264=Q$1:Q259)))))</f>
        <v/>
      </c>
      <c r="L264" s="26"/>
      <c r="M264" s="27"/>
    </row>
    <row r="265" customFormat="false" ht="15" hidden="false" customHeight="false" outlineLevel="0" collapsed="false">
      <c r="A265" s="19" t="s">
        <v>365</v>
      </c>
      <c r="E265" s="20" t="str">
        <f aca="false">IF(P265="?OLD","!!!","")</f>
        <v/>
      </c>
      <c r="F265" s="21" t="str">
        <f aca="false">IF(OR(E265="",E265="!!!"),"",IF(NOT(ISNA(VLOOKUP(E265,Q$1:Q260,1,FALSE()))),"OLD",IF(AND(E265&lt;&gt;"",E265&lt;&gt;"!!!"),"NEW","")))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IF(OR(E265="",E265="!!!",F265="NEW"),"",INDEX(N$2:N260,-1+SUMPRODUCT(MAX(ROW(E$2:E260)*(E265=E$2:E260)))))</f>
        <v/>
      </c>
      <c r="J265" s="25" t="str">
        <f aca="true">IF(OR(E265="",E265="!!!",F265="NEW"),"",COUNTBLANK(OFFSET(M$1,,,SUMPRODUCT(MAX(ROW(E$2:E261)*(E265=E$2:E261)))))-COUNTBLANK(OFFSET(M$1,,,SUMPRODUCT(MAX(ROW(Q$1:Q260)*(E265=Q$1:Q260))))))</f>
        <v/>
      </c>
      <c r="K265" s="25" t="str">
        <f aca="false">IF(OR(E265="",E265="!!!",F265="NEW"),"",INDEX(V$1:V260,SUMPRODUCT(MAX(ROW(Q$1:Q260)*(E265=Q$1:Q260)))))</f>
        <v/>
      </c>
      <c r="L265" s="26"/>
      <c r="M265" s="27"/>
    </row>
    <row r="266" customFormat="false" ht="15" hidden="false" customHeight="false" outlineLevel="0" collapsed="false">
      <c r="A266" s="19" t="s">
        <v>145</v>
      </c>
      <c r="B266" s="28" t="s">
        <v>286</v>
      </c>
      <c r="E266" s="20" t="str">
        <f aca="false">IF(P266="?OLD","!!!","")</f>
        <v/>
      </c>
      <c r="F266" s="21" t="str">
        <f aca="false">IF(OR(E266="",E266="!!!"),"",IF(NOT(ISNA(VLOOKUP(E266,Q$1:Q261,1,FALSE()))),"OLD",IF(AND(E266&lt;&gt;"",E266&lt;&gt;"!!!"),"NEW","")))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IF(OR(E266="",E266="!!!",F266="NEW"),"",INDEX(N$2:N261,-1+SUMPRODUCT(MAX(ROW(E$2:E261)*(E266=E$2:E261)))))</f>
        <v/>
      </c>
      <c r="J266" s="25" t="str">
        <f aca="true">IF(OR(E266="",E266="!!!",F266="NEW"),"",COUNTBLANK(OFFSET(M$1,,,SUMPRODUCT(MAX(ROW(E$2:E262)*(E266=E$2:E262)))))-COUNTBLANK(OFFSET(M$1,,,SUMPRODUCT(MAX(ROW(Q$1:Q261)*(E266=Q$1:Q261))))))</f>
        <v/>
      </c>
      <c r="K266" s="25" t="str">
        <f aca="false">IF(OR(E266="",E266="!!!",F266="NEW"),"",INDEX(V$1:V261,SUMPRODUCT(MAX(ROW(Q$1:Q261)*(E266=Q$1:Q261)))))</f>
        <v/>
      </c>
      <c r="L266" s="26"/>
      <c r="M266" s="27"/>
      <c r="N266" s="29"/>
    </row>
    <row r="267" customFormat="false" ht="15" hidden="false" customHeight="false" outlineLevel="0" collapsed="false">
      <c r="A267" s="19" t="s">
        <v>309</v>
      </c>
      <c r="E267" s="20" t="str">
        <f aca="false">IF(P267="?OLD","!!!","")</f>
        <v/>
      </c>
      <c r="F267" s="21" t="str">
        <f aca="false">IF(OR(E267="",E267="!!!"),"",IF(NOT(ISNA(VLOOKUP(E267,Q$1:Q262,1,FALSE()))),"OLD",IF(AND(E267&lt;&gt;"",E267&lt;&gt;"!!!"),"NEW","")))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IF(OR(E267="",E267="!!!",F267="NEW"),"",INDEX(N$2:N262,-1+SUMPRODUCT(MAX(ROW(E$2:E262)*(E267=E$2:E262)))))</f>
        <v/>
      </c>
      <c r="J267" s="25" t="str">
        <f aca="true">IF(OR(E267="",E267="!!!",F267="NEW"),"",COUNTBLANK(OFFSET(M$1,,,SUMPRODUCT(MAX(ROW(E$2:E263)*(E267=E$2:E263)))))-COUNTBLANK(OFFSET(M$1,,,SUMPRODUCT(MAX(ROW(Q$1:Q262)*(E267=Q$1:Q262))))))</f>
        <v/>
      </c>
      <c r="K267" s="25" t="str">
        <f aca="false">IF(OR(E267="",E267="!!!",F267="NEW"),"",INDEX(V$1:V262,SUMPRODUCT(MAX(ROW(Q$1:Q262)*(E267=Q$1:Q262)))))</f>
        <v/>
      </c>
      <c r="L267" s="26"/>
      <c r="M267" s="27"/>
    </row>
    <row r="268" customFormat="false" ht="15" hidden="false" customHeight="false" outlineLevel="0" collapsed="false">
      <c r="A268" s="19" t="s">
        <v>366</v>
      </c>
      <c r="E268" s="20" t="str">
        <f aca="false">IF(P268="?OLD","!!!","")</f>
        <v/>
      </c>
      <c r="F268" s="21" t="str">
        <f aca="false">IF(OR(E268="",E268="!!!"),"",IF(NOT(ISNA(VLOOKUP(E268,Q$1:Q263,1,FALSE()))),"OLD",IF(AND(E268&lt;&gt;"",E268&lt;&gt;"!!!"),"NEW","")))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IF(OR(E268="",E268="!!!",F268="NEW"),"",INDEX(N$2:N263,-1+SUMPRODUCT(MAX(ROW(E$2:E263)*(E268=E$2:E263)))))</f>
        <v/>
      </c>
      <c r="J268" s="25" t="str">
        <f aca="true">IF(OR(E268="",E268="!!!",F268="NEW"),"",COUNTBLANK(OFFSET(M$1,,,SUMPRODUCT(MAX(ROW(E$2:E264)*(E268=E$2:E264)))))-COUNTBLANK(OFFSET(M$1,,,SUMPRODUCT(MAX(ROW(Q$1:Q263)*(E268=Q$1:Q263))))))</f>
        <v/>
      </c>
      <c r="K268" s="25" t="str">
        <f aca="false">IF(OR(E268="",E268="!!!",F268="NEW"),"",INDEX(V$1:V263,SUMPRODUCT(MAX(ROW(Q$1:Q263)*(E268=Q$1:Q263)))))</f>
        <v/>
      </c>
      <c r="L268" s="26"/>
      <c r="M268" s="27"/>
    </row>
    <row r="269" customFormat="false" ht="15" hidden="false" customHeight="false" outlineLevel="0" collapsed="false">
      <c r="A269" s="19" t="s">
        <v>261</v>
      </c>
      <c r="E269" s="20" t="str">
        <f aca="false">IF(P269="?OLD","!!!","")</f>
        <v/>
      </c>
      <c r="F269" s="21" t="str">
        <f aca="false">IF(OR(E269="",E269="!!!"),"",IF(NOT(ISNA(VLOOKUP(E269,Q$1:Q264,1,FALSE()))),"OLD",IF(AND(E269&lt;&gt;"",E269&lt;&gt;"!!!"),"NEW","")))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4" t="str">
        <f aca="false">IF(OR(E269="",E269="!!!",F269="NEW"),"",INDEX(N$2:N264,-1+SUMPRODUCT(MAX(ROW(E$2:E264)*(E269=E$2:E264)))))</f>
        <v/>
      </c>
      <c r="J269" s="25" t="str">
        <f aca="true">IF(OR(E269="",E269="!!!",F269="NEW"),"",COUNTBLANK(OFFSET(M$1,,,SUMPRODUCT(MAX(ROW(E$2:E265)*(E269=E$2:E265)))))-COUNTBLANK(OFFSET(M$1,,,SUMPRODUCT(MAX(ROW(Q$1:Q264)*(E269=Q$1:Q264))))))</f>
        <v/>
      </c>
      <c r="K269" s="25" t="str">
        <f aca="false">IF(OR(E269="",E269="!!!",F269="NEW"),"",INDEX(V$1:V264,SUMPRODUCT(MAX(ROW(Q$1:Q264)*(E269=Q$1:Q264)))))</f>
        <v/>
      </c>
      <c r="L269" s="26"/>
      <c r="M269" s="27"/>
    </row>
    <row r="270" customFormat="false" ht="15" hidden="false" customHeight="false" outlineLevel="0" collapsed="false">
      <c r="A270" s="19" t="s">
        <v>367</v>
      </c>
      <c r="E270" s="20" t="str">
        <f aca="false">IF(P270="?OLD","!!!","")</f>
        <v/>
      </c>
      <c r="F270" s="21" t="str">
        <f aca="false">IF(OR(E270="",E270="!!!"),"",IF(NOT(ISNA(VLOOKUP(E270,Q$1:Q265,1,FALSE()))),"OLD",IF(AND(E270&lt;&gt;"",E270&lt;&gt;"!!!"),"NEW","")))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IF(OR(E270="",E270="!!!",F270="NEW"),"",INDEX(N$2:N265,-1+SUMPRODUCT(MAX(ROW(E$2:E265)*(E270=E$2:E265)))))</f>
        <v/>
      </c>
      <c r="J270" s="25" t="str">
        <f aca="true">IF(OR(E270="",E270="!!!",F270="NEW"),"",COUNTBLANK(OFFSET(M$1,,,SUMPRODUCT(MAX(ROW(E$2:E266)*(E270=E$2:E266)))))-COUNTBLANK(OFFSET(M$1,,,SUMPRODUCT(MAX(ROW(Q$1:Q265)*(E270=Q$1:Q265))))))</f>
        <v/>
      </c>
      <c r="K270" s="25" t="str">
        <f aca="false">IF(OR(E270="",E270="!!!",F270="NEW"),"",INDEX(V$1:V265,SUMPRODUCT(MAX(ROW(Q$1:Q265)*(E270=Q$1:Q265)))))</f>
        <v/>
      </c>
      <c r="L270" s="26"/>
      <c r="M270" s="27"/>
    </row>
    <row r="271" customFormat="false" ht="15" hidden="false" customHeight="false" outlineLevel="0" collapsed="false">
      <c r="A271" s="19" t="s">
        <v>417</v>
      </c>
      <c r="B271" s="28" t="s">
        <v>286</v>
      </c>
      <c r="C271" s="28" t="s">
        <v>418</v>
      </c>
      <c r="E271" s="20" t="str">
        <f aca="false">IF(P271="?OLD","!!!","")</f>
        <v/>
      </c>
      <c r="F271" s="21" t="str">
        <f aca="false">IF(OR(E271="",E271="!!!"),"",IF(NOT(ISNA(VLOOKUP(E271,Q$1:Q266,1,FALSE()))),"OLD",IF(AND(E271&lt;&gt;"",E271&lt;&gt;"!!!"),"NEW","")))</f>
        <v/>
      </c>
      <c r="G271" s="22" t="str">
        <f aca="false">IF(OR(E271="",E271="!!!"),"",IF(OR(J271=0,AND(J271=1,K271=1),AND(J271=1,I271="SBJ"),AND(J271=1,I271=0)),"?IN_FOCUS",IF(J271&lt;=2,"?ACTIVATED",IF(J271&lt;&gt;"","?FAMILIAR",IF(F271="NEW",IF(ISNA(VLOOKUP(E271,#REF!,1,FALSE())),"?TYPE_IDENTIFIABLE","?REFERENTIAL"),"_")))))</f>
        <v/>
      </c>
      <c r="H271" s="23" t="str">
        <f aca="false">IF(J271&lt;&gt;1,"",IF(I271="SBJ","CB","?"))</f>
        <v/>
      </c>
      <c r="I271" s="24" t="str">
        <f aca="false">IF(OR(E271="",E271="!!!",F271="NEW"),"",INDEX(N$2:N266,-1+SUMPRODUCT(MAX(ROW(E$2:E266)*(E271=E$2:E266)))))</f>
        <v/>
      </c>
      <c r="J271" s="25" t="str">
        <f aca="true">IF(OR(E271="",E271="!!!",F271="NEW"),"",COUNTBLANK(OFFSET(M$1,,,SUMPRODUCT(MAX(ROW(E$2:E267)*(E271=E$2:E267)))))-COUNTBLANK(OFFSET(M$1,,,SUMPRODUCT(MAX(ROW(Q$1:Q266)*(E271=Q$1:Q266))))))</f>
        <v/>
      </c>
      <c r="K271" s="25" t="str">
        <f aca="false">IF(OR(E271="",E271="!!!",F271="NEW"),"",INDEX(V$1:V266,SUMPRODUCT(MAX(ROW(Q$1:Q266)*(E271=Q$1:Q266)))))</f>
        <v/>
      </c>
      <c r="L271" s="26"/>
      <c r="M271" s="27"/>
      <c r="N271" s="29"/>
      <c r="O271" s="29"/>
    </row>
    <row r="272" customFormat="false" ht="15" hidden="false" customHeight="false" outlineLevel="0" collapsed="false">
      <c r="A272" s="19" t="s">
        <v>419</v>
      </c>
      <c r="E272" s="20" t="str">
        <f aca="false">IF(P272="?OLD","!!!","")</f>
        <v/>
      </c>
      <c r="F272" s="21" t="str">
        <f aca="false">IF(OR(E272="",E272="!!!"),"",IF(NOT(ISNA(VLOOKUP(E272,Q$1:Q267,1,FALSE()))),"OLD",IF(AND(E272&lt;&gt;"",E272&lt;&gt;"!!!"),"NEW","")))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IF(OR(E272="",E272="!!!",F272="NEW"),"",INDEX(N$2:N267,-1+SUMPRODUCT(MAX(ROW(E$2:E267)*(E272=E$2:E267)))))</f>
        <v/>
      </c>
      <c r="J272" s="25" t="str">
        <f aca="true">IF(OR(E272="",E272="!!!",F272="NEW"),"",COUNTBLANK(OFFSET(M$1,,,SUMPRODUCT(MAX(ROW(E$2:E268)*(E272=E$2:E268)))))-COUNTBLANK(OFFSET(M$1,,,SUMPRODUCT(MAX(ROW(Q$1:Q267)*(E272=Q$1:Q267))))))</f>
        <v/>
      </c>
      <c r="K272" s="25" t="str">
        <f aca="false">IF(OR(E272="",E272="!!!",F272="NEW"),"",INDEX(V$1:V267,SUMPRODUCT(MAX(ROW(Q$1:Q267)*(E272=Q$1:Q267)))))</f>
        <v/>
      </c>
      <c r="L272" s="26"/>
      <c r="M272" s="27"/>
    </row>
    <row r="273" customFormat="false" ht="23.85" hidden="false" customHeight="false" outlineLevel="0" collapsed="false">
      <c r="A273" s="19" t="s">
        <v>343</v>
      </c>
      <c r="B273" s="28" t="s">
        <v>251</v>
      </c>
      <c r="C273" s="28" t="s">
        <v>420</v>
      </c>
      <c r="D273" s="28" t="s">
        <v>253</v>
      </c>
      <c r="E273" s="20"/>
      <c r="F273" s="21" t="str">
        <f aca="false">IF(OR(E273="",E273="!!!"),"",IF(NOT(ISNA(VLOOKUP(E273,Q$1:Q268,1,FALSE()))),"OLD",IF(AND(E273&lt;&gt;"",E273&lt;&gt;"!!!"),"NEW","")))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IF(OR(E273="",E273="!!!",F273="NEW"),"",INDEX(N$2:N268,-1+SUMPRODUCT(MAX(ROW(E$2:E268)*(E273=E$2:E268)))))</f>
        <v/>
      </c>
      <c r="J273" s="25" t="str">
        <f aca="true">IF(OR(E273="",E273="!!!",F273="NEW"),"",COUNTBLANK(OFFSET(M$1,,,SUMPRODUCT(MAX(ROW(E$2:E269)*(E273=E$2:E269)))))-COUNTBLANK(OFFSET(M$1,,,SUMPRODUCT(MAX(ROW(Q$1:Q268)*(E273=Q$1:Q268))))))</f>
        <v/>
      </c>
      <c r="K273" s="25" t="str">
        <f aca="false">IF(OR(E273="",E273="!!!",F273="NEW"),"",INDEX(V$1:V268,SUMPRODUCT(MAX(ROW(Q$1:Q268)*(E273=Q$1:Q268)))))</f>
        <v/>
      </c>
      <c r="L273" s="26" t="s">
        <v>421</v>
      </c>
      <c r="M273" s="27"/>
      <c r="N273" s="29"/>
      <c r="O273" s="29"/>
      <c r="P273" s="29"/>
    </row>
    <row r="274" customFormat="false" ht="15" hidden="false" customHeight="false" outlineLevel="0" collapsed="false">
      <c r="A274" s="19" t="s">
        <v>422</v>
      </c>
      <c r="E274" s="20" t="str">
        <f aca="false">IF(P274="?OLD","!!!","")</f>
        <v/>
      </c>
      <c r="F274" s="21" t="str">
        <f aca="false">IF(OR(E274="",E274="!!!"),"",IF(NOT(ISNA(VLOOKUP(E274,Q$1:Q269,1,FALSE()))),"OLD",IF(AND(E274&lt;&gt;"",E274&lt;&gt;"!!!"),"NEW","")))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IF(OR(E274="",E274="!!!",F274="NEW"),"",INDEX(N$2:N269,-1+SUMPRODUCT(MAX(ROW(E$2:E269)*(E274=E$2:E269)))))</f>
        <v/>
      </c>
      <c r="J274" s="25" t="str">
        <f aca="true">IF(OR(E274="",E274="!!!",F274="NEW"),"",COUNTBLANK(OFFSET(M$1,,,SUMPRODUCT(MAX(ROW(E$2:E270)*(E274=E$2:E270)))))-COUNTBLANK(OFFSET(M$1,,,SUMPRODUCT(MAX(ROW(Q$1:Q269)*(E274=Q$1:Q269))))))</f>
        <v/>
      </c>
      <c r="K274" s="25" t="str">
        <f aca="false">IF(OR(E274="",E274="!!!",F274="NEW"),"",INDEX(V$1:V269,SUMPRODUCT(MAX(ROW(Q$1:Q269)*(E274=Q$1:Q269)))))</f>
        <v/>
      </c>
      <c r="L274" s="26"/>
      <c r="M274" s="27"/>
    </row>
    <row r="275" customFormat="false" ht="15" hidden="false" customHeight="false" outlineLevel="0" collapsed="false">
      <c r="A275" s="19" t="s">
        <v>375</v>
      </c>
      <c r="E275" s="20" t="str">
        <f aca="false">IF(P275="?OLD","!!!","")</f>
        <v/>
      </c>
      <c r="F275" s="21" t="str">
        <f aca="false">IF(OR(E275="",E275="!!!"),"",IF(NOT(ISNA(VLOOKUP(E275,Q$1:Q270,1,FALSE()))),"OLD",IF(AND(E275&lt;&gt;"",E275&lt;&gt;"!!!"),"NEW","")))</f>
        <v/>
      </c>
      <c r="G275" s="22" t="str">
        <f aca="false">IF(OR(E275="",E275="!!!"),"",IF(OR(J275=0,AND(J275=1,K275=1),AND(J275=1,I275="SBJ"),AND(J275=1,I275=0)),"?IN_FOCUS",IF(J275&lt;=2,"?ACTIVATED",IF(J275&lt;&gt;"","?FAMILIAR",IF(F275="NEW",IF(ISNA(VLOOKUP(E275,#REF!,1,FALSE())),"?TYPE_IDENTIFIABLE","?REFERENTIAL"),"_")))))</f>
        <v/>
      </c>
      <c r="H275" s="23" t="str">
        <f aca="false">IF(J275&lt;&gt;1,"",IF(I275="SBJ","CB","?"))</f>
        <v/>
      </c>
      <c r="I275" s="24" t="str">
        <f aca="false">IF(OR(E275="",E275="!!!",F275="NEW"),"",INDEX(N$2:N270,-1+SUMPRODUCT(MAX(ROW(E$2:E270)*(E275=E$2:E270)))))</f>
        <v/>
      </c>
      <c r="J275" s="25" t="str">
        <f aca="true">IF(OR(E275="",E275="!!!",F275="NEW"),"",COUNTBLANK(OFFSET(M$1,,,SUMPRODUCT(MAX(ROW(E$2:E271)*(E275=E$2:E271)))))-COUNTBLANK(OFFSET(M$1,,,SUMPRODUCT(MAX(ROW(Q$1:Q270)*(E275=Q$1:Q270))))))</f>
        <v/>
      </c>
      <c r="K275" s="25" t="str">
        <f aca="false">IF(OR(E275="",E275="!!!",F275="NEW"),"",INDEX(V$1:V270,SUMPRODUCT(MAX(ROW(Q$1:Q270)*(E275=Q$1:Q270)))))</f>
        <v/>
      </c>
      <c r="L275" s="26"/>
      <c r="M275" s="27"/>
    </row>
    <row r="276" customFormat="false" ht="15" hidden="false" customHeight="false" outlineLevel="0" collapsed="false">
      <c r="A276" s="19" t="s">
        <v>367</v>
      </c>
      <c r="E276" s="20" t="str">
        <f aca="false">IF(P276="?OLD","!!!","")</f>
        <v/>
      </c>
      <c r="F276" s="21" t="str">
        <f aca="false">IF(OR(E276="",E276="!!!"),"",IF(NOT(ISNA(VLOOKUP(E276,Q$1:Q271,1,FALSE()))),"OLD",IF(AND(E276&lt;&gt;"",E276&lt;&gt;"!!!"),"NEW","")))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4" t="str">
        <f aca="false">IF(OR(E276="",E276="!!!",F276="NEW"),"",INDEX(N$2:N271,-1+SUMPRODUCT(MAX(ROW(E$2:E271)*(E276=E$2:E271)))))</f>
        <v/>
      </c>
      <c r="J276" s="25" t="str">
        <f aca="true">IF(OR(E276="",E276="!!!",F276="NEW"),"",COUNTBLANK(OFFSET(M$1,,,SUMPRODUCT(MAX(ROW(E$2:E272)*(E276=E$2:E272)))))-COUNTBLANK(OFFSET(M$1,,,SUMPRODUCT(MAX(ROW(Q$1:Q271)*(E276=Q$1:Q271))))))</f>
        <v/>
      </c>
      <c r="K276" s="25" t="str">
        <f aca="false">IF(OR(E276="",E276="!!!",F276="NEW"),"",INDEX(V$1:V271,SUMPRODUCT(MAX(ROW(Q$1:Q271)*(E276=Q$1:Q271)))))</f>
        <v/>
      </c>
      <c r="L276" s="26"/>
      <c r="M276" s="27"/>
    </row>
    <row r="277" customFormat="false" ht="15" hidden="false" customHeight="false" outlineLevel="0" collapsed="false">
      <c r="A277" s="19"/>
      <c r="E277" s="20" t="str">
        <f aca="false">IF(P277="?OLD","!!!","")</f>
        <v/>
      </c>
      <c r="F277" s="21" t="str">
        <f aca="false">IF(OR(E277="",E277="!!!"),"",IF(NOT(ISNA(VLOOKUP(E277,Q$1:Q272,1,FALSE()))),"OLD",IF(AND(E277&lt;&gt;"",E277&lt;&gt;"!!!"),"NEW","")))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4" t="str">
        <f aca="false">IF(OR(E277="",E277="!!!",F277="NEW"),"",INDEX(N$2:N272,-1+SUMPRODUCT(MAX(ROW(E$2:E272)*(E277=E$2:E272)))))</f>
        <v/>
      </c>
      <c r="J277" s="25" t="str">
        <f aca="true">IF(OR(E277="",E277="!!!",F277="NEW"),"",COUNTBLANK(OFFSET(M$1,,,SUMPRODUCT(MAX(ROW(E$2:E273)*(E277=E$2:E273)))))-COUNTBLANK(OFFSET(M$1,,,SUMPRODUCT(MAX(ROW(Q$1:Q272)*(E277=Q$1:Q272))))))</f>
        <v/>
      </c>
      <c r="K277" s="25" t="str">
        <f aca="false">IF(OR(E277="",E277="!!!",F277="NEW"),"",INDEX(V$1:V272,SUMPRODUCT(MAX(ROW(Q$1:Q272)*(E277=Q$1:Q272)))))</f>
        <v/>
      </c>
      <c r="L277" s="26"/>
    </row>
    <row r="278" customFormat="false" ht="15" hidden="false" customHeight="false" outlineLevel="0" collapsed="false">
      <c r="A278" s="19" t="s">
        <v>362</v>
      </c>
      <c r="E278" s="20" t="str">
        <f aca="false">IF(P278="?OLD","!!!","")</f>
        <v/>
      </c>
      <c r="F278" s="21" t="str">
        <f aca="false">IF(OR(E278="",E278="!!!"),"",IF(NOT(ISNA(VLOOKUP(E278,Q$1:Q273,1,FALSE()))),"OLD",IF(AND(E278&lt;&gt;"",E278&lt;&gt;"!!!"),"NEW","")))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IF(OR(E278="",E278="!!!",F278="NEW"),"",INDEX(N$2:N273,-1+SUMPRODUCT(MAX(ROW(E$2:E273)*(E278=E$2:E273)))))</f>
        <v/>
      </c>
      <c r="J278" s="25" t="str">
        <f aca="true">IF(OR(E278="",E278="!!!",F278="NEW"),"",COUNTBLANK(OFFSET(M$1,,,SUMPRODUCT(MAX(ROW(E$2:E274)*(E278=E$2:E274)))))-COUNTBLANK(OFFSET(M$1,,,SUMPRODUCT(MAX(ROW(Q$1:Q273)*(E278=Q$1:Q273))))))</f>
        <v/>
      </c>
      <c r="K278" s="25" t="str">
        <f aca="false">IF(OR(E278="",E278="!!!",F278="NEW"),"",INDEX(V$1:V273,SUMPRODUCT(MAX(ROW(Q$1:Q273)*(E278=Q$1:Q273)))))</f>
        <v/>
      </c>
      <c r="L278" s="26"/>
      <c r="M278" s="27"/>
    </row>
    <row r="279" customFormat="false" ht="15" hidden="false" customHeight="false" outlineLevel="0" collapsed="false">
      <c r="A279" s="19" t="s">
        <v>423</v>
      </c>
      <c r="E279" s="20" t="str">
        <f aca="false">IF(P279="?OLD","!!!","")</f>
        <v/>
      </c>
      <c r="F279" s="21" t="str">
        <f aca="false">IF(OR(E279="",E279="!!!"),"",IF(NOT(ISNA(VLOOKUP(E279,Q$1:Q274,1,FALSE()))),"OLD",IF(AND(E279&lt;&gt;"",E279&lt;&gt;"!!!"),"NEW","")))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IF(OR(E279="",E279="!!!",F279="NEW"),"",INDEX(N$2:N274,-1+SUMPRODUCT(MAX(ROW(E$2:E274)*(E279=E$2:E274)))))</f>
        <v/>
      </c>
      <c r="J279" s="25" t="str">
        <f aca="true">IF(OR(E279="",E279="!!!",F279="NEW"),"",COUNTBLANK(OFFSET(M$1,,,SUMPRODUCT(MAX(ROW(E$2:E275)*(E279=E$2:E275)))))-COUNTBLANK(OFFSET(M$1,,,SUMPRODUCT(MAX(ROW(Q$1:Q274)*(E279=Q$1:Q274))))))</f>
        <v/>
      </c>
      <c r="K279" s="25" t="str">
        <f aca="false">IF(OR(E279="",E279="!!!",F279="NEW"),"",INDEX(V$1:V274,SUMPRODUCT(MAX(ROW(Q$1:Q274)*(E279=Q$1:Q274)))))</f>
        <v/>
      </c>
      <c r="L279" s="26"/>
      <c r="M279" s="27"/>
    </row>
    <row r="280" customFormat="false" ht="15" hidden="false" customHeight="false" outlineLevel="0" collapsed="false">
      <c r="A280" s="19" t="s">
        <v>424</v>
      </c>
      <c r="B280" s="28" t="s">
        <v>263</v>
      </c>
      <c r="C280" s="28" t="s">
        <v>259</v>
      </c>
      <c r="E280" s="20" t="str">
        <f aca="false">IF(P280="?OLD","!!!","")</f>
        <v/>
      </c>
      <c r="F280" s="21" t="str">
        <f aca="false">IF(OR(E280="",E280="!!!"),"",IF(NOT(ISNA(VLOOKUP(E280,Q$1:Q275,1,FALSE()))),"OLD",IF(AND(E280&lt;&gt;"",E280&lt;&gt;"!!!"),"NEW","")))</f>
        <v/>
      </c>
      <c r="G280" s="22" t="str">
        <f aca="false">IF(OR(E280="",E280="!!!"),"",IF(OR(J280=0,AND(J280=1,K280=1),AND(J280=1,I280="SBJ"),AND(J280=1,I280=0)),"?IN_FOCUS",IF(J280&lt;=2,"?ACTIVATED",IF(J280&lt;&gt;"","?FAMILIAR",IF(F280="NEW",IF(ISNA(VLOOKUP(E280,#REF!,1,FALSE())),"?TYPE_IDENTIFIABLE","?REFERENTIAL"),"_")))))</f>
        <v/>
      </c>
      <c r="H280" s="23" t="str">
        <f aca="false">IF(J280&lt;&gt;1,"",IF(I280="SBJ","CB","?"))</f>
        <v/>
      </c>
      <c r="I280" s="24" t="str">
        <f aca="false">IF(OR(E280="",E280="!!!",F280="NEW"),"",INDEX(N$2:N275,-1+SUMPRODUCT(MAX(ROW(E$2:E275)*(E280=E$2:E275)))))</f>
        <v/>
      </c>
      <c r="J280" s="25" t="str">
        <f aca="true">IF(OR(E280="",E280="!!!",F280="NEW"),"",COUNTBLANK(OFFSET(M$1,,,SUMPRODUCT(MAX(ROW(E$2:E276)*(E280=E$2:E276)))))-COUNTBLANK(OFFSET(M$1,,,SUMPRODUCT(MAX(ROW(Q$1:Q275)*(E280=Q$1:Q275))))))</f>
        <v/>
      </c>
      <c r="K280" s="25" t="str">
        <f aca="false">IF(OR(E280="",E280="!!!",F280="NEW"),"",INDEX(V$1:V275,SUMPRODUCT(MAX(ROW(Q$1:Q275)*(E280=Q$1:Q275)))))</f>
        <v/>
      </c>
      <c r="L280" s="26"/>
      <c r="M280" s="27"/>
      <c r="N280" s="29"/>
      <c r="O280" s="29"/>
    </row>
    <row r="281" customFormat="false" ht="15" hidden="false" customHeight="false" outlineLevel="0" collapsed="false">
      <c r="A281" s="19" t="s">
        <v>261</v>
      </c>
      <c r="E281" s="20" t="str">
        <f aca="false">IF(P281="?OLD","!!!","")</f>
        <v/>
      </c>
      <c r="F281" s="21" t="str">
        <f aca="false">IF(OR(E281="",E281="!!!"),"",IF(NOT(ISNA(VLOOKUP(E281,Q$1:Q276,1,FALSE()))),"OLD",IF(AND(E281&lt;&gt;"",E281&lt;&gt;"!!!"),"NEW","")))</f>
        <v/>
      </c>
      <c r="G281" s="22" t="str">
        <f aca="false">IF(OR(E281="",E281="!!!"),"",IF(OR(J281=0,AND(J281=1,K281=1),AND(J281=1,I281="SBJ"),AND(J281=1,I281=0)),"?IN_FOCUS",IF(J281&lt;=2,"?ACTIVATED",IF(J281&lt;&gt;"","?FAMILIAR",IF(F281="NEW",IF(ISNA(VLOOKUP(E281,#REF!,1,FALSE())),"?TYPE_IDENTIFIABLE","?REFERENTIAL"),"_")))))</f>
        <v/>
      </c>
      <c r="H281" s="23" t="str">
        <f aca="false">IF(J281&lt;&gt;1,"",IF(I281="SBJ","CB","?"))</f>
        <v/>
      </c>
      <c r="I281" s="24" t="str">
        <f aca="false">IF(OR(E281="",E281="!!!",F281="NEW"),"",INDEX(N$2:N276,-1+SUMPRODUCT(MAX(ROW(E$2:E276)*(E281=E$2:E276)))))</f>
        <v/>
      </c>
      <c r="J281" s="25" t="str">
        <f aca="true">IF(OR(E281="",E281="!!!",F281="NEW"),"",COUNTBLANK(OFFSET(M$1,,,SUMPRODUCT(MAX(ROW(E$2:E277)*(E281=E$2:E277)))))-COUNTBLANK(OFFSET(M$1,,,SUMPRODUCT(MAX(ROW(Q$1:Q276)*(E281=Q$1:Q276))))))</f>
        <v/>
      </c>
      <c r="K281" s="25" t="str">
        <f aca="false">IF(OR(E281="",E281="!!!",F281="NEW"),"",INDEX(V$1:V276,SUMPRODUCT(MAX(ROW(Q$1:Q276)*(E281=Q$1:Q276)))))</f>
        <v/>
      </c>
      <c r="L281" s="26"/>
      <c r="M281" s="27"/>
    </row>
    <row r="282" customFormat="false" ht="15" hidden="false" customHeight="false" outlineLevel="0" collapsed="false">
      <c r="A282" s="19" t="s">
        <v>425</v>
      </c>
      <c r="E282" s="20" t="str">
        <f aca="false">IF(P282="?OLD","!!!","")</f>
        <v/>
      </c>
      <c r="F282" s="21" t="str">
        <f aca="false">IF(OR(E282="",E282="!!!"),"",IF(NOT(ISNA(VLOOKUP(E282,Q$1:Q277,1,FALSE()))),"OLD",IF(AND(E282&lt;&gt;"",E282&lt;&gt;"!!!"),"NEW","")))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4" t="str">
        <f aca="false">IF(OR(E282="",E282="!!!",F282="NEW"),"",INDEX(N$2:N277,-1+SUMPRODUCT(MAX(ROW(E$2:E277)*(E282=E$2:E277)))))</f>
        <v/>
      </c>
      <c r="J282" s="25" t="str">
        <f aca="true">IF(OR(E282="",E282="!!!",F282="NEW"),"",COUNTBLANK(OFFSET(M$1,,,SUMPRODUCT(MAX(ROW(E$2:E278)*(E282=E$2:E278)))))-COUNTBLANK(OFFSET(M$1,,,SUMPRODUCT(MAX(ROW(Q$1:Q277)*(E282=Q$1:Q277))))))</f>
        <v/>
      </c>
      <c r="K282" s="25" t="str">
        <f aca="false">IF(OR(E282="",E282="!!!",F282="NEW"),"",INDEX(V$1:V277,SUMPRODUCT(MAX(ROW(Q$1:Q277)*(E282=Q$1:Q277)))))</f>
        <v/>
      </c>
      <c r="L282" s="26"/>
      <c r="M282" s="27"/>
    </row>
    <row r="283" customFormat="false" ht="15" hidden="false" customHeight="false" outlineLevel="0" collapsed="false">
      <c r="A283" s="19" t="s">
        <v>261</v>
      </c>
      <c r="E283" s="20" t="str">
        <f aca="false">IF(P283="?OLD","!!!","")</f>
        <v/>
      </c>
      <c r="F283" s="21" t="str">
        <f aca="false">IF(OR(E283="",E283="!!!"),"",IF(NOT(ISNA(VLOOKUP(E283,Q$1:Q278,1,FALSE()))),"OLD",IF(AND(E283&lt;&gt;"",E283&lt;&gt;"!!!"),"NEW","")))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IF(OR(E283="",E283="!!!",F283="NEW"),"",INDEX(N$2:N278,-1+SUMPRODUCT(MAX(ROW(E$2:E278)*(E283=E$2:E278)))))</f>
        <v/>
      </c>
      <c r="J283" s="25" t="str">
        <f aca="true">IF(OR(E283="",E283="!!!",F283="NEW"),"",COUNTBLANK(OFFSET(M$1,,,SUMPRODUCT(MAX(ROW(E$2:E279)*(E283=E$2:E279)))))-COUNTBLANK(OFFSET(M$1,,,SUMPRODUCT(MAX(ROW(Q$1:Q278)*(E283=Q$1:Q278))))))</f>
        <v/>
      </c>
      <c r="K283" s="25" t="str">
        <f aca="false">IF(OR(E283="",E283="!!!",F283="NEW"),"",INDEX(V$1:V278,SUMPRODUCT(MAX(ROW(Q$1:Q278)*(E283=Q$1:Q278)))))</f>
        <v/>
      </c>
      <c r="L283" s="26"/>
      <c r="M283" s="27"/>
    </row>
    <row r="284" customFormat="false" ht="15" hidden="false" customHeight="false" outlineLevel="0" collapsed="false">
      <c r="A284" s="19" t="s">
        <v>426</v>
      </c>
      <c r="E284" s="20" t="str">
        <f aca="false">IF(P284="?OLD","!!!","")</f>
        <v/>
      </c>
      <c r="F284" s="21" t="str">
        <f aca="false">IF(OR(E284="",E284="!!!"),"",IF(NOT(ISNA(VLOOKUP(E284,Q$1:Q279,1,FALSE()))),"OLD",IF(AND(E284&lt;&gt;"",E284&lt;&gt;"!!!"),"NEW","")))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4" t="str">
        <f aca="false">IF(OR(E284="",E284="!!!",F284="NEW"),"",INDEX(N$2:N279,-1+SUMPRODUCT(MAX(ROW(E$2:E279)*(E284=E$2:E279)))))</f>
        <v/>
      </c>
      <c r="J284" s="25" t="str">
        <f aca="true">IF(OR(E284="",E284="!!!",F284="NEW"),"",COUNTBLANK(OFFSET(M$1,,,SUMPRODUCT(MAX(ROW(E$2:E280)*(E284=E$2:E280)))))-COUNTBLANK(OFFSET(M$1,,,SUMPRODUCT(MAX(ROW(Q$1:Q279)*(E284=Q$1:Q279))))))</f>
        <v/>
      </c>
      <c r="K284" s="25" t="str">
        <f aca="false">IF(OR(E284="",E284="!!!",F284="NEW"),"",INDEX(V$1:V279,SUMPRODUCT(MAX(ROW(Q$1:Q279)*(E284=Q$1:Q279)))))</f>
        <v/>
      </c>
      <c r="L284" s="26"/>
      <c r="M284" s="27"/>
    </row>
    <row r="285" customFormat="false" ht="15" hidden="false" customHeight="false" outlineLevel="0" collapsed="false">
      <c r="A285" s="19" t="s">
        <v>261</v>
      </c>
      <c r="E285" s="20" t="str">
        <f aca="false">IF(P285="?OLD","!!!","")</f>
        <v/>
      </c>
      <c r="F285" s="21" t="str">
        <f aca="false">IF(OR(E285="",E285="!!!"),"",IF(NOT(ISNA(VLOOKUP(E285,Q$1:Q280,1,FALSE()))),"OLD",IF(AND(E285&lt;&gt;"",E285&lt;&gt;"!!!"),"NEW","")))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4" t="str">
        <f aca="false">IF(OR(E285="",E285="!!!",F285="NEW"),"",INDEX(N$2:N280,-1+SUMPRODUCT(MAX(ROW(E$2:E280)*(E285=E$2:E280)))))</f>
        <v/>
      </c>
      <c r="J285" s="25" t="str">
        <f aca="true">IF(OR(E285="",E285="!!!",F285="NEW"),"",COUNTBLANK(OFFSET(M$1,,,SUMPRODUCT(MAX(ROW(E$2:E281)*(E285=E$2:E281)))))-COUNTBLANK(OFFSET(M$1,,,SUMPRODUCT(MAX(ROW(Q$1:Q280)*(E285=Q$1:Q280))))))</f>
        <v/>
      </c>
      <c r="K285" s="25" t="str">
        <f aca="false">IF(OR(E285="",E285="!!!",F285="NEW"),"",INDEX(V$1:V280,SUMPRODUCT(MAX(ROW(Q$1:Q280)*(E285=Q$1:Q280)))))</f>
        <v/>
      </c>
      <c r="L285" s="26"/>
      <c r="M285" s="27"/>
    </row>
    <row r="286" customFormat="false" ht="15" hidden="false" customHeight="false" outlineLevel="0" collapsed="false">
      <c r="A286" s="19" t="s">
        <v>367</v>
      </c>
      <c r="E286" s="20" t="str">
        <f aca="false">IF(P286="?OLD","!!!","")</f>
        <v/>
      </c>
      <c r="F286" s="21" t="str">
        <f aca="false">IF(OR(E286="",E286="!!!"),"",IF(NOT(ISNA(VLOOKUP(E286,Q$1:Q281,1,FALSE()))),"OLD",IF(AND(E286&lt;&gt;"",E286&lt;&gt;"!!!"),"NEW","")))</f>
        <v/>
      </c>
      <c r="G286" s="22" t="str">
        <f aca="false">IF(OR(E286="",E286="!!!"),"",IF(OR(J286=0,AND(J286=1,K286=1),AND(J286=1,I286="SBJ"),AND(J286=1,I286=0)),"?IN_FOCUS",IF(J286&lt;=2,"?ACTIVATED",IF(J286&lt;&gt;"","?FAMILIAR",IF(F286="NEW",IF(ISNA(VLOOKUP(E286,#REF!,1,FALSE())),"?TYPE_IDENTIFIABLE","?REFERENTIAL"),"_")))))</f>
        <v/>
      </c>
      <c r="H286" s="23" t="str">
        <f aca="false">IF(J286&lt;&gt;1,"",IF(I286="SBJ","CB","?"))</f>
        <v/>
      </c>
      <c r="I286" s="24" t="str">
        <f aca="false">IF(OR(E286="",E286="!!!",F286="NEW"),"",INDEX(N$2:N281,-1+SUMPRODUCT(MAX(ROW(E$2:E281)*(E286=E$2:E281)))))</f>
        <v/>
      </c>
      <c r="J286" s="25" t="str">
        <f aca="true">IF(OR(E286="",E286="!!!",F286="NEW"),"",COUNTBLANK(OFFSET(M$1,,,SUMPRODUCT(MAX(ROW(E$2:E282)*(E286=E$2:E282)))))-COUNTBLANK(OFFSET(M$1,,,SUMPRODUCT(MAX(ROW(Q$1:Q281)*(E286=Q$1:Q281))))))</f>
        <v/>
      </c>
      <c r="K286" s="25" t="str">
        <f aca="false">IF(OR(E286="",E286="!!!",F286="NEW"),"",INDEX(V$1:V281,SUMPRODUCT(MAX(ROW(Q$1:Q281)*(E286=Q$1:Q281)))))</f>
        <v/>
      </c>
      <c r="L286" s="26"/>
      <c r="M286" s="27"/>
    </row>
    <row r="287" customFormat="false" ht="57.45" hidden="false" customHeight="false" outlineLevel="0" collapsed="false">
      <c r="A287" s="19" t="s">
        <v>317</v>
      </c>
      <c r="B287" s="28" t="s">
        <v>251</v>
      </c>
      <c r="C287" s="28" t="s">
        <v>264</v>
      </c>
      <c r="D287" s="28" t="s">
        <v>253</v>
      </c>
      <c r="E287" s="20"/>
      <c r="F287" s="21" t="str">
        <f aca="false">IF(OR(E287="",E287="!!!"),"",IF(NOT(ISNA(VLOOKUP(E287,Q$1:Q282,1,FALSE()))),"OLD",IF(AND(E287&lt;&gt;"",E287&lt;&gt;"!!!"),"NEW","")))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IF(OR(E287="",E287="!!!",F287="NEW"),"",INDEX(N$2:N282,-1+SUMPRODUCT(MAX(ROW(E$2:E282)*(E287=E$2:E282)))))</f>
        <v/>
      </c>
      <c r="J287" s="25" t="str">
        <f aca="true">IF(OR(E287="",E287="!!!",F287="NEW"),"",COUNTBLANK(OFFSET(M$1,,,SUMPRODUCT(MAX(ROW(E$2:E283)*(E287=E$2:E283)))))-COUNTBLANK(OFFSET(M$1,,,SUMPRODUCT(MAX(ROW(Q$1:Q282)*(E287=Q$1:Q282))))))</f>
        <v/>
      </c>
      <c r="K287" s="25" t="str">
        <f aca="false">IF(OR(E287="",E287="!!!",F287="NEW"),"",INDEX(V$1:V282,SUMPRODUCT(MAX(ROW(Q$1:Q282)*(E287=Q$1:Q282)))))</f>
        <v/>
      </c>
      <c r="L287" s="26" t="s">
        <v>409</v>
      </c>
      <c r="M287" s="27"/>
      <c r="N287" s="29"/>
      <c r="O287" s="29"/>
      <c r="P287" s="29"/>
    </row>
    <row r="288" customFormat="false" ht="15" hidden="false" customHeight="false" outlineLevel="0" collapsed="false">
      <c r="A288" s="19" t="s">
        <v>369</v>
      </c>
      <c r="E288" s="20" t="str">
        <f aca="false">IF(P288="?OLD","!!!","")</f>
        <v/>
      </c>
      <c r="F288" s="21" t="str">
        <f aca="false">IF(OR(E288="",E288="!!!"),"",IF(NOT(ISNA(VLOOKUP(E288,Q$1:Q283,1,FALSE()))),"OLD",IF(AND(E288&lt;&gt;"",E288&lt;&gt;"!!!"),"NEW","")))</f>
        <v/>
      </c>
      <c r="G288" s="22" t="str">
        <f aca="false">IF(OR(E288="",E288="!!!"),"",IF(OR(J288=0,AND(J288=1,K288=1),AND(J288=1,I288="SBJ"),AND(J288=1,I288=0)),"?IN_FOCUS",IF(J288&lt;=2,"?ACTIVATED",IF(J288&lt;&gt;"","?FAMILIAR",IF(F288="NEW",IF(ISNA(VLOOKUP(E288,#REF!,1,FALSE())),"?TYPE_IDENTIFIABLE","?REFERENTIAL"),"_")))))</f>
        <v/>
      </c>
      <c r="H288" s="23" t="str">
        <f aca="false">IF(J288&lt;&gt;1,"",IF(I288="SBJ","CB","?"))</f>
        <v/>
      </c>
      <c r="I288" s="24" t="str">
        <f aca="false">IF(OR(E288="",E288="!!!",F288="NEW"),"",INDEX(N$2:N283,-1+SUMPRODUCT(MAX(ROW(E$2:E283)*(E288=E$2:E283)))))</f>
        <v/>
      </c>
      <c r="J288" s="25" t="str">
        <f aca="true">IF(OR(E288="",E288="!!!",F288="NEW"),"",COUNTBLANK(OFFSET(M$1,,,SUMPRODUCT(MAX(ROW(E$2:E284)*(E288=E$2:E284)))))-COUNTBLANK(OFFSET(M$1,,,SUMPRODUCT(MAX(ROW(Q$1:Q283)*(E288=Q$1:Q283))))))</f>
        <v/>
      </c>
      <c r="K288" s="25" t="str">
        <f aca="false">IF(OR(E288="",E288="!!!",F288="NEW"),"",INDEX(V$1:V283,SUMPRODUCT(MAX(ROW(Q$1:Q283)*(E288=Q$1:Q283)))))</f>
        <v/>
      </c>
      <c r="L288" s="26"/>
      <c r="M288" s="27"/>
    </row>
    <row r="289" customFormat="false" ht="15" hidden="false" customHeight="false" outlineLevel="0" collapsed="false">
      <c r="A289" s="19" t="s">
        <v>297</v>
      </c>
      <c r="E289" s="20" t="str">
        <f aca="false">IF(P289="?OLD","!!!","")</f>
        <v/>
      </c>
      <c r="F289" s="21" t="str">
        <f aca="false">IF(OR(E289="",E289="!!!"),"",IF(NOT(ISNA(VLOOKUP(E289,Q$1:Q284,1,FALSE()))),"OLD",IF(AND(E289&lt;&gt;"",E289&lt;&gt;"!!!"),"NEW","")))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4" t="str">
        <f aca="false">IF(OR(E289="",E289="!!!",F289="NEW"),"",INDEX(N$2:N284,-1+SUMPRODUCT(MAX(ROW(E$2:E284)*(E289=E$2:E284)))))</f>
        <v/>
      </c>
      <c r="J289" s="25" t="str">
        <f aca="true">IF(OR(E289="",E289="!!!",F289="NEW"),"",COUNTBLANK(OFFSET(M$1,,,SUMPRODUCT(MAX(ROW(E$2:E285)*(E289=E$2:E285)))))-COUNTBLANK(OFFSET(M$1,,,SUMPRODUCT(MAX(ROW(Q$1:Q284)*(E289=Q$1:Q284))))))</f>
        <v/>
      </c>
      <c r="K289" s="25" t="str">
        <f aca="false">IF(OR(E289="",E289="!!!",F289="NEW"),"",INDEX(V$1:V284,SUMPRODUCT(MAX(ROW(Q$1:Q284)*(E289=Q$1:Q284)))))</f>
        <v/>
      </c>
      <c r="L289" s="26"/>
      <c r="M289" s="27"/>
    </row>
    <row r="290" customFormat="false" ht="15" hidden="false" customHeight="false" outlineLevel="0" collapsed="false">
      <c r="A290" s="19" t="s">
        <v>269</v>
      </c>
      <c r="E290" s="20" t="str">
        <f aca="false">IF(P290="?OLD","!!!","")</f>
        <v/>
      </c>
      <c r="F290" s="21" t="str">
        <f aca="false">IF(OR(E290="",E290="!!!"),"",IF(NOT(ISNA(VLOOKUP(E290,Q$1:Q285,1,FALSE()))),"OLD",IF(AND(E290&lt;&gt;"",E290&lt;&gt;"!!!"),"NEW","")))</f>
        <v/>
      </c>
      <c r="G290" s="22" t="str">
        <f aca="false">IF(OR(E290="",E290="!!!"),"",IF(OR(J290=0,AND(J290=1,K290=1),AND(J290=1,I290="SBJ"),AND(J290=1,I290=0)),"?IN_FOCUS",IF(J290&lt;=2,"?ACTIVATED",IF(J290&lt;&gt;"","?FAMILIAR",IF(F290="NEW",IF(ISNA(VLOOKUP(E290,#REF!,1,FALSE())),"?TYPE_IDENTIFIABLE","?REFERENTIAL"),"_")))))</f>
        <v/>
      </c>
      <c r="H290" s="23" t="str">
        <f aca="false">IF(J290&lt;&gt;1,"",IF(I290="SBJ","CB","?"))</f>
        <v/>
      </c>
      <c r="I290" s="24" t="str">
        <f aca="false">IF(OR(E290="",E290="!!!",F290="NEW"),"",INDEX(N$2:N285,-1+SUMPRODUCT(MAX(ROW(E$2:E285)*(E290=E$2:E285)))))</f>
        <v/>
      </c>
      <c r="J290" s="25" t="str">
        <f aca="true">IF(OR(E290="",E290="!!!",F290="NEW"),"",COUNTBLANK(OFFSET(M$1,,,SUMPRODUCT(MAX(ROW(E$2:E286)*(E290=E$2:E286)))))-COUNTBLANK(OFFSET(M$1,,,SUMPRODUCT(MAX(ROW(Q$1:Q285)*(E290=Q$1:Q285))))))</f>
        <v/>
      </c>
      <c r="K290" s="25" t="str">
        <f aca="false">IF(OR(E290="",E290="!!!",F290="NEW"),"",INDEX(V$1:V285,SUMPRODUCT(MAX(ROW(Q$1:Q285)*(E290=Q$1:Q285)))))</f>
        <v/>
      </c>
      <c r="L290" s="26"/>
      <c r="M290" s="27"/>
    </row>
    <row r="291" customFormat="false" ht="15" hidden="false" customHeight="false" outlineLevel="0" collapsed="false">
      <c r="A291" s="19" t="s">
        <v>427</v>
      </c>
      <c r="E291" s="20" t="str">
        <f aca="false">IF(P291="?OLD","!!!","")</f>
        <v/>
      </c>
      <c r="F291" s="21" t="str">
        <f aca="false">IF(OR(E291="",E291="!!!"),"",IF(NOT(ISNA(VLOOKUP(E291,Q$1:Q286,1,FALSE()))),"OLD",IF(AND(E291&lt;&gt;"",E291&lt;&gt;"!!!"),"NEW","")))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IF(OR(E291="",E291="!!!",F291="NEW"),"",INDEX(N$2:N286,-1+SUMPRODUCT(MAX(ROW(E$2:E286)*(E291=E$2:E286)))))</f>
        <v/>
      </c>
      <c r="J291" s="25" t="str">
        <f aca="true">IF(OR(E291="",E291="!!!",F291="NEW"),"",COUNTBLANK(OFFSET(M$1,,,SUMPRODUCT(MAX(ROW(E$2:E287)*(E291=E$2:E287)))))-COUNTBLANK(OFFSET(M$1,,,SUMPRODUCT(MAX(ROW(Q$1:Q286)*(E291=Q$1:Q286))))))</f>
        <v/>
      </c>
      <c r="K291" s="25" t="str">
        <f aca="false">IF(OR(E291="",E291="!!!",F291="NEW"),"",INDEX(V$1:V286,SUMPRODUCT(MAX(ROW(Q$1:Q286)*(E291=Q$1:Q286)))))</f>
        <v/>
      </c>
      <c r="L291" s="26"/>
      <c r="M291" s="27"/>
    </row>
    <row r="292" customFormat="false" ht="15" hidden="false" customHeight="false" outlineLevel="0" collapsed="false">
      <c r="A292" s="19" t="s">
        <v>428</v>
      </c>
      <c r="B292" s="28" t="s">
        <v>306</v>
      </c>
      <c r="C292" s="28" t="s">
        <v>259</v>
      </c>
      <c r="E292" s="20" t="str">
        <f aca="false">IF(P292="?OLD","!!!","")</f>
        <v/>
      </c>
      <c r="F292" s="21" t="str">
        <f aca="false">IF(OR(E292="",E292="!!!"),"",IF(NOT(ISNA(VLOOKUP(E292,Q$1:Q287,1,FALSE()))),"OLD",IF(AND(E292&lt;&gt;"",E292&lt;&gt;"!!!"),"NEW","")))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4" t="str">
        <f aca="false">IF(OR(E292="",E292="!!!",F292="NEW"),"",INDEX(N$2:N287,-1+SUMPRODUCT(MAX(ROW(E$2:E287)*(E292=E$2:E287)))))</f>
        <v/>
      </c>
      <c r="J292" s="25" t="str">
        <f aca="true">IF(OR(E292="",E292="!!!",F292="NEW"),"",COUNTBLANK(OFFSET(M$1,,,SUMPRODUCT(MAX(ROW(E$2:E288)*(E292=E$2:E288)))))-COUNTBLANK(OFFSET(M$1,,,SUMPRODUCT(MAX(ROW(Q$1:Q287)*(E292=Q$1:Q287))))))</f>
        <v/>
      </c>
      <c r="K292" s="25" t="str">
        <f aca="false">IF(OR(E292="",E292="!!!",F292="NEW"),"",INDEX(V$1:V287,SUMPRODUCT(MAX(ROW(Q$1:Q287)*(E292=Q$1:Q287)))))</f>
        <v/>
      </c>
      <c r="L292" s="26"/>
      <c r="M292" s="27"/>
      <c r="N292" s="29"/>
      <c r="O292" s="29"/>
    </row>
    <row r="293" customFormat="false" ht="15" hidden="false" customHeight="false" outlineLevel="0" collapsed="false">
      <c r="A293" s="19" t="s">
        <v>275</v>
      </c>
      <c r="E293" s="20" t="str">
        <f aca="false">IF(P293="?OLD","!!!","")</f>
        <v/>
      </c>
      <c r="F293" s="21" t="str">
        <f aca="false">IF(OR(E293="",E293="!!!"),"",IF(NOT(ISNA(VLOOKUP(E293,Q$1:Q288,1,FALSE()))),"OLD",IF(AND(E293&lt;&gt;"",E293&lt;&gt;"!!!"),"NEW","")))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IF(OR(E293="",E293="!!!",F293="NEW"),"",INDEX(N$2:N288,-1+SUMPRODUCT(MAX(ROW(E$2:E288)*(E293=E$2:E288)))))</f>
        <v/>
      </c>
      <c r="J293" s="25" t="str">
        <f aca="true">IF(OR(E293="",E293="!!!",F293="NEW"),"",COUNTBLANK(OFFSET(M$1,,,SUMPRODUCT(MAX(ROW(E$2:E289)*(E293=E$2:E289)))))-COUNTBLANK(OFFSET(M$1,,,SUMPRODUCT(MAX(ROW(Q$1:Q288)*(E293=Q$1:Q288))))))</f>
        <v/>
      </c>
      <c r="K293" s="25" t="str">
        <f aca="false">IF(OR(E293="",E293="!!!",F293="NEW"),"",INDEX(V$1:V288,SUMPRODUCT(MAX(ROW(Q$1:Q288)*(E293=Q$1:Q288)))))</f>
        <v/>
      </c>
      <c r="L293" s="26"/>
      <c r="M293" s="27"/>
    </row>
    <row r="294" customFormat="false" ht="15" hidden="false" customHeight="false" outlineLevel="0" collapsed="false">
      <c r="A294" s="19" t="s">
        <v>367</v>
      </c>
      <c r="E294" s="20" t="str">
        <f aca="false">IF(P294="?OLD","!!!","")</f>
        <v/>
      </c>
      <c r="F294" s="21" t="str">
        <f aca="false">IF(OR(E294="",E294="!!!"),"",IF(NOT(ISNA(VLOOKUP(E294,Q$1:Q289,1,FALSE()))),"OLD",IF(AND(E294&lt;&gt;"",E294&lt;&gt;"!!!"),"NEW","")))</f>
        <v/>
      </c>
      <c r="G294" s="22" t="str">
        <f aca="false">IF(OR(E294="",E294="!!!"),"",IF(OR(J294=0,AND(J294=1,K294=1),AND(J294=1,I294="SBJ"),AND(J294=1,I294=0)),"?IN_FOCUS",IF(J294&lt;=2,"?ACTIVATED",IF(J294&lt;&gt;"","?FAMILIAR",IF(F294="NEW",IF(ISNA(VLOOKUP(E294,#REF!,1,FALSE())),"?TYPE_IDENTIFIABLE","?REFERENTIAL"),"_")))))</f>
        <v/>
      </c>
      <c r="H294" s="23" t="str">
        <f aca="false">IF(J294&lt;&gt;1,"",IF(I294="SBJ","CB","?"))</f>
        <v/>
      </c>
      <c r="I294" s="24" t="str">
        <f aca="false">IF(OR(E294="",E294="!!!",F294="NEW"),"",INDEX(N$2:N289,-1+SUMPRODUCT(MAX(ROW(E$2:E289)*(E294=E$2:E289)))))</f>
        <v/>
      </c>
      <c r="J294" s="25" t="str">
        <f aca="true">IF(OR(E294="",E294="!!!",F294="NEW"),"",COUNTBLANK(OFFSET(M$1,,,SUMPRODUCT(MAX(ROW(E$2:E290)*(E294=E$2:E290)))))-COUNTBLANK(OFFSET(M$1,,,SUMPRODUCT(MAX(ROW(Q$1:Q289)*(E294=Q$1:Q289))))))</f>
        <v/>
      </c>
      <c r="K294" s="25" t="str">
        <f aca="false">IF(OR(E294="",E294="!!!",F294="NEW"),"",INDEX(V$1:V289,SUMPRODUCT(MAX(ROW(Q$1:Q289)*(E294=Q$1:Q289)))))</f>
        <v/>
      </c>
      <c r="L294" s="26"/>
      <c r="M294" s="27"/>
    </row>
    <row r="295" customFormat="false" ht="15" hidden="false" customHeight="false" outlineLevel="0" collapsed="false">
      <c r="A295" s="19"/>
      <c r="E295" s="20" t="str">
        <f aca="false">IF(P295="?OLD","!!!","")</f>
        <v/>
      </c>
      <c r="F295" s="21" t="str">
        <f aca="false">IF(OR(E295="",E295="!!!"),"",IF(NOT(ISNA(VLOOKUP(E295,Q$1:Q290,1,FALSE()))),"OLD",IF(AND(E295&lt;&gt;"",E295&lt;&gt;"!!!"),"NEW","")))</f>
        <v/>
      </c>
      <c r="G295" s="22" t="str">
        <f aca="false">IF(OR(E295="",E295="!!!"),"",IF(OR(J295=0,AND(J295=1,K295=1),AND(J295=1,I295="SBJ"),AND(J295=1,I295=0)),"?IN_FOCUS",IF(J295&lt;=2,"?ACTIVATED",IF(J295&lt;&gt;"","?FAMILIAR",IF(F295="NEW",IF(ISNA(VLOOKUP(E295,#REF!,1,FALSE())),"?TYPE_IDENTIFIABLE","?REFERENTIAL"),"_")))))</f>
        <v/>
      </c>
      <c r="H295" s="23" t="str">
        <f aca="false">IF(J295&lt;&gt;1,"",IF(I295="SBJ","CB","?"))</f>
        <v/>
      </c>
      <c r="I295" s="24" t="str">
        <f aca="false">IF(OR(E295="",E295="!!!",F295="NEW"),"",INDEX(N$2:N290,-1+SUMPRODUCT(MAX(ROW(E$2:E290)*(E295=E$2:E290)))))</f>
        <v/>
      </c>
      <c r="J295" s="25" t="str">
        <f aca="true">IF(OR(E295="",E295="!!!",F295="NEW"),"",COUNTBLANK(OFFSET(M$1,,,SUMPRODUCT(MAX(ROW(E$2:E291)*(E295=E$2:E291)))))-COUNTBLANK(OFFSET(M$1,,,SUMPRODUCT(MAX(ROW(Q$1:Q290)*(E295=Q$1:Q290))))))</f>
        <v/>
      </c>
      <c r="K295" s="25" t="str">
        <f aca="false">IF(OR(E295="",E295="!!!",F295="NEW"),"",INDEX(V$1:V290,SUMPRODUCT(MAX(ROW(Q$1:Q290)*(E295=Q$1:Q290)))))</f>
        <v/>
      </c>
      <c r="L295" s="26"/>
    </row>
    <row r="296" customFormat="false" ht="15" hidden="false" customHeight="false" outlineLevel="0" collapsed="false">
      <c r="A296" s="19" t="s">
        <v>362</v>
      </c>
      <c r="E296" s="20" t="str">
        <f aca="false">IF(P296="?OLD","!!!","")</f>
        <v/>
      </c>
      <c r="F296" s="21" t="str">
        <f aca="false">IF(OR(E296="",E296="!!!"),"",IF(NOT(ISNA(VLOOKUP(E296,Q$1:Q291,1,FALSE()))),"OLD",IF(AND(E296&lt;&gt;"",E296&lt;&gt;"!!!"),"NEW","")))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IF(OR(E296="",E296="!!!",F296="NEW"),"",INDEX(N$2:N291,-1+SUMPRODUCT(MAX(ROW(E$2:E291)*(E296=E$2:E291)))))</f>
        <v/>
      </c>
      <c r="J296" s="25" t="str">
        <f aca="true">IF(OR(E296="",E296="!!!",F296="NEW"),"",COUNTBLANK(OFFSET(M$1,,,SUMPRODUCT(MAX(ROW(E$2:E292)*(E296=E$2:E292)))))-COUNTBLANK(OFFSET(M$1,,,SUMPRODUCT(MAX(ROW(Q$1:Q291)*(E296=Q$1:Q291))))))</f>
        <v/>
      </c>
      <c r="K296" s="25" t="str">
        <f aca="false">IF(OR(E296="",E296="!!!",F296="NEW"),"",INDEX(V$1:V291,SUMPRODUCT(MAX(ROW(Q$1:Q291)*(E296=Q$1:Q291)))))</f>
        <v/>
      </c>
      <c r="L296" s="26"/>
      <c r="M296" s="27"/>
    </row>
    <row r="297" customFormat="false" ht="15" hidden="false" customHeight="false" outlineLevel="0" collapsed="false">
      <c r="A297" s="19" t="s">
        <v>429</v>
      </c>
      <c r="E297" s="20" t="str">
        <f aca="false">IF(P297="?OLD","!!!","")</f>
        <v/>
      </c>
      <c r="F297" s="21" t="str">
        <f aca="false">IF(OR(E297="",E297="!!!"),"",IF(NOT(ISNA(VLOOKUP(E297,Q$1:Q292,1,FALSE()))),"OLD",IF(AND(E297&lt;&gt;"",E297&lt;&gt;"!!!"),"NEW","")))</f>
        <v/>
      </c>
      <c r="G297" s="22" t="str">
        <f aca="false">IF(OR(E297="",E297="!!!"),"",IF(OR(J297=0,AND(J297=1,K297=1),AND(J297=1,I297="SBJ"),AND(J297=1,I297=0)),"?IN_FOCUS",IF(J297&lt;=2,"?ACTIVATED",IF(J297&lt;&gt;"","?FAMILIAR",IF(F297="NEW",IF(ISNA(VLOOKUP(E297,#REF!,1,FALSE())),"?TYPE_IDENTIFIABLE","?REFERENTIAL"),"_")))))</f>
        <v/>
      </c>
      <c r="H297" s="23" t="str">
        <f aca="false">IF(J297&lt;&gt;1,"",IF(I297="SBJ","CB","?"))</f>
        <v/>
      </c>
      <c r="I297" s="24" t="str">
        <f aca="false">IF(OR(E297="",E297="!!!",F297="NEW"),"",INDEX(N$2:N292,-1+SUMPRODUCT(MAX(ROW(E$2:E292)*(E297=E$2:E292)))))</f>
        <v/>
      </c>
      <c r="J297" s="25" t="str">
        <f aca="true">IF(OR(E297="",E297="!!!",F297="NEW"),"",COUNTBLANK(OFFSET(M$1,,,SUMPRODUCT(MAX(ROW(E$2:E293)*(E297=E$2:E293)))))-COUNTBLANK(OFFSET(M$1,,,SUMPRODUCT(MAX(ROW(Q$1:Q292)*(E297=Q$1:Q292))))))</f>
        <v/>
      </c>
      <c r="K297" s="25" t="str">
        <f aca="false">IF(OR(E297="",E297="!!!",F297="NEW"),"",INDEX(V$1:V292,SUMPRODUCT(MAX(ROW(Q$1:Q292)*(E297=Q$1:Q292)))))</f>
        <v/>
      </c>
      <c r="L297" s="26"/>
      <c r="M297" s="27"/>
    </row>
    <row r="298" customFormat="false" ht="15" hidden="false" customHeight="false" outlineLevel="0" collapsed="false">
      <c r="A298" s="19" t="s">
        <v>430</v>
      </c>
      <c r="E298" s="20" t="str">
        <f aca="false">IF(P298="?OLD","!!!","")</f>
        <v/>
      </c>
      <c r="F298" s="21" t="str">
        <f aca="false">IF(OR(E298="",E298="!!!"),"",IF(NOT(ISNA(VLOOKUP(E298,Q$1:Q293,1,FALSE()))),"OLD",IF(AND(E298&lt;&gt;"",E298&lt;&gt;"!!!"),"NEW","")))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4" t="str">
        <f aca="false">IF(OR(E298="",E298="!!!",F298="NEW"),"",INDEX(N$2:N293,-1+SUMPRODUCT(MAX(ROW(E$2:E293)*(E298=E$2:E293)))))</f>
        <v/>
      </c>
      <c r="J298" s="25" t="str">
        <f aca="true">IF(OR(E298="",E298="!!!",F298="NEW"),"",COUNTBLANK(OFFSET(M$1,,,SUMPRODUCT(MAX(ROW(E$2:E294)*(E298=E$2:E294)))))-COUNTBLANK(OFFSET(M$1,,,SUMPRODUCT(MAX(ROW(Q$1:Q293)*(E298=Q$1:Q293))))))</f>
        <v/>
      </c>
      <c r="K298" s="25" t="str">
        <f aca="false">IF(OR(E298="",E298="!!!",F298="NEW"),"",INDEX(V$1:V293,SUMPRODUCT(MAX(ROW(Q$1:Q293)*(E298=Q$1:Q293)))))</f>
        <v/>
      </c>
      <c r="L298" s="26"/>
      <c r="M298" s="27"/>
    </row>
    <row r="299" customFormat="false" ht="15" hidden="false" customHeight="false" outlineLevel="0" collapsed="false">
      <c r="A299" s="19" t="s">
        <v>66</v>
      </c>
      <c r="B299" s="28" t="s">
        <v>271</v>
      </c>
      <c r="C299" s="28" t="s">
        <v>333</v>
      </c>
      <c r="D299" s="28" t="s">
        <v>253</v>
      </c>
      <c r="E299" s="20" t="s">
        <v>66</v>
      </c>
      <c r="F299" s="21" t="str">
        <f aca="false">IF(OR(E299="",E299="!!!"),"",IF(NOT(ISNA(VLOOKUP(E299,Q$1:Q294,1,FALSE()))),"OLD",IF(AND(E299&lt;&gt;"",E299&lt;&gt;"!!!"),"NEW","")))</f>
        <v>NEW</v>
      </c>
      <c r="G299" s="22" t="s">
        <v>283</v>
      </c>
      <c r="H299" s="23" t="str">
        <f aca="false">IF(J299&lt;&gt;1,"",IF(I299="SBJ","CB","?"))</f>
        <v/>
      </c>
      <c r="I299" s="24" t="str">
        <f aca="false">IF(OR(E299="",E299="!!!",F299="NEW"),"",INDEX(N$2:N294,-1+SUMPRODUCT(MAX(ROW(E$2:E294)*(E299=E$2:E294)))))</f>
        <v/>
      </c>
      <c r="J299" s="25" t="str">
        <f aca="true">IF(OR(E299="",E299="!!!",F299="NEW"),"",COUNTBLANK(OFFSET(M$1,,,SUMPRODUCT(MAX(ROW(E$2:E295)*(E299=E$2:E295)))))-COUNTBLANK(OFFSET(M$1,,,SUMPRODUCT(MAX(ROW(Q$1:Q294)*(E299=Q$1:Q294))))))</f>
        <v/>
      </c>
      <c r="K299" s="25" t="str">
        <f aca="false">IF(OR(E299="",E299="!!!",F299="NEW"),"",INDEX(V$1:V294,SUMPRODUCT(MAX(ROW(Q$1:Q294)*(E299=Q$1:Q294)))))</f>
        <v/>
      </c>
      <c r="L299" s="26"/>
      <c r="M299" s="27"/>
      <c r="N299" s="29"/>
      <c r="O299" s="29"/>
      <c r="P299" s="29"/>
    </row>
    <row r="300" customFormat="false" ht="15" hidden="false" customHeight="false" outlineLevel="0" collapsed="false">
      <c r="A300" s="19" t="s">
        <v>261</v>
      </c>
      <c r="E300" s="20" t="str">
        <f aca="false">IF(P300="?OLD","!!!","")</f>
        <v/>
      </c>
      <c r="F300" s="21" t="str">
        <f aca="false">IF(OR(E300="",E300="!!!"),"",IF(NOT(ISNA(VLOOKUP(E300,Q$1:Q295,1,FALSE()))),"OLD",IF(AND(E300&lt;&gt;"",E300&lt;&gt;"!!!"),"NEW","")))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4" t="str">
        <f aca="false">IF(OR(E300="",E300="!!!",F300="NEW"),"",INDEX(N$2:N295,-1+SUMPRODUCT(MAX(ROW(E$2:E295)*(E300=E$2:E295)))))</f>
        <v/>
      </c>
      <c r="J300" s="25" t="str">
        <f aca="true">IF(OR(E300="",E300="!!!",F300="NEW"),"",COUNTBLANK(OFFSET(M$1,,,SUMPRODUCT(MAX(ROW(E$2:E296)*(E300=E$2:E296)))))-COUNTBLANK(OFFSET(M$1,,,SUMPRODUCT(MAX(ROW(Q$1:Q295)*(E300=Q$1:Q295))))))</f>
        <v/>
      </c>
      <c r="K300" s="25" t="str">
        <f aca="false">IF(OR(E300="",E300="!!!",F300="NEW"),"",INDEX(V$1:V295,SUMPRODUCT(MAX(ROW(Q$1:Q295)*(E300=Q$1:Q295)))))</f>
        <v/>
      </c>
      <c r="L300" s="26"/>
      <c r="M300" s="27"/>
    </row>
    <row r="301" customFormat="false" ht="15" hidden="false" customHeight="false" outlineLevel="0" collapsed="false">
      <c r="A301" s="19" t="s">
        <v>431</v>
      </c>
      <c r="E301" s="20" t="str">
        <f aca="false">IF(P301="?OLD","!!!","")</f>
        <v/>
      </c>
      <c r="F301" s="21" t="str">
        <f aca="false">IF(OR(E301="",E301="!!!"),"",IF(NOT(ISNA(VLOOKUP(E301,Q$1:Q296,1,FALSE()))),"OLD",IF(AND(E301&lt;&gt;"",E301&lt;&gt;"!!!"),"NEW","")))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4" t="str">
        <f aca="false">IF(OR(E301="",E301="!!!",F301="NEW"),"",INDEX(N$2:N296,-1+SUMPRODUCT(MAX(ROW(E$2:E296)*(E301=E$2:E296)))))</f>
        <v/>
      </c>
      <c r="J301" s="25" t="str">
        <f aca="true">IF(OR(E301="",E301="!!!",F301="NEW"),"",COUNTBLANK(OFFSET(M$1,,,SUMPRODUCT(MAX(ROW(E$2:E297)*(E301=E$2:E297)))))-COUNTBLANK(OFFSET(M$1,,,SUMPRODUCT(MAX(ROW(Q$1:Q296)*(E301=Q$1:Q296))))))</f>
        <v/>
      </c>
      <c r="K301" s="25" t="str">
        <f aca="false">IF(OR(E301="",E301="!!!",F301="NEW"),"",INDEX(V$1:V296,SUMPRODUCT(MAX(ROW(Q$1:Q296)*(E301=Q$1:Q296)))))</f>
        <v/>
      </c>
      <c r="L301" s="26"/>
      <c r="M301" s="27"/>
    </row>
    <row r="302" customFormat="false" ht="15" hidden="false" customHeight="false" outlineLevel="0" collapsed="false">
      <c r="A302" s="19" t="s">
        <v>432</v>
      </c>
      <c r="E302" s="20" t="str">
        <f aca="false">IF(P302="?OLD","!!!","")</f>
        <v/>
      </c>
      <c r="F302" s="21" t="str">
        <f aca="false">IF(OR(E302="",E302="!!!"),"",IF(NOT(ISNA(VLOOKUP(E302,Q$1:Q297,1,FALSE()))),"OLD",IF(AND(E302&lt;&gt;"",E302&lt;&gt;"!!!"),"NEW","")))</f>
        <v/>
      </c>
      <c r="G302" s="22" t="str">
        <f aca="false">IF(OR(E302="",E302="!!!"),"",IF(OR(J302=0,AND(J302=1,K302=1),AND(J302=1,I302="SBJ"),AND(J302=1,I302=0)),"?IN_FOCUS",IF(J302&lt;=2,"?ACTIVATED",IF(J302&lt;&gt;"","?FAMILIAR",IF(F302="NEW",IF(ISNA(VLOOKUP(E302,#REF!,1,FALSE())),"?TYPE_IDENTIFIABLE","?REFERENTIAL"),"_")))))</f>
        <v/>
      </c>
      <c r="H302" s="23" t="str">
        <f aca="false">IF(J302&lt;&gt;1,"",IF(I302="SBJ","CB","?"))</f>
        <v/>
      </c>
      <c r="I302" s="24" t="str">
        <f aca="false">IF(OR(E302="",E302="!!!",F302="NEW"),"",INDEX(N$2:N297,-1+SUMPRODUCT(MAX(ROW(E$2:E297)*(E302=E$2:E297)))))</f>
        <v/>
      </c>
      <c r="J302" s="25" t="str">
        <f aca="true">IF(OR(E302="",E302="!!!",F302="NEW"),"",COUNTBLANK(OFFSET(M$1,,,SUMPRODUCT(MAX(ROW(E$2:E298)*(E302=E$2:E298)))))-COUNTBLANK(OFFSET(M$1,,,SUMPRODUCT(MAX(ROW(Q$1:Q297)*(E302=Q$1:Q297))))))</f>
        <v/>
      </c>
      <c r="K302" s="25" t="str">
        <f aca="false">IF(OR(E302="",E302="!!!",F302="NEW"),"",INDEX(V$1:V297,SUMPRODUCT(MAX(ROW(Q$1:Q297)*(E302=Q$1:Q297)))))</f>
        <v/>
      </c>
      <c r="L302" s="26"/>
      <c r="M302" s="27"/>
    </row>
    <row r="303" customFormat="false" ht="15" hidden="false" customHeight="false" outlineLevel="0" collapsed="false">
      <c r="A303" s="19" t="s">
        <v>269</v>
      </c>
      <c r="E303" s="20" t="str">
        <f aca="false">IF(P303="?OLD","!!!","")</f>
        <v/>
      </c>
      <c r="F303" s="21" t="str">
        <f aca="false">IF(OR(E303="",E303="!!!"),"",IF(NOT(ISNA(VLOOKUP(E303,Q$1:Q298,1,FALSE()))),"OLD",IF(AND(E303&lt;&gt;"",E303&lt;&gt;"!!!"),"NEW","")))</f>
        <v/>
      </c>
      <c r="G303" s="22" t="str">
        <f aca="false">IF(OR(E303="",E303="!!!"),"",IF(OR(J303=0,AND(J303=1,K303=1),AND(J303=1,I303="SBJ"),AND(J303=1,I303=0)),"?IN_FOCUS",IF(J303&lt;=2,"?ACTIVATED",IF(J303&lt;&gt;"","?FAMILIAR",IF(F303="NEW",IF(ISNA(VLOOKUP(E303,#REF!,1,FALSE())),"?TYPE_IDENTIFIABLE","?REFERENTIAL"),"_")))))</f>
        <v/>
      </c>
      <c r="H303" s="23" t="str">
        <f aca="false">IF(J303&lt;&gt;1,"",IF(I303="SBJ","CB","?"))</f>
        <v/>
      </c>
      <c r="I303" s="24" t="str">
        <f aca="false">IF(OR(E303="",E303="!!!",F303="NEW"),"",INDEX(N$2:N298,-1+SUMPRODUCT(MAX(ROW(E$2:E298)*(E303=E$2:E298)))))</f>
        <v/>
      </c>
      <c r="J303" s="25" t="str">
        <f aca="true">IF(OR(E303="",E303="!!!",F303="NEW"),"",COUNTBLANK(OFFSET(M$1,,,SUMPRODUCT(MAX(ROW(E$2:E299)*(E303=E$2:E299)))))-COUNTBLANK(OFFSET(M$1,,,SUMPRODUCT(MAX(ROW(Q$1:Q298)*(E303=Q$1:Q298))))))</f>
        <v/>
      </c>
      <c r="K303" s="25" t="str">
        <f aca="false">IF(OR(E303="",E303="!!!",F303="NEW"),"",INDEX(V$1:V298,SUMPRODUCT(MAX(ROW(Q$1:Q298)*(E303=Q$1:Q298)))))</f>
        <v/>
      </c>
      <c r="L303" s="26"/>
      <c r="M303" s="27"/>
    </row>
    <row r="304" customFormat="false" ht="15" hidden="false" customHeight="false" outlineLevel="0" collapsed="false">
      <c r="A304" s="19" t="s">
        <v>250</v>
      </c>
      <c r="E304" s="20" t="str">
        <f aca="false">IF(P304="?OLD","!!!","")</f>
        <v/>
      </c>
      <c r="F304" s="21" t="str">
        <f aca="false">IF(OR(E304="",E304="!!!"),"",IF(NOT(ISNA(VLOOKUP(E304,Q$1:Q299,1,FALSE()))),"OLD",IF(AND(E304&lt;&gt;"",E304&lt;&gt;"!!!"),"NEW","")))</f>
        <v/>
      </c>
      <c r="G304" s="22" t="str">
        <f aca="false">IF(OR(E304="",E304="!!!"),"",IF(OR(J304=0,AND(J304=1,K304=1),AND(J304=1,I304="SBJ"),AND(J304=1,I304=0)),"?IN_FOCUS",IF(J304&lt;=2,"?ACTIVATED",IF(J304&lt;&gt;"","?FAMILIAR",IF(F304="NEW",IF(ISNA(VLOOKUP(E304,#REF!,1,FALSE())),"?TYPE_IDENTIFIABLE","?REFERENTIAL"),"_")))))</f>
        <v/>
      </c>
      <c r="H304" s="23" t="str">
        <f aca="false">IF(J304&lt;&gt;1,"",IF(I304="SBJ","CB","?"))</f>
        <v/>
      </c>
      <c r="I304" s="24" t="str">
        <f aca="false">IF(OR(E304="",E304="!!!",F304="NEW"),"",INDEX(N$2:N299,-1+SUMPRODUCT(MAX(ROW(E$2:E299)*(E304=E$2:E299)))))</f>
        <v/>
      </c>
      <c r="J304" s="25" t="str">
        <f aca="true">IF(OR(E304="",E304="!!!",F304="NEW"),"",COUNTBLANK(OFFSET(M$1,,,SUMPRODUCT(MAX(ROW(E$2:E300)*(E304=E$2:E300)))))-COUNTBLANK(OFFSET(M$1,,,SUMPRODUCT(MAX(ROW(Q$1:Q299)*(E304=Q$1:Q299))))))</f>
        <v/>
      </c>
      <c r="K304" s="25" t="str">
        <f aca="false">IF(OR(E304="",E304="!!!",F304="NEW"),"",INDEX(V$1:V299,SUMPRODUCT(MAX(ROW(Q$1:Q299)*(E304=Q$1:Q299)))))</f>
        <v/>
      </c>
      <c r="L304" s="26"/>
      <c r="M304" s="27"/>
    </row>
    <row r="305" customFormat="false" ht="15" hidden="false" customHeight="false" outlineLevel="0" collapsed="false">
      <c r="A305" s="19" t="s">
        <v>433</v>
      </c>
      <c r="B305" s="28" t="s">
        <v>258</v>
      </c>
      <c r="C305" s="28" t="s">
        <v>252</v>
      </c>
      <c r="D305" s="28" t="s">
        <v>253</v>
      </c>
      <c r="E305" s="20" t="s">
        <v>265</v>
      </c>
      <c r="F305" s="21" t="str">
        <f aca="false">IF(OR(E305="",E305="!!!"),"",IF(NOT(ISNA(VLOOKUP(E305,Q$1:Q300,1,FALSE()))),"OLD",IF(AND(E305&lt;&gt;"",E305&lt;&gt;"!!!"),"NEW","")))</f>
        <v>NEW</v>
      </c>
      <c r="G305" s="22" t="s">
        <v>283</v>
      </c>
      <c r="H305" s="23" t="str">
        <f aca="false">IF(J305&lt;&gt;1,"",IF(I305="SBJ","CB","?"))</f>
        <v/>
      </c>
      <c r="I305" s="24" t="str">
        <f aca="false">IF(OR(E305="",E305="!!!",F305="NEW"),"",INDEX(N$2:N300,-1+SUMPRODUCT(MAX(ROW(E$2:E300)*(E305=E$2:E300)))))</f>
        <v/>
      </c>
      <c r="J305" s="25" t="str">
        <f aca="true">IF(OR(E305="",E305="!!!",F305="NEW"),"",COUNTBLANK(OFFSET(M$1,,,SUMPRODUCT(MAX(ROW(E$2:E301)*(E305=E$2:E301)))))-COUNTBLANK(OFFSET(M$1,,,SUMPRODUCT(MAX(ROW(Q$1:Q300)*(E305=Q$1:Q300))))))</f>
        <v/>
      </c>
      <c r="K305" s="25" t="str">
        <f aca="false">IF(OR(E305="",E305="!!!",F305="NEW"),"",INDEX(V$1:V300,SUMPRODUCT(MAX(ROW(Q$1:Q300)*(E305=Q$1:Q300)))))</f>
        <v/>
      </c>
      <c r="L305" s="26"/>
      <c r="M305" s="27"/>
      <c r="N305" s="29"/>
      <c r="O305" s="29"/>
      <c r="P305" s="29"/>
    </row>
    <row r="306" customFormat="false" ht="15" hidden="false" customHeight="false" outlineLevel="0" collapsed="false">
      <c r="A306" s="19" t="s">
        <v>261</v>
      </c>
      <c r="E306" s="20" t="str">
        <f aca="false">IF(P306="?OLD","!!!","")</f>
        <v/>
      </c>
      <c r="F306" s="21" t="str">
        <f aca="false">IF(OR(E306="",E306="!!!"),"",IF(NOT(ISNA(VLOOKUP(E306,Q$1:Q301,1,FALSE()))),"OLD",IF(AND(E306&lt;&gt;"",E306&lt;&gt;"!!!"),"NEW","")))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IF(OR(E306="",E306="!!!",F306="NEW"),"",INDEX(N$2:N301,-1+SUMPRODUCT(MAX(ROW(E$2:E301)*(E306=E$2:E301)))))</f>
        <v/>
      </c>
      <c r="J306" s="25" t="str">
        <f aca="true">IF(OR(E306="",E306="!!!",F306="NEW"),"",COUNTBLANK(OFFSET(M$1,,,SUMPRODUCT(MAX(ROW(E$2:E302)*(E306=E$2:E302)))))-COUNTBLANK(OFFSET(M$1,,,SUMPRODUCT(MAX(ROW(Q$1:Q301)*(E306=Q$1:Q301))))))</f>
        <v/>
      </c>
      <c r="K306" s="25" t="str">
        <f aca="false">IF(OR(E306="",E306="!!!",F306="NEW"),"",INDEX(V$1:V301,SUMPRODUCT(MAX(ROW(Q$1:Q301)*(E306=Q$1:Q301)))))</f>
        <v/>
      </c>
      <c r="L306" s="26"/>
      <c r="M306" s="27"/>
    </row>
    <row r="307" customFormat="false" ht="15" hidden="false" customHeight="false" outlineLevel="0" collapsed="false">
      <c r="A307" s="19" t="s">
        <v>434</v>
      </c>
      <c r="E307" s="20" t="str">
        <f aca="false">IF(P307="?OLD","!!!","")</f>
        <v/>
      </c>
      <c r="F307" s="21" t="str">
        <f aca="false">IF(OR(E307="",E307="!!!"),"",IF(NOT(ISNA(VLOOKUP(E307,Q$1:Q302,1,FALSE()))),"OLD",IF(AND(E307&lt;&gt;"",E307&lt;&gt;"!!!"),"NEW","")))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IF(OR(E307="",E307="!!!",F307="NEW"),"",INDEX(N$2:N302,-1+SUMPRODUCT(MAX(ROW(E$2:E302)*(E307=E$2:E302)))))</f>
        <v/>
      </c>
      <c r="J307" s="25" t="str">
        <f aca="true">IF(OR(E307="",E307="!!!",F307="NEW"),"",COUNTBLANK(OFFSET(M$1,,,SUMPRODUCT(MAX(ROW(E$2:E303)*(E307=E$2:E303)))))-COUNTBLANK(OFFSET(M$1,,,SUMPRODUCT(MAX(ROW(Q$1:Q302)*(E307=Q$1:Q302))))))</f>
        <v/>
      </c>
      <c r="K307" s="25" t="str">
        <f aca="false">IF(OR(E307="",E307="!!!",F307="NEW"),"",INDEX(V$1:V302,SUMPRODUCT(MAX(ROW(Q$1:Q302)*(E307=Q$1:Q302)))))</f>
        <v/>
      </c>
      <c r="L307" s="26"/>
      <c r="M307" s="27"/>
    </row>
    <row r="308" customFormat="false" ht="15" hidden="false" customHeight="false" outlineLevel="0" collapsed="false">
      <c r="A308" s="19" t="s">
        <v>432</v>
      </c>
      <c r="E308" s="20" t="str">
        <f aca="false">IF(P308="?OLD","!!!","")</f>
        <v/>
      </c>
      <c r="F308" s="21" t="str">
        <f aca="false">IF(OR(E308="",E308="!!!"),"",IF(NOT(ISNA(VLOOKUP(E308,Q$1:Q303,1,FALSE()))),"OLD",IF(AND(E308&lt;&gt;"",E308&lt;&gt;"!!!"),"NEW","")))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4" t="str">
        <f aca="false">IF(OR(E308="",E308="!!!",F308="NEW"),"",INDEX(N$2:N303,-1+SUMPRODUCT(MAX(ROW(E$2:E303)*(E308=E$2:E303)))))</f>
        <v/>
      </c>
      <c r="J308" s="25" t="str">
        <f aca="true">IF(OR(E308="",E308="!!!",F308="NEW"),"",COUNTBLANK(OFFSET(M$1,,,SUMPRODUCT(MAX(ROW(E$2:E304)*(E308=E$2:E304)))))-COUNTBLANK(OFFSET(M$1,,,SUMPRODUCT(MAX(ROW(Q$1:Q303)*(E308=Q$1:Q303))))))</f>
        <v/>
      </c>
      <c r="K308" s="25" t="str">
        <f aca="false">IF(OR(E308="",E308="!!!",F308="NEW"),"",INDEX(V$1:V303,SUMPRODUCT(MAX(ROW(Q$1:Q303)*(E308=Q$1:Q303)))))</f>
        <v/>
      </c>
      <c r="L308" s="26"/>
      <c r="M308" s="27"/>
    </row>
    <row r="309" customFormat="false" ht="15" hidden="false" customHeight="false" outlineLevel="0" collapsed="false">
      <c r="A309" s="19" t="s">
        <v>356</v>
      </c>
      <c r="B309" s="28" t="s">
        <v>258</v>
      </c>
      <c r="C309" s="28" t="s">
        <v>358</v>
      </c>
      <c r="D309" s="28" t="s">
        <v>253</v>
      </c>
      <c r="E309" s="20" t="s">
        <v>66</v>
      </c>
      <c r="F309" s="21" t="str">
        <f aca="false">IF(OR(E309="",E309="!!!"),"",IF(NOT(ISNA(VLOOKUP(E309,Q$1:Q304,1,FALSE()))),"OLD",IF(AND(E309&lt;&gt;"",E309&lt;&gt;"!!!"),"NEW","")))</f>
        <v>NEW</v>
      </c>
      <c r="G309" s="22" t="s">
        <v>296</v>
      </c>
      <c r="H309" s="23" t="str">
        <f aca="false">IF(J309&lt;&gt;1,"",IF(I309="SBJ","CB","?"))</f>
        <v/>
      </c>
      <c r="I309" s="24" t="str">
        <f aca="false">IF(OR(E309="",E309="!!!",F309="NEW"),"",INDEX(N$2:N304,-1+SUMPRODUCT(MAX(ROW(E$2:E304)*(E309=E$2:E304)))))</f>
        <v/>
      </c>
      <c r="J309" s="25" t="str">
        <f aca="true">IF(OR(E309="",E309="!!!",F309="NEW"),"",COUNTBLANK(OFFSET(M$1,,,SUMPRODUCT(MAX(ROW(E$2:E305)*(E309=E$2:E305)))))-COUNTBLANK(OFFSET(M$1,,,SUMPRODUCT(MAX(ROW(Q$1:Q304)*(E309=Q$1:Q304))))))</f>
        <v/>
      </c>
      <c r="K309" s="25" t="str">
        <f aca="false">IF(OR(E309="",E309="!!!",F309="NEW"),"",INDEX(V$1:V304,SUMPRODUCT(MAX(ROW(Q$1:Q304)*(E309=Q$1:Q304)))))</f>
        <v/>
      </c>
      <c r="L309" s="26"/>
      <c r="M309" s="27"/>
      <c r="N309" s="29"/>
      <c r="O309" s="29"/>
      <c r="P309" s="29"/>
    </row>
    <row r="310" customFormat="false" ht="15" hidden="false" customHeight="false" outlineLevel="0" collapsed="false">
      <c r="A310" s="19" t="s">
        <v>435</v>
      </c>
      <c r="B310" s="28" t="s">
        <v>286</v>
      </c>
      <c r="C310" s="28" t="s">
        <v>314</v>
      </c>
      <c r="D310" s="28" t="s">
        <v>253</v>
      </c>
      <c r="E310" s="20" t="s">
        <v>436</v>
      </c>
      <c r="F310" s="21" t="str">
        <f aca="false">IF(OR(E310="",E310="!!!"),"",IF(NOT(ISNA(VLOOKUP(E310,Q$1:Q305,1,FALSE()))),"OLD",IF(AND(E310&lt;&gt;"",E310&lt;&gt;"!!!"),"NEW","")))</f>
        <v>NEW</v>
      </c>
      <c r="G310" s="22" t="s">
        <v>255</v>
      </c>
      <c r="H310" s="23" t="str">
        <f aca="false">IF(J310&lt;&gt;1,"",IF(I310="SBJ","CB","?"))</f>
        <v/>
      </c>
      <c r="I310" s="24" t="str">
        <f aca="false">IF(OR(E310="",E310="!!!",F310="NEW"),"",INDEX(N$2:N305,-1+SUMPRODUCT(MAX(ROW(E$2:E305)*(E310=E$2:E305)))))</f>
        <v/>
      </c>
      <c r="J310" s="25" t="str">
        <f aca="true">IF(OR(E310="",E310="!!!",F310="NEW"),"",COUNTBLANK(OFFSET(M$1,,,SUMPRODUCT(MAX(ROW(E$2:E306)*(E310=E$2:E306)))))-COUNTBLANK(OFFSET(M$1,,,SUMPRODUCT(MAX(ROW(Q$1:Q305)*(E310=Q$1:Q305))))))</f>
        <v/>
      </c>
      <c r="K310" s="25" t="str">
        <f aca="false">IF(OR(E310="",E310="!!!",F310="NEW"),"",INDEX(V$1:V305,SUMPRODUCT(MAX(ROW(Q$1:Q305)*(E310=Q$1:Q305)))))</f>
        <v/>
      </c>
      <c r="L310" s="26"/>
      <c r="M310" s="27"/>
      <c r="N310" s="29"/>
      <c r="O310" s="29"/>
      <c r="P310" s="29"/>
    </row>
    <row r="311" customFormat="false" ht="15" hidden="false" customHeight="false" outlineLevel="0" collapsed="false">
      <c r="A311" s="19" t="s">
        <v>261</v>
      </c>
      <c r="E311" s="20" t="str">
        <f aca="false">IF(P311="?OLD","!!!","")</f>
        <v/>
      </c>
      <c r="F311" s="21" t="str">
        <f aca="false">IF(OR(E311="",E311="!!!"),"",IF(NOT(ISNA(VLOOKUP(E311,Q$1:Q306,1,FALSE()))),"OLD",IF(AND(E311&lt;&gt;"",E311&lt;&gt;"!!!"),"NEW","")))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4" t="str">
        <f aca="false">IF(OR(E311="",E311="!!!",F311="NEW"),"",INDEX(N$2:N306,-1+SUMPRODUCT(MAX(ROW(E$2:E306)*(E311=E$2:E306)))))</f>
        <v/>
      </c>
      <c r="J311" s="25" t="str">
        <f aca="true">IF(OR(E311="",E311="!!!",F311="NEW"),"",COUNTBLANK(OFFSET(M$1,,,SUMPRODUCT(MAX(ROW(E$2:E307)*(E311=E$2:E307)))))-COUNTBLANK(OFFSET(M$1,,,SUMPRODUCT(MAX(ROW(Q$1:Q306)*(E311=Q$1:Q306))))))</f>
        <v/>
      </c>
      <c r="K311" s="25" t="str">
        <f aca="false">IF(OR(E311="",E311="!!!",F311="NEW"),"",INDEX(V$1:V306,SUMPRODUCT(MAX(ROW(Q$1:Q306)*(E311=Q$1:Q306)))))</f>
        <v/>
      </c>
      <c r="L311" s="26"/>
      <c r="M311" s="27"/>
    </row>
    <row r="312" customFormat="false" ht="15" hidden="false" customHeight="false" outlineLevel="0" collapsed="false">
      <c r="A312" s="19" t="s">
        <v>294</v>
      </c>
      <c r="E312" s="20" t="str">
        <f aca="false">IF(P312="?OLD","!!!","")</f>
        <v/>
      </c>
      <c r="F312" s="21" t="str">
        <f aca="false">IF(OR(E312="",E312="!!!"),"",IF(NOT(ISNA(VLOOKUP(E312,Q$1:Q307,1,FALSE()))),"OLD",IF(AND(E312&lt;&gt;"",E312&lt;&gt;"!!!"),"NEW","")))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4" t="str">
        <f aca="false">IF(OR(E312="",E312="!!!",F312="NEW"),"",INDEX(N$2:N307,-1+SUMPRODUCT(MAX(ROW(E$2:E307)*(E312=E$2:E307)))))</f>
        <v/>
      </c>
      <c r="J312" s="25" t="str">
        <f aca="true">IF(OR(E312="",E312="!!!",F312="NEW"),"",COUNTBLANK(OFFSET(M$1,,,SUMPRODUCT(MAX(ROW(E$2:E308)*(E312=E$2:E308)))))-COUNTBLANK(OFFSET(M$1,,,SUMPRODUCT(MAX(ROW(Q$1:Q307)*(E312=Q$1:Q307))))))</f>
        <v/>
      </c>
      <c r="K312" s="25" t="str">
        <f aca="false">IF(OR(E312="",E312="!!!",F312="NEW"),"",INDEX(V$1:V307,SUMPRODUCT(MAX(ROW(Q$1:Q307)*(E312=Q$1:Q307)))))</f>
        <v/>
      </c>
      <c r="L312" s="26"/>
      <c r="M312" s="27"/>
    </row>
    <row r="313" customFormat="false" ht="15" hidden="false" customHeight="false" outlineLevel="0" collapsed="false">
      <c r="A313" s="19" t="s">
        <v>437</v>
      </c>
      <c r="E313" s="20" t="str">
        <f aca="false">IF(P313="?OLD","!!!","")</f>
        <v/>
      </c>
      <c r="F313" s="21" t="str">
        <f aca="false">IF(OR(E313="",E313="!!!"),"",IF(NOT(ISNA(VLOOKUP(E313,Q$1:Q308,1,FALSE()))),"OLD",IF(AND(E313&lt;&gt;"",E313&lt;&gt;"!!!"),"NEW","")))</f>
        <v/>
      </c>
      <c r="G313" s="22" t="str">
        <f aca="false">IF(OR(E313="",E313="!!!"),"",IF(OR(J313=0,AND(J313=1,K313=1),AND(J313=1,I313="SBJ"),AND(J313=1,I313=0)),"?IN_FOCUS",IF(J313&lt;=2,"?ACTIVATED",IF(J313&lt;&gt;"","?FAMILIAR",IF(F313="NEW",IF(ISNA(VLOOKUP(E313,#REF!,1,FALSE())),"?TYPE_IDENTIFIABLE","?REFERENTIAL"),"_")))))</f>
        <v/>
      </c>
      <c r="H313" s="23" t="str">
        <f aca="false">IF(J313&lt;&gt;1,"",IF(I313="SBJ","CB","?"))</f>
        <v/>
      </c>
      <c r="I313" s="24" t="str">
        <f aca="false">IF(OR(E313="",E313="!!!",F313="NEW"),"",INDEX(N$2:N308,-1+SUMPRODUCT(MAX(ROW(E$2:E308)*(E313=E$2:E308)))))</f>
        <v/>
      </c>
      <c r="J313" s="25" t="str">
        <f aca="true">IF(OR(E313="",E313="!!!",F313="NEW"),"",COUNTBLANK(OFFSET(M$1,,,SUMPRODUCT(MAX(ROW(E$2:E309)*(E313=E$2:E309)))))-COUNTBLANK(OFFSET(M$1,,,SUMPRODUCT(MAX(ROW(Q$1:Q308)*(E313=Q$1:Q308))))))</f>
        <v/>
      </c>
      <c r="K313" s="25" t="str">
        <f aca="false">IF(OR(E313="",E313="!!!",F313="NEW"),"",INDEX(V$1:V308,SUMPRODUCT(MAX(ROW(Q$1:Q308)*(E313=Q$1:Q308)))))</f>
        <v/>
      </c>
      <c r="L313" s="26"/>
      <c r="M313" s="27"/>
    </row>
    <row r="314" customFormat="false" ht="15" hidden="false" customHeight="false" outlineLevel="0" collapsed="false">
      <c r="A314" s="19" t="s">
        <v>438</v>
      </c>
      <c r="E314" s="20" t="str">
        <f aca="false">IF(P314="?OLD","!!!","")</f>
        <v/>
      </c>
      <c r="F314" s="21" t="str">
        <f aca="false">IF(OR(E314="",E314="!!!"),"",IF(NOT(ISNA(VLOOKUP(E314,Q$1:Q309,1,FALSE()))),"OLD",IF(AND(E314&lt;&gt;"",E314&lt;&gt;"!!!"),"NEW","")))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IF(OR(E314="",E314="!!!",F314="NEW"),"",INDEX(N$2:N309,-1+SUMPRODUCT(MAX(ROW(E$2:E309)*(E314=E$2:E309)))))</f>
        <v/>
      </c>
      <c r="J314" s="25" t="str">
        <f aca="true">IF(OR(E314="",E314="!!!",F314="NEW"),"",COUNTBLANK(OFFSET(M$1,,,SUMPRODUCT(MAX(ROW(E$2:E310)*(E314=E$2:E310)))))-COUNTBLANK(OFFSET(M$1,,,SUMPRODUCT(MAX(ROW(Q$1:Q309)*(E314=Q$1:Q309))))))</f>
        <v/>
      </c>
      <c r="K314" s="25" t="str">
        <f aca="false">IF(OR(E314="",E314="!!!",F314="NEW"),"",INDEX(V$1:V309,SUMPRODUCT(MAX(ROW(Q$1:Q309)*(E314=Q$1:Q309)))))</f>
        <v/>
      </c>
      <c r="L314" s="26"/>
      <c r="M314" s="27"/>
    </row>
    <row r="315" customFormat="false" ht="15" hidden="false" customHeight="false" outlineLevel="0" collapsed="false">
      <c r="A315" s="19" t="s">
        <v>309</v>
      </c>
      <c r="E315" s="20" t="str">
        <f aca="false">IF(P315="?OLD","!!!","")</f>
        <v/>
      </c>
      <c r="F315" s="21" t="str">
        <f aca="false">IF(OR(E315="",E315="!!!"),"",IF(NOT(ISNA(VLOOKUP(E315,Q$1:Q310,1,FALSE()))),"OLD",IF(AND(E315&lt;&gt;"",E315&lt;&gt;"!!!"),"NEW","")))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IF(OR(E315="",E315="!!!",F315="NEW"),"",INDEX(N$2:N310,-1+SUMPRODUCT(MAX(ROW(E$2:E310)*(E315=E$2:E310)))))</f>
        <v/>
      </c>
      <c r="J315" s="25" t="str">
        <f aca="true">IF(OR(E315="",E315="!!!",F315="NEW"),"",COUNTBLANK(OFFSET(M$1,,,SUMPRODUCT(MAX(ROW(E$2:E311)*(E315=E$2:E311)))))-COUNTBLANK(OFFSET(M$1,,,SUMPRODUCT(MAX(ROW(Q$1:Q310)*(E315=Q$1:Q310))))))</f>
        <v/>
      </c>
      <c r="K315" s="25" t="str">
        <f aca="false">IF(OR(E315="",E315="!!!",F315="NEW"),"",INDEX(V$1:V310,SUMPRODUCT(MAX(ROW(Q$1:Q310)*(E315=Q$1:Q310)))))</f>
        <v/>
      </c>
      <c r="L315" s="26"/>
      <c r="M315" s="27"/>
    </row>
    <row r="316" customFormat="false" ht="57.45" hidden="false" customHeight="false" outlineLevel="0" collapsed="false">
      <c r="A316" s="19" t="s">
        <v>310</v>
      </c>
      <c r="B316" s="28" t="s">
        <v>258</v>
      </c>
      <c r="C316" s="28" t="s">
        <v>264</v>
      </c>
      <c r="D316" s="28" t="s">
        <v>253</v>
      </c>
      <c r="E316" s="20"/>
      <c r="F316" s="21" t="str">
        <f aca="false">IF(OR(E316="",E316="!!!"),"",IF(NOT(ISNA(VLOOKUP(E316,Q$1:Q311,1,FALSE()))),"OLD",IF(AND(E316&lt;&gt;"",E316&lt;&gt;"!!!"),"NEW","")))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IF(OR(E316="",E316="!!!",F316="NEW"),"",INDEX(N$2:N311,-1+SUMPRODUCT(MAX(ROW(E$2:E311)*(E316=E$2:E311)))))</f>
        <v/>
      </c>
      <c r="J316" s="25" t="str">
        <f aca="true">IF(OR(E316="",E316="!!!",F316="NEW"),"",COUNTBLANK(OFFSET(M$1,,,SUMPRODUCT(MAX(ROW(E$2:E312)*(E316=E$2:E312)))))-COUNTBLANK(OFFSET(M$1,,,SUMPRODUCT(MAX(ROW(Q$1:Q311)*(E316=Q$1:Q311))))))</f>
        <v/>
      </c>
      <c r="K316" s="25" t="str">
        <f aca="false">IF(OR(E316="",E316="!!!",F316="NEW"),"",INDEX(V$1:V311,SUMPRODUCT(MAX(ROW(Q$1:Q311)*(E316=Q$1:Q311)))))</f>
        <v/>
      </c>
      <c r="L316" s="26" t="s">
        <v>409</v>
      </c>
      <c r="M316" s="27"/>
      <c r="N316" s="29"/>
      <c r="O316" s="29"/>
      <c r="P316" s="29"/>
    </row>
    <row r="317" customFormat="false" ht="15" hidden="false" customHeight="false" outlineLevel="0" collapsed="false">
      <c r="A317" s="19" t="s">
        <v>261</v>
      </c>
      <c r="E317" s="20" t="str">
        <f aca="false">IF(P317="?OLD","!!!","")</f>
        <v/>
      </c>
      <c r="F317" s="21" t="str">
        <f aca="false">IF(OR(E317="",E317="!!!"),"",IF(NOT(ISNA(VLOOKUP(E317,Q$1:Q312,1,FALSE()))),"OLD",IF(AND(E317&lt;&gt;"",E317&lt;&gt;"!!!"),"NEW","")))</f>
        <v/>
      </c>
      <c r="G317" s="22" t="str">
        <f aca="false">IF(OR(E317="",E317="!!!"),"",IF(OR(J317=0,AND(J317=1,K317=1),AND(J317=1,I317="SBJ"),AND(J317=1,I317=0)),"?IN_FOCUS",IF(J317&lt;=2,"?ACTIVATED",IF(J317&lt;&gt;"","?FAMILIAR",IF(F317="NEW",IF(ISNA(VLOOKUP(E317,#REF!,1,FALSE())),"?TYPE_IDENTIFIABLE","?REFERENTIAL"),"_")))))</f>
        <v/>
      </c>
      <c r="H317" s="23" t="str">
        <f aca="false">IF(J317&lt;&gt;1,"",IF(I317="SBJ","CB","?"))</f>
        <v/>
      </c>
      <c r="I317" s="24" t="str">
        <f aca="false">IF(OR(E317="",E317="!!!",F317="NEW"),"",INDEX(N$2:N312,-1+SUMPRODUCT(MAX(ROW(E$2:E312)*(E317=E$2:E312)))))</f>
        <v/>
      </c>
      <c r="J317" s="25" t="str">
        <f aca="true">IF(OR(E317="",E317="!!!",F317="NEW"),"",COUNTBLANK(OFFSET(M$1,,,SUMPRODUCT(MAX(ROW(E$2:E313)*(E317=E$2:E313)))))-COUNTBLANK(OFFSET(M$1,,,SUMPRODUCT(MAX(ROW(Q$1:Q312)*(E317=Q$1:Q312))))))</f>
        <v/>
      </c>
      <c r="K317" s="25" t="str">
        <f aca="false">IF(OR(E317="",E317="!!!",F317="NEW"),"",INDEX(V$1:V312,SUMPRODUCT(MAX(ROW(Q$1:Q312)*(E317=Q$1:Q312)))))</f>
        <v/>
      </c>
      <c r="L317" s="26"/>
      <c r="M317" s="27"/>
    </row>
    <row r="318" customFormat="false" ht="15" hidden="false" customHeight="false" outlineLevel="0" collapsed="false">
      <c r="A318" s="19" t="s">
        <v>367</v>
      </c>
      <c r="E318" s="20" t="str">
        <f aca="false">IF(P318="?OLD","!!!","")</f>
        <v/>
      </c>
      <c r="F318" s="21" t="str">
        <f aca="false">IF(OR(E318="",E318="!!!"),"",IF(NOT(ISNA(VLOOKUP(E318,Q$1:Q313,1,FALSE()))),"OLD",IF(AND(E318&lt;&gt;"",E318&lt;&gt;"!!!"),"NEW","")))</f>
        <v/>
      </c>
      <c r="G318" s="22" t="str">
        <f aca="false">IF(OR(E318="",E318="!!!"),"",IF(OR(J318=0,AND(J318=1,K318=1),AND(J318=1,I318="SBJ"),AND(J318=1,I318=0)),"?IN_FOCUS",IF(J318&lt;=2,"?ACTIVATED",IF(J318&lt;&gt;"","?FAMILIAR",IF(F318="NEW",IF(ISNA(VLOOKUP(E318,#REF!,1,FALSE())),"?TYPE_IDENTIFIABLE","?REFERENTIAL"),"_")))))</f>
        <v/>
      </c>
      <c r="H318" s="23" t="str">
        <f aca="false">IF(J318&lt;&gt;1,"",IF(I318="SBJ","CB","?"))</f>
        <v/>
      </c>
      <c r="I318" s="24" t="str">
        <f aca="false">IF(OR(E318="",E318="!!!",F318="NEW"),"",INDEX(N$2:N313,-1+SUMPRODUCT(MAX(ROW(E$2:E313)*(E318=E$2:E313)))))</f>
        <v/>
      </c>
      <c r="J318" s="25" t="str">
        <f aca="true">IF(OR(E318="",E318="!!!",F318="NEW"),"",COUNTBLANK(OFFSET(M$1,,,SUMPRODUCT(MAX(ROW(E$2:E314)*(E318=E$2:E314)))))-COUNTBLANK(OFFSET(M$1,,,SUMPRODUCT(MAX(ROW(Q$1:Q313)*(E318=Q$1:Q313))))))</f>
        <v/>
      </c>
      <c r="K318" s="25" t="str">
        <f aca="false">IF(OR(E318="",E318="!!!",F318="NEW"),"",INDEX(V$1:V313,SUMPRODUCT(MAX(ROW(Q$1:Q313)*(E318=Q$1:Q313)))))</f>
        <v/>
      </c>
      <c r="L318" s="26"/>
      <c r="M318" s="27"/>
    </row>
    <row r="319" customFormat="false" ht="15" hidden="false" customHeight="false" outlineLevel="0" collapsed="false">
      <c r="A319" s="19" t="s">
        <v>439</v>
      </c>
      <c r="B319" s="28" t="s">
        <v>293</v>
      </c>
      <c r="C319" s="28" t="s">
        <v>358</v>
      </c>
      <c r="D319" s="28" t="s">
        <v>253</v>
      </c>
      <c r="E319" s="20" t="s">
        <v>440</v>
      </c>
      <c r="F319" s="21" t="str">
        <f aca="false">IF(OR(E319="",E319="!!!"),"",IF(NOT(ISNA(VLOOKUP(E319,Q$1:Q314,1,FALSE()))),"OLD",IF(AND(E319&lt;&gt;"",E319&lt;&gt;"!!!"),"NEW","")))</f>
        <v>NEW</v>
      </c>
      <c r="G319" s="22" t="s">
        <v>255</v>
      </c>
      <c r="H319" s="23" t="str">
        <f aca="false">IF(J319&lt;&gt;1,"",IF(I319="SBJ","CB","?"))</f>
        <v/>
      </c>
      <c r="I319" s="24" t="str">
        <f aca="false">IF(OR(E319="",E319="!!!",F319="NEW"),"",INDEX(N$2:N314,-1+SUMPRODUCT(MAX(ROW(E$2:E314)*(E319=E$2:E314)))))</f>
        <v/>
      </c>
      <c r="J319" s="25" t="str">
        <f aca="true">IF(OR(E319="",E319="!!!",F319="NEW"),"",COUNTBLANK(OFFSET(M$1,,,SUMPRODUCT(MAX(ROW(E$2:E315)*(E319=E$2:E315)))))-COUNTBLANK(OFFSET(M$1,,,SUMPRODUCT(MAX(ROW(Q$1:Q314)*(E319=Q$1:Q314))))))</f>
        <v/>
      </c>
      <c r="K319" s="25" t="str">
        <f aca="false">IF(OR(E319="",E319="!!!",F319="NEW"),"",INDEX(V$1:V314,SUMPRODUCT(MAX(ROW(Q$1:Q314)*(E319=Q$1:Q314)))))</f>
        <v/>
      </c>
      <c r="L319" s="26"/>
      <c r="M319" s="27"/>
      <c r="N319" s="29"/>
      <c r="O319" s="29"/>
      <c r="P319" s="29"/>
    </row>
    <row r="320" customFormat="false" ht="15" hidden="false" customHeight="false" outlineLevel="0" collapsed="false">
      <c r="A320" s="19" t="s">
        <v>336</v>
      </c>
      <c r="B320" s="28" t="s">
        <v>326</v>
      </c>
      <c r="C320" s="28" t="s">
        <v>314</v>
      </c>
      <c r="D320" s="28" t="s">
        <v>253</v>
      </c>
      <c r="E320" s="20" t="s">
        <v>440</v>
      </c>
      <c r="F320" s="21" t="str">
        <f aca="false">IF(OR(E320="",E320="!!!"),"",IF(NOT(ISNA(VLOOKUP(E320,Q$1:Q315,1,FALSE()))),"OLD",IF(AND(E320&lt;&gt;"",E320&lt;&gt;"!!!"),"NEW","")))</f>
        <v>NEW</v>
      </c>
      <c r="G320" s="22" t="s">
        <v>266</v>
      </c>
      <c r="H320" s="23" t="str">
        <f aca="false">IF(J320&lt;&gt;1,"",IF(I320="SBJ","CB","?"))</f>
        <v/>
      </c>
      <c r="I320" s="24" t="str">
        <f aca="false">IF(OR(E320="",E320="!!!",F320="NEW"),"",INDEX(N$2:N315,-1+SUMPRODUCT(MAX(ROW(E$2:E315)*(E320=E$2:E315)))))</f>
        <v/>
      </c>
      <c r="J320" s="25" t="str">
        <f aca="true">IF(OR(E320="",E320="!!!",F320="NEW"),"",COUNTBLANK(OFFSET(M$1,,,SUMPRODUCT(MAX(ROW(E$2:E316)*(E320=E$2:E316)))))-COUNTBLANK(OFFSET(M$1,,,SUMPRODUCT(MAX(ROW(Q$1:Q315)*(E320=Q$1:Q315))))))</f>
        <v/>
      </c>
      <c r="K320" s="25" t="str">
        <f aca="false">IF(OR(E320="",E320="!!!",F320="NEW"),"",INDEX(V$1:V315,SUMPRODUCT(MAX(ROW(Q$1:Q315)*(E320=Q$1:Q315)))))</f>
        <v/>
      </c>
      <c r="L320" s="26"/>
      <c r="M320" s="27"/>
      <c r="N320" s="29"/>
      <c r="O320" s="29"/>
      <c r="P320" s="29"/>
    </row>
    <row r="321" customFormat="false" ht="15" hidden="false" customHeight="false" outlineLevel="0" collapsed="false">
      <c r="A321" s="19" t="s">
        <v>256</v>
      </c>
      <c r="E321" s="20" t="str">
        <f aca="false">IF(P321="?OLD","!!!","")</f>
        <v/>
      </c>
      <c r="F321" s="21" t="str">
        <f aca="false">IF(OR(E321="",E321="!!!"),"",IF(NOT(ISNA(VLOOKUP(E321,Q$1:Q316,1,FALSE()))),"OLD",IF(AND(E321&lt;&gt;"",E321&lt;&gt;"!!!"),"NEW","")))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IF(OR(E321="",E321="!!!",F321="NEW"),"",INDEX(N$2:N316,-1+SUMPRODUCT(MAX(ROW(E$2:E316)*(E321=E$2:E316)))))</f>
        <v/>
      </c>
      <c r="J321" s="25" t="str">
        <f aca="true">IF(OR(E321="",E321="!!!",F321="NEW"),"",COUNTBLANK(OFFSET(M$1,,,SUMPRODUCT(MAX(ROW(E$2:E317)*(E321=E$2:E317)))))-COUNTBLANK(OFFSET(M$1,,,SUMPRODUCT(MAX(ROW(Q$1:Q316)*(E321=Q$1:Q316))))))</f>
        <v/>
      </c>
      <c r="K321" s="25" t="str">
        <f aca="false">IF(OR(E321="",E321="!!!",F321="NEW"),"",INDEX(V$1:V316,SUMPRODUCT(MAX(ROW(Q$1:Q316)*(E321=Q$1:Q316)))))</f>
        <v/>
      </c>
      <c r="L321" s="26"/>
      <c r="M321" s="27"/>
    </row>
    <row r="322" customFormat="false" ht="15" hidden="false" customHeight="false" outlineLevel="0" collapsed="false">
      <c r="A322" s="19" t="s">
        <v>390</v>
      </c>
      <c r="B322" s="28" t="s">
        <v>293</v>
      </c>
      <c r="C322" s="28" t="s">
        <v>333</v>
      </c>
      <c r="D322" s="28" t="s">
        <v>253</v>
      </c>
      <c r="E322" s="20" t="s">
        <v>440</v>
      </c>
      <c r="F322" s="21" t="str">
        <f aca="false">IF(OR(E322="",E322="!!!"),"",IF(NOT(ISNA(VLOOKUP(E322,Q$1:Q317,1,FALSE()))),"OLD",IF(AND(E322&lt;&gt;"",E322&lt;&gt;"!!!"),"NEW","")))</f>
        <v>NEW</v>
      </c>
      <c r="G322" s="22" t="s">
        <v>296</v>
      </c>
      <c r="H322" s="23" t="str">
        <f aca="false">IF(J322&lt;&gt;1,"",IF(I322="SBJ","CB","?"))</f>
        <v/>
      </c>
      <c r="I322" s="24" t="str">
        <f aca="false">IF(OR(E322="",E322="!!!",F322="NEW"),"",INDEX(N$2:N317,-1+SUMPRODUCT(MAX(ROW(E$2:E317)*(E322=E$2:E317)))))</f>
        <v/>
      </c>
      <c r="J322" s="25" t="str">
        <f aca="true">IF(OR(E322="",E322="!!!",F322="NEW"),"",COUNTBLANK(OFFSET(M$1,,,SUMPRODUCT(MAX(ROW(E$2:E318)*(E322=E$2:E318)))))-COUNTBLANK(OFFSET(M$1,,,SUMPRODUCT(MAX(ROW(Q$1:Q317)*(E322=Q$1:Q317))))))</f>
        <v/>
      </c>
      <c r="K322" s="25" t="str">
        <f aca="false">IF(OR(E322="",E322="!!!",F322="NEW"),"",INDEX(V$1:V317,SUMPRODUCT(MAX(ROW(Q$1:Q317)*(E322=Q$1:Q317)))))</f>
        <v/>
      </c>
      <c r="L322" s="26"/>
      <c r="M322" s="27"/>
      <c r="N322" s="29"/>
      <c r="O322" s="29"/>
      <c r="P322" s="29"/>
    </row>
    <row r="323" customFormat="false" ht="15" hidden="false" customHeight="false" outlineLevel="0" collapsed="false">
      <c r="A323" s="19" t="s">
        <v>261</v>
      </c>
      <c r="E323" s="20" t="str">
        <f aca="false">IF(P323="?OLD","!!!","")</f>
        <v/>
      </c>
      <c r="F323" s="21" t="str">
        <f aca="false">IF(OR(E323="",E323="!!!"),"",IF(NOT(ISNA(VLOOKUP(E323,Q$1:Q318,1,FALSE()))),"OLD",IF(AND(E323&lt;&gt;"",E323&lt;&gt;"!!!"),"NEW","")))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4" t="str">
        <f aca="false">IF(OR(E323="",E323="!!!",F323="NEW"),"",INDEX(N$2:N318,-1+SUMPRODUCT(MAX(ROW(E$2:E318)*(E323=E$2:E318)))))</f>
        <v/>
      </c>
      <c r="J323" s="25" t="str">
        <f aca="true">IF(OR(E323="",E323="!!!",F323="NEW"),"",COUNTBLANK(OFFSET(M$1,,,SUMPRODUCT(MAX(ROW(E$2:E319)*(E323=E$2:E319)))))-COUNTBLANK(OFFSET(M$1,,,SUMPRODUCT(MAX(ROW(Q$1:Q318)*(E323=Q$1:Q318))))))</f>
        <v/>
      </c>
      <c r="K323" s="25" t="str">
        <f aca="false">IF(OR(E323="",E323="!!!",F323="NEW"),"",INDEX(V$1:V318,SUMPRODUCT(MAX(ROW(Q$1:Q318)*(E323=Q$1:Q318)))))</f>
        <v/>
      </c>
      <c r="L323" s="26"/>
      <c r="M323" s="27"/>
    </row>
    <row r="324" customFormat="false" ht="15" hidden="false" customHeight="false" outlineLevel="0" collapsed="false">
      <c r="A324" s="19" t="s">
        <v>294</v>
      </c>
      <c r="E324" s="20" t="str">
        <f aca="false">IF(P324="?OLD","!!!","")</f>
        <v/>
      </c>
      <c r="F324" s="21" t="str">
        <f aca="false">IF(OR(E324="",E324="!!!"),"",IF(NOT(ISNA(VLOOKUP(E324,Q$1:Q319,1,FALSE()))),"OLD",IF(AND(E324&lt;&gt;"",E324&lt;&gt;"!!!"),"NEW","")))</f>
        <v/>
      </c>
      <c r="G324" s="22" t="str">
        <f aca="false">IF(OR(E324="",E324="!!!"),"",IF(OR(J324=0,AND(J324=1,K324=1),AND(J324=1,I324="SBJ"),AND(J324=1,I324=0)),"?IN_FOCUS",IF(J324&lt;=2,"?ACTIVATED",IF(J324&lt;&gt;"","?FAMILIAR",IF(F324="NEW",IF(ISNA(VLOOKUP(E324,#REF!,1,FALSE())),"?TYPE_IDENTIFIABLE","?REFERENTIAL"),"_")))))</f>
        <v/>
      </c>
      <c r="H324" s="23" t="str">
        <f aca="false">IF(J324&lt;&gt;1,"",IF(I324="SBJ","CB","?"))</f>
        <v/>
      </c>
      <c r="I324" s="24" t="str">
        <f aca="false">IF(OR(E324="",E324="!!!",F324="NEW"),"",INDEX(N$2:N319,-1+SUMPRODUCT(MAX(ROW(E$2:E319)*(E324=E$2:E319)))))</f>
        <v/>
      </c>
      <c r="J324" s="25" t="str">
        <f aca="true">IF(OR(E324="",E324="!!!",F324="NEW"),"",COUNTBLANK(OFFSET(M$1,,,SUMPRODUCT(MAX(ROW(E$2:E320)*(E324=E$2:E320)))))-COUNTBLANK(OFFSET(M$1,,,SUMPRODUCT(MAX(ROW(Q$1:Q319)*(E324=Q$1:Q319))))))</f>
        <v/>
      </c>
      <c r="K324" s="25" t="str">
        <f aca="false">IF(OR(E324="",E324="!!!",F324="NEW"),"",INDEX(V$1:V319,SUMPRODUCT(MAX(ROW(Q$1:Q319)*(E324=Q$1:Q319)))))</f>
        <v/>
      </c>
      <c r="L324" s="26"/>
      <c r="M324" s="27"/>
    </row>
    <row r="325" customFormat="false" ht="15" hidden="false" customHeight="false" outlineLevel="0" collapsed="false">
      <c r="A325" s="19" t="s">
        <v>218</v>
      </c>
      <c r="E325" s="20" t="str">
        <f aca="false">IF(P325="?OLD","!!!","")</f>
        <v/>
      </c>
      <c r="F325" s="21" t="str">
        <f aca="false">IF(OR(E325="",E325="!!!"),"",IF(NOT(ISNA(VLOOKUP(E325,Q$1:Q320,1,FALSE()))),"OLD",IF(AND(E325&lt;&gt;"",E325&lt;&gt;"!!!"),"NEW","")))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IF(OR(E325="",E325="!!!",F325="NEW"),"",INDEX(N$2:N320,-1+SUMPRODUCT(MAX(ROW(E$2:E320)*(E325=E$2:E320)))))</f>
        <v/>
      </c>
      <c r="J325" s="25" t="str">
        <f aca="true">IF(OR(E325="",E325="!!!",F325="NEW"),"",COUNTBLANK(OFFSET(M$1,,,SUMPRODUCT(MAX(ROW(E$2:E321)*(E325=E$2:E321)))))-COUNTBLANK(OFFSET(M$1,,,SUMPRODUCT(MAX(ROW(Q$1:Q320)*(E325=Q$1:Q320))))))</f>
        <v/>
      </c>
      <c r="K325" s="25" t="str">
        <f aca="false">IF(OR(E325="",E325="!!!",F325="NEW"),"",INDEX(V$1:V320,SUMPRODUCT(MAX(ROW(Q$1:Q320)*(E325=Q$1:Q320)))))</f>
        <v/>
      </c>
      <c r="L325" s="26"/>
      <c r="M325" s="27"/>
    </row>
    <row r="326" customFormat="false" ht="15" hidden="false" customHeight="false" outlineLevel="0" collapsed="false">
      <c r="A326" s="19" t="s">
        <v>441</v>
      </c>
      <c r="B326" s="28" t="s">
        <v>442</v>
      </c>
      <c r="C326" s="28" t="s">
        <v>264</v>
      </c>
      <c r="D326" s="28" t="s">
        <v>253</v>
      </c>
      <c r="E326" s="20" t="s">
        <v>440</v>
      </c>
      <c r="F326" s="21" t="str">
        <f aca="false">IF(OR(E326="",E326="!!!"),"",IF(NOT(ISNA(VLOOKUP(E326,Q$1:Q321,1,FALSE()))),"OLD",IF(AND(E326&lt;&gt;"",E326&lt;&gt;"!!!"),"NEW","")))</f>
        <v>NEW</v>
      </c>
      <c r="G326" s="22" t="s">
        <v>296</v>
      </c>
      <c r="H326" s="23" t="str">
        <f aca="false">IF(J326&lt;&gt;1,"",IF(I326="SBJ","CB","?"))</f>
        <v/>
      </c>
      <c r="I326" s="24" t="str">
        <f aca="false">IF(OR(E326="",E326="!!!",F326="NEW"),"",INDEX(N$2:N321,-1+SUMPRODUCT(MAX(ROW(E$2:E321)*(E326=E$2:E321)))))</f>
        <v/>
      </c>
      <c r="J326" s="25" t="str">
        <f aca="true">IF(OR(E326="",E326="!!!",F326="NEW"),"",COUNTBLANK(OFFSET(M$1,,,SUMPRODUCT(MAX(ROW(E$2:E322)*(E326=E$2:E322)))))-COUNTBLANK(OFFSET(M$1,,,SUMPRODUCT(MAX(ROW(Q$1:Q321)*(E326=Q$1:Q321))))))</f>
        <v/>
      </c>
      <c r="K326" s="25" t="str">
        <f aca="false">IF(OR(E326="",E326="!!!",F326="NEW"),"",INDEX(V$1:V321,SUMPRODUCT(MAX(ROW(Q$1:Q321)*(E326=Q$1:Q321)))))</f>
        <v/>
      </c>
      <c r="L326" s="26"/>
      <c r="M326" s="27"/>
      <c r="N326" s="29"/>
      <c r="O326" s="29"/>
      <c r="P326" s="29"/>
    </row>
    <row r="327" customFormat="false" ht="15" hidden="false" customHeight="false" outlineLevel="0" collapsed="false">
      <c r="A327" s="19" t="s">
        <v>372</v>
      </c>
      <c r="B327" s="28" t="s">
        <v>443</v>
      </c>
      <c r="E327" s="20" t="str">
        <f aca="false">IF(P327="?OLD","!!!","")</f>
        <v/>
      </c>
      <c r="F327" s="21" t="str">
        <f aca="false">IF(OR(E327="",E327="!!!"),"",IF(NOT(ISNA(VLOOKUP(E327,Q$1:Q322,1,FALSE()))),"OLD",IF(AND(E327&lt;&gt;"",E327&lt;&gt;"!!!"),"NEW","")))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IF(OR(E327="",E327="!!!",F327="NEW"),"",INDEX(N$2:N322,-1+SUMPRODUCT(MAX(ROW(E$2:E322)*(E327=E$2:E322)))))</f>
        <v/>
      </c>
      <c r="J327" s="25" t="str">
        <f aca="true">IF(OR(E327="",E327="!!!",F327="NEW"),"",COUNTBLANK(OFFSET(M$1,,,SUMPRODUCT(MAX(ROW(E$2:E323)*(E327=E$2:E323)))))-COUNTBLANK(OFFSET(M$1,,,SUMPRODUCT(MAX(ROW(Q$1:Q322)*(E327=Q$1:Q322))))))</f>
        <v/>
      </c>
      <c r="K327" s="25" t="str">
        <f aca="false">IF(OR(E327="",E327="!!!",F327="NEW"),"",INDEX(V$1:V322,SUMPRODUCT(MAX(ROW(Q$1:Q322)*(E327=Q$1:Q322)))))</f>
        <v/>
      </c>
      <c r="L327" s="26"/>
      <c r="M327" s="27"/>
      <c r="N327" s="29"/>
    </row>
    <row r="328" customFormat="false" ht="15" hidden="false" customHeight="false" outlineLevel="0" collapsed="false">
      <c r="A328" s="19" t="s">
        <v>444</v>
      </c>
      <c r="E328" s="20" t="str">
        <f aca="false">IF(P328="?OLD","!!!","")</f>
        <v/>
      </c>
      <c r="F328" s="21" t="str">
        <f aca="false">IF(OR(E328="",E328="!!!"),"",IF(NOT(ISNA(VLOOKUP(E328,Q$1:Q323,1,FALSE()))),"OLD",IF(AND(E328&lt;&gt;"",E328&lt;&gt;"!!!"),"NEW","")))</f>
        <v/>
      </c>
      <c r="G328" s="22" t="str">
        <f aca="false">IF(OR(E328="",E328="!!!"),"",IF(OR(J328=0,AND(J328=1,K328=1),AND(J328=1,I328="SBJ"),AND(J328=1,I328=0)),"?IN_FOCUS",IF(J328&lt;=2,"?ACTIVATED",IF(J328&lt;&gt;"","?FAMILIAR",IF(F328="NEW",IF(ISNA(VLOOKUP(E328,#REF!,1,FALSE())),"?TYPE_IDENTIFIABLE","?REFERENTIAL"),"_")))))</f>
        <v/>
      </c>
      <c r="H328" s="23" t="str">
        <f aca="false">IF(J328&lt;&gt;1,"",IF(I328="SBJ","CB","?"))</f>
        <v/>
      </c>
      <c r="I328" s="24" t="str">
        <f aca="false">IF(OR(E328="",E328="!!!",F328="NEW"),"",INDEX(N$2:N323,-1+SUMPRODUCT(MAX(ROW(E$2:E323)*(E328=E$2:E323)))))</f>
        <v/>
      </c>
      <c r="J328" s="25" t="str">
        <f aca="true">IF(OR(E328="",E328="!!!",F328="NEW"),"",COUNTBLANK(OFFSET(M$1,,,SUMPRODUCT(MAX(ROW(E$2:E324)*(E328=E$2:E324)))))-COUNTBLANK(OFFSET(M$1,,,SUMPRODUCT(MAX(ROW(Q$1:Q323)*(E328=Q$1:Q323))))))</f>
        <v/>
      </c>
      <c r="K328" s="25" t="str">
        <f aca="false">IF(OR(E328="",E328="!!!",F328="NEW"),"",INDEX(V$1:V323,SUMPRODUCT(MAX(ROW(Q$1:Q323)*(E328=Q$1:Q323)))))</f>
        <v/>
      </c>
      <c r="L328" s="26"/>
      <c r="M328" s="27"/>
    </row>
    <row r="329" customFormat="false" ht="15" hidden="false" customHeight="false" outlineLevel="0" collapsed="false">
      <c r="A329" s="19" t="s">
        <v>445</v>
      </c>
      <c r="E329" s="20" t="str">
        <f aca="false">IF(P329="?OLD","!!!","")</f>
        <v/>
      </c>
      <c r="F329" s="21" t="str">
        <f aca="false">IF(OR(E329="",E329="!!!"),"",IF(NOT(ISNA(VLOOKUP(E329,Q$1:Q324,1,FALSE()))),"OLD",IF(AND(E329&lt;&gt;"",E329&lt;&gt;"!!!"),"NEW","")))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4" t="str">
        <f aca="false">IF(OR(E329="",E329="!!!",F329="NEW"),"",INDEX(N$2:N324,-1+SUMPRODUCT(MAX(ROW(E$2:E324)*(E329=E$2:E324)))))</f>
        <v/>
      </c>
      <c r="J329" s="25" t="str">
        <f aca="true">IF(OR(E329="",E329="!!!",F329="NEW"),"",COUNTBLANK(OFFSET(M$1,,,SUMPRODUCT(MAX(ROW(E$2:E325)*(E329=E$2:E325)))))-COUNTBLANK(OFFSET(M$1,,,SUMPRODUCT(MAX(ROW(Q$1:Q324)*(E329=Q$1:Q324))))))</f>
        <v/>
      </c>
      <c r="K329" s="25" t="str">
        <f aca="false">IF(OR(E329="",E329="!!!",F329="NEW"),"",INDEX(V$1:V324,SUMPRODUCT(MAX(ROW(Q$1:Q324)*(E329=Q$1:Q324)))))</f>
        <v/>
      </c>
      <c r="L329" s="26"/>
      <c r="M329" s="27"/>
    </row>
    <row r="330" customFormat="false" ht="15" hidden="false" customHeight="false" outlineLevel="0" collapsed="false">
      <c r="A330" s="19" t="s">
        <v>331</v>
      </c>
      <c r="B330" s="28" t="s">
        <v>446</v>
      </c>
      <c r="C330" s="28" t="s">
        <v>333</v>
      </c>
      <c r="D330" s="28" t="s">
        <v>253</v>
      </c>
      <c r="E330" s="20" t="s">
        <v>331</v>
      </c>
      <c r="F330" s="21" t="str">
        <f aca="false">IF(OR(E330="",E330="!!!"),"",IF(NOT(ISNA(VLOOKUP(E330,Q$1:Q325,1,FALSE()))),"OLD",IF(AND(E330&lt;&gt;"",E330&lt;&gt;"!!!"),"NEW","")))</f>
        <v>NEW</v>
      </c>
      <c r="G330" s="22" t="s">
        <v>283</v>
      </c>
      <c r="H330" s="23" t="str">
        <f aca="false">IF(J330&lt;&gt;1,"",IF(I330="SBJ","CB","?"))</f>
        <v/>
      </c>
      <c r="I330" s="24" t="str">
        <f aca="false">IF(OR(E330="",E330="!!!",F330="NEW"),"",INDEX(N$2:N325,-1+SUMPRODUCT(MAX(ROW(E$2:E325)*(E330=E$2:E325)))))</f>
        <v/>
      </c>
      <c r="J330" s="25" t="str">
        <f aca="true">IF(OR(E330="",E330="!!!",F330="NEW"),"",COUNTBLANK(OFFSET(M$1,,,SUMPRODUCT(MAX(ROW(E$2:E326)*(E330=E$2:E326)))))-COUNTBLANK(OFFSET(M$1,,,SUMPRODUCT(MAX(ROW(Q$1:Q325)*(E330=Q$1:Q325))))))</f>
        <v/>
      </c>
      <c r="K330" s="25" t="str">
        <f aca="false">IF(OR(E330="",E330="!!!",F330="NEW"),"",INDEX(V$1:V325,SUMPRODUCT(MAX(ROW(Q$1:Q325)*(E330=Q$1:Q325)))))</f>
        <v/>
      </c>
      <c r="L330" s="26"/>
      <c r="M330" s="27"/>
      <c r="N330" s="29"/>
      <c r="O330" s="29"/>
      <c r="P330" s="29"/>
    </row>
    <row r="331" customFormat="false" ht="15" hidden="false" customHeight="false" outlineLevel="0" collapsed="false">
      <c r="A331" s="19" t="s">
        <v>261</v>
      </c>
      <c r="E331" s="20" t="str">
        <f aca="false">IF(P331="?OLD","!!!","")</f>
        <v/>
      </c>
      <c r="F331" s="21" t="str">
        <f aca="false">IF(OR(E331="",E331="!!!"),"",IF(NOT(ISNA(VLOOKUP(E331,Q$1:Q326,1,FALSE()))),"OLD",IF(AND(E331&lt;&gt;"",E331&lt;&gt;"!!!"),"NEW","")))</f>
        <v/>
      </c>
      <c r="G331" s="22" t="str">
        <f aca="false">IF(OR(E331="",E331="!!!"),"",IF(OR(J331=0,AND(J331=1,K331=1),AND(J331=1,I331="SBJ"),AND(J331=1,I331=0)),"?IN_FOCUS",IF(J331&lt;=2,"?ACTIVATED",IF(J331&lt;&gt;"","?FAMILIAR",IF(F331="NEW",IF(ISNA(VLOOKUP(E331,#REF!,1,FALSE())),"?TYPE_IDENTIFIABLE","?REFERENTIAL"),"_")))))</f>
        <v/>
      </c>
      <c r="H331" s="23" t="str">
        <f aca="false">IF(J331&lt;&gt;1,"",IF(I331="SBJ","CB","?"))</f>
        <v/>
      </c>
      <c r="I331" s="24" t="str">
        <f aca="false">IF(OR(E331="",E331="!!!",F331="NEW"),"",INDEX(N$2:N326,-1+SUMPRODUCT(MAX(ROW(E$2:E326)*(E331=E$2:E326)))))</f>
        <v/>
      </c>
      <c r="J331" s="25" t="str">
        <f aca="true">IF(OR(E331="",E331="!!!",F331="NEW"),"",COUNTBLANK(OFFSET(M$1,,,SUMPRODUCT(MAX(ROW(E$2:E327)*(E331=E$2:E327)))))-COUNTBLANK(OFFSET(M$1,,,SUMPRODUCT(MAX(ROW(Q$1:Q326)*(E331=Q$1:Q326))))))</f>
        <v/>
      </c>
      <c r="K331" s="25" t="str">
        <f aca="false">IF(OR(E331="",E331="!!!",F331="NEW"),"",INDEX(V$1:V326,SUMPRODUCT(MAX(ROW(Q$1:Q326)*(E331=Q$1:Q326)))))</f>
        <v/>
      </c>
      <c r="L331" s="26"/>
      <c r="M331" s="27"/>
    </row>
    <row r="332" customFormat="false" ht="15" hidden="false" customHeight="false" outlineLevel="0" collapsed="false">
      <c r="A332" s="19" t="s">
        <v>183</v>
      </c>
      <c r="E332" s="20" t="str">
        <f aca="false">IF(P332="?OLD","!!!","")</f>
        <v/>
      </c>
      <c r="F332" s="21" t="str">
        <f aca="false">IF(OR(E332="",E332="!!!"),"",IF(NOT(ISNA(VLOOKUP(E332,Q$1:Q327,1,FALSE()))),"OLD",IF(AND(E332&lt;&gt;"",E332&lt;&gt;"!!!"),"NEW","")))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IF(OR(E332="",E332="!!!",F332="NEW"),"",INDEX(N$2:N327,-1+SUMPRODUCT(MAX(ROW(E$2:E327)*(E332=E$2:E327)))))</f>
        <v/>
      </c>
      <c r="J332" s="25" t="str">
        <f aca="true">IF(OR(E332="",E332="!!!",F332="NEW"),"",COUNTBLANK(OFFSET(M$1,,,SUMPRODUCT(MAX(ROW(E$2:E328)*(E332=E$2:E328)))))-COUNTBLANK(OFFSET(M$1,,,SUMPRODUCT(MAX(ROW(Q$1:Q327)*(E332=Q$1:Q327))))))</f>
        <v/>
      </c>
      <c r="K332" s="25" t="str">
        <f aca="false">IF(OR(E332="",E332="!!!",F332="NEW"),"",INDEX(V$1:V327,SUMPRODUCT(MAX(ROW(Q$1:Q327)*(E332=Q$1:Q327)))))</f>
        <v/>
      </c>
      <c r="L332" s="26"/>
      <c r="M332" s="27"/>
    </row>
    <row r="333" customFormat="false" ht="15" hidden="false" customHeight="false" outlineLevel="0" collapsed="false">
      <c r="A333" s="19" t="s">
        <v>343</v>
      </c>
      <c r="B333" s="28" t="s">
        <v>447</v>
      </c>
      <c r="C333" s="28" t="s">
        <v>420</v>
      </c>
      <c r="D333" s="28" t="s">
        <v>253</v>
      </c>
      <c r="E333" s="20"/>
      <c r="F333" s="21" t="s">
        <v>448</v>
      </c>
      <c r="G333" s="22" t="str">
        <f aca="false">IF(OR(E333="",E333="!!!"),"",IF(OR(J333=0,AND(J333=1,K333=1),AND(J333=1,I333="SBJ"),AND(J333=1,I333=0)),"?IN_FOCUS",IF(J333&lt;=2,"?ACTIVATED",IF(J333&lt;&gt;"","?FAMILIAR",IF(F333="NEW",IF(ISNA(VLOOKUP(E333,#REF!,1,FALSE())),"?TYPE_IDENTIFIABLE","?REFERENTIAL"),"_")))))</f>
        <v/>
      </c>
      <c r="H333" s="23" t="str">
        <f aca="false">IF(J333&lt;&gt;1,"",IF(I333="SBJ","CB","?"))</f>
        <v/>
      </c>
      <c r="I333" s="24" t="str">
        <f aca="false">IF(OR(E333="",E333="!!!",F333="NEW"),"",INDEX(N$2:N328,-1+SUMPRODUCT(MAX(ROW(E$2:E328)*(E333=E$2:E328)))))</f>
        <v/>
      </c>
      <c r="J333" s="25" t="str">
        <f aca="true">IF(OR(E333="",E333="!!!",F333="NEW"),"",COUNTBLANK(OFFSET(M$1,,,SUMPRODUCT(MAX(ROW(E$2:E329)*(E333=E$2:E329)))))-COUNTBLANK(OFFSET(M$1,,,SUMPRODUCT(MAX(ROW(Q$1:Q328)*(E333=Q$1:Q328))))))</f>
        <v/>
      </c>
      <c r="K333" s="25" t="str">
        <f aca="false">IF(OR(E333="",E333="!!!",F333="NEW"),"",INDEX(V$1:V328,SUMPRODUCT(MAX(ROW(Q$1:Q328)*(E333=Q$1:Q328)))))</f>
        <v/>
      </c>
      <c r="L333" s="26"/>
      <c r="M333" s="27"/>
      <c r="N333" s="29"/>
      <c r="O333" s="29"/>
      <c r="P333" s="29"/>
    </row>
    <row r="334" customFormat="false" ht="15" hidden="false" customHeight="false" outlineLevel="0" collapsed="false">
      <c r="A334" s="19" t="s">
        <v>31</v>
      </c>
      <c r="E334" s="20" t="str">
        <f aca="false">IF(P334="?OLD","!!!","")</f>
        <v/>
      </c>
      <c r="F334" s="21" t="str">
        <f aca="false">IF(OR(E334="",E334="!!!"),"",IF(NOT(ISNA(VLOOKUP(E334,Q$1:Q329,1,FALSE()))),"OLD",IF(AND(E334&lt;&gt;"",E334&lt;&gt;"!!!"),"NEW","")))</f>
        <v/>
      </c>
      <c r="G334" s="22" t="str">
        <f aca="false">IF(OR(E334="",E334="!!!"),"",IF(OR(J334=0,AND(J334=1,K334=1),AND(J334=1,I334="SBJ"),AND(J334=1,I334=0)),"?IN_FOCUS",IF(J334&lt;=2,"?ACTIVATED",IF(J334&lt;&gt;"","?FAMILIAR",IF(F334="NEW",IF(ISNA(VLOOKUP(E334,#REF!,1,FALSE())),"?TYPE_IDENTIFIABLE","?REFERENTIAL"),"_")))))</f>
        <v/>
      </c>
      <c r="H334" s="23" t="str">
        <f aca="false">IF(J334&lt;&gt;1,"",IF(I334="SBJ","CB","?"))</f>
        <v/>
      </c>
      <c r="I334" s="24" t="str">
        <f aca="false">IF(OR(E334="",E334="!!!",F334="NEW"),"",INDEX(N$2:N329,-1+SUMPRODUCT(MAX(ROW(E$2:E329)*(E334=E$2:E329)))))</f>
        <v/>
      </c>
      <c r="J334" s="25" t="str">
        <f aca="true">IF(OR(E334="",E334="!!!",F334="NEW"),"",COUNTBLANK(OFFSET(M$1,,,SUMPRODUCT(MAX(ROW(E$2:E330)*(E334=E$2:E330)))))-COUNTBLANK(OFFSET(M$1,,,SUMPRODUCT(MAX(ROW(Q$1:Q329)*(E334=Q$1:Q329))))))</f>
        <v/>
      </c>
      <c r="K334" s="25" t="str">
        <f aca="false">IF(OR(E334="",E334="!!!",F334="NEW"),"",INDEX(V$1:V329,SUMPRODUCT(MAX(ROW(Q$1:Q329)*(E334=Q$1:Q329)))))</f>
        <v/>
      </c>
      <c r="L334" s="26"/>
      <c r="M334" s="27"/>
    </row>
    <row r="335" customFormat="false" ht="15" hidden="false" customHeight="false" outlineLevel="0" collapsed="false">
      <c r="A335" s="19" t="s">
        <v>449</v>
      </c>
      <c r="E335" s="20" t="str">
        <f aca="false">IF(P335="?OLD","!!!","")</f>
        <v/>
      </c>
      <c r="F335" s="21" t="str">
        <f aca="false">IF(OR(E335="",E335="!!!"),"",IF(NOT(ISNA(VLOOKUP(E335,Q$1:Q330,1,FALSE()))),"OLD",IF(AND(E335&lt;&gt;"",E335&lt;&gt;"!!!"),"NEW","")))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4" t="str">
        <f aca="false">IF(OR(E335="",E335="!!!",F335="NEW"),"",INDEX(N$2:N330,-1+SUMPRODUCT(MAX(ROW(E$2:E330)*(E335=E$2:E330)))))</f>
        <v/>
      </c>
      <c r="J335" s="25" t="str">
        <f aca="true">IF(OR(E335="",E335="!!!",F335="NEW"),"",COUNTBLANK(OFFSET(M$1,,,SUMPRODUCT(MAX(ROW(E$2:E331)*(E335=E$2:E331)))))-COUNTBLANK(OFFSET(M$1,,,SUMPRODUCT(MAX(ROW(Q$1:Q330)*(E335=Q$1:Q330))))))</f>
        <v/>
      </c>
      <c r="K335" s="25" t="str">
        <f aca="false">IF(OR(E335="",E335="!!!",F335="NEW"),"",INDEX(V$1:V330,SUMPRODUCT(MAX(ROW(Q$1:Q330)*(E335=Q$1:Q330)))))</f>
        <v/>
      </c>
      <c r="L335" s="26"/>
      <c r="M335" s="27"/>
    </row>
    <row r="336" customFormat="false" ht="15" hidden="false" customHeight="false" outlineLevel="0" collapsed="false">
      <c r="A336" s="19" t="s">
        <v>309</v>
      </c>
      <c r="E336" s="20" t="str">
        <f aca="false">IF(P336="?OLD","!!!","")</f>
        <v/>
      </c>
      <c r="F336" s="21" t="str">
        <f aca="false">IF(OR(E336="",E336="!!!"),"",IF(NOT(ISNA(VLOOKUP(E336,Q$1:Q331,1,FALSE()))),"OLD",IF(AND(E336&lt;&gt;"",E336&lt;&gt;"!!!"),"NEW","")))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4" t="str">
        <f aca="false">IF(OR(E336="",E336="!!!",F336="NEW"),"",INDEX(N$2:N331,-1+SUMPRODUCT(MAX(ROW(E$2:E331)*(E336=E$2:E331)))))</f>
        <v/>
      </c>
      <c r="J336" s="25" t="str">
        <f aca="true">IF(OR(E336="",E336="!!!",F336="NEW"),"",COUNTBLANK(OFFSET(M$1,,,SUMPRODUCT(MAX(ROW(E$2:E332)*(E336=E$2:E332)))))-COUNTBLANK(OFFSET(M$1,,,SUMPRODUCT(MAX(ROW(Q$1:Q331)*(E336=Q$1:Q331))))))</f>
        <v/>
      </c>
      <c r="K336" s="25" t="str">
        <f aca="false">IF(OR(E336="",E336="!!!",F336="NEW"),"",INDEX(V$1:V331,SUMPRODUCT(MAX(ROW(Q$1:Q331)*(E336=Q$1:Q331)))))</f>
        <v/>
      </c>
      <c r="L336" s="26"/>
      <c r="M336" s="27"/>
    </row>
    <row r="337" customFormat="false" ht="15" hidden="false" customHeight="false" outlineLevel="0" collapsed="false">
      <c r="A337" s="19" t="s">
        <v>441</v>
      </c>
      <c r="B337" s="28" t="s">
        <v>450</v>
      </c>
      <c r="C337" s="28" t="s">
        <v>264</v>
      </c>
      <c r="D337" s="28" t="s">
        <v>253</v>
      </c>
      <c r="E337" s="20" t="s">
        <v>440</v>
      </c>
      <c r="F337" s="21" t="str">
        <f aca="false">IF(OR(E337="",E337="!!!"),"",IF(NOT(ISNA(VLOOKUP(E337,Q$1:Q332,1,FALSE()))),"OLD",IF(AND(E337&lt;&gt;"",E337&lt;&gt;"!!!"),"NEW","")))</f>
        <v>NEW</v>
      </c>
      <c r="G337" s="22" t="s">
        <v>296</v>
      </c>
      <c r="H337" s="23" t="str">
        <f aca="false">IF(J337&lt;&gt;1,"",IF(I337="SBJ","CB","?"))</f>
        <v/>
      </c>
      <c r="I337" s="24" t="str">
        <f aca="false">IF(OR(E337="",E337="!!!",F337="NEW"),"",INDEX(N$2:N332,-1+SUMPRODUCT(MAX(ROW(E$2:E332)*(E337=E$2:E332)))))</f>
        <v/>
      </c>
      <c r="J337" s="25" t="str">
        <f aca="true">IF(OR(E337="",E337="!!!",F337="NEW"),"",COUNTBLANK(OFFSET(M$1,,,SUMPRODUCT(MAX(ROW(E$2:E333)*(E337=E$2:E333)))))-COUNTBLANK(OFFSET(M$1,,,SUMPRODUCT(MAX(ROW(Q$1:Q332)*(E337=Q$1:Q332))))))</f>
        <v/>
      </c>
      <c r="K337" s="25" t="str">
        <f aca="false">IF(OR(E337="",E337="!!!",F337="NEW"),"",INDEX(V$1:V332,SUMPRODUCT(MAX(ROW(Q$1:Q332)*(E337=Q$1:Q332)))))</f>
        <v/>
      </c>
      <c r="L337" s="26"/>
      <c r="M337" s="27"/>
      <c r="N337" s="29"/>
      <c r="O337" s="29"/>
      <c r="P337" s="29"/>
    </row>
    <row r="338" customFormat="false" ht="15" hidden="false" customHeight="false" outlineLevel="0" collapsed="false">
      <c r="A338" s="19" t="s">
        <v>261</v>
      </c>
      <c r="E338" s="20" t="str">
        <f aca="false">IF(P338="?OLD","!!!","")</f>
        <v/>
      </c>
      <c r="F338" s="21" t="str">
        <f aca="false">IF(OR(E338="",E338="!!!"),"",IF(NOT(ISNA(VLOOKUP(E338,Q$1:Q333,1,FALSE()))),"OLD",IF(AND(E338&lt;&gt;"",E338&lt;&gt;"!!!"),"NEW","")))</f>
        <v/>
      </c>
      <c r="G338" s="22" t="str">
        <f aca="false">IF(OR(E338="",E338="!!!"),"",IF(OR(J338=0,AND(J338=1,K338=1),AND(J338=1,I338="SBJ"),AND(J338=1,I338=0)),"?IN_FOCUS",IF(J338&lt;=2,"?ACTIVATED",IF(J338&lt;&gt;"","?FAMILIAR",IF(F338="NEW",IF(ISNA(VLOOKUP(E338,#REF!,1,FALSE())),"?TYPE_IDENTIFIABLE","?REFERENTIAL"),"_")))))</f>
        <v/>
      </c>
      <c r="H338" s="23" t="str">
        <f aca="false">IF(J338&lt;&gt;1,"",IF(I338="SBJ","CB","?"))</f>
        <v/>
      </c>
      <c r="I338" s="24" t="str">
        <f aca="false">IF(OR(E338="",E338="!!!",F338="NEW"),"",INDEX(N$2:N333,-1+SUMPRODUCT(MAX(ROW(E$2:E333)*(E338=E$2:E333)))))</f>
        <v/>
      </c>
      <c r="J338" s="25" t="str">
        <f aca="true">IF(OR(E338="",E338="!!!",F338="NEW"),"",COUNTBLANK(OFFSET(M$1,,,SUMPRODUCT(MAX(ROW(E$2:E334)*(E338=E$2:E334)))))-COUNTBLANK(OFFSET(M$1,,,SUMPRODUCT(MAX(ROW(Q$1:Q333)*(E338=Q$1:Q333))))))</f>
        <v/>
      </c>
      <c r="K338" s="25" t="str">
        <f aca="false">IF(OR(E338="",E338="!!!",F338="NEW"),"",INDEX(V$1:V333,SUMPRODUCT(MAX(ROW(Q$1:Q333)*(E338=Q$1:Q333)))))</f>
        <v/>
      </c>
      <c r="L338" s="26"/>
      <c r="M338" s="27"/>
    </row>
    <row r="339" customFormat="false" ht="15" hidden="false" customHeight="false" outlineLevel="0" collapsed="false">
      <c r="A339" s="19" t="s">
        <v>294</v>
      </c>
      <c r="E339" s="20" t="str">
        <f aca="false">IF(P339="?OLD","!!!","")</f>
        <v/>
      </c>
      <c r="F339" s="21" t="str">
        <f aca="false">IF(OR(E339="",E339="!!!"),"",IF(NOT(ISNA(VLOOKUP(E339,Q$1:Q334,1,FALSE()))),"OLD",IF(AND(E339&lt;&gt;"",E339&lt;&gt;"!!!"),"NEW","")))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IF(OR(E339="",E339="!!!",F339="NEW"),"",INDEX(N$2:N334,-1+SUMPRODUCT(MAX(ROW(E$2:E334)*(E339=E$2:E334)))))</f>
        <v/>
      </c>
      <c r="J339" s="25" t="str">
        <f aca="true">IF(OR(E339="",E339="!!!",F339="NEW"),"",COUNTBLANK(OFFSET(M$1,,,SUMPRODUCT(MAX(ROW(E$2:E335)*(E339=E$2:E335)))))-COUNTBLANK(OFFSET(M$1,,,SUMPRODUCT(MAX(ROW(Q$1:Q334)*(E339=Q$1:Q334))))))</f>
        <v/>
      </c>
      <c r="K339" s="25" t="str">
        <f aca="false">IF(OR(E339="",E339="!!!",F339="NEW"),"",INDEX(V$1:V334,SUMPRODUCT(MAX(ROW(Q$1:Q334)*(E339=Q$1:Q334)))))</f>
        <v/>
      </c>
      <c r="L339" s="26"/>
      <c r="M339" s="27"/>
    </row>
    <row r="340" customFormat="false" ht="15" hidden="false" customHeight="false" outlineLevel="0" collapsed="false">
      <c r="A340" s="19" t="s">
        <v>451</v>
      </c>
      <c r="E340" s="20" t="str">
        <f aca="false">IF(P340="?OLD","!!!","")</f>
        <v/>
      </c>
      <c r="F340" s="21" t="str">
        <f aca="false">IF(OR(E340="",E340="!!!"),"",IF(NOT(ISNA(VLOOKUP(E340,Q$1:Q335,1,FALSE()))),"OLD",IF(AND(E340&lt;&gt;"",E340&lt;&gt;"!!!"),"NEW","")))</f>
        <v/>
      </c>
      <c r="G340" s="22" t="str">
        <f aca="false">IF(OR(E340="",E340="!!!"),"",IF(OR(J340=0,AND(J340=1,K340=1),AND(J340=1,I340="SBJ"),AND(J340=1,I340=0)),"?IN_FOCUS",IF(J340&lt;=2,"?ACTIVATED",IF(J340&lt;&gt;"","?FAMILIAR",IF(F340="NEW",IF(ISNA(VLOOKUP(E340,#REF!,1,FALSE())),"?TYPE_IDENTIFIABLE","?REFERENTIAL"),"_")))))</f>
        <v/>
      </c>
      <c r="H340" s="23" t="str">
        <f aca="false">IF(J340&lt;&gt;1,"",IF(I340="SBJ","CB","?"))</f>
        <v/>
      </c>
      <c r="I340" s="24" t="str">
        <f aca="false">IF(OR(E340="",E340="!!!",F340="NEW"),"",INDEX(N$2:N335,-1+SUMPRODUCT(MAX(ROW(E$2:E335)*(E340=E$2:E335)))))</f>
        <v/>
      </c>
      <c r="J340" s="25" t="str">
        <f aca="true">IF(OR(E340="",E340="!!!",F340="NEW"),"",COUNTBLANK(OFFSET(M$1,,,SUMPRODUCT(MAX(ROW(E$2:E336)*(E340=E$2:E336)))))-COUNTBLANK(OFFSET(M$1,,,SUMPRODUCT(MAX(ROW(Q$1:Q335)*(E340=Q$1:Q335))))))</f>
        <v/>
      </c>
      <c r="K340" s="25" t="str">
        <f aca="false">IF(OR(E340="",E340="!!!",F340="NEW"),"",INDEX(V$1:V335,SUMPRODUCT(MAX(ROW(Q$1:Q335)*(E340=Q$1:Q335)))))</f>
        <v/>
      </c>
      <c r="L340" s="26"/>
      <c r="M340" s="27"/>
    </row>
    <row r="341" customFormat="false" ht="15" hidden="false" customHeight="false" outlineLevel="0" collapsed="false">
      <c r="A341" s="19" t="s">
        <v>309</v>
      </c>
      <c r="E341" s="20" t="str">
        <f aca="false">IF(P341="?OLD","!!!","")</f>
        <v/>
      </c>
      <c r="F341" s="21" t="str">
        <f aca="false">IF(OR(E341="",E341="!!!"),"",IF(NOT(ISNA(VLOOKUP(E341,Q$1:Q336,1,FALSE()))),"OLD",IF(AND(E341&lt;&gt;"",E341&lt;&gt;"!!!"),"NEW","")))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4" t="str">
        <f aca="false">IF(OR(E341="",E341="!!!",F341="NEW"),"",INDEX(N$2:N336,-1+SUMPRODUCT(MAX(ROW(E$2:E336)*(E341=E$2:E336)))))</f>
        <v/>
      </c>
      <c r="J341" s="25" t="str">
        <f aca="true">IF(OR(E341="",E341="!!!",F341="NEW"),"",COUNTBLANK(OFFSET(M$1,,,SUMPRODUCT(MAX(ROW(E$2:E337)*(E341=E$2:E337)))))-COUNTBLANK(OFFSET(M$1,,,SUMPRODUCT(MAX(ROW(Q$1:Q336)*(E341=Q$1:Q336))))))</f>
        <v/>
      </c>
      <c r="K341" s="25" t="str">
        <f aca="false">IF(OR(E341="",E341="!!!",F341="NEW"),"",INDEX(V$1:V336,SUMPRODUCT(MAX(ROW(Q$1:Q336)*(E341=Q$1:Q336)))))</f>
        <v/>
      </c>
      <c r="L341" s="26"/>
      <c r="M341" s="27"/>
    </row>
    <row r="342" customFormat="false" ht="15" hidden="false" customHeight="false" outlineLevel="0" collapsed="false">
      <c r="A342" s="19" t="s">
        <v>452</v>
      </c>
      <c r="B342" s="28" t="s">
        <v>446</v>
      </c>
      <c r="C342" s="28" t="s">
        <v>358</v>
      </c>
      <c r="D342" s="28" t="s">
        <v>253</v>
      </c>
      <c r="E342" s="20" t="s">
        <v>66</v>
      </c>
      <c r="F342" s="21" t="str">
        <f aca="false">IF(OR(E342="",E342="!!!"),"",IF(NOT(ISNA(VLOOKUP(E342,Q$1:Q337,1,FALSE()))),"OLD",IF(AND(E342&lt;&gt;"",E342&lt;&gt;"!!!"),"NEW","")))</f>
        <v>NEW</v>
      </c>
      <c r="G342" s="22" t="s">
        <v>296</v>
      </c>
      <c r="H342" s="23" t="str">
        <f aca="false">IF(J342&lt;&gt;1,"",IF(I342="SBJ","CB","?"))</f>
        <v/>
      </c>
      <c r="I342" s="24" t="str">
        <f aca="false">IF(OR(E342="",E342="!!!",F342="NEW"),"",INDEX(N$2:N337,-1+SUMPRODUCT(MAX(ROW(E$2:E337)*(E342=E$2:E337)))))</f>
        <v/>
      </c>
      <c r="J342" s="25" t="str">
        <f aca="true">IF(OR(E342="",E342="!!!",F342="NEW"),"",COUNTBLANK(OFFSET(M$1,,,SUMPRODUCT(MAX(ROW(E$2:E338)*(E342=E$2:E338)))))-COUNTBLANK(OFFSET(M$1,,,SUMPRODUCT(MAX(ROW(Q$1:Q337)*(E342=Q$1:Q337))))))</f>
        <v/>
      </c>
      <c r="K342" s="25" t="str">
        <f aca="false">IF(OR(E342="",E342="!!!",F342="NEW"),"",INDEX(V$1:V337,SUMPRODUCT(MAX(ROW(Q$1:Q337)*(E342=Q$1:Q337)))))</f>
        <v/>
      </c>
      <c r="L342" s="26"/>
      <c r="M342" s="27"/>
      <c r="N342" s="29"/>
      <c r="O342" s="29"/>
      <c r="P342" s="29"/>
    </row>
    <row r="343" customFormat="false" ht="15" hidden="false" customHeight="false" outlineLevel="0" collapsed="false">
      <c r="A343" s="19" t="s">
        <v>453</v>
      </c>
      <c r="B343" s="28" t="s">
        <v>450</v>
      </c>
      <c r="C343" s="28" t="s">
        <v>314</v>
      </c>
      <c r="D343" s="28" t="s">
        <v>253</v>
      </c>
      <c r="E343" s="20" t="s">
        <v>454</v>
      </c>
      <c r="F343" s="21" t="str">
        <f aca="false">IF(OR(E343="",E343="!!!"),"",IF(NOT(ISNA(VLOOKUP(E343,Q$1:Q338,1,FALSE()))),"OLD",IF(AND(E343&lt;&gt;"",E343&lt;&gt;"!!!"),"NEW","")))</f>
        <v>NEW</v>
      </c>
      <c r="G343" s="22" t="s">
        <v>255</v>
      </c>
      <c r="H343" s="23" t="str">
        <f aca="false">IF(J343&lt;&gt;1,"",IF(I343="SBJ","CB","?"))</f>
        <v/>
      </c>
      <c r="I343" s="24" t="str">
        <f aca="false">IF(OR(E343="",E343="!!!",F343="NEW"),"",INDEX(N$2:N338,-1+SUMPRODUCT(MAX(ROW(E$2:E338)*(E343=E$2:E338)))))</f>
        <v/>
      </c>
      <c r="J343" s="25" t="str">
        <f aca="true">IF(OR(E343="",E343="!!!",F343="NEW"),"",COUNTBLANK(OFFSET(M$1,,,SUMPRODUCT(MAX(ROW(E$2:E339)*(E343=E$2:E339)))))-COUNTBLANK(OFFSET(M$1,,,SUMPRODUCT(MAX(ROW(Q$1:Q338)*(E343=Q$1:Q338))))))</f>
        <v/>
      </c>
      <c r="K343" s="25" t="str">
        <f aca="false">IF(OR(E343="",E343="!!!",F343="NEW"),"",INDEX(V$1:V338,SUMPRODUCT(MAX(ROW(Q$1:Q338)*(E343=Q$1:Q338)))))</f>
        <v/>
      </c>
      <c r="L343" s="26"/>
      <c r="M343" s="27"/>
      <c r="N343" s="29"/>
      <c r="O343" s="29"/>
      <c r="P343" s="29"/>
    </row>
    <row r="344" customFormat="false" ht="15" hidden="false" customHeight="false" outlineLevel="0" collapsed="false">
      <c r="A344" s="19" t="s">
        <v>275</v>
      </c>
      <c r="E344" s="20" t="str">
        <f aca="false">IF(P344="?OLD","!!!","")</f>
        <v/>
      </c>
      <c r="F344" s="21" t="str">
        <f aca="false">IF(OR(E344="",E344="!!!"),"",IF(NOT(ISNA(VLOOKUP(E344,Q$1:Q339,1,FALSE()))),"OLD",IF(AND(E344&lt;&gt;"",E344&lt;&gt;"!!!"),"NEW","")))</f>
        <v/>
      </c>
      <c r="G344" s="22" t="str">
        <f aca="false">IF(OR(E344="",E344="!!!"),"",IF(OR(J344=0,AND(J344=1,K344=1),AND(J344=1,I344="SBJ"),AND(J344=1,I344=0)),"?IN_FOCUS",IF(J344&lt;=2,"?ACTIVATED",IF(J344&lt;&gt;"","?FAMILIAR",IF(F344="NEW",IF(ISNA(VLOOKUP(E344,#REF!,1,FALSE())),"?TYPE_IDENTIFIABLE","?REFERENTIAL"),"_")))))</f>
        <v/>
      </c>
      <c r="H344" s="23" t="str">
        <f aca="false">IF(J344&lt;&gt;1,"",IF(I344="SBJ","CB","?"))</f>
        <v/>
      </c>
      <c r="I344" s="24" t="str">
        <f aca="false">IF(OR(E344="",E344="!!!",F344="NEW"),"",INDEX(N$2:N339,-1+SUMPRODUCT(MAX(ROW(E$2:E339)*(E344=E$2:E339)))))</f>
        <v/>
      </c>
      <c r="J344" s="25" t="str">
        <f aca="true">IF(OR(E344="",E344="!!!",F344="NEW"),"",COUNTBLANK(OFFSET(M$1,,,SUMPRODUCT(MAX(ROW(E$2:E340)*(E344=E$2:E340)))))-COUNTBLANK(OFFSET(M$1,,,SUMPRODUCT(MAX(ROW(Q$1:Q339)*(E344=Q$1:Q339))))))</f>
        <v/>
      </c>
      <c r="K344" s="25" t="str">
        <f aca="false">IF(OR(E344="",E344="!!!",F344="NEW"),"",INDEX(V$1:V339,SUMPRODUCT(MAX(ROW(Q$1:Q339)*(E344=Q$1:Q339)))))</f>
        <v/>
      </c>
      <c r="L344" s="26"/>
      <c r="M344" s="27"/>
    </row>
    <row r="345" customFormat="false" ht="15" hidden="false" customHeight="false" outlineLevel="0" collapsed="false">
      <c r="A345" s="19"/>
      <c r="E345" s="20" t="str">
        <f aca="false">IF(P345="?OLD","!!!","")</f>
        <v/>
      </c>
      <c r="F345" s="21" t="str">
        <f aca="false">IF(OR(E345="",E345="!!!"),"",IF(NOT(ISNA(VLOOKUP(E345,Q$1:Q340,1,FALSE()))),"OLD",IF(AND(E345&lt;&gt;"",E345&lt;&gt;"!!!"),"NEW","")))</f>
        <v/>
      </c>
      <c r="G345" s="22" t="str">
        <f aca="false">IF(OR(E345="",E345="!!!"),"",IF(OR(J345=0,AND(J345=1,K345=1),AND(J345=1,I345="SBJ"),AND(J345=1,I345=0)),"?IN_FOCUS",IF(J345&lt;=2,"?ACTIVATED",IF(J345&lt;&gt;"","?FAMILIAR",IF(F345="NEW",IF(ISNA(VLOOKUP(E345,#REF!,1,FALSE())),"?TYPE_IDENTIFIABLE","?REFERENTIAL"),"_")))))</f>
        <v/>
      </c>
      <c r="H345" s="23" t="str">
        <f aca="false">IF(J345&lt;&gt;1,"",IF(I345="SBJ","CB","?"))</f>
        <v/>
      </c>
      <c r="I345" s="24" t="str">
        <f aca="false">IF(OR(E345="",E345="!!!",F345="NEW"),"",INDEX(N$2:N340,-1+SUMPRODUCT(MAX(ROW(E$2:E340)*(E345=E$2:E340)))))</f>
        <v/>
      </c>
      <c r="J345" s="25" t="str">
        <f aca="true">IF(OR(E345="",E345="!!!",F345="NEW"),"",COUNTBLANK(OFFSET(M$1,,,SUMPRODUCT(MAX(ROW(E$2:E341)*(E345=E$2:E341)))))-COUNTBLANK(OFFSET(M$1,,,SUMPRODUCT(MAX(ROW(Q$1:Q340)*(E345=Q$1:Q340))))))</f>
        <v/>
      </c>
      <c r="K345" s="25" t="str">
        <f aca="false">IF(OR(E345="",E345="!!!",F345="NEW"),"",INDEX(V$1:V340,SUMPRODUCT(MAX(ROW(Q$1:Q340)*(E345=Q$1:Q340)))))</f>
        <v/>
      </c>
      <c r="L345" s="26"/>
    </row>
    <row r="346" customFormat="false" ht="15" hidden="false" customHeight="false" outlineLevel="0" collapsed="false">
      <c r="A346" s="19" t="s">
        <v>455</v>
      </c>
      <c r="E346" s="20" t="str">
        <f aca="false">IF(P346="?OLD","!!!","")</f>
        <v/>
      </c>
      <c r="F346" s="21" t="str">
        <f aca="false">IF(OR(E346="",E346="!!!"),"",IF(NOT(ISNA(VLOOKUP(E346,Q$1:Q341,1,FALSE()))),"OLD",IF(AND(E346&lt;&gt;"",E346&lt;&gt;"!!!"),"NEW","")))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IF(OR(E346="",E346="!!!",F346="NEW"),"",INDEX(N$2:N341,-1+SUMPRODUCT(MAX(ROW(E$2:E341)*(E346=E$2:E341)))))</f>
        <v/>
      </c>
      <c r="J346" s="25" t="str">
        <f aca="true">IF(OR(E346="",E346="!!!",F346="NEW"),"",COUNTBLANK(OFFSET(M$1,,,SUMPRODUCT(MAX(ROW(E$2:E342)*(E346=E$2:E342)))))-COUNTBLANK(OFFSET(M$1,,,SUMPRODUCT(MAX(ROW(Q$1:Q341)*(E346=Q$1:Q341))))))</f>
        <v/>
      </c>
      <c r="K346" s="25" t="str">
        <f aca="false">IF(OR(E346="",E346="!!!",F346="NEW"),"",INDEX(V$1:V341,SUMPRODUCT(MAX(ROW(Q$1:Q341)*(E346=Q$1:Q341)))))</f>
        <v/>
      </c>
      <c r="L346" s="26"/>
      <c r="M346" s="27"/>
    </row>
    <row r="347" customFormat="false" ht="15" hidden="false" customHeight="false" outlineLevel="0" collapsed="false">
      <c r="A347" s="19" t="s">
        <v>456</v>
      </c>
      <c r="E347" s="20" t="str">
        <f aca="false">IF(P347="?OLD","!!!","")</f>
        <v/>
      </c>
      <c r="F347" s="21" t="str">
        <f aca="false">IF(OR(E347="",E347="!!!"),"",IF(NOT(ISNA(VLOOKUP(E347,Q$1:Q342,1,FALSE()))),"OLD",IF(AND(E347&lt;&gt;"",E347&lt;&gt;"!!!"),"NEW","")))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4" t="str">
        <f aca="false">IF(OR(E347="",E347="!!!",F347="NEW"),"",INDEX(N$2:N342,-1+SUMPRODUCT(MAX(ROW(E$2:E342)*(E347=E$2:E342)))))</f>
        <v/>
      </c>
      <c r="J347" s="25" t="str">
        <f aca="true">IF(OR(E347="",E347="!!!",F347="NEW"),"",COUNTBLANK(OFFSET(M$1,,,SUMPRODUCT(MAX(ROW(E$2:E343)*(E347=E$2:E343)))))-COUNTBLANK(OFFSET(M$1,,,SUMPRODUCT(MAX(ROW(Q$1:Q342)*(E347=Q$1:Q342))))))</f>
        <v/>
      </c>
      <c r="K347" s="25" t="str">
        <f aca="false">IF(OR(E347="",E347="!!!",F347="NEW"),"",INDEX(V$1:V342,SUMPRODUCT(MAX(ROW(Q$1:Q342)*(E347=Q$1:Q342)))))</f>
        <v/>
      </c>
      <c r="L347" s="26"/>
      <c r="M347" s="27"/>
    </row>
    <row r="348" customFormat="false" ht="15" hidden="false" customHeight="false" outlineLevel="0" collapsed="false">
      <c r="A348" s="19" t="s">
        <v>371</v>
      </c>
      <c r="B348" s="28" t="s">
        <v>271</v>
      </c>
      <c r="C348" s="28" t="s">
        <v>420</v>
      </c>
      <c r="D348" s="28" t="s">
        <v>253</v>
      </c>
      <c r="E348" s="20" t="s">
        <v>440</v>
      </c>
      <c r="F348" s="21" t="str">
        <f aca="false">IF(OR(E348="",E348="!!!"),"",IF(NOT(ISNA(VLOOKUP(E348,Q$1:Q343,1,FALSE()))),"OLD",IF(AND(E348&lt;&gt;"",E348&lt;&gt;"!!!"),"NEW","")))</f>
        <v>NEW</v>
      </c>
      <c r="G348" s="22" t="s">
        <v>266</v>
      </c>
      <c r="H348" s="23" t="s">
        <v>243</v>
      </c>
      <c r="I348" s="24" t="str">
        <f aca="false">IF(OR(E348="",E348="!!!",F348="NEW"),"",INDEX(N$2:N343,-1+SUMPRODUCT(MAX(ROW(E$2:E343)*(E348=E$2:E343)))))</f>
        <v/>
      </c>
      <c r="J348" s="25" t="str">
        <f aca="true">IF(OR(E348="",E348="!!!",F348="NEW"),"",COUNTBLANK(OFFSET(M$1,,,SUMPRODUCT(MAX(ROW(E$2:E344)*(E348=E$2:E344)))))-COUNTBLANK(OFFSET(M$1,,,SUMPRODUCT(MAX(ROW(Q$1:Q343)*(E348=Q$1:Q343))))))</f>
        <v/>
      </c>
      <c r="K348" s="25" t="str">
        <f aca="false">IF(OR(E348="",E348="!!!",F348="NEW"),"",INDEX(V$1:V343,SUMPRODUCT(MAX(ROW(Q$1:Q343)*(E348=Q$1:Q343)))))</f>
        <v/>
      </c>
      <c r="L348" s="26"/>
      <c r="M348" s="27"/>
      <c r="N348" s="29"/>
      <c r="O348" s="29"/>
      <c r="P348" s="29"/>
    </row>
    <row r="349" customFormat="false" ht="15" hidden="false" customHeight="false" outlineLevel="0" collapsed="false">
      <c r="A349" s="19" t="s">
        <v>369</v>
      </c>
      <c r="E349" s="20" t="str">
        <f aca="false">IF(P349="?OLD","!!!","")</f>
        <v/>
      </c>
      <c r="F349" s="21" t="str">
        <f aca="false">IF(OR(E349="",E349="!!!"),"",IF(NOT(ISNA(VLOOKUP(E349,Q$1:Q344,1,FALSE()))),"OLD",IF(AND(E349&lt;&gt;"",E349&lt;&gt;"!!!"),"NEW","")))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4" t="str">
        <f aca="false">IF(OR(E349="",E349="!!!",F349="NEW"),"",INDEX(N$2:N344,-1+SUMPRODUCT(MAX(ROW(E$2:E344)*(E349=E$2:E344)))))</f>
        <v/>
      </c>
      <c r="J349" s="25" t="str">
        <f aca="true">IF(OR(E349="",E349="!!!",F349="NEW"),"",COUNTBLANK(OFFSET(M$1,,,SUMPRODUCT(MAX(ROW(E$2:E345)*(E349=E$2:E345)))))-COUNTBLANK(OFFSET(M$1,,,SUMPRODUCT(MAX(ROW(Q$1:Q344)*(E349=Q$1:Q344))))))</f>
        <v/>
      </c>
      <c r="K349" s="25" t="str">
        <f aca="false">IF(OR(E349="",E349="!!!",F349="NEW"),"",INDEX(V$1:V344,SUMPRODUCT(MAX(ROW(Q$1:Q344)*(E349=Q$1:Q344)))))</f>
        <v/>
      </c>
      <c r="L349" s="26"/>
      <c r="M349" s="27"/>
    </row>
    <row r="350" customFormat="false" ht="15" hidden="false" customHeight="false" outlineLevel="0" collapsed="false">
      <c r="A350" s="19" t="s">
        <v>370</v>
      </c>
      <c r="E350" s="20" t="str">
        <f aca="false">IF(P350="?OLD","!!!","")</f>
        <v/>
      </c>
      <c r="F350" s="21" t="str">
        <f aca="false">IF(OR(E350="",E350="!!!"),"",IF(NOT(ISNA(VLOOKUP(E350,Q$1:Q345,1,FALSE()))),"OLD",IF(AND(E350&lt;&gt;"",E350&lt;&gt;"!!!"),"NEW","")))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4" t="str">
        <f aca="false">IF(OR(E350="",E350="!!!",F350="NEW"),"",INDEX(N$2:N345,-1+SUMPRODUCT(MAX(ROW(E$2:E345)*(E350=E$2:E345)))))</f>
        <v/>
      </c>
      <c r="J350" s="25" t="str">
        <f aca="true">IF(OR(E350="",E350="!!!",F350="NEW"),"",COUNTBLANK(OFFSET(M$1,,,SUMPRODUCT(MAX(ROW(E$2:E346)*(E350=E$2:E346)))))-COUNTBLANK(OFFSET(M$1,,,SUMPRODUCT(MAX(ROW(Q$1:Q345)*(E350=Q$1:Q345))))))</f>
        <v/>
      </c>
      <c r="K350" s="25" t="str">
        <f aca="false">IF(OR(E350="",E350="!!!",F350="NEW"),"",INDEX(V$1:V345,SUMPRODUCT(MAX(ROW(Q$1:Q345)*(E350=Q$1:Q345)))))</f>
        <v/>
      </c>
      <c r="L350" s="26"/>
      <c r="M350" s="27"/>
    </row>
    <row r="351" customFormat="false" ht="15" hidden="false" customHeight="false" outlineLevel="0" collapsed="false">
      <c r="A351" s="19" t="s">
        <v>457</v>
      </c>
      <c r="E351" s="20" t="str">
        <f aca="false">IF(P351="?OLD","!!!","")</f>
        <v/>
      </c>
      <c r="F351" s="21" t="str">
        <f aca="false">IF(OR(E351="",E351="!!!"),"",IF(NOT(ISNA(VLOOKUP(E351,Q$1:Q346,1,FALSE()))),"OLD",IF(AND(E351&lt;&gt;"",E351&lt;&gt;"!!!"),"NEW","")))</f>
        <v/>
      </c>
      <c r="G351" s="22" t="str">
        <f aca="false">IF(OR(E351="",E351="!!!"),"",IF(OR(J351=0,AND(J351=1,K351=1),AND(J351=1,I351="SBJ"),AND(J351=1,I351=0)),"?IN_FOCUS",IF(J351&lt;=2,"?ACTIVATED",IF(J351&lt;&gt;"","?FAMILIAR",IF(F351="NEW",IF(ISNA(VLOOKUP(E351,#REF!,1,FALSE())),"?TYPE_IDENTIFIABLE","?REFERENTIAL"),"_")))))</f>
        <v/>
      </c>
      <c r="H351" s="23" t="str">
        <f aca="false">IF(J351&lt;&gt;1,"",IF(I351="SBJ","CB","?"))</f>
        <v/>
      </c>
      <c r="I351" s="24" t="str">
        <f aca="false">IF(OR(E351="",E351="!!!",F351="NEW"),"",INDEX(N$2:N346,-1+SUMPRODUCT(MAX(ROW(E$2:E346)*(E351=E$2:E346)))))</f>
        <v/>
      </c>
      <c r="J351" s="25" t="str">
        <f aca="true">IF(OR(E351="",E351="!!!",F351="NEW"),"",COUNTBLANK(OFFSET(M$1,,,SUMPRODUCT(MAX(ROW(E$2:E347)*(E351=E$2:E347)))))-COUNTBLANK(OFFSET(M$1,,,SUMPRODUCT(MAX(ROW(Q$1:Q346)*(E351=Q$1:Q346))))))</f>
        <v/>
      </c>
      <c r="K351" s="25" t="str">
        <f aca="false">IF(OR(E351="",E351="!!!",F351="NEW"),"",INDEX(V$1:V346,SUMPRODUCT(MAX(ROW(Q$1:Q346)*(E351=Q$1:Q346)))))</f>
        <v/>
      </c>
      <c r="L351" s="26"/>
      <c r="M351" s="27"/>
    </row>
    <row r="352" customFormat="false" ht="15" hidden="false" customHeight="false" outlineLevel="0" collapsed="false">
      <c r="A352" s="19" t="s">
        <v>261</v>
      </c>
      <c r="E352" s="20" t="str">
        <f aca="false">IF(P352="?OLD","!!!","")</f>
        <v/>
      </c>
      <c r="F352" s="21" t="str">
        <f aca="false">IF(OR(E352="",E352="!!!"),"",IF(NOT(ISNA(VLOOKUP(E352,Q$1:Q347,1,FALSE()))),"OLD",IF(AND(E352&lt;&gt;"",E352&lt;&gt;"!!!"),"NEW","")))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4" t="str">
        <f aca="false">IF(OR(E352="",E352="!!!",F352="NEW"),"",INDEX(N$2:N347,-1+SUMPRODUCT(MAX(ROW(E$2:E347)*(E352=E$2:E347)))))</f>
        <v/>
      </c>
      <c r="J352" s="25" t="str">
        <f aca="true">IF(OR(E352="",E352="!!!",F352="NEW"),"",COUNTBLANK(OFFSET(M$1,,,SUMPRODUCT(MAX(ROW(E$2:E348)*(E352=E$2:E348)))))-COUNTBLANK(OFFSET(M$1,,,SUMPRODUCT(MAX(ROW(Q$1:Q347)*(E352=Q$1:Q347))))))</f>
        <v/>
      </c>
      <c r="K352" s="25" t="str">
        <f aca="false">IF(OR(E352="",E352="!!!",F352="NEW"),"",INDEX(V$1:V347,SUMPRODUCT(MAX(ROW(Q$1:Q347)*(E352=Q$1:Q347)))))</f>
        <v/>
      </c>
      <c r="L352" s="26"/>
      <c r="M352" s="27"/>
    </row>
    <row r="353" customFormat="false" ht="15" hidden="false" customHeight="false" outlineLevel="0" collapsed="false">
      <c r="A353" s="19" t="s">
        <v>323</v>
      </c>
      <c r="E353" s="20" t="str">
        <f aca="false">IF(P353="?OLD","!!!","")</f>
        <v/>
      </c>
      <c r="F353" s="21" t="str">
        <f aca="false">IF(OR(E353="",E353="!!!"),"",IF(NOT(ISNA(VLOOKUP(E353,Q$1:Q348,1,FALSE()))),"OLD",IF(AND(E353&lt;&gt;"",E353&lt;&gt;"!!!"),"NEW","")))</f>
        <v/>
      </c>
      <c r="G353" s="22" t="str">
        <f aca="false">IF(OR(E353="",E353="!!!"),"",IF(OR(J353=0,AND(J353=1,K353=1),AND(J353=1,I353="SBJ"),AND(J353=1,I353=0)),"?IN_FOCUS",IF(J353&lt;=2,"?ACTIVATED",IF(J353&lt;&gt;"","?FAMILIAR",IF(F353="NEW",IF(ISNA(VLOOKUP(E353,#REF!,1,FALSE())),"?TYPE_IDENTIFIABLE","?REFERENTIAL"),"_")))))</f>
        <v/>
      </c>
      <c r="H353" s="23" t="str">
        <f aca="false">IF(J353&lt;&gt;1,"",IF(I353="SBJ","CB","?"))</f>
        <v/>
      </c>
      <c r="I353" s="24" t="str">
        <f aca="false">IF(OR(E353="",E353="!!!",F353="NEW"),"",INDEX(N$2:N348,-1+SUMPRODUCT(MAX(ROW(E$2:E348)*(E353=E$2:E348)))))</f>
        <v/>
      </c>
      <c r="J353" s="25" t="str">
        <f aca="true">IF(OR(E353="",E353="!!!",F353="NEW"),"",COUNTBLANK(OFFSET(M$1,,,SUMPRODUCT(MAX(ROW(E$2:E349)*(E353=E$2:E349)))))-COUNTBLANK(OFFSET(M$1,,,SUMPRODUCT(MAX(ROW(Q$1:Q348)*(E353=Q$1:Q348))))))</f>
        <v/>
      </c>
      <c r="K353" s="25" t="str">
        <f aca="false">IF(OR(E353="",E353="!!!",F353="NEW"),"",INDEX(V$1:V348,SUMPRODUCT(MAX(ROW(Q$1:Q348)*(E353=Q$1:Q348)))))</f>
        <v/>
      </c>
      <c r="L353" s="26"/>
      <c r="M353" s="27"/>
    </row>
    <row r="354" customFormat="false" ht="15" hidden="false" customHeight="false" outlineLevel="0" collapsed="false">
      <c r="A354" s="19" t="s">
        <v>441</v>
      </c>
      <c r="B354" s="28" t="s">
        <v>251</v>
      </c>
      <c r="C354" s="28" t="s">
        <v>264</v>
      </c>
      <c r="D354" s="28" t="s">
        <v>253</v>
      </c>
      <c r="E354" s="20" t="s">
        <v>440</v>
      </c>
      <c r="F354" s="21" t="str">
        <f aca="false">IF(OR(E354="",E354="!!!"),"",IF(NOT(ISNA(VLOOKUP(E354,Q$1:Q349,1,FALSE()))),"OLD",IF(AND(E354&lt;&gt;"",E354&lt;&gt;"!!!"),"NEW","")))</f>
        <v>NEW</v>
      </c>
      <c r="G354" s="22" t="s">
        <v>296</v>
      </c>
      <c r="H354" s="23" t="str">
        <f aca="false">IF(J354&lt;&gt;1,"",IF(I354="SBJ","CB","?"))</f>
        <v/>
      </c>
      <c r="I354" s="24" t="str">
        <f aca="false">IF(OR(E354="",E354="!!!",F354="NEW"),"",INDEX(N$2:N349,-1+SUMPRODUCT(MAX(ROW(E$2:E349)*(E354=E$2:E349)))))</f>
        <v/>
      </c>
      <c r="J354" s="25" t="str">
        <f aca="true">IF(OR(E354="",E354="!!!",F354="NEW"),"",COUNTBLANK(OFFSET(M$1,,,SUMPRODUCT(MAX(ROW(E$2:E350)*(E354=E$2:E350)))))-COUNTBLANK(OFFSET(M$1,,,SUMPRODUCT(MAX(ROW(Q$1:Q349)*(E354=Q$1:Q349))))))</f>
        <v/>
      </c>
      <c r="K354" s="25" t="str">
        <f aca="false">IF(OR(E354="",E354="!!!",F354="NEW"),"",INDEX(V$1:V349,SUMPRODUCT(MAX(ROW(Q$1:Q349)*(E354=Q$1:Q349)))))</f>
        <v/>
      </c>
      <c r="L354" s="26"/>
      <c r="M354" s="27"/>
      <c r="N354" s="29"/>
      <c r="O354" s="29"/>
      <c r="P354" s="29"/>
    </row>
    <row r="355" customFormat="false" ht="15" hidden="false" customHeight="false" outlineLevel="0" collapsed="false">
      <c r="A355" s="19" t="s">
        <v>458</v>
      </c>
      <c r="E355" s="20" t="str">
        <f aca="false">IF(P355="?OLD","!!!","")</f>
        <v/>
      </c>
      <c r="F355" s="21" t="str">
        <f aca="false">IF(OR(E355="",E355="!!!"),"",IF(NOT(ISNA(VLOOKUP(E355,Q$1:Q350,1,FALSE()))),"OLD",IF(AND(E355&lt;&gt;"",E355&lt;&gt;"!!!"),"NEW","")))</f>
        <v/>
      </c>
      <c r="G355" s="22" t="str">
        <f aca="false">IF(OR(E355="",E355="!!!"),"",IF(OR(J355=0,AND(J355=1,K355=1),AND(J355=1,I355="SBJ"),AND(J355=1,I355=0)),"?IN_FOCUS",IF(J355&lt;=2,"?ACTIVATED",IF(J355&lt;&gt;"","?FAMILIAR",IF(F355="NEW",IF(ISNA(VLOOKUP(E355,#REF!,1,FALSE())),"?TYPE_IDENTIFIABLE","?REFERENTIAL"),"_")))))</f>
        <v/>
      </c>
      <c r="H355" s="23" t="str">
        <f aca="false">IF(J355&lt;&gt;1,"",IF(I355="SBJ","CB","?"))</f>
        <v/>
      </c>
      <c r="I355" s="24" t="str">
        <f aca="false">IF(OR(E355="",E355="!!!",F355="NEW"),"",INDEX(N$2:N350,-1+SUMPRODUCT(MAX(ROW(E$2:E350)*(E355=E$2:E350)))))</f>
        <v/>
      </c>
      <c r="J355" s="25" t="str">
        <f aca="true">IF(OR(E355="",E355="!!!",F355="NEW"),"",COUNTBLANK(OFFSET(M$1,,,SUMPRODUCT(MAX(ROW(E$2:E351)*(E355=E$2:E351)))))-COUNTBLANK(OFFSET(M$1,,,SUMPRODUCT(MAX(ROW(Q$1:Q350)*(E355=Q$1:Q350))))))</f>
        <v/>
      </c>
      <c r="K355" s="25" t="str">
        <f aca="false">IF(OR(E355="",E355="!!!",F355="NEW"),"",INDEX(V$1:V350,SUMPRODUCT(MAX(ROW(Q$1:Q350)*(E355=Q$1:Q350)))))</f>
        <v/>
      </c>
      <c r="L355" s="26"/>
      <c r="M355" s="27"/>
    </row>
    <row r="356" customFormat="false" ht="15" hidden="false" customHeight="false" outlineLevel="0" collapsed="false">
      <c r="A356" s="19" t="s">
        <v>261</v>
      </c>
      <c r="E356" s="20" t="str">
        <f aca="false">IF(P356="?OLD","!!!","")</f>
        <v/>
      </c>
      <c r="F356" s="21" t="str">
        <f aca="false">IF(OR(E356="",E356="!!!"),"",IF(NOT(ISNA(VLOOKUP(E356,Q$1:Q351,1,FALSE()))),"OLD",IF(AND(E356&lt;&gt;"",E356&lt;&gt;"!!!"),"NEW","")))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IF(OR(E356="",E356="!!!",F356="NEW"),"",INDEX(N$2:N351,-1+SUMPRODUCT(MAX(ROW(E$2:E351)*(E356=E$2:E351)))))</f>
        <v/>
      </c>
      <c r="J356" s="25" t="str">
        <f aca="true">IF(OR(E356="",E356="!!!",F356="NEW"),"",COUNTBLANK(OFFSET(M$1,,,SUMPRODUCT(MAX(ROW(E$2:E352)*(E356=E$2:E352)))))-COUNTBLANK(OFFSET(M$1,,,SUMPRODUCT(MAX(ROW(Q$1:Q351)*(E356=Q$1:Q351))))))</f>
        <v/>
      </c>
      <c r="K356" s="25" t="str">
        <f aca="false">IF(OR(E356="",E356="!!!",F356="NEW"),"",INDEX(V$1:V351,SUMPRODUCT(MAX(ROW(Q$1:Q351)*(E356=Q$1:Q351)))))</f>
        <v/>
      </c>
      <c r="L356" s="26"/>
      <c r="M356" s="27"/>
    </row>
    <row r="357" customFormat="false" ht="15" hidden="false" customHeight="false" outlineLevel="0" collapsed="false">
      <c r="A357" s="19" t="s">
        <v>459</v>
      </c>
      <c r="E357" s="20" t="str">
        <f aca="false">IF(P357="?OLD","!!!","")</f>
        <v/>
      </c>
      <c r="F357" s="21" t="str">
        <f aca="false">IF(OR(E357="",E357="!!!"),"",IF(NOT(ISNA(VLOOKUP(E357,Q$1:Q352,1,FALSE()))),"OLD",IF(AND(E357&lt;&gt;"",E357&lt;&gt;"!!!"),"NEW","")))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IF(OR(E357="",E357="!!!",F357="NEW"),"",INDEX(N$2:N352,-1+SUMPRODUCT(MAX(ROW(E$2:E352)*(E357=E$2:E352)))))</f>
        <v/>
      </c>
      <c r="J357" s="25" t="str">
        <f aca="true">IF(OR(E357="",E357="!!!",F357="NEW"),"",COUNTBLANK(OFFSET(M$1,,,SUMPRODUCT(MAX(ROW(E$2:E353)*(E357=E$2:E353)))))-COUNTBLANK(OFFSET(M$1,,,SUMPRODUCT(MAX(ROW(Q$1:Q352)*(E357=Q$1:Q352))))))</f>
        <v/>
      </c>
      <c r="K357" s="25" t="str">
        <f aca="false">IF(OR(E357="",E357="!!!",F357="NEW"),"",INDEX(V$1:V352,SUMPRODUCT(MAX(ROW(Q$1:Q352)*(E357=Q$1:Q352)))))</f>
        <v/>
      </c>
      <c r="L357" s="26"/>
      <c r="M357" s="27"/>
    </row>
    <row r="358" customFormat="false" ht="15" hidden="false" customHeight="false" outlineLevel="0" collapsed="false">
      <c r="A358" s="19" t="s">
        <v>295</v>
      </c>
      <c r="B358" s="28" t="s">
        <v>301</v>
      </c>
      <c r="C358" s="28" t="s">
        <v>264</v>
      </c>
      <c r="D358" s="28" t="s">
        <v>253</v>
      </c>
      <c r="E358" s="20"/>
      <c r="F358" s="21" t="s">
        <v>448</v>
      </c>
      <c r="G358" s="22" t="str">
        <f aca="false">IF(OR(E358="",E358="!!!"),"",IF(OR(J358=0,AND(J358=1,K358=1),AND(J358=1,I358="SBJ"),AND(J358=1,I358=0)),"?IN_FOCUS",IF(J358&lt;=2,"?ACTIVATED",IF(J358&lt;&gt;"","?FAMILIAR",IF(F358="NEW",IF(ISNA(VLOOKUP(E358,#REF!,1,FALSE())),"?TYPE_IDENTIFIABLE","?REFERENTIAL"),"_")))))</f>
        <v/>
      </c>
      <c r="H358" s="23" t="str">
        <f aca="false">IF(J358&lt;&gt;1,"",IF(I358="SBJ","CB","?"))</f>
        <v/>
      </c>
      <c r="I358" s="24" t="str">
        <f aca="false">IF(OR(E358="",E358="!!!",F358="NEW"),"",INDEX(N$2:N353,-1+SUMPRODUCT(MAX(ROW(E$2:E353)*(E358=E$2:E353)))))</f>
        <v/>
      </c>
      <c r="J358" s="25" t="str">
        <f aca="true">IF(OR(E358="",E358="!!!",F358="NEW"),"",COUNTBLANK(OFFSET(M$1,,,SUMPRODUCT(MAX(ROW(E$2:E354)*(E358=E$2:E354)))))-COUNTBLANK(OFFSET(M$1,,,SUMPRODUCT(MAX(ROW(Q$1:Q353)*(E358=Q$1:Q353))))))</f>
        <v/>
      </c>
      <c r="K358" s="25" t="str">
        <f aca="false">IF(OR(E358="",E358="!!!",F358="NEW"),"",INDEX(V$1:V353,SUMPRODUCT(MAX(ROW(Q$1:Q353)*(E358=Q$1:Q353)))))</f>
        <v/>
      </c>
      <c r="L358" s="26"/>
      <c r="M358" s="27"/>
      <c r="N358" s="29"/>
      <c r="O358" s="29"/>
      <c r="P358" s="29"/>
    </row>
    <row r="359" customFormat="false" ht="15" hidden="false" customHeight="false" outlineLevel="0" collapsed="false">
      <c r="A359" s="19" t="s">
        <v>460</v>
      </c>
      <c r="E359" s="20" t="str">
        <f aca="false">IF(P359="?OLD","!!!","")</f>
        <v/>
      </c>
      <c r="F359" s="21" t="str">
        <f aca="false">IF(OR(E359="",E359="!!!"),"",IF(NOT(ISNA(VLOOKUP(E359,Q$1:Q354,1,FALSE()))),"OLD",IF(AND(E359&lt;&gt;"",E359&lt;&gt;"!!!"),"NEW","")))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4" t="str">
        <f aca="false">IF(OR(E359="",E359="!!!",F359="NEW"),"",INDEX(N$2:N354,-1+SUMPRODUCT(MAX(ROW(E$2:E354)*(E359=E$2:E354)))))</f>
        <v/>
      </c>
      <c r="J359" s="25" t="str">
        <f aca="true">IF(OR(E359="",E359="!!!",F359="NEW"),"",COUNTBLANK(OFFSET(M$1,,,SUMPRODUCT(MAX(ROW(E$2:E355)*(E359=E$2:E355)))))-COUNTBLANK(OFFSET(M$1,,,SUMPRODUCT(MAX(ROW(Q$1:Q354)*(E359=Q$1:Q354))))))</f>
        <v/>
      </c>
      <c r="K359" s="25" t="str">
        <f aca="false">IF(OR(E359="",E359="!!!",F359="NEW"),"",INDEX(V$1:V354,SUMPRODUCT(MAX(ROW(Q$1:Q354)*(E359=Q$1:Q354)))))</f>
        <v/>
      </c>
      <c r="L359" s="26"/>
      <c r="M359" s="27"/>
    </row>
    <row r="360" customFormat="false" ht="15" hidden="false" customHeight="false" outlineLevel="0" collapsed="false">
      <c r="A360" s="19" t="s">
        <v>461</v>
      </c>
      <c r="E360" s="20" t="str">
        <f aca="false">IF(P360="?OLD","!!!","")</f>
        <v/>
      </c>
      <c r="F360" s="21" t="str">
        <f aca="false">IF(OR(E360="",E360="!!!"),"",IF(NOT(ISNA(VLOOKUP(E360,Q$1:Q355,1,FALSE()))),"OLD",IF(AND(E360&lt;&gt;"",E360&lt;&gt;"!!!"),"NEW","")))</f>
        <v/>
      </c>
      <c r="G360" s="22" t="str">
        <f aca="false">IF(OR(E360="",E360="!!!"),"",IF(OR(J360=0,AND(J360=1,K360=1),AND(J360=1,I360="SBJ"),AND(J360=1,I360=0)),"?IN_FOCUS",IF(J360&lt;=2,"?ACTIVATED",IF(J360&lt;&gt;"","?FAMILIAR",IF(F360="NEW",IF(ISNA(VLOOKUP(E360,#REF!,1,FALSE())),"?TYPE_IDENTIFIABLE","?REFERENTIAL"),"_")))))</f>
        <v/>
      </c>
      <c r="H360" s="23" t="str">
        <f aca="false">IF(J360&lt;&gt;1,"",IF(I360="SBJ","CB","?"))</f>
        <v/>
      </c>
      <c r="I360" s="24" t="str">
        <f aca="false">IF(OR(E360="",E360="!!!",F360="NEW"),"",INDEX(N$2:N355,-1+SUMPRODUCT(MAX(ROW(E$2:E355)*(E360=E$2:E355)))))</f>
        <v/>
      </c>
      <c r="J360" s="25" t="str">
        <f aca="true">IF(OR(E360="",E360="!!!",F360="NEW"),"",COUNTBLANK(OFFSET(M$1,,,SUMPRODUCT(MAX(ROW(E$2:E356)*(E360=E$2:E356)))))-COUNTBLANK(OFFSET(M$1,,,SUMPRODUCT(MAX(ROW(Q$1:Q355)*(E360=Q$1:Q355))))))</f>
        <v/>
      </c>
      <c r="K360" s="25" t="str">
        <f aca="false">IF(OR(E360="",E360="!!!",F360="NEW"),"",INDEX(V$1:V355,SUMPRODUCT(MAX(ROW(Q$1:Q355)*(E360=Q$1:Q355)))))</f>
        <v/>
      </c>
      <c r="L360" s="26"/>
      <c r="M360" s="27"/>
    </row>
    <row r="361" customFormat="false" ht="15" hidden="false" customHeight="false" outlineLevel="0" collapsed="false">
      <c r="A361" s="19" t="s">
        <v>250</v>
      </c>
      <c r="E361" s="20" t="str">
        <f aca="false">IF(P361="?OLD","!!!","")</f>
        <v/>
      </c>
      <c r="F361" s="21" t="str">
        <f aca="false">IF(OR(E361="",E361="!!!"),"",IF(NOT(ISNA(VLOOKUP(E361,Q$1:Q356,1,FALSE()))),"OLD",IF(AND(E361&lt;&gt;"",E361&lt;&gt;"!!!"),"NEW","")))</f>
        <v/>
      </c>
      <c r="G361" s="22" t="str">
        <f aca="false">IF(OR(E361="",E361="!!!"),"",IF(OR(J361=0,AND(J361=1,K361=1),AND(J361=1,I361="SBJ"),AND(J361=1,I361=0)),"?IN_FOCUS",IF(J361&lt;=2,"?ACTIVATED",IF(J361&lt;&gt;"","?FAMILIAR",IF(F361="NEW",IF(ISNA(VLOOKUP(E361,#REF!,1,FALSE())),"?TYPE_IDENTIFIABLE","?REFERENTIAL"),"_")))))</f>
        <v/>
      </c>
      <c r="H361" s="23" t="str">
        <f aca="false">IF(J361&lt;&gt;1,"",IF(I361="SBJ","CB","?"))</f>
        <v/>
      </c>
      <c r="I361" s="24" t="str">
        <f aca="false">IF(OR(E361="",E361="!!!",F361="NEW"),"",INDEX(N$2:N356,-1+SUMPRODUCT(MAX(ROW(E$2:E356)*(E361=E$2:E356)))))</f>
        <v/>
      </c>
      <c r="J361" s="25" t="str">
        <f aca="true">IF(OR(E361="",E361="!!!",F361="NEW"),"",COUNTBLANK(OFFSET(M$1,,,SUMPRODUCT(MAX(ROW(E$2:E357)*(E361=E$2:E357)))))-COUNTBLANK(OFFSET(M$1,,,SUMPRODUCT(MAX(ROW(Q$1:Q356)*(E361=Q$1:Q356))))))</f>
        <v/>
      </c>
      <c r="K361" s="25" t="str">
        <f aca="false">IF(OR(E361="",E361="!!!",F361="NEW"),"",INDEX(V$1:V356,SUMPRODUCT(MAX(ROW(Q$1:Q356)*(E361=Q$1:Q356)))))</f>
        <v/>
      </c>
      <c r="L361" s="26"/>
      <c r="M361" s="27"/>
    </row>
    <row r="362" customFormat="false" ht="15" hidden="false" customHeight="false" outlineLevel="0" collapsed="false">
      <c r="A362" s="19" t="s">
        <v>462</v>
      </c>
      <c r="E362" s="20" t="str">
        <f aca="false">IF(P362="?OLD","!!!","")</f>
        <v/>
      </c>
      <c r="F362" s="21" t="str">
        <f aca="false">IF(OR(E362="",E362="!!!"),"",IF(NOT(ISNA(VLOOKUP(E362,Q$1:Q357,1,FALSE()))),"OLD",IF(AND(E362&lt;&gt;"",E362&lt;&gt;"!!!"),"NEW","")))</f>
        <v/>
      </c>
      <c r="G362" s="22" t="str">
        <f aca="false">IF(OR(E362="",E362="!!!"),"",IF(OR(J362=0,AND(J362=1,K362=1),AND(J362=1,I362="SBJ"),AND(J362=1,I362=0)),"?IN_FOCUS",IF(J362&lt;=2,"?ACTIVATED",IF(J362&lt;&gt;"","?FAMILIAR",IF(F362="NEW",IF(ISNA(VLOOKUP(E362,#REF!,1,FALSE())),"?TYPE_IDENTIFIABLE","?REFERENTIAL"),"_")))))</f>
        <v/>
      </c>
      <c r="H362" s="23" t="str">
        <f aca="false">IF(J362&lt;&gt;1,"",IF(I362="SBJ","CB","?"))</f>
        <v/>
      </c>
      <c r="I362" s="24" t="str">
        <f aca="false">IF(OR(E362="",E362="!!!",F362="NEW"),"",INDEX(N$2:N357,-1+SUMPRODUCT(MAX(ROW(E$2:E357)*(E362=E$2:E357)))))</f>
        <v/>
      </c>
      <c r="J362" s="25" t="str">
        <f aca="true">IF(OR(E362="",E362="!!!",F362="NEW"),"",COUNTBLANK(OFFSET(M$1,,,SUMPRODUCT(MAX(ROW(E$2:E358)*(E362=E$2:E358)))))-COUNTBLANK(OFFSET(M$1,,,SUMPRODUCT(MAX(ROW(Q$1:Q357)*(E362=Q$1:Q357))))))</f>
        <v/>
      </c>
      <c r="K362" s="25" t="str">
        <f aca="false">IF(OR(E362="",E362="!!!",F362="NEW"),"",INDEX(V$1:V357,SUMPRODUCT(MAX(ROW(Q$1:Q357)*(E362=Q$1:Q357)))))</f>
        <v/>
      </c>
      <c r="L362" s="26"/>
      <c r="M362" s="27"/>
    </row>
    <row r="363" customFormat="false" ht="15" hidden="false" customHeight="false" outlineLevel="0" collapsed="false">
      <c r="A363" s="19" t="s">
        <v>463</v>
      </c>
      <c r="B363" s="28" t="s">
        <v>258</v>
      </c>
      <c r="C363" s="28" t="s">
        <v>252</v>
      </c>
      <c r="D363" s="28" t="s">
        <v>253</v>
      </c>
      <c r="E363" s="20" t="s">
        <v>464</v>
      </c>
      <c r="F363" s="21" t="str">
        <f aca="false">IF(OR(E363="",E363="!!!"),"",IF(NOT(ISNA(VLOOKUP(E363,Q$1:Q358,1,FALSE()))),"OLD",IF(AND(E363&lt;&gt;"",E363&lt;&gt;"!!!"),"NEW","")))</f>
        <v>NEW</v>
      </c>
      <c r="G363" s="22" t="s">
        <v>255</v>
      </c>
      <c r="H363" s="23" t="str">
        <f aca="false">IF(J363&lt;&gt;1,"",IF(I363="SBJ","CB","?"))</f>
        <v/>
      </c>
      <c r="I363" s="24" t="str">
        <f aca="false">IF(OR(E363="",E363="!!!",F363="NEW"),"",INDEX(N$2:N358,-1+SUMPRODUCT(MAX(ROW(E$2:E358)*(E363=E$2:E358)))))</f>
        <v/>
      </c>
      <c r="J363" s="25" t="str">
        <f aca="true">IF(OR(E363="",E363="!!!",F363="NEW"),"",COUNTBLANK(OFFSET(M$1,,,SUMPRODUCT(MAX(ROW(E$2:E359)*(E363=E$2:E359)))))-COUNTBLANK(OFFSET(M$1,,,SUMPRODUCT(MAX(ROW(Q$1:Q358)*(E363=Q$1:Q358))))))</f>
        <v/>
      </c>
      <c r="K363" s="25" t="str">
        <f aca="false">IF(OR(E363="",E363="!!!",F363="NEW"),"",INDEX(V$1:V358,SUMPRODUCT(MAX(ROW(Q$1:Q358)*(E363=Q$1:Q358)))))</f>
        <v/>
      </c>
      <c r="L363" s="26"/>
      <c r="M363" s="27"/>
      <c r="N363" s="29"/>
      <c r="O363" s="29"/>
      <c r="P363" s="29"/>
    </row>
    <row r="364" customFormat="false" ht="15" hidden="false" customHeight="false" outlineLevel="0" collapsed="false">
      <c r="A364" s="19" t="s">
        <v>256</v>
      </c>
      <c r="E364" s="20" t="str">
        <f aca="false">IF(P364="?OLD","!!!","")</f>
        <v/>
      </c>
      <c r="F364" s="21" t="str">
        <f aca="false">IF(OR(E364="",E364="!!!"),"",IF(NOT(ISNA(VLOOKUP(E364,Q$1:Q359,1,FALSE()))),"OLD",IF(AND(E364&lt;&gt;"",E364&lt;&gt;"!!!"),"NEW","")))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IF(OR(E364="",E364="!!!",F364="NEW"),"",INDEX(N$2:N359,-1+SUMPRODUCT(MAX(ROW(E$2:E359)*(E364=E$2:E359)))))</f>
        <v/>
      </c>
      <c r="J364" s="25" t="str">
        <f aca="true">IF(OR(E364="",E364="!!!",F364="NEW"),"",COUNTBLANK(OFFSET(M$1,,,SUMPRODUCT(MAX(ROW(E$2:E360)*(E364=E$2:E360)))))-COUNTBLANK(OFFSET(M$1,,,SUMPRODUCT(MAX(ROW(Q$1:Q359)*(E364=Q$1:Q359))))))</f>
        <v/>
      </c>
      <c r="K364" s="25" t="str">
        <f aca="false">IF(OR(E364="",E364="!!!",F364="NEW"),"",INDEX(V$1:V359,SUMPRODUCT(MAX(ROW(Q$1:Q359)*(E364=Q$1:Q359)))))</f>
        <v/>
      </c>
      <c r="L364" s="26"/>
      <c r="M364" s="27"/>
    </row>
    <row r="365" customFormat="false" ht="15" hidden="false" customHeight="false" outlineLevel="0" collapsed="false">
      <c r="A365" s="19" t="s">
        <v>250</v>
      </c>
      <c r="E365" s="20" t="str">
        <f aca="false">IF(P365="?OLD","!!!","")</f>
        <v/>
      </c>
      <c r="F365" s="21" t="str">
        <f aca="false">IF(OR(E365="",E365="!!!"),"",IF(NOT(ISNA(VLOOKUP(E365,Q$1:Q360,1,FALSE()))),"OLD",IF(AND(E365&lt;&gt;"",E365&lt;&gt;"!!!"),"NEW","")))</f>
        <v/>
      </c>
      <c r="G365" s="22" t="str">
        <f aca="false">IF(OR(E365="",E365="!!!"),"",IF(OR(J365=0,AND(J365=1,K365=1),AND(J365=1,I365="SBJ"),AND(J365=1,I365=0)),"?IN_FOCUS",IF(J365&lt;=2,"?ACTIVATED",IF(J365&lt;&gt;"","?FAMILIAR",IF(F365="NEW",IF(ISNA(VLOOKUP(E365,#REF!,1,FALSE())),"?TYPE_IDENTIFIABLE","?REFERENTIAL"),"_")))))</f>
        <v/>
      </c>
      <c r="H365" s="23" t="str">
        <f aca="false">IF(J365&lt;&gt;1,"",IF(I365="SBJ","CB","?"))</f>
        <v/>
      </c>
      <c r="I365" s="24" t="str">
        <f aca="false">IF(OR(E365="",E365="!!!",F365="NEW"),"",INDEX(N$2:N360,-1+SUMPRODUCT(MAX(ROW(E$2:E360)*(E365=E$2:E360)))))</f>
        <v/>
      </c>
      <c r="J365" s="25" t="str">
        <f aca="true">IF(OR(E365="",E365="!!!",F365="NEW"),"",COUNTBLANK(OFFSET(M$1,,,SUMPRODUCT(MAX(ROW(E$2:E361)*(E365=E$2:E361)))))-COUNTBLANK(OFFSET(M$1,,,SUMPRODUCT(MAX(ROW(Q$1:Q360)*(E365=Q$1:Q360))))))</f>
        <v/>
      </c>
      <c r="K365" s="25" t="str">
        <f aca="false">IF(OR(E365="",E365="!!!",F365="NEW"),"",INDEX(V$1:V360,SUMPRODUCT(MAX(ROW(Q$1:Q360)*(E365=Q$1:Q360)))))</f>
        <v/>
      </c>
      <c r="L365" s="26"/>
      <c r="M365" s="27"/>
    </row>
    <row r="366" customFormat="false" ht="15" hidden="false" customHeight="false" outlineLevel="0" collapsed="false">
      <c r="A366" s="19" t="s">
        <v>226</v>
      </c>
      <c r="B366" s="28" t="s">
        <v>293</v>
      </c>
      <c r="C366" s="28" t="s">
        <v>252</v>
      </c>
      <c r="D366" s="28" t="s">
        <v>253</v>
      </c>
      <c r="E366" s="20" t="s">
        <v>465</v>
      </c>
      <c r="F366" s="21" t="str">
        <f aca="false">IF(OR(E366="",E366="!!!"),"",IF(NOT(ISNA(VLOOKUP(E366,Q$1:Q361,1,FALSE()))),"OLD",IF(AND(E366&lt;&gt;"",E366&lt;&gt;"!!!"),"NEW","")))</f>
        <v>NEW</v>
      </c>
      <c r="G366" s="22" t="s">
        <v>283</v>
      </c>
      <c r="H366" s="23" t="str">
        <f aca="false">IF(J366&lt;&gt;1,"",IF(I366="SBJ","CB","?"))</f>
        <v/>
      </c>
      <c r="I366" s="24" t="str">
        <f aca="false">IF(OR(E366="",E366="!!!",F366="NEW"),"",INDEX(N$2:N361,-1+SUMPRODUCT(MAX(ROW(E$2:E361)*(E366=E$2:E361)))))</f>
        <v/>
      </c>
      <c r="J366" s="25" t="str">
        <f aca="true">IF(OR(E366="",E366="!!!",F366="NEW"),"",COUNTBLANK(OFFSET(M$1,,,SUMPRODUCT(MAX(ROW(E$2:E362)*(E366=E$2:E362)))))-COUNTBLANK(OFFSET(M$1,,,SUMPRODUCT(MAX(ROW(Q$1:Q361)*(E366=Q$1:Q361))))))</f>
        <v/>
      </c>
      <c r="K366" s="25" t="str">
        <f aca="false">IF(OR(E366="",E366="!!!",F366="NEW"),"",INDEX(V$1:V361,SUMPRODUCT(MAX(ROW(Q$1:Q361)*(E366=Q$1:Q361)))))</f>
        <v/>
      </c>
      <c r="L366" s="26"/>
      <c r="M366" s="27"/>
      <c r="N366" s="29"/>
      <c r="O366" s="29"/>
      <c r="P366" s="29"/>
    </row>
    <row r="367" customFormat="false" ht="15" hidden="false" customHeight="false" outlineLevel="0" collapsed="false">
      <c r="A367" s="19" t="s">
        <v>275</v>
      </c>
      <c r="E367" s="20" t="str">
        <f aca="false">IF(P367="?OLD","!!!","")</f>
        <v/>
      </c>
      <c r="F367" s="21" t="str">
        <f aca="false">IF(OR(E367="",E367="!!!"),"",IF(NOT(ISNA(VLOOKUP(E367,Q$1:Q362,1,FALSE()))),"OLD",IF(AND(E367&lt;&gt;"",E367&lt;&gt;"!!!"),"NEW","")))</f>
        <v/>
      </c>
      <c r="G367" s="22" t="str">
        <f aca="false">IF(OR(E367="",E367="!!!"),"",IF(OR(J367=0,AND(J367=1,K367=1),AND(J367=1,I367="SBJ"),AND(J367=1,I367=0)),"?IN_FOCUS",IF(J367&lt;=2,"?ACTIVATED",IF(J367&lt;&gt;"","?FAMILIAR",IF(F367="NEW",IF(ISNA(VLOOKUP(E367,#REF!,1,FALSE())),"?TYPE_IDENTIFIABLE","?REFERENTIAL"),"_")))))</f>
        <v/>
      </c>
      <c r="H367" s="23" t="str">
        <f aca="false">IF(J367&lt;&gt;1,"",IF(I367="SBJ","CB","?"))</f>
        <v/>
      </c>
      <c r="I367" s="24" t="str">
        <f aca="false">IF(OR(E367="",E367="!!!",F367="NEW"),"",INDEX(N$2:N362,-1+SUMPRODUCT(MAX(ROW(E$2:E362)*(E367=E$2:E362)))))</f>
        <v/>
      </c>
      <c r="J367" s="25" t="str">
        <f aca="true">IF(OR(E367="",E367="!!!",F367="NEW"),"",COUNTBLANK(OFFSET(M$1,,,SUMPRODUCT(MAX(ROW(E$2:E363)*(E367=E$2:E363)))))-COUNTBLANK(OFFSET(M$1,,,SUMPRODUCT(MAX(ROW(Q$1:Q362)*(E367=Q$1:Q362))))))</f>
        <v/>
      </c>
      <c r="K367" s="25" t="str">
        <f aca="false">IF(OR(E367="",E367="!!!",F367="NEW"),"",INDEX(V$1:V362,SUMPRODUCT(MAX(ROW(Q$1:Q362)*(E367=Q$1:Q362)))))</f>
        <v/>
      </c>
      <c r="L367" s="26"/>
      <c r="M367" s="27"/>
    </row>
    <row r="368" customFormat="false" ht="15" hidden="false" customHeight="false" outlineLevel="0" collapsed="false">
      <c r="A368" s="19"/>
      <c r="E368" s="20" t="str">
        <f aca="false">IF(P368="?OLD","!!!","")</f>
        <v/>
      </c>
      <c r="F368" s="21" t="str">
        <f aca="false">IF(OR(E368="",E368="!!!"),"",IF(NOT(ISNA(VLOOKUP(E368,Q$1:Q363,1,FALSE()))),"OLD",IF(AND(E368&lt;&gt;"",E368&lt;&gt;"!!!"),"NEW","")))</f>
        <v/>
      </c>
      <c r="G368" s="22" t="str">
        <f aca="false">IF(OR(E368="",E368="!!!"),"",IF(OR(J368=0,AND(J368=1,K368=1),AND(J368=1,I368="SBJ"),AND(J368=1,I368=0)),"?IN_FOCUS",IF(J368&lt;=2,"?ACTIVATED",IF(J368&lt;&gt;"","?FAMILIAR",IF(F368="NEW",IF(ISNA(VLOOKUP(E368,#REF!,1,FALSE())),"?TYPE_IDENTIFIABLE","?REFERENTIAL"),"_")))))</f>
        <v/>
      </c>
      <c r="H368" s="23" t="str">
        <f aca="false">IF(J368&lt;&gt;1,"",IF(I368="SBJ","CB","?"))</f>
        <v/>
      </c>
      <c r="I368" s="24" t="str">
        <f aca="false">IF(OR(E368="",E368="!!!",F368="NEW"),"",INDEX(N$2:N363,-1+SUMPRODUCT(MAX(ROW(E$2:E363)*(E368=E$2:E363)))))</f>
        <v/>
      </c>
      <c r="J368" s="25" t="str">
        <f aca="true">IF(OR(E368="",E368="!!!",F368="NEW"),"",COUNTBLANK(OFFSET(M$1,,,SUMPRODUCT(MAX(ROW(E$2:E364)*(E368=E$2:E364)))))-COUNTBLANK(OFFSET(M$1,,,SUMPRODUCT(MAX(ROW(Q$1:Q363)*(E368=Q$1:Q363))))))</f>
        <v/>
      </c>
      <c r="K368" s="25" t="str">
        <f aca="false">IF(OR(E368="",E368="!!!",F368="NEW"),"",INDEX(V$1:V363,SUMPRODUCT(MAX(ROW(Q$1:Q363)*(E368=Q$1:Q363)))))</f>
        <v/>
      </c>
      <c r="L368" s="26"/>
    </row>
    <row r="369" customFormat="false" ht="15" hidden="false" customHeight="false" outlineLevel="0" collapsed="false">
      <c r="A369" s="19" t="s">
        <v>466</v>
      </c>
      <c r="E369" s="20" t="str">
        <f aca="false">IF(P369="?OLD","!!!","")</f>
        <v/>
      </c>
      <c r="F369" s="21" t="str">
        <f aca="false">IF(OR(E369="",E369="!!!"),"",IF(NOT(ISNA(VLOOKUP(E369,Q$1:Q364,1,FALSE()))),"OLD",IF(AND(E369&lt;&gt;"",E369&lt;&gt;"!!!"),"NEW","")))</f>
        <v/>
      </c>
      <c r="G369" s="22" t="str">
        <f aca="false">IF(OR(E369="",E369="!!!"),"",IF(OR(J369=0,AND(J369=1,K369=1),AND(J369=1,I369="SBJ"),AND(J369=1,I369=0)),"?IN_FOCUS",IF(J369&lt;=2,"?ACTIVATED",IF(J369&lt;&gt;"","?FAMILIAR",IF(F369="NEW",IF(ISNA(VLOOKUP(E369,#REF!,1,FALSE())),"?TYPE_IDENTIFIABLE","?REFERENTIAL"),"_")))))</f>
        <v/>
      </c>
      <c r="H369" s="23" t="str">
        <f aca="false">IF(J369&lt;&gt;1,"",IF(I369="SBJ","CB","?"))</f>
        <v/>
      </c>
      <c r="I369" s="24" t="str">
        <f aca="false">IF(OR(E369="",E369="!!!",F369="NEW"),"",INDEX(N$2:N364,-1+SUMPRODUCT(MAX(ROW(E$2:E364)*(E369=E$2:E364)))))</f>
        <v/>
      </c>
      <c r="J369" s="25" t="str">
        <f aca="true">IF(OR(E369="",E369="!!!",F369="NEW"),"",COUNTBLANK(OFFSET(M$1,,,SUMPRODUCT(MAX(ROW(E$2:E365)*(E369=E$2:E365)))))-COUNTBLANK(OFFSET(M$1,,,SUMPRODUCT(MAX(ROW(Q$1:Q364)*(E369=Q$1:Q364))))))</f>
        <v/>
      </c>
      <c r="K369" s="25" t="str">
        <f aca="false">IF(OR(E369="",E369="!!!",F369="NEW"),"",INDEX(V$1:V364,SUMPRODUCT(MAX(ROW(Q$1:Q364)*(E369=Q$1:Q364)))))</f>
        <v/>
      </c>
      <c r="L369" s="26"/>
      <c r="M369" s="27"/>
    </row>
    <row r="370" customFormat="false" ht="15" hidden="false" customHeight="false" outlineLevel="0" collapsed="false">
      <c r="A370" s="19" t="s">
        <v>430</v>
      </c>
      <c r="E370" s="20" t="str">
        <f aca="false">IF(P370="?OLD","!!!","")</f>
        <v/>
      </c>
      <c r="F370" s="21" t="str">
        <f aca="false">IF(OR(E370="",E370="!!!"),"",IF(NOT(ISNA(VLOOKUP(E370,Q$1:Q365,1,FALSE()))),"OLD",IF(AND(E370&lt;&gt;"",E370&lt;&gt;"!!!"),"NEW","")))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4" t="str">
        <f aca="false">IF(OR(E370="",E370="!!!",F370="NEW"),"",INDEX(N$2:N365,-1+SUMPRODUCT(MAX(ROW(E$2:E365)*(E370=E$2:E365)))))</f>
        <v/>
      </c>
      <c r="J370" s="25" t="str">
        <f aca="true">IF(OR(E370="",E370="!!!",F370="NEW"),"",COUNTBLANK(OFFSET(M$1,,,SUMPRODUCT(MAX(ROW(E$2:E366)*(E370=E$2:E366)))))-COUNTBLANK(OFFSET(M$1,,,SUMPRODUCT(MAX(ROW(Q$1:Q365)*(E370=Q$1:Q365))))))</f>
        <v/>
      </c>
      <c r="K370" s="25" t="str">
        <f aca="false">IF(OR(E370="",E370="!!!",F370="NEW"),"",INDEX(V$1:V365,SUMPRODUCT(MAX(ROW(Q$1:Q365)*(E370=Q$1:Q365)))))</f>
        <v/>
      </c>
      <c r="L370" s="26"/>
      <c r="M370" s="27"/>
    </row>
    <row r="371" customFormat="false" ht="15" hidden="false" customHeight="false" outlineLevel="0" collapsed="false">
      <c r="A371" s="19" t="s">
        <v>343</v>
      </c>
      <c r="B371" s="28" t="s">
        <v>251</v>
      </c>
      <c r="C371" s="28" t="s">
        <v>420</v>
      </c>
      <c r="D371" s="28" t="s">
        <v>253</v>
      </c>
      <c r="E371" s="20"/>
      <c r="F371" s="21" t="s">
        <v>448</v>
      </c>
      <c r="G371" s="22" t="str">
        <f aca="false">IF(OR(E371="",E371="!!!"),"",IF(OR(J371=0,AND(J371=1,K371=1),AND(J371=1,I371="SBJ"),AND(J371=1,I371=0)),"?IN_FOCUS",IF(J371&lt;=2,"?ACTIVATED",IF(J371&lt;&gt;"","?FAMILIAR",IF(F371="NEW",IF(ISNA(VLOOKUP(E371,#REF!,1,FALSE())),"?TYPE_IDENTIFIABLE","?REFERENTIAL"),"_")))))</f>
        <v/>
      </c>
      <c r="H371" s="23" t="str">
        <f aca="false">IF(J371&lt;&gt;1,"",IF(I371="SBJ","CB","?"))</f>
        <v/>
      </c>
      <c r="I371" s="24" t="str">
        <f aca="false">IF(OR(E371="",E371="!!!",F371="NEW"),"",INDEX(N$2:N366,-1+SUMPRODUCT(MAX(ROW(E$2:E366)*(E371=E$2:E366)))))</f>
        <v/>
      </c>
      <c r="J371" s="25" t="str">
        <f aca="true">IF(OR(E371="",E371="!!!",F371="NEW"),"",COUNTBLANK(OFFSET(M$1,,,SUMPRODUCT(MAX(ROW(E$2:E367)*(E371=E$2:E367)))))-COUNTBLANK(OFFSET(M$1,,,SUMPRODUCT(MAX(ROW(Q$1:Q366)*(E371=Q$1:Q366))))))</f>
        <v/>
      </c>
      <c r="K371" s="25" t="str">
        <f aca="false">IF(OR(E371="",E371="!!!",F371="NEW"),"",INDEX(V$1:V366,SUMPRODUCT(MAX(ROW(Q$1:Q366)*(E371=Q$1:Q366)))))</f>
        <v/>
      </c>
      <c r="L371" s="26"/>
      <c r="M371" s="27"/>
      <c r="N371" s="29"/>
      <c r="O371" s="29"/>
      <c r="P371" s="29"/>
    </row>
    <row r="372" customFormat="false" ht="15" hidden="false" customHeight="false" outlineLevel="0" collapsed="false">
      <c r="A372" s="19" t="s">
        <v>460</v>
      </c>
      <c r="E372" s="20" t="str">
        <f aca="false">IF(P372="?OLD","!!!","")</f>
        <v/>
      </c>
      <c r="F372" s="21" t="str">
        <f aca="false">IF(OR(E372="",E372="!!!"),"",IF(NOT(ISNA(VLOOKUP(E372,Q$1:Q367,1,FALSE()))),"OLD",IF(AND(E372&lt;&gt;"",E372&lt;&gt;"!!!"),"NEW","")))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4" t="str">
        <f aca="false">IF(OR(E372="",E372="!!!",F372="NEW"),"",INDEX(N$2:N367,-1+SUMPRODUCT(MAX(ROW(E$2:E367)*(E372=E$2:E367)))))</f>
        <v/>
      </c>
      <c r="J372" s="25" t="str">
        <f aca="true">IF(OR(E372="",E372="!!!",F372="NEW"),"",COUNTBLANK(OFFSET(M$1,,,SUMPRODUCT(MAX(ROW(E$2:E368)*(E372=E$2:E368)))))-COUNTBLANK(OFFSET(M$1,,,SUMPRODUCT(MAX(ROW(Q$1:Q367)*(E372=Q$1:Q367))))))</f>
        <v/>
      </c>
      <c r="K372" s="25" t="str">
        <f aca="false">IF(OR(E372="",E372="!!!",F372="NEW"),"",INDEX(V$1:V367,SUMPRODUCT(MAX(ROW(Q$1:Q367)*(E372=Q$1:Q367)))))</f>
        <v/>
      </c>
      <c r="L372" s="26"/>
      <c r="M372" s="27"/>
    </row>
    <row r="373" customFormat="false" ht="15" hidden="false" customHeight="false" outlineLevel="0" collapsed="false">
      <c r="A373" s="19" t="s">
        <v>467</v>
      </c>
      <c r="B373" s="28" t="s">
        <v>263</v>
      </c>
      <c r="C373" s="28" t="s">
        <v>418</v>
      </c>
      <c r="E373" s="20" t="str">
        <f aca="false">IF(P373="?OLD","!!!","")</f>
        <v/>
      </c>
      <c r="F373" s="21" t="str">
        <f aca="false">IF(OR(E373="",E373="!!!"),"",IF(NOT(ISNA(VLOOKUP(E373,Q$1:Q368,1,FALSE()))),"OLD",IF(AND(E373&lt;&gt;"",E373&lt;&gt;"!!!"),"NEW","")))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IF(OR(E373="",E373="!!!",F373="NEW"),"",INDEX(N$2:N368,-1+SUMPRODUCT(MAX(ROW(E$2:E368)*(E373=E$2:E368)))))</f>
        <v/>
      </c>
      <c r="J373" s="25" t="str">
        <f aca="true">IF(OR(E373="",E373="!!!",F373="NEW"),"",COUNTBLANK(OFFSET(M$1,,,SUMPRODUCT(MAX(ROW(E$2:E369)*(E373=E$2:E369)))))-COUNTBLANK(OFFSET(M$1,,,SUMPRODUCT(MAX(ROW(Q$1:Q368)*(E373=Q$1:Q368))))))</f>
        <v/>
      </c>
      <c r="K373" s="25" t="str">
        <f aca="false">IF(OR(E373="",E373="!!!",F373="NEW"),"",INDEX(V$1:V368,SUMPRODUCT(MAX(ROW(Q$1:Q368)*(E373=Q$1:Q368)))))</f>
        <v/>
      </c>
      <c r="L373" s="26"/>
      <c r="M373" s="27"/>
      <c r="N373" s="29"/>
      <c r="O373" s="29"/>
    </row>
    <row r="374" customFormat="false" ht="15" hidden="false" customHeight="false" outlineLevel="0" collapsed="false">
      <c r="A374" s="19" t="s">
        <v>468</v>
      </c>
      <c r="E374" s="20" t="str">
        <f aca="false">IF(P374="?OLD","!!!","")</f>
        <v/>
      </c>
      <c r="F374" s="21" t="str">
        <f aca="false">IF(OR(E374="",E374="!!!"),"",IF(NOT(ISNA(VLOOKUP(E374,Q$1:Q369,1,FALSE()))),"OLD",IF(AND(E374&lt;&gt;"",E374&lt;&gt;"!!!"),"NEW","")))</f>
        <v/>
      </c>
      <c r="G374" s="22" t="str">
        <f aca="false">IF(OR(E374="",E374="!!!"),"",IF(OR(J374=0,AND(J374=1,K374=1),AND(J374=1,I374="SBJ"),AND(J374=1,I374=0)),"?IN_FOCUS",IF(J374&lt;=2,"?ACTIVATED",IF(J374&lt;&gt;"","?FAMILIAR",IF(F374="NEW",IF(ISNA(VLOOKUP(E374,#REF!,1,FALSE())),"?TYPE_IDENTIFIABLE","?REFERENTIAL"),"_")))))</f>
        <v/>
      </c>
      <c r="H374" s="23" t="str">
        <f aca="false">IF(J374&lt;&gt;1,"",IF(I374="SBJ","CB","?"))</f>
        <v/>
      </c>
      <c r="I374" s="24" t="str">
        <f aca="false">IF(OR(E374="",E374="!!!",F374="NEW"),"",INDEX(N$2:N369,-1+SUMPRODUCT(MAX(ROW(E$2:E369)*(E374=E$2:E369)))))</f>
        <v/>
      </c>
      <c r="J374" s="25" t="str">
        <f aca="true">IF(OR(E374="",E374="!!!",F374="NEW"),"",COUNTBLANK(OFFSET(M$1,,,SUMPRODUCT(MAX(ROW(E$2:E370)*(E374=E$2:E370)))))-COUNTBLANK(OFFSET(M$1,,,SUMPRODUCT(MAX(ROW(Q$1:Q369)*(E374=Q$1:Q369))))))</f>
        <v/>
      </c>
      <c r="K374" s="25" t="str">
        <f aca="false">IF(OR(E374="",E374="!!!",F374="NEW"),"",INDEX(V$1:V369,SUMPRODUCT(MAX(ROW(Q$1:Q369)*(E374=Q$1:Q369)))))</f>
        <v/>
      </c>
      <c r="L374" s="26"/>
      <c r="M374" s="27"/>
    </row>
    <row r="375" customFormat="false" ht="15" hidden="false" customHeight="false" outlineLevel="0" collapsed="false">
      <c r="A375" s="19" t="s">
        <v>469</v>
      </c>
      <c r="E375" s="20" t="str">
        <f aca="false">IF(P375="?OLD","!!!","")</f>
        <v/>
      </c>
      <c r="F375" s="21" t="str">
        <f aca="false">IF(OR(E375="",E375="!!!"),"",IF(NOT(ISNA(VLOOKUP(E375,Q$1:Q370,1,FALSE()))),"OLD",IF(AND(E375&lt;&gt;"",E375&lt;&gt;"!!!"),"NEW","")))</f>
        <v/>
      </c>
      <c r="G375" s="22" t="str">
        <f aca="false">IF(OR(E375="",E375="!!!"),"",IF(OR(J375=0,AND(J375=1,K375=1),AND(J375=1,I375="SBJ"),AND(J375=1,I375=0)),"?IN_FOCUS",IF(J375&lt;=2,"?ACTIVATED",IF(J375&lt;&gt;"","?FAMILIAR",IF(F375="NEW",IF(ISNA(VLOOKUP(E375,#REF!,1,FALSE())),"?TYPE_IDENTIFIABLE","?REFERENTIAL"),"_")))))</f>
        <v/>
      </c>
      <c r="H375" s="23" t="str">
        <f aca="false">IF(J375&lt;&gt;1,"",IF(I375="SBJ","CB","?"))</f>
        <v/>
      </c>
      <c r="I375" s="24" t="str">
        <f aca="false">IF(OR(E375="",E375="!!!",F375="NEW"),"",INDEX(N$2:N370,-1+SUMPRODUCT(MAX(ROW(E$2:E370)*(E375=E$2:E370)))))</f>
        <v/>
      </c>
      <c r="J375" s="25" t="str">
        <f aca="true">IF(OR(E375="",E375="!!!",F375="NEW"),"",COUNTBLANK(OFFSET(M$1,,,SUMPRODUCT(MAX(ROW(E$2:E371)*(E375=E$2:E371)))))-COUNTBLANK(OFFSET(M$1,,,SUMPRODUCT(MAX(ROW(Q$1:Q370)*(E375=Q$1:Q370))))))</f>
        <v/>
      </c>
      <c r="K375" s="25" t="str">
        <f aca="false">IF(OR(E375="",E375="!!!",F375="NEW"),"",INDEX(V$1:V370,SUMPRODUCT(MAX(ROW(Q$1:Q370)*(E375=Q$1:Q370)))))</f>
        <v/>
      </c>
      <c r="L375" s="26"/>
      <c r="M375" s="27"/>
    </row>
    <row r="376" customFormat="false" ht="15" hidden="false" customHeight="false" outlineLevel="0" collapsed="false">
      <c r="A376" s="19" t="s">
        <v>470</v>
      </c>
      <c r="E376" s="20" t="str">
        <f aca="false">IF(P376="?OLD","!!!","")</f>
        <v/>
      </c>
      <c r="F376" s="21" t="str">
        <f aca="false">IF(OR(E376="",E376="!!!"),"",IF(NOT(ISNA(VLOOKUP(E376,Q$1:Q371,1,FALSE()))),"OLD",IF(AND(E376&lt;&gt;"",E376&lt;&gt;"!!!"),"NEW","")))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4" t="str">
        <f aca="false">IF(OR(E376="",E376="!!!",F376="NEW"),"",INDEX(N$2:N371,-1+SUMPRODUCT(MAX(ROW(E$2:E371)*(E376=E$2:E371)))))</f>
        <v/>
      </c>
      <c r="J376" s="25" t="str">
        <f aca="true">IF(OR(E376="",E376="!!!",F376="NEW"),"",COUNTBLANK(OFFSET(M$1,,,SUMPRODUCT(MAX(ROW(E$2:E372)*(E376=E$2:E372)))))-COUNTBLANK(OFFSET(M$1,,,SUMPRODUCT(MAX(ROW(Q$1:Q371)*(E376=Q$1:Q371))))))</f>
        <v/>
      </c>
      <c r="K376" s="25" t="str">
        <f aca="false">IF(OR(E376="",E376="!!!",F376="NEW"),"",INDEX(V$1:V371,SUMPRODUCT(MAX(ROW(Q$1:Q371)*(E376=Q$1:Q371)))))</f>
        <v/>
      </c>
      <c r="L376" s="26"/>
      <c r="M376" s="27"/>
    </row>
    <row r="377" customFormat="false" ht="15" hidden="false" customHeight="false" outlineLevel="0" collapsed="false">
      <c r="A377" s="19" t="s">
        <v>471</v>
      </c>
      <c r="E377" s="20" t="str">
        <f aca="false">IF(P377="?OLD","!!!","")</f>
        <v/>
      </c>
      <c r="F377" s="21" t="str">
        <f aca="false">IF(OR(E377="",E377="!!!"),"",IF(NOT(ISNA(VLOOKUP(E377,Q$1:Q372,1,FALSE()))),"OLD",IF(AND(E377&lt;&gt;"",E377&lt;&gt;"!!!"),"NEW","")))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4" t="str">
        <f aca="false">IF(OR(E377="",E377="!!!",F377="NEW"),"",INDEX(N$2:N372,-1+SUMPRODUCT(MAX(ROW(E$2:E372)*(E377=E$2:E372)))))</f>
        <v/>
      </c>
      <c r="J377" s="25" t="str">
        <f aca="true">IF(OR(E377="",E377="!!!",F377="NEW"),"",COUNTBLANK(OFFSET(M$1,,,SUMPRODUCT(MAX(ROW(E$2:E373)*(E377=E$2:E373)))))-COUNTBLANK(OFFSET(M$1,,,SUMPRODUCT(MAX(ROW(Q$1:Q372)*(E377=Q$1:Q372))))))</f>
        <v/>
      </c>
      <c r="K377" s="25" t="str">
        <f aca="false">IF(OR(E377="",E377="!!!",F377="NEW"),"",INDEX(V$1:V372,SUMPRODUCT(MAX(ROW(Q$1:Q372)*(E377=Q$1:Q372)))))</f>
        <v/>
      </c>
      <c r="L377" s="26"/>
      <c r="M377" s="27"/>
    </row>
    <row r="378" customFormat="false" ht="15" hidden="false" customHeight="false" outlineLevel="0" collapsed="false">
      <c r="A378" s="19" t="s">
        <v>250</v>
      </c>
      <c r="E378" s="20" t="str">
        <f aca="false">IF(P378="?OLD","!!!","")</f>
        <v/>
      </c>
      <c r="F378" s="21" t="str">
        <f aca="false">IF(OR(E378="",E378="!!!"),"",IF(NOT(ISNA(VLOOKUP(E378,Q$1:Q373,1,FALSE()))),"OLD",IF(AND(E378&lt;&gt;"",E378&lt;&gt;"!!!"),"NEW","")))</f>
        <v/>
      </c>
      <c r="G378" s="22" t="str">
        <f aca="false">IF(OR(E378="",E378="!!!"),"",IF(OR(J378=0,AND(J378=1,K378=1),AND(J378=1,I378="SBJ"),AND(J378=1,I378=0)),"?IN_FOCUS",IF(J378&lt;=2,"?ACTIVATED",IF(J378&lt;&gt;"","?FAMILIAR",IF(F378="NEW",IF(ISNA(VLOOKUP(E378,#REF!,1,FALSE())),"?TYPE_IDENTIFIABLE","?REFERENTIAL"),"_")))))</f>
        <v/>
      </c>
      <c r="H378" s="23" t="str">
        <f aca="false">IF(J378&lt;&gt;1,"",IF(I378="SBJ","CB","?"))</f>
        <v/>
      </c>
      <c r="I378" s="24" t="str">
        <f aca="false">IF(OR(E378="",E378="!!!",F378="NEW"),"",INDEX(N$2:N373,-1+SUMPRODUCT(MAX(ROW(E$2:E373)*(E378=E$2:E373)))))</f>
        <v/>
      </c>
      <c r="J378" s="25" t="str">
        <f aca="true">IF(OR(E378="",E378="!!!",F378="NEW"),"",COUNTBLANK(OFFSET(M$1,,,SUMPRODUCT(MAX(ROW(E$2:E374)*(E378=E$2:E374)))))-COUNTBLANK(OFFSET(M$1,,,SUMPRODUCT(MAX(ROW(Q$1:Q373)*(E378=Q$1:Q373))))))</f>
        <v/>
      </c>
      <c r="K378" s="25" t="str">
        <f aca="false">IF(OR(E378="",E378="!!!",F378="NEW"),"",INDEX(V$1:V373,SUMPRODUCT(MAX(ROW(Q$1:Q373)*(E378=Q$1:Q373)))))</f>
        <v/>
      </c>
      <c r="L378" s="26"/>
      <c r="M378" s="27"/>
    </row>
    <row r="379" customFormat="false" ht="15" hidden="false" customHeight="false" outlineLevel="0" collapsed="false">
      <c r="A379" s="19" t="s">
        <v>472</v>
      </c>
      <c r="E379" s="20" t="str">
        <f aca="false">IF(P379="?OLD","!!!","")</f>
        <v/>
      </c>
      <c r="F379" s="21" t="str">
        <f aca="false">IF(OR(E379="",E379="!!!"),"",IF(NOT(ISNA(VLOOKUP(E379,Q$1:Q374,1,FALSE()))),"OLD",IF(AND(E379&lt;&gt;"",E379&lt;&gt;"!!!"),"NEW","")))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IF(OR(E379="",E379="!!!",F379="NEW"),"",INDEX(N$2:N374,-1+SUMPRODUCT(MAX(ROW(E$2:E374)*(E379=E$2:E374)))))</f>
        <v/>
      </c>
      <c r="J379" s="25" t="str">
        <f aca="true">IF(OR(E379="",E379="!!!",F379="NEW"),"",COUNTBLANK(OFFSET(M$1,,,SUMPRODUCT(MAX(ROW(E$2:E375)*(E379=E$2:E375)))))-COUNTBLANK(OFFSET(M$1,,,SUMPRODUCT(MAX(ROW(Q$1:Q374)*(E379=Q$1:Q374))))))</f>
        <v/>
      </c>
      <c r="K379" s="25" t="str">
        <f aca="false">IF(OR(E379="",E379="!!!",F379="NEW"),"",INDEX(V$1:V374,SUMPRODUCT(MAX(ROW(Q$1:Q374)*(E379=Q$1:Q374)))))</f>
        <v/>
      </c>
      <c r="L379" s="26"/>
      <c r="M379" s="27"/>
    </row>
    <row r="380" customFormat="false" ht="15" hidden="false" customHeight="false" outlineLevel="0" collapsed="false">
      <c r="A380" s="19" t="s">
        <v>473</v>
      </c>
      <c r="B380" s="28" t="s">
        <v>271</v>
      </c>
      <c r="C380" s="28" t="s">
        <v>333</v>
      </c>
      <c r="D380" s="28" t="s">
        <v>253</v>
      </c>
      <c r="E380" s="20" t="s">
        <v>473</v>
      </c>
      <c r="F380" s="21" t="str">
        <f aca="false">IF(OR(E380="",E380="!!!"),"",IF(NOT(ISNA(VLOOKUP(E380,Q$1:Q375,1,FALSE()))),"OLD",IF(AND(E380&lt;&gt;"",E380&lt;&gt;"!!!"),"NEW","")))</f>
        <v>NEW</v>
      </c>
      <c r="G380" s="22" t="s">
        <v>255</v>
      </c>
      <c r="H380" s="23" t="str">
        <f aca="false">IF(J380&lt;&gt;1,"",IF(I380="SBJ","CB","?"))</f>
        <v/>
      </c>
      <c r="I380" s="24" t="str">
        <f aca="false">IF(OR(E380="",E380="!!!",F380="NEW"),"",INDEX(N$2:N375,-1+SUMPRODUCT(MAX(ROW(E$2:E375)*(E380=E$2:E375)))))</f>
        <v/>
      </c>
      <c r="J380" s="25" t="str">
        <f aca="true">IF(OR(E380="",E380="!!!",F380="NEW"),"",COUNTBLANK(OFFSET(M$1,,,SUMPRODUCT(MAX(ROW(E$2:E376)*(E380=E$2:E376)))))-COUNTBLANK(OFFSET(M$1,,,SUMPRODUCT(MAX(ROW(Q$1:Q375)*(E380=Q$1:Q375))))))</f>
        <v/>
      </c>
      <c r="K380" s="25" t="str">
        <f aca="false">IF(OR(E380="",E380="!!!",F380="NEW"),"",INDEX(V$1:V375,SUMPRODUCT(MAX(ROW(Q$1:Q375)*(E380=Q$1:Q375)))))</f>
        <v/>
      </c>
      <c r="L380" s="26"/>
      <c r="M380" s="27"/>
      <c r="N380" s="29"/>
      <c r="O380" s="29"/>
      <c r="P380" s="29"/>
    </row>
    <row r="381" customFormat="false" ht="15" hidden="false" customHeight="false" outlineLevel="0" collapsed="false">
      <c r="A381" s="19" t="s">
        <v>408</v>
      </c>
      <c r="E381" s="20" t="str">
        <f aca="false">IF(P381="?OLD","!!!","")</f>
        <v/>
      </c>
      <c r="F381" s="21" t="str">
        <f aca="false">IF(OR(E381="",E381="!!!"),"",IF(NOT(ISNA(VLOOKUP(E381,Q$1:Q376,1,FALSE()))),"OLD",IF(AND(E381&lt;&gt;"",E381&lt;&gt;"!!!"),"NEW","")))</f>
        <v/>
      </c>
      <c r="G381" s="22" t="str">
        <f aca="false">IF(OR(E381="",E381="!!!"),"",IF(OR(J381=0,AND(J381=1,K381=1),AND(J381=1,I381="SBJ"),AND(J381=1,I381=0)),"?IN_FOCUS",IF(J381&lt;=2,"?ACTIVATED",IF(J381&lt;&gt;"","?FAMILIAR",IF(F381="NEW",IF(ISNA(VLOOKUP(E381,#REF!,1,FALSE())),"?TYPE_IDENTIFIABLE","?REFERENTIAL"),"_")))))</f>
        <v/>
      </c>
      <c r="H381" s="23" t="str">
        <f aca="false">IF(J381&lt;&gt;1,"",IF(I381="SBJ","CB","?"))</f>
        <v/>
      </c>
      <c r="I381" s="24" t="str">
        <f aca="false">IF(OR(E381="",E381="!!!",F381="NEW"),"",INDEX(N$2:N376,-1+SUMPRODUCT(MAX(ROW(E$2:E376)*(E381=E$2:E376)))))</f>
        <v/>
      </c>
      <c r="J381" s="25" t="str">
        <f aca="true">IF(OR(E381="",E381="!!!",F381="NEW"),"",COUNTBLANK(OFFSET(M$1,,,SUMPRODUCT(MAX(ROW(E$2:E377)*(E381=E$2:E377)))))-COUNTBLANK(OFFSET(M$1,,,SUMPRODUCT(MAX(ROW(Q$1:Q376)*(E381=Q$1:Q376))))))</f>
        <v/>
      </c>
      <c r="K381" s="25" t="str">
        <f aca="false">IF(OR(E381="",E381="!!!",F381="NEW"),"",INDEX(V$1:V376,SUMPRODUCT(MAX(ROW(Q$1:Q376)*(E381=Q$1:Q376)))))</f>
        <v/>
      </c>
      <c r="L381" s="26"/>
      <c r="M381" s="27"/>
    </row>
    <row r="382" customFormat="false" ht="15" hidden="false" customHeight="false" outlineLevel="0" collapsed="false">
      <c r="A382" s="19"/>
      <c r="E382" s="20" t="str">
        <f aca="false">IF(P382="?OLD","!!!","")</f>
        <v/>
      </c>
      <c r="F382" s="21" t="str">
        <f aca="false">IF(OR(E382="",E382="!!!"),"",IF(NOT(ISNA(VLOOKUP(E382,Q$1:Q377,1,FALSE()))),"OLD",IF(AND(E382&lt;&gt;"",E382&lt;&gt;"!!!"),"NEW","")))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4" t="str">
        <f aca="false">IF(OR(E382="",E382="!!!",F382="NEW"),"",INDEX(N$2:N377,-1+SUMPRODUCT(MAX(ROW(E$2:E377)*(E382=E$2:E377)))))</f>
        <v/>
      </c>
      <c r="J382" s="25" t="str">
        <f aca="true">IF(OR(E382="",E382="!!!",F382="NEW"),"",COUNTBLANK(OFFSET(M$1,,,SUMPRODUCT(MAX(ROW(E$2:E378)*(E382=E$2:E378)))))-COUNTBLANK(OFFSET(M$1,,,SUMPRODUCT(MAX(ROW(Q$1:Q377)*(E382=Q$1:Q377))))))</f>
        <v/>
      </c>
      <c r="K382" s="25" t="str">
        <f aca="false">IF(OR(E382="",E382="!!!",F382="NEW"),"",INDEX(V$1:V377,SUMPRODUCT(MAX(ROW(Q$1:Q377)*(E382=Q$1:Q377)))))</f>
        <v/>
      </c>
      <c r="L382" s="26"/>
    </row>
    <row r="383" customFormat="false" ht="15" hidden="false" customHeight="false" outlineLevel="0" collapsed="false">
      <c r="A383" s="19" t="s">
        <v>474</v>
      </c>
      <c r="E383" s="20" t="str">
        <f aca="false">IF(P383="?OLD","!!!","")</f>
        <v/>
      </c>
      <c r="F383" s="21" t="str">
        <f aca="false">IF(OR(E383="",E383="!!!"),"",IF(NOT(ISNA(VLOOKUP(E383,Q$1:Q378,1,FALSE()))),"OLD",IF(AND(E383&lt;&gt;"",E383&lt;&gt;"!!!"),"NEW","")))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4" t="str">
        <f aca="false">IF(OR(E383="",E383="!!!",F383="NEW"),"",INDEX(N$2:N378,-1+SUMPRODUCT(MAX(ROW(E$2:E378)*(E383=E$2:E378)))))</f>
        <v/>
      </c>
      <c r="J383" s="25" t="str">
        <f aca="true">IF(OR(E383="",E383="!!!",F383="NEW"),"",COUNTBLANK(OFFSET(M$1,,,SUMPRODUCT(MAX(ROW(E$2:E379)*(E383=E$2:E379)))))-COUNTBLANK(OFFSET(M$1,,,SUMPRODUCT(MAX(ROW(Q$1:Q378)*(E383=Q$1:Q378))))))</f>
        <v/>
      </c>
      <c r="K383" s="25" t="str">
        <f aca="false">IF(OR(E383="",E383="!!!",F383="NEW"),"",INDEX(V$1:V378,SUMPRODUCT(MAX(ROW(Q$1:Q378)*(E383=Q$1:Q378)))))</f>
        <v/>
      </c>
      <c r="L383" s="26"/>
      <c r="M383" s="27"/>
    </row>
    <row r="384" customFormat="false" ht="15" hidden="false" customHeight="false" outlineLevel="0" collapsed="false">
      <c r="A384" s="19" t="s">
        <v>475</v>
      </c>
      <c r="E384" s="20" t="str">
        <f aca="false">IF(P384="?OLD","!!!","")</f>
        <v/>
      </c>
      <c r="F384" s="21" t="str">
        <f aca="false">IF(OR(E384="",E384="!!!"),"",IF(NOT(ISNA(VLOOKUP(E384,Q$1:Q379,1,FALSE()))),"OLD",IF(AND(E384&lt;&gt;"",E384&lt;&gt;"!!!"),"NEW","")))</f>
        <v/>
      </c>
      <c r="G384" s="22" t="str">
        <f aca="false">IF(OR(E384="",E384="!!!"),"",IF(OR(J384=0,AND(J384=1,K384=1),AND(J384=1,I384="SBJ"),AND(J384=1,I384=0)),"?IN_FOCUS",IF(J384&lt;=2,"?ACTIVATED",IF(J384&lt;&gt;"","?FAMILIAR",IF(F384="NEW",IF(ISNA(VLOOKUP(E384,#REF!,1,FALSE())),"?TYPE_IDENTIFIABLE","?REFERENTIAL"),"_")))))</f>
        <v/>
      </c>
      <c r="H384" s="23" t="str">
        <f aca="false">IF(J384&lt;&gt;1,"",IF(I384="SBJ","CB","?"))</f>
        <v/>
      </c>
      <c r="I384" s="24" t="str">
        <f aca="false">IF(OR(E384="",E384="!!!",F384="NEW"),"",INDEX(N$2:N379,-1+SUMPRODUCT(MAX(ROW(E$2:E379)*(E384=E$2:E379)))))</f>
        <v/>
      </c>
      <c r="J384" s="25" t="str">
        <f aca="true">IF(OR(E384="",E384="!!!",F384="NEW"),"",COUNTBLANK(OFFSET(M$1,,,SUMPRODUCT(MAX(ROW(E$2:E380)*(E384=E$2:E380)))))-COUNTBLANK(OFFSET(M$1,,,SUMPRODUCT(MAX(ROW(Q$1:Q379)*(E384=Q$1:Q379))))))</f>
        <v/>
      </c>
      <c r="K384" s="25" t="str">
        <f aca="false">IF(OR(E384="",E384="!!!",F384="NEW"),"",INDEX(V$1:V379,SUMPRODUCT(MAX(ROW(Q$1:Q379)*(E384=Q$1:Q379)))))</f>
        <v/>
      </c>
      <c r="L384" s="26"/>
      <c r="M384" s="27"/>
    </row>
    <row r="385" customFormat="false" ht="15" hidden="false" customHeight="false" outlineLevel="0" collapsed="false">
      <c r="A385" s="19" t="s">
        <v>476</v>
      </c>
      <c r="B385" s="28" t="s">
        <v>263</v>
      </c>
      <c r="C385" s="28" t="s">
        <v>264</v>
      </c>
      <c r="D385" s="28" t="s">
        <v>253</v>
      </c>
      <c r="E385" s="20"/>
      <c r="F385" s="21" t="s">
        <v>448</v>
      </c>
      <c r="G385" s="22" t="str">
        <f aca="false">IF(OR(E385="",E385="!!!"),"",IF(OR(J385=0,AND(J385=1,K385=1),AND(J385=1,I385="SBJ"),AND(J385=1,I385=0)),"?IN_FOCUS",IF(J385&lt;=2,"?ACTIVATED",IF(J385&lt;&gt;"","?FAMILIAR",IF(F385="NEW",IF(ISNA(VLOOKUP(E385,#REF!,1,FALSE())),"?TYPE_IDENTIFIABLE","?REFERENTIAL"),"_")))))</f>
        <v/>
      </c>
      <c r="H385" s="23" t="str">
        <f aca="false">IF(J385&lt;&gt;1,"",IF(I385="SBJ","CB","?"))</f>
        <v/>
      </c>
      <c r="I385" s="24" t="str">
        <f aca="false">IF(OR(E385="",E385="!!!",F385="NEW"),"",INDEX(N$2:N380,-1+SUMPRODUCT(MAX(ROW(E$2:E380)*(E385=E$2:E380)))))</f>
        <v/>
      </c>
      <c r="J385" s="25" t="str">
        <f aca="true">IF(OR(E385="",E385="!!!",F385="NEW"),"",COUNTBLANK(OFFSET(M$1,,,SUMPRODUCT(MAX(ROW(E$2:E381)*(E385=E$2:E381)))))-COUNTBLANK(OFFSET(M$1,,,SUMPRODUCT(MAX(ROW(Q$1:Q380)*(E385=Q$1:Q380))))))</f>
        <v/>
      </c>
      <c r="K385" s="25" t="str">
        <f aca="false">IF(OR(E385="",E385="!!!",F385="NEW"),"",INDEX(V$1:V380,SUMPRODUCT(MAX(ROW(Q$1:Q380)*(E385=Q$1:Q380)))))</f>
        <v/>
      </c>
      <c r="L385" s="26"/>
      <c r="M385" s="27"/>
      <c r="N385" s="29"/>
      <c r="O385" s="29"/>
      <c r="P385" s="29"/>
    </row>
    <row r="386" customFormat="false" ht="15" hidden="false" customHeight="false" outlineLevel="0" collapsed="false">
      <c r="A386" s="19" t="s">
        <v>477</v>
      </c>
      <c r="E386" s="20" t="str">
        <f aca="false">IF(P386="?OLD","!!!","")</f>
        <v/>
      </c>
      <c r="F386" s="21" t="str">
        <f aca="false">IF(OR(E386="",E386="!!!"),"",IF(NOT(ISNA(VLOOKUP(E386,Q$1:Q381,1,FALSE()))),"OLD",IF(AND(E386&lt;&gt;"",E386&lt;&gt;"!!!"),"NEW","")))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4" t="str">
        <f aca="false">IF(OR(E386="",E386="!!!",F386="NEW"),"",INDEX(N$2:N381,-1+SUMPRODUCT(MAX(ROW(E$2:E381)*(E386=E$2:E381)))))</f>
        <v/>
      </c>
      <c r="J386" s="25" t="str">
        <f aca="true">IF(OR(E386="",E386="!!!",F386="NEW"),"",COUNTBLANK(OFFSET(M$1,,,SUMPRODUCT(MAX(ROW(E$2:E382)*(E386=E$2:E382)))))-COUNTBLANK(OFFSET(M$1,,,SUMPRODUCT(MAX(ROW(Q$1:Q381)*(E386=Q$1:Q381))))))</f>
        <v/>
      </c>
      <c r="K386" s="25" t="str">
        <f aca="false">IF(OR(E386="",E386="!!!",F386="NEW"),"",INDEX(V$1:V381,SUMPRODUCT(MAX(ROW(Q$1:Q381)*(E386=Q$1:Q381)))))</f>
        <v/>
      </c>
      <c r="L386" s="26"/>
      <c r="M386" s="27"/>
    </row>
    <row r="387" customFormat="false" ht="15" hidden="false" customHeight="false" outlineLevel="0" collapsed="false">
      <c r="A387" s="19" t="s">
        <v>31</v>
      </c>
      <c r="E387" s="20" t="str">
        <f aca="false">IF(P387="?OLD","!!!","")</f>
        <v/>
      </c>
      <c r="F387" s="21" t="str">
        <f aca="false">IF(OR(E387="",E387="!!!"),"",IF(NOT(ISNA(VLOOKUP(E387,Q$1:Q382,1,FALSE()))),"OLD",IF(AND(E387&lt;&gt;"",E387&lt;&gt;"!!!"),"NEW","")))</f>
        <v/>
      </c>
      <c r="G387" s="22" t="str">
        <f aca="false">IF(OR(E387="",E387="!!!"),"",IF(OR(J387=0,AND(J387=1,K387=1),AND(J387=1,I387="SBJ"),AND(J387=1,I387=0)),"?IN_FOCUS",IF(J387&lt;=2,"?ACTIVATED",IF(J387&lt;&gt;"","?FAMILIAR",IF(F387="NEW",IF(ISNA(VLOOKUP(E387,#REF!,1,FALSE())),"?TYPE_IDENTIFIABLE","?REFERENTIAL"),"_")))))</f>
        <v/>
      </c>
      <c r="H387" s="23" t="str">
        <f aca="false">IF(J387&lt;&gt;1,"",IF(I387="SBJ","CB","?"))</f>
        <v/>
      </c>
      <c r="I387" s="24" t="str">
        <f aca="false">IF(OR(E387="",E387="!!!",F387="NEW"),"",INDEX(N$2:N382,-1+SUMPRODUCT(MAX(ROW(E$2:E382)*(E387=E$2:E382)))))</f>
        <v/>
      </c>
      <c r="J387" s="25" t="str">
        <f aca="true">IF(OR(E387="",E387="!!!",F387="NEW"),"",COUNTBLANK(OFFSET(M$1,,,SUMPRODUCT(MAX(ROW(E$2:E383)*(E387=E$2:E383)))))-COUNTBLANK(OFFSET(M$1,,,SUMPRODUCT(MAX(ROW(Q$1:Q382)*(E387=Q$1:Q382))))))</f>
        <v/>
      </c>
      <c r="K387" s="25" t="str">
        <f aca="false">IF(OR(E387="",E387="!!!",F387="NEW"),"",INDEX(V$1:V382,SUMPRODUCT(MAX(ROW(Q$1:Q382)*(E387=Q$1:Q382)))))</f>
        <v/>
      </c>
      <c r="L387" s="26"/>
      <c r="M387" s="27"/>
    </row>
    <row r="388" customFormat="false" ht="15" hidden="false" customHeight="false" outlineLevel="0" collapsed="false">
      <c r="A388" s="19" t="s">
        <v>273</v>
      </c>
      <c r="E388" s="20" t="str">
        <f aca="false">IF(P388="?OLD","!!!","")</f>
        <v/>
      </c>
      <c r="F388" s="21" t="str">
        <f aca="false">IF(OR(E388="",E388="!!!"),"",IF(NOT(ISNA(VLOOKUP(E388,Q$1:Q383,1,FALSE()))),"OLD",IF(AND(E388&lt;&gt;"",E388&lt;&gt;"!!!"),"NEW","")))</f>
        <v/>
      </c>
      <c r="G388" s="22" t="str">
        <f aca="false">IF(OR(E388="",E388="!!!"),"",IF(OR(J388=0,AND(J388=1,K388=1),AND(J388=1,I388="SBJ"),AND(J388=1,I388=0)),"?IN_FOCUS",IF(J388&lt;=2,"?ACTIVATED",IF(J388&lt;&gt;"","?FAMILIAR",IF(F388="NEW",IF(ISNA(VLOOKUP(E388,#REF!,1,FALSE())),"?TYPE_IDENTIFIABLE","?REFERENTIAL"),"_")))))</f>
        <v/>
      </c>
      <c r="H388" s="23" t="str">
        <f aca="false">IF(J388&lt;&gt;1,"",IF(I388="SBJ","CB","?"))</f>
        <v/>
      </c>
      <c r="I388" s="24" t="str">
        <f aca="false">IF(OR(E388="",E388="!!!",F388="NEW"),"",INDEX(N$2:N383,-1+SUMPRODUCT(MAX(ROW(E$2:E383)*(E388=E$2:E383)))))</f>
        <v/>
      </c>
      <c r="J388" s="25" t="str">
        <f aca="true">IF(OR(E388="",E388="!!!",F388="NEW"),"",COUNTBLANK(OFFSET(M$1,,,SUMPRODUCT(MAX(ROW(E$2:E384)*(E388=E$2:E384)))))-COUNTBLANK(OFFSET(M$1,,,SUMPRODUCT(MAX(ROW(Q$1:Q383)*(E388=Q$1:Q383))))))</f>
        <v/>
      </c>
      <c r="K388" s="25" t="str">
        <f aca="false">IF(OR(E388="",E388="!!!",F388="NEW"),"",INDEX(V$1:V383,SUMPRODUCT(MAX(ROW(Q$1:Q383)*(E388=Q$1:Q383)))))</f>
        <v/>
      </c>
      <c r="L388" s="26"/>
      <c r="M388" s="27"/>
    </row>
    <row r="389" customFormat="false" ht="15" hidden="false" customHeight="false" outlineLevel="0" collapsed="false">
      <c r="A389" s="19" t="s">
        <v>250</v>
      </c>
      <c r="E389" s="20" t="str">
        <f aca="false">IF(P389="?OLD","!!!","")</f>
        <v/>
      </c>
      <c r="F389" s="21" t="str">
        <f aca="false">IF(OR(E389="",E389="!!!"),"",IF(NOT(ISNA(VLOOKUP(E389,Q$1:Q384,1,FALSE()))),"OLD",IF(AND(E389&lt;&gt;"",E389&lt;&gt;"!!!"),"NEW","")))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4" t="str">
        <f aca="false">IF(OR(E389="",E389="!!!",F389="NEW"),"",INDEX(N$2:N384,-1+SUMPRODUCT(MAX(ROW(E$2:E384)*(E389=E$2:E384)))))</f>
        <v/>
      </c>
      <c r="J389" s="25" t="str">
        <f aca="true">IF(OR(E389="",E389="!!!",F389="NEW"),"",COUNTBLANK(OFFSET(M$1,,,SUMPRODUCT(MAX(ROW(E$2:E385)*(E389=E$2:E385)))))-COUNTBLANK(OFFSET(M$1,,,SUMPRODUCT(MAX(ROW(Q$1:Q384)*(E389=Q$1:Q384))))))</f>
        <v/>
      </c>
      <c r="K389" s="25" t="str">
        <f aca="false">IF(OR(E389="",E389="!!!",F389="NEW"),"",INDEX(V$1:V384,SUMPRODUCT(MAX(ROW(Q$1:Q384)*(E389=Q$1:Q384)))))</f>
        <v/>
      </c>
      <c r="L389" s="26"/>
      <c r="M389" s="27"/>
    </row>
    <row r="390" customFormat="false" ht="15" hidden="false" customHeight="false" outlineLevel="0" collapsed="false">
      <c r="A390" s="19" t="s">
        <v>478</v>
      </c>
      <c r="E390" s="20" t="str">
        <f aca="false">IF(P390="?OLD","!!!","")</f>
        <v/>
      </c>
      <c r="F390" s="21" t="str">
        <f aca="false">IF(OR(E390="",E390="!!!"),"",IF(NOT(ISNA(VLOOKUP(E390,Q$1:Q385,1,FALSE()))),"OLD",IF(AND(E390&lt;&gt;"",E390&lt;&gt;"!!!"),"NEW","")))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IF(OR(E390="",E390="!!!",F390="NEW"),"",INDEX(N$2:N385,-1+SUMPRODUCT(MAX(ROW(E$2:E385)*(E390=E$2:E385)))))</f>
        <v/>
      </c>
      <c r="J390" s="25" t="str">
        <f aca="true">IF(OR(E390="",E390="!!!",F390="NEW"),"",COUNTBLANK(OFFSET(M$1,,,SUMPRODUCT(MAX(ROW(E$2:E386)*(E390=E$2:E386)))))-COUNTBLANK(OFFSET(M$1,,,SUMPRODUCT(MAX(ROW(Q$1:Q385)*(E390=Q$1:Q385))))))</f>
        <v/>
      </c>
      <c r="K390" s="25" t="str">
        <f aca="false">IF(OR(E390="",E390="!!!",F390="NEW"),"",INDEX(V$1:V385,SUMPRODUCT(MAX(ROW(Q$1:Q385)*(E390=Q$1:Q385)))))</f>
        <v/>
      </c>
      <c r="L390" s="26"/>
      <c r="M390" s="27"/>
    </row>
    <row r="391" customFormat="false" ht="15" hidden="false" customHeight="false" outlineLevel="0" collapsed="false">
      <c r="A391" s="19" t="s">
        <v>479</v>
      </c>
      <c r="B391" s="28" t="s">
        <v>271</v>
      </c>
      <c r="C391" s="28" t="s">
        <v>252</v>
      </c>
      <c r="D391" s="28" t="s">
        <v>253</v>
      </c>
      <c r="E391" s="20" t="s">
        <v>480</v>
      </c>
      <c r="F391" s="21" t="str">
        <f aca="false">IF(OR(E391="",E391="!!!"),"",IF(NOT(ISNA(VLOOKUP(E391,Q$1:Q386,1,FALSE()))),"OLD",IF(AND(E391&lt;&gt;"",E391&lt;&gt;"!!!"),"NEW","")))</f>
        <v>NEW</v>
      </c>
      <c r="G391" s="22" t="s">
        <v>255</v>
      </c>
      <c r="H391" s="23" t="str">
        <f aca="false">IF(J391&lt;&gt;1,"",IF(I391="SBJ","CB","?"))</f>
        <v/>
      </c>
      <c r="I391" s="24" t="str">
        <f aca="false">IF(OR(E391="",E391="!!!",F391="NEW"),"",INDEX(N$2:N386,-1+SUMPRODUCT(MAX(ROW(E$2:E386)*(E391=E$2:E386)))))</f>
        <v/>
      </c>
      <c r="J391" s="25" t="str">
        <f aca="true">IF(OR(E391="",E391="!!!",F391="NEW"),"",COUNTBLANK(OFFSET(M$1,,,SUMPRODUCT(MAX(ROW(E$2:E387)*(E391=E$2:E387)))))-COUNTBLANK(OFFSET(M$1,,,SUMPRODUCT(MAX(ROW(Q$1:Q386)*(E391=Q$1:Q386))))))</f>
        <v/>
      </c>
      <c r="K391" s="25" t="str">
        <f aca="false">IF(OR(E391="",E391="!!!",F391="NEW"),"",INDEX(V$1:V386,SUMPRODUCT(MAX(ROW(Q$1:Q386)*(E391=Q$1:Q386)))))</f>
        <v/>
      </c>
      <c r="L391" s="26"/>
      <c r="M391" s="27"/>
      <c r="N391" s="29"/>
      <c r="O391" s="29"/>
      <c r="P391" s="29"/>
    </row>
    <row r="392" customFormat="false" ht="15" hidden="false" customHeight="false" outlineLevel="0" collapsed="false">
      <c r="A392" s="19" t="s">
        <v>261</v>
      </c>
      <c r="E392" s="20" t="str">
        <f aca="false">IF(P392="?OLD","!!!","")</f>
        <v/>
      </c>
      <c r="F392" s="21" t="str">
        <f aca="false">IF(OR(E392="",E392="!!!"),"",IF(NOT(ISNA(VLOOKUP(E392,Q$1:Q387,1,FALSE()))),"OLD",IF(AND(E392&lt;&gt;"",E392&lt;&gt;"!!!"),"NEW","")))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4" t="str">
        <f aca="false">IF(OR(E392="",E392="!!!",F392="NEW"),"",INDEX(N$2:N387,-1+SUMPRODUCT(MAX(ROW(E$2:E387)*(E392=E$2:E387)))))</f>
        <v/>
      </c>
      <c r="J392" s="25" t="str">
        <f aca="true">IF(OR(E392="",E392="!!!",F392="NEW"),"",COUNTBLANK(OFFSET(M$1,,,SUMPRODUCT(MAX(ROW(E$2:E388)*(E392=E$2:E388)))))-COUNTBLANK(OFFSET(M$1,,,SUMPRODUCT(MAX(ROW(Q$1:Q387)*(E392=Q$1:Q387))))))</f>
        <v/>
      </c>
      <c r="K392" s="25" t="str">
        <f aca="false">IF(OR(E392="",E392="!!!",F392="NEW"),"",INDEX(V$1:V387,SUMPRODUCT(MAX(ROW(Q$1:Q387)*(E392=Q$1:Q387)))))</f>
        <v/>
      </c>
      <c r="L392" s="26"/>
      <c r="M392" s="27"/>
    </row>
    <row r="393" customFormat="false" ht="15" hidden="false" customHeight="false" outlineLevel="0" collapsed="false">
      <c r="A393" s="19" t="s">
        <v>481</v>
      </c>
      <c r="E393" s="20" t="str">
        <f aca="false">IF(P393="?OLD","!!!","")</f>
        <v/>
      </c>
      <c r="F393" s="21" t="str">
        <f aca="false">IF(OR(E393="",E393="!!!"),"",IF(NOT(ISNA(VLOOKUP(E393,Q$1:Q388,1,FALSE()))),"OLD",IF(AND(E393&lt;&gt;"",E393&lt;&gt;"!!!"),"NEW","")))</f>
        <v/>
      </c>
      <c r="G393" s="22" t="str">
        <f aca="false">IF(OR(E393="",E393="!!!"),"",IF(OR(J393=0,AND(J393=1,K393=1),AND(J393=1,I393="SBJ"),AND(J393=1,I393=0)),"?IN_FOCUS",IF(J393&lt;=2,"?ACTIVATED",IF(J393&lt;&gt;"","?FAMILIAR",IF(F393="NEW",IF(ISNA(VLOOKUP(E393,#REF!,1,FALSE())),"?TYPE_IDENTIFIABLE","?REFERENTIAL"),"_")))))</f>
        <v/>
      </c>
      <c r="H393" s="23" t="str">
        <f aca="false">IF(J393&lt;&gt;1,"",IF(I393="SBJ","CB","?"))</f>
        <v/>
      </c>
      <c r="I393" s="24" t="str">
        <f aca="false">IF(OR(E393="",E393="!!!",F393="NEW"),"",INDEX(N$2:N388,-1+SUMPRODUCT(MAX(ROW(E$2:E388)*(E393=E$2:E388)))))</f>
        <v/>
      </c>
      <c r="J393" s="25" t="str">
        <f aca="true">IF(OR(E393="",E393="!!!",F393="NEW"),"",COUNTBLANK(OFFSET(M$1,,,SUMPRODUCT(MAX(ROW(E$2:E389)*(E393=E$2:E389)))))-COUNTBLANK(OFFSET(M$1,,,SUMPRODUCT(MAX(ROW(Q$1:Q388)*(E393=Q$1:Q388))))))</f>
        <v/>
      </c>
      <c r="K393" s="25" t="str">
        <f aca="false">IF(OR(E393="",E393="!!!",F393="NEW"),"",INDEX(V$1:V388,SUMPRODUCT(MAX(ROW(Q$1:Q388)*(E393=Q$1:Q388)))))</f>
        <v/>
      </c>
      <c r="L393" s="26"/>
      <c r="M393" s="27"/>
    </row>
    <row r="394" customFormat="false" ht="15" hidden="false" customHeight="false" outlineLevel="0" collapsed="false">
      <c r="A394" s="19" t="s">
        <v>413</v>
      </c>
      <c r="B394" s="28" t="s">
        <v>251</v>
      </c>
      <c r="C394" s="28" t="s">
        <v>333</v>
      </c>
      <c r="D394" s="28" t="s">
        <v>253</v>
      </c>
      <c r="E394" s="20" t="s">
        <v>413</v>
      </c>
      <c r="F394" s="21" t="str">
        <f aca="false">IF(OR(E394="",E394="!!!"),"",IF(NOT(ISNA(VLOOKUP(E394,Q$1:Q389,1,FALSE()))),"OLD",IF(AND(E394&lt;&gt;"",E394&lt;&gt;"!!!"),"NEW","")))</f>
        <v>NEW</v>
      </c>
      <c r="G394" s="22" t="s">
        <v>283</v>
      </c>
      <c r="H394" s="23" t="str">
        <f aca="false">IF(J394&lt;&gt;1,"",IF(I394="SBJ","CB","?"))</f>
        <v/>
      </c>
      <c r="I394" s="24" t="str">
        <f aca="false">IF(OR(E394="",E394="!!!",F394="NEW"),"",INDEX(N$2:N389,-1+SUMPRODUCT(MAX(ROW(E$2:E389)*(E394=E$2:E389)))))</f>
        <v/>
      </c>
      <c r="J394" s="25" t="str">
        <f aca="true">IF(OR(E394="",E394="!!!",F394="NEW"),"",COUNTBLANK(OFFSET(M$1,,,SUMPRODUCT(MAX(ROW(E$2:E390)*(E394=E$2:E390)))))-COUNTBLANK(OFFSET(M$1,,,SUMPRODUCT(MAX(ROW(Q$1:Q389)*(E394=Q$1:Q389))))))</f>
        <v/>
      </c>
      <c r="K394" s="25" t="str">
        <f aca="false">IF(OR(E394="",E394="!!!",F394="NEW"),"",INDEX(V$1:V389,SUMPRODUCT(MAX(ROW(Q$1:Q389)*(E394=Q$1:Q389)))))</f>
        <v/>
      </c>
      <c r="L394" s="26"/>
      <c r="M394" s="27"/>
      <c r="N394" s="29"/>
      <c r="O394" s="29"/>
      <c r="P394" s="29"/>
    </row>
    <row r="395" customFormat="false" ht="15" hidden="false" customHeight="false" outlineLevel="0" collapsed="false">
      <c r="A395" s="19" t="s">
        <v>261</v>
      </c>
      <c r="E395" s="20" t="str">
        <f aca="false">IF(P395="?OLD","!!!","")</f>
        <v/>
      </c>
      <c r="F395" s="21" t="str">
        <f aca="false">IF(OR(E395="",E395="!!!"),"",IF(NOT(ISNA(VLOOKUP(E395,Q$1:Q390,1,FALSE()))),"OLD",IF(AND(E395&lt;&gt;"",E395&lt;&gt;"!!!"),"NEW","")))</f>
        <v/>
      </c>
      <c r="G395" s="22" t="str">
        <f aca="false">IF(OR(E395="",E395="!!!"),"",IF(OR(J395=0,AND(J395=1,K395=1),AND(J395=1,I395="SBJ"),AND(J395=1,I395=0)),"?IN_FOCUS",IF(J395&lt;=2,"?ACTIVATED",IF(J395&lt;&gt;"","?FAMILIAR",IF(F395="NEW",IF(ISNA(VLOOKUP(E395,#REF!,1,FALSE())),"?TYPE_IDENTIFIABLE","?REFERENTIAL"),"_")))))</f>
        <v/>
      </c>
      <c r="H395" s="23" t="str">
        <f aca="false">IF(J395&lt;&gt;1,"",IF(I395="SBJ","CB","?"))</f>
        <v/>
      </c>
      <c r="I395" s="24" t="str">
        <f aca="false">IF(OR(E395="",E395="!!!",F395="NEW"),"",INDEX(N$2:N390,-1+SUMPRODUCT(MAX(ROW(E$2:E390)*(E395=E$2:E390)))))</f>
        <v/>
      </c>
      <c r="J395" s="25" t="str">
        <f aca="true">IF(OR(E395="",E395="!!!",F395="NEW"),"",COUNTBLANK(OFFSET(M$1,,,SUMPRODUCT(MAX(ROW(E$2:E391)*(E395=E$2:E391)))))-COUNTBLANK(OFFSET(M$1,,,SUMPRODUCT(MAX(ROW(Q$1:Q390)*(E395=Q$1:Q390))))))</f>
        <v/>
      </c>
      <c r="K395" s="25" t="str">
        <f aca="false">IF(OR(E395="",E395="!!!",F395="NEW"),"",INDEX(V$1:V390,SUMPRODUCT(MAX(ROW(Q$1:Q390)*(E395=Q$1:Q390)))))</f>
        <v/>
      </c>
      <c r="L395" s="26"/>
      <c r="M395" s="27"/>
    </row>
    <row r="396" customFormat="false" ht="15" hidden="false" customHeight="false" outlineLevel="0" collapsed="false">
      <c r="A396" s="19" t="s">
        <v>482</v>
      </c>
      <c r="E396" s="20" t="str">
        <f aca="false">IF(P396="?OLD","!!!","")</f>
        <v/>
      </c>
      <c r="F396" s="21" t="str">
        <f aca="false">IF(OR(E396="",E396="!!!"),"",IF(NOT(ISNA(VLOOKUP(E396,Q$1:Q391,1,FALSE()))),"OLD",IF(AND(E396&lt;&gt;"",E396&lt;&gt;"!!!"),"NEW","")))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4" t="str">
        <f aca="false">IF(OR(E396="",E396="!!!",F396="NEW"),"",INDEX(N$2:N391,-1+SUMPRODUCT(MAX(ROW(E$2:E391)*(E396=E$2:E391)))))</f>
        <v/>
      </c>
      <c r="J396" s="25" t="str">
        <f aca="true">IF(OR(E396="",E396="!!!",F396="NEW"),"",COUNTBLANK(OFFSET(M$1,,,SUMPRODUCT(MAX(ROW(E$2:E392)*(E396=E$2:E392)))))-COUNTBLANK(OFFSET(M$1,,,SUMPRODUCT(MAX(ROW(Q$1:Q391)*(E396=Q$1:Q391))))))</f>
        <v/>
      </c>
      <c r="K396" s="25" t="str">
        <f aca="false">IF(OR(E396="",E396="!!!",F396="NEW"),"",INDEX(V$1:V391,SUMPRODUCT(MAX(ROW(Q$1:Q391)*(E396=Q$1:Q391)))))</f>
        <v/>
      </c>
      <c r="L396" s="26"/>
      <c r="M396" s="27"/>
    </row>
    <row r="397" customFormat="false" ht="15" hidden="false" customHeight="false" outlineLevel="0" collapsed="false">
      <c r="A397" s="19" t="s">
        <v>483</v>
      </c>
      <c r="B397" s="28" t="s">
        <v>324</v>
      </c>
      <c r="C397" s="28" t="s">
        <v>264</v>
      </c>
      <c r="D397" s="28" t="s">
        <v>253</v>
      </c>
      <c r="E397" s="20" t="s">
        <v>413</v>
      </c>
      <c r="F397" s="21" t="str">
        <f aca="false">IF(OR(E397="",E397="!!!"),"",IF(NOT(ISNA(VLOOKUP(E397,Q$1:Q392,1,FALSE()))),"OLD",IF(AND(E397&lt;&gt;"",E397&lt;&gt;"!!!"),"NEW","")))</f>
        <v>NEW</v>
      </c>
      <c r="G397" s="22" t="s">
        <v>296</v>
      </c>
      <c r="H397" s="23" t="str">
        <f aca="false">IF(J397&lt;&gt;1,"",IF(I397="SBJ","CB","?"))</f>
        <v/>
      </c>
      <c r="I397" s="24" t="str">
        <f aca="false">IF(OR(E397="",E397="!!!",F397="NEW"),"",INDEX(N$2:N392,-1+SUMPRODUCT(MAX(ROW(E$2:E392)*(E397=E$2:E392)))))</f>
        <v/>
      </c>
      <c r="J397" s="25" t="str">
        <f aca="true">IF(OR(E397="",E397="!!!",F397="NEW"),"",COUNTBLANK(OFFSET(M$1,,,SUMPRODUCT(MAX(ROW(E$2:E393)*(E397=E$2:E393)))))-COUNTBLANK(OFFSET(M$1,,,SUMPRODUCT(MAX(ROW(Q$1:Q392)*(E397=Q$1:Q392))))))</f>
        <v/>
      </c>
      <c r="K397" s="25" t="str">
        <f aca="false">IF(OR(E397="",E397="!!!",F397="NEW"),"",INDEX(V$1:V392,SUMPRODUCT(MAX(ROW(Q$1:Q392)*(E397=Q$1:Q392)))))</f>
        <v/>
      </c>
      <c r="L397" s="26"/>
      <c r="M397" s="27"/>
      <c r="N397" s="29"/>
      <c r="O397" s="29"/>
      <c r="P397" s="29"/>
    </row>
    <row r="398" customFormat="false" ht="15" hidden="false" customHeight="false" outlineLevel="0" collapsed="false">
      <c r="A398" s="19" t="s">
        <v>477</v>
      </c>
      <c r="E398" s="20" t="str">
        <f aca="false">IF(P398="?OLD","!!!","")</f>
        <v/>
      </c>
      <c r="F398" s="21" t="str">
        <f aca="false">IF(OR(E398="",E398="!!!"),"",IF(NOT(ISNA(VLOOKUP(E398,Q$1:Q393,1,FALSE()))),"OLD",IF(AND(E398&lt;&gt;"",E398&lt;&gt;"!!!"),"NEW","")))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4" t="str">
        <f aca="false">IF(OR(E398="",E398="!!!",F398="NEW"),"",INDEX(N$2:N393,-1+SUMPRODUCT(MAX(ROW(E$2:E393)*(E398=E$2:E393)))))</f>
        <v/>
      </c>
      <c r="J398" s="25" t="str">
        <f aca="true">IF(OR(E398="",E398="!!!",F398="NEW"),"",COUNTBLANK(OFFSET(M$1,,,SUMPRODUCT(MAX(ROW(E$2:E394)*(E398=E$2:E394)))))-COUNTBLANK(OFFSET(M$1,,,SUMPRODUCT(MAX(ROW(Q$1:Q393)*(E398=Q$1:Q393))))))</f>
        <v/>
      </c>
      <c r="K398" s="25" t="str">
        <f aca="false">IF(OR(E398="",E398="!!!",F398="NEW"),"",INDEX(V$1:V393,SUMPRODUCT(MAX(ROW(Q$1:Q393)*(E398=Q$1:Q393)))))</f>
        <v/>
      </c>
      <c r="L398" s="26"/>
      <c r="M398" s="27"/>
    </row>
    <row r="399" customFormat="false" ht="15" hidden="false" customHeight="false" outlineLevel="0" collapsed="false">
      <c r="A399" s="19" t="s">
        <v>95</v>
      </c>
      <c r="E399" s="20" t="str">
        <f aca="false">IF(P399="?OLD","!!!","")</f>
        <v/>
      </c>
      <c r="F399" s="21" t="str">
        <f aca="false">IF(OR(E399="",E399="!!!"),"",IF(NOT(ISNA(VLOOKUP(E399,Q$1:Q394,1,FALSE()))),"OLD",IF(AND(E399&lt;&gt;"",E399&lt;&gt;"!!!"),"NEW","")))</f>
        <v/>
      </c>
      <c r="G399" s="22" t="str">
        <f aca="false">IF(OR(E399="",E399="!!!"),"",IF(OR(J399=0,AND(J399=1,K399=1),AND(J399=1,I399="SBJ"),AND(J399=1,I399=0)),"?IN_FOCUS",IF(J399&lt;=2,"?ACTIVATED",IF(J399&lt;&gt;"","?FAMILIAR",IF(F399="NEW",IF(ISNA(VLOOKUP(E399,#REF!,1,FALSE())),"?TYPE_IDENTIFIABLE","?REFERENTIAL"),"_")))))</f>
        <v/>
      </c>
      <c r="H399" s="23" t="str">
        <f aca="false">IF(J399&lt;&gt;1,"",IF(I399="SBJ","CB","?"))</f>
        <v/>
      </c>
      <c r="I399" s="24" t="str">
        <f aca="false">IF(OR(E399="",E399="!!!",F399="NEW"),"",INDEX(N$2:N394,-1+SUMPRODUCT(MAX(ROW(E$2:E394)*(E399=E$2:E394)))))</f>
        <v/>
      </c>
      <c r="J399" s="25" t="str">
        <f aca="true">IF(OR(E399="",E399="!!!",F399="NEW"),"",COUNTBLANK(OFFSET(M$1,,,SUMPRODUCT(MAX(ROW(E$2:E395)*(E399=E$2:E395)))))-COUNTBLANK(OFFSET(M$1,,,SUMPRODUCT(MAX(ROW(Q$1:Q394)*(E399=Q$1:Q394))))))</f>
        <v/>
      </c>
      <c r="K399" s="25" t="str">
        <f aca="false">IF(OR(E399="",E399="!!!",F399="NEW"),"",INDEX(V$1:V394,SUMPRODUCT(MAX(ROW(Q$1:Q394)*(E399=Q$1:Q394)))))</f>
        <v/>
      </c>
      <c r="L399" s="26"/>
      <c r="M399" s="27"/>
    </row>
    <row r="400" customFormat="false" ht="15" hidden="false" customHeight="false" outlineLevel="0" collapsed="false">
      <c r="A400" s="19" t="s">
        <v>438</v>
      </c>
      <c r="E400" s="20" t="str">
        <f aca="false">IF(P400="?OLD","!!!","")</f>
        <v/>
      </c>
      <c r="F400" s="21" t="str">
        <f aca="false">IF(OR(E400="",E400="!!!"),"",IF(NOT(ISNA(VLOOKUP(E400,Q$1:Q395,1,FALSE()))),"OLD",IF(AND(E400&lt;&gt;"",E400&lt;&gt;"!!!"),"NEW","")))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IF(OR(E400="",E400="!!!",F400="NEW"),"",INDEX(N$2:N395,-1+SUMPRODUCT(MAX(ROW(E$2:E395)*(E400=E$2:E395)))))</f>
        <v/>
      </c>
      <c r="J400" s="25" t="str">
        <f aca="true">IF(OR(E400="",E400="!!!",F400="NEW"),"",COUNTBLANK(OFFSET(M$1,,,SUMPRODUCT(MAX(ROW(E$2:E396)*(E400=E$2:E396)))))-COUNTBLANK(OFFSET(M$1,,,SUMPRODUCT(MAX(ROW(Q$1:Q395)*(E400=Q$1:Q395))))))</f>
        <v/>
      </c>
      <c r="K400" s="25" t="str">
        <f aca="false">IF(OR(E400="",E400="!!!",F400="NEW"),"",INDEX(V$1:V395,SUMPRODUCT(MAX(ROW(Q$1:Q395)*(E400=Q$1:Q395)))))</f>
        <v/>
      </c>
      <c r="L400" s="26"/>
      <c r="M400" s="27"/>
    </row>
    <row r="401" customFormat="false" ht="15" hidden="false" customHeight="false" outlineLevel="0" collapsed="false">
      <c r="A401" s="19" t="s">
        <v>452</v>
      </c>
      <c r="B401" s="28" t="s">
        <v>293</v>
      </c>
      <c r="C401" s="28" t="s">
        <v>358</v>
      </c>
      <c r="D401" s="28" t="s">
        <v>253</v>
      </c>
      <c r="E401" s="20" t="s">
        <v>413</v>
      </c>
      <c r="F401" s="21" t="str">
        <f aca="false">IF(OR(E401="",E401="!!!"),"",IF(NOT(ISNA(VLOOKUP(E401,Q$1:Q396,1,FALSE()))),"OLD",IF(AND(E401&lt;&gt;"",E401&lt;&gt;"!!!"),"NEW","")))</f>
        <v>NEW</v>
      </c>
      <c r="G401" s="22" t="s">
        <v>296</v>
      </c>
      <c r="H401" s="23" t="str">
        <f aca="false">IF(J401&lt;&gt;1,"",IF(I401="SBJ","CB","?"))</f>
        <v/>
      </c>
      <c r="I401" s="24" t="str">
        <f aca="false">IF(OR(E401="",E401="!!!",F401="NEW"),"",INDEX(N$2:N396,-1+SUMPRODUCT(MAX(ROW(E$2:E396)*(E401=E$2:E396)))))</f>
        <v/>
      </c>
      <c r="J401" s="25" t="str">
        <f aca="true">IF(OR(E401="",E401="!!!",F401="NEW"),"",COUNTBLANK(OFFSET(M$1,,,SUMPRODUCT(MAX(ROW(E$2:E397)*(E401=E$2:E397)))))-COUNTBLANK(OFFSET(M$1,,,SUMPRODUCT(MAX(ROW(Q$1:Q396)*(E401=Q$1:Q396))))))</f>
        <v/>
      </c>
      <c r="K401" s="25" t="str">
        <f aca="false">IF(OR(E401="",E401="!!!",F401="NEW"),"",INDEX(V$1:V396,SUMPRODUCT(MAX(ROW(Q$1:Q396)*(E401=Q$1:Q396)))))</f>
        <v/>
      </c>
      <c r="L401" s="26"/>
      <c r="M401" s="27"/>
      <c r="N401" s="29"/>
      <c r="O401" s="29"/>
      <c r="P401" s="29"/>
    </row>
    <row r="402" customFormat="false" ht="15" hidden="false" customHeight="false" outlineLevel="0" collapsed="false">
      <c r="A402" s="19" t="s">
        <v>319</v>
      </c>
      <c r="B402" s="28" t="s">
        <v>326</v>
      </c>
      <c r="C402" s="28" t="s">
        <v>314</v>
      </c>
      <c r="D402" s="28" t="s">
        <v>253</v>
      </c>
      <c r="E402" s="20" t="s">
        <v>320</v>
      </c>
      <c r="F402" s="21" t="str">
        <f aca="false">IF(OR(E402="",E402="!!!"),"",IF(NOT(ISNA(VLOOKUP(E402,Q$1:Q397,1,FALSE()))),"OLD",IF(AND(E402&lt;&gt;"",E402&lt;&gt;"!!!"),"NEW","")))</f>
        <v>NEW</v>
      </c>
      <c r="G402" s="22" t="s">
        <v>283</v>
      </c>
      <c r="H402" s="23" t="str">
        <f aca="false">IF(J402&lt;&gt;1,"",IF(I402="SBJ","CB","?"))</f>
        <v/>
      </c>
      <c r="I402" s="24" t="str">
        <f aca="false">IF(OR(E402="",E402="!!!",F402="NEW"),"",INDEX(N$2:N397,-1+SUMPRODUCT(MAX(ROW(E$2:E397)*(E402=E$2:E397)))))</f>
        <v/>
      </c>
      <c r="J402" s="25" t="str">
        <f aca="true">IF(OR(E402="",E402="!!!",F402="NEW"),"",COUNTBLANK(OFFSET(M$1,,,SUMPRODUCT(MAX(ROW(E$2:E398)*(E402=E$2:E398)))))-COUNTBLANK(OFFSET(M$1,,,SUMPRODUCT(MAX(ROW(Q$1:Q397)*(E402=Q$1:Q397))))))</f>
        <v/>
      </c>
      <c r="K402" s="25" t="str">
        <f aca="false">IF(OR(E402="",E402="!!!",F402="NEW"),"",INDEX(V$1:V397,SUMPRODUCT(MAX(ROW(Q$1:Q397)*(E402=Q$1:Q397)))))</f>
        <v/>
      </c>
      <c r="L402" s="26"/>
      <c r="M402" s="27"/>
      <c r="N402" s="29"/>
      <c r="O402" s="29"/>
      <c r="P402" s="29"/>
    </row>
    <row r="403" customFormat="false" ht="15" hidden="false" customHeight="false" outlineLevel="0" collapsed="false">
      <c r="A403" s="19" t="s">
        <v>312</v>
      </c>
      <c r="E403" s="20" t="str">
        <f aca="false">IF(P403="?OLD","!!!","")</f>
        <v/>
      </c>
      <c r="F403" s="21" t="str">
        <f aca="false">IF(OR(E403="",E403="!!!"),"",IF(NOT(ISNA(VLOOKUP(E403,Q$1:Q398,1,FALSE()))),"OLD",IF(AND(E403&lt;&gt;"",E403&lt;&gt;"!!!"),"NEW","")))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4" t="str">
        <f aca="false">IF(OR(E403="",E403="!!!",F403="NEW"),"",INDEX(N$2:N398,-1+SUMPRODUCT(MAX(ROW(E$2:E398)*(E403=E$2:E398)))))</f>
        <v/>
      </c>
      <c r="J403" s="25" t="str">
        <f aca="true">IF(OR(E403="",E403="!!!",F403="NEW"),"",COUNTBLANK(OFFSET(M$1,,,SUMPRODUCT(MAX(ROW(E$2:E399)*(E403=E$2:E399)))))-COUNTBLANK(OFFSET(M$1,,,SUMPRODUCT(MAX(ROW(Q$1:Q398)*(E403=Q$1:Q398))))))</f>
        <v/>
      </c>
      <c r="K403" s="25" t="str">
        <f aca="false">IF(OR(E403="",E403="!!!",F403="NEW"),"",INDEX(V$1:V398,SUMPRODUCT(MAX(ROW(Q$1:Q398)*(E403=Q$1:Q398)))))</f>
        <v/>
      </c>
      <c r="L403" s="26"/>
      <c r="M403" s="27"/>
    </row>
    <row r="404" customFormat="false" ht="15" hidden="false" customHeight="false" outlineLevel="0" collapsed="false">
      <c r="A404" s="19" t="s">
        <v>218</v>
      </c>
      <c r="E404" s="20" t="str">
        <f aca="false">IF(P404="?OLD","!!!","")</f>
        <v/>
      </c>
      <c r="F404" s="21" t="str">
        <f aca="false">IF(OR(E404="",E404="!!!"),"",IF(NOT(ISNA(VLOOKUP(E404,Q$1:Q399,1,FALSE()))),"OLD",IF(AND(E404&lt;&gt;"",E404&lt;&gt;"!!!"),"NEW","")))</f>
        <v/>
      </c>
      <c r="G404" s="22" t="str">
        <f aca="false">IF(OR(E404="",E404="!!!"),"",IF(OR(J404=0,AND(J404=1,K404=1),AND(J404=1,I404="SBJ"),AND(J404=1,I404=0)),"?IN_FOCUS",IF(J404&lt;=2,"?ACTIVATED",IF(J404&lt;&gt;"","?FAMILIAR",IF(F404="NEW",IF(ISNA(VLOOKUP(E404,#REF!,1,FALSE())),"?TYPE_IDENTIFIABLE","?REFERENTIAL"),"_")))))</f>
        <v/>
      </c>
      <c r="H404" s="23" t="str">
        <f aca="false">IF(J404&lt;&gt;1,"",IF(I404="SBJ","CB","?"))</f>
        <v/>
      </c>
      <c r="I404" s="24" t="str">
        <f aca="false">IF(OR(E404="",E404="!!!",F404="NEW"),"",INDEX(N$2:N399,-1+SUMPRODUCT(MAX(ROW(E$2:E399)*(E404=E$2:E399)))))</f>
        <v/>
      </c>
      <c r="J404" s="25" t="str">
        <f aca="true">IF(OR(E404="",E404="!!!",F404="NEW"),"",COUNTBLANK(OFFSET(M$1,,,SUMPRODUCT(MAX(ROW(E$2:E400)*(E404=E$2:E400)))))-COUNTBLANK(OFFSET(M$1,,,SUMPRODUCT(MAX(ROW(Q$1:Q399)*(E404=Q$1:Q399))))))</f>
        <v/>
      </c>
      <c r="K404" s="25" t="str">
        <f aca="false">IF(OR(E404="",E404="!!!",F404="NEW"),"",INDEX(V$1:V399,SUMPRODUCT(MAX(ROW(Q$1:Q399)*(E404=Q$1:Q399)))))</f>
        <v/>
      </c>
      <c r="L404" s="26"/>
      <c r="M404" s="27"/>
    </row>
    <row r="405" customFormat="false" ht="15" hidden="false" customHeight="false" outlineLevel="0" collapsed="false">
      <c r="A405" s="19" t="s">
        <v>484</v>
      </c>
      <c r="B405" s="28" t="s">
        <v>258</v>
      </c>
      <c r="C405" s="28" t="s">
        <v>287</v>
      </c>
      <c r="E405" s="20" t="str">
        <f aca="false">IF(P405="?OLD","!!!","")</f>
        <v/>
      </c>
      <c r="F405" s="21" t="str">
        <f aca="false">IF(OR(E405="",E405="!!!"),"",IF(NOT(ISNA(VLOOKUP(E405,Q$1:Q400,1,FALSE()))),"OLD",IF(AND(E405&lt;&gt;"",E405&lt;&gt;"!!!"),"NEW","")))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4" t="str">
        <f aca="false">IF(OR(E405="",E405="!!!",F405="NEW"),"",INDEX(N$2:N400,-1+SUMPRODUCT(MAX(ROW(E$2:E400)*(E405=E$2:E400)))))</f>
        <v/>
      </c>
      <c r="J405" s="25" t="str">
        <f aca="true">IF(OR(E405="",E405="!!!",F405="NEW"),"",COUNTBLANK(OFFSET(M$1,,,SUMPRODUCT(MAX(ROW(E$2:E401)*(E405=E$2:E401)))))-COUNTBLANK(OFFSET(M$1,,,SUMPRODUCT(MAX(ROW(Q$1:Q400)*(E405=Q$1:Q400))))))</f>
        <v/>
      </c>
      <c r="K405" s="25" t="str">
        <f aca="false">IF(OR(E405="",E405="!!!",F405="NEW"),"",INDEX(V$1:V400,SUMPRODUCT(MAX(ROW(Q$1:Q400)*(E405=Q$1:Q400)))))</f>
        <v/>
      </c>
      <c r="L405" s="26"/>
      <c r="M405" s="27"/>
      <c r="N405" s="29"/>
      <c r="O405" s="29"/>
    </row>
    <row r="406" customFormat="false" ht="15" hidden="false" customHeight="false" outlineLevel="0" collapsed="false">
      <c r="A406" s="19" t="s">
        <v>275</v>
      </c>
      <c r="E406" s="20" t="str">
        <f aca="false">IF(P406="?OLD","!!!","")</f>
        <v/>
      </c>
      <c r="F406" s="21" t="str">
        <f aca="false">IF(OR(E406="",E406="!!!"),"",IF(NOT(ISNA(VLOOKUP(E406,Q$1:Q401,1,FALSE()))),"OLD",IF(AND(E406&lt;&gt;"",E406&lt;&gt;"!!!"),"NEW","")))</f>
        <v/>
      </c>
      <c r="G406" s="22" t="str">
        <f aca="false">IF(OR(E406="",E406="!!!"),"",IF(OR(J406=0,AND(J406=1,K406=1),AND(J406=1,I406="SBJ"),AND(J406=1,I406=0)),"?IN_FOCUS",IF(J406&lt;=2,"?ACTIVATED",IF(J406&lt;&gt;"","?FAMILIAR",IF(F406="NEW",IF(ISNA(VLOOKUP(E406,#REF!,1,FALSE())),"?TYPE_IDENTIFIABLE","?REFERENTIAL"),"_")))))</f>
        <v/>
      </c>
      <c r="H406" s="23" t="str">
        <f aca="false">IF(J406&lt;&gt;1,"",IF(I406="SBJ","CB","?"))</f>
        <v/>
      </c>
      <c r="I406" s="24" t="str">
        <f aca="false">IF(OR(E406="",E406="!!!",F406="NEW"),"",INDEX(N$2:N401,-1+SUMPRODUCT(MAX(ROW(E$2:E401)*(E406=E$2:E401)))))</f>
        <v/>
      </c>
      <c r="J406" s="25" t="str">
        <f aca="true">IF(OR(E406="",E406="!!!",F406="NEW"),"",COUNTBLANK(OFFSET(M$1,,,SUMPRODUCT(MAX(ROW(E$2:E402)*(E406=E$2:E402)))))-COUNTBLANK(OFFSET(M$1,,,SUMPRODUCT(MAX(ROW(Q$1:Q401)*(E406=Q$1:Q401))))))</f>
        <v/>
      </c>
      <c r="K406" s="25" t="str">
        <f aca="false">IF(OR(E406="",E406="!!!",F406="NEW"),"",INDEX(V$1:V401,SUMPRODUCT(MAX(ROW(Q$1:Q401)*(E406=Q$1:Q401)))))</f>
        <v/>
      </c>
      <c r="L406" s="26"/>
      <c r="M406" s="27"/>
    </row>
    <row r="407" customFormat="false" ht="15" hidden="false" customHeight="false" outlineLevel="0" collapsed="false">
      <c r="A407" s="19"/>
      <c r="E407" s="20" t="str">
        <f aca="false">IF(P407="?OLD","!!!","")</f>
        <v/>
      </c>
      <c r="F407" s="21" t="str">
        <f aca="false">IF(OR(E407="",E407="!!!"),"",IF(NOT(ISNA(VLOOKUP(E407,Q$1:Q402,1,FALSE()))),"OLD",IF(AND(E407&lt;&gt;"",E407&lt;&gt;"!!!"),"NEW","")))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4" t="str">
        <f aca="false">IF(OR(E407="",E407="!!!",F407="NEW"),"",INDEX(N$2:N402,-1+SUMPRODUCT(MAX(ROW(E$2:E402)*(E407=E$2:E402)))))</f>
        <v/>
      </c>
      <c r="J407" s="25" t="str">
        <f aca="true">IF(OR(E407="",E407="!!!",F407="NEW"),"",COUNTBLANK(OFFSET(M$1,,,SUMPRODUCT(MAX(ROW(E$2:E403)*(E407=E$2:E403)))))-COUNTBLANK(OFFSET(M$1,,,SUMPRODUCT(MAX(ROW(Q$1:Q402)*(E407=Q$1:Q402))))))</f>
        <v/>
      </c>
      <c r="K407" s="25" t="str">
        <f aca="false">IF(OR(E407="",E407="!!!",F407="NEW"),"",INDEX(V$1:V402,SUMPRODUCT(MAX(ROW(Q$1:Q402)*(E407=Q$1:Q402)))))</f>
        <v/>
      </c>
      <c r="L407" s="26"/>
    </row>
    <row r="408" customFormat="false" ht="15" hidden="false" customHeight="false" outlineLevel="0" collapsed="false">
      <c r="A408" s="19" t="s">
        <v>485</v>
      </c>
      <c r="E408" s="20" t="str">
        <f aca="false">IF(P408="?OLD","!!!","")</f>
        <v/>
      </c>
      <c r="F408" s="21" t="str">
        <f aca="false">IF(OR(E408="",E408="!!!"),"",IF(NOT(ISNA(VLOOKUP(E408,Q$1:Q403,1,FALSE()))),"OLD",IF(AND(E408&lt;&gt;"",E408&lt;&gt;"!!!"),"NEW","")))</f>
        <v/>
      </c>
      <c r="G408" s="22" t="str">
        <f aca="false">IF(OR(E408="",E408="!!!"),"",IF(OR(J408=0,AND(J408=1,K408=1),AND(J408=1,I408="SBJ"),AND(J408=1,I408=0)),"?IN_FOCUS",IF(J408&lt;=2,"?ACTIVATED",IF(J408&lt;&gt;"","?FAMILIAR",IF(F408="NEW",IF(ISNA(VLOOKUP(E408,#REF!,1,FALSE())),"?TYPE_IDENTIFIABLE","?REFERENTIAL"),"_")))))</f>
        <v/>
      </c>
      <c r="H408" s="23" t="str">
        <f aca="false">IF(J408&lt;&gt;1,"",IF(I408="SBJ","CB","?"))</f>
        <v/>
      </c>
      <c r="I408" s="24" t="str">
        <f aca="false">IF(OR(E408="",E408="!!!",F408="NEW"),"",INDEX(N$2:N403,-1+SUMPRODUCT(MAX(ROW(E$2:E403)*(E408=E$2:E403)))))</f>
        <v/>
      </c>
      <c r="J408" s="25" t="str">
        <f aca="true">IF(OR(E408="",E408="!!!",F408="NEW"),"",COUNTBLANK(OFFSET(M$1,,,SUMPRODUCT(MAX(ROW(E$2:E404)*(E408=E$2:E404)))))-COUNTBLANK(OFFSET(M$1,,,SUMPRODUCT(MAX(ROW(Q$1:Q403)*(E408=Q$1:Q403))))))</f>
        <v/>
      </c>
      <c r="K408" s="25" t="str">
        <f aca="false">IF(OR(E408="",E408="!!!",F408="NEW"),"",INDEX(V$1:V403,SUMPRODUCT(MAX(ROW(Q$1:Q403)*(E408=Q$1:Q403)))))</f>
        <v/>
      </c>
      <c r="L408" s="26"/>
      <c r="M408" s="27"/>
    </row>
    <row r="409" customFormat="false" ht="15" hidden="false" customHeight="false" outlineLevel="0" collapsed="false">
      <c r="A409" s="19" t="s">
        <v>486</v>
      </c>
      <c r="B409" s="28" t="s">
        <v>306</v>
      </c>
      <c r="C409" s="28" t="s">
        <v>358</v>
      </c>
      <c r="D409" s="28" t="s">
        <v>253</v>
      </c>
      <c r="E409" s="20" t="s">
        <v>440</v>
      </c>
      <c r="F409" s="21" t="str">
        <f aca="false">IF(OR(E409="",E409="!!!"),"",IF(NOT(ISNA(VLOOKUP(E409,Q$1:Q404,1,FALSE()))),"OLD",IF(AND(E409&lt;&gt;"",E409&lt;&gt;"!!!"),"NEW","")))</f>
        <v>NEW</v>
      </c>
      <c r="G409" s="22" t="s">
        <v>283</v>
      </c>
      <c r="H409" s="23" t="str">
        <f aca="false">IF(J409&lt;&gt;1,"",IF(I409="SBJ","CB","?"))</f>
        <v/>
      </c>
      <c r="I409" s="24" t="str">
        <f aca="false">IF(OR(E409="",E409="!!!",F409="NEW"),"",INDEX(N$2:N404,-1+SUMPRODUCT(MAX(ROW(E$2:E404)*(E409=E$2:E404)))))</f>
        <v/>
      </c>
      <c r="J409" s="25" t="str">
        <f aca="true">IF(OR(E409="",E409="!!!",F409="NEW"),"",COUNTBLANK(OFFSET(M$1,,,SUMPRODUCT(MAX(ROW(E$2:E405)*(E409=E$2:E405)))))-COUNTBLANK(OFFSET(M$1,,,SUMPRODUCT(MAX(ROW(Q$1:Q404)*(E409=Q$1:Q404))))))</f>
        <v/>
      </c>
      <c r="K409" s="25" t="str">
        <f aca="false">IF(OR(E409="",E409="!!!",F409="NEW"),"",INDEX(V$1:V404,SUMPRODUCT(MAX(ROW(Q$1:Q404)*(E409=Q$1:Q404)))))</f>
        <v/>
      </c>
      <c r="L409" s="26"/>
      <c r="M409" s="27"/>
      <c r="N409" s="29"/>
      <c r="O409" s="29"/>
      <c r="P409" s="29"/>
    </row>
    <row r="410" customFormat="false" ht="15" hidden="false" customHeight="false" outlineLevel="0" collapsed="false">
      <c r="A410" s="19" t="s">
        <v>487</v>
      </c>
      <c r="B410" s="28" t="s">
        <v>263</v>
      </c>
      <c r="C410" s="28" t="s">
        <v>314</v>
      </c>
      <c r="D410" s="28" t="s">
        <v>253</v>
      </c>
      <c r="E410" s="20" t="s">
        <v>488</v>
      </c>
      <c r="F410" s="21" t="str">
        <f aca="false">IF(OR(E410="",E410="!!!"),"",IF(NOT(ISNA(VLOOKUP(E410,Q$1:Q405,1,FALSE()))),"OLD",IF(AND(E410&lt;&gt;"",E410&lt;&gt;"!!!"),"NEW","")))</f>
        <v>NEW</v>
      </c>
      <c r="G410" s="22" t="s">
        <v>255</v>
      </c>
      <c r="H410" s="23" t="str">
        <f aca="false">IF(J410&lt;&gt;1,"",IF(I410="SBJ","CB","?"))</f>
        <v/>
      </c>
      <c r="I410" s="24" t="str">
        <f aca="false">IF(OR(E410="",E410="!!!",F410="NEW"),"",INDEX(N$2:N405,-1+SUMPRODUCT(MAX(ROW(E$2:E405)*(E410=E$2:E405)))))</f>
        <v/>
      </c>
      <c r="J410" s="25" t="str">
        <f aca="true">IF(OR(E410="",E410="!!!",F410="NEW"),"",COUNTBLANK(OFFSET(M$1,,,SUMPRODUCT(MAX(ROW(E$2:E406)*(E410=E$2:E406)))))-COUNTBLANK(OFFSET(M$1,,,SUMPRODUCT(MAX(ROW(Q$1:Q405)*(E410=Q$1:Q405))))))</f>
        <v/>
      </c>
      <c r="K410" s="25" t="str">
        <f aca="false">IF(OR(E410="",E410="!!!",F410="NEW"),"",INDEX(V$1:V405,SUMPRODUCT(MAX(ROW(Q$1:Q405)*(E410=Q$1:Q405)))))</f>
        <v/>
      </c>
      <c r="L410" s="26"/>
      <c r="M410" s="27"/>
      <c r="N410" s="29"/>
      <c r="O410" s="29"/>
      <c r="P410" s="29"/>
    </row>
    <row r="411" customFormat="false" ht="15" hidden="false" customHeight="false" outlineLevel="0" collapsed="false">
      <c r="A411" s="19" t="s">
        <v>294</v>
      </c>
      <c r="E411" s="20" t="str">
        <f aca="false">IF(P411="?OLD","!!!","")</f>
        <v/>
      </c>
      <c r="F411" s="21" t="str">
        <f aca="false">IF(OR(E411="",E411="!!!"),"",IF(NOT(ISNA(VLOOKUP(E411,Q$1:Q406,1,FALSE()))),"OLD",IF(AND(E411&lt;&gt;"",E411&lt;&gt;"!!!"),"NEW","")))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IF(OR(E411="",E411="!!!",F411="NEW"),"",INDEX(N$2:N406,-1+SUMPRODUCT(MAX(ROW(E$2:E406)*(E411=E$2:E406)))))</f>
        <v/>
      </c>
      <c r="J411" s="25" t="str">
        <f aca="true">IF(OR(E411="",E411="!!!",F411="NEW"),"",COUNTBLANK(OFFSET(M$1,,,SUMPRODUCT(MAX(ROW(E$2:E407)*(E411=E$2:E407)))))-COUNTBLANK(OFFSET(M$1,,,SUMPRODUCT(MAX(ROW(Q$1:Q406)*(E411=Q$1:Q406))))))</f>
        <v/>
      </c>
      <c r="K411" s="25" t="str">
        <f aca="false">IF(OR(E411="",E411="!!!",F411="NEW"),"",INDEX(V$1:V406,SUMPRODUCT(MAX(ROW(Q$1:Q406)*(E411=Q$1:Q406)))))</f>
        <v/>
      </c>
      <c r="L411" s="26"/>
      <c r="M411" s="27"/>
    </row>
    <row r="412" customFormat="false" ht="15" hidden="false" customHeight="false" outlineLevel="0" collapsed="false">
      <c r="A412" s="19" t="s">
        <v>489</v>
      </c>
      <c r="B412" s="28" t="s">
        <v>258</v>
      </c>
      <c r="C412" s="28" t="s">
        <v>358</v>
      </c>
      <c r="D412" s="28" t="s">
        <v>253</v>
      </c>
      <c r="E412" s="20" t="s">
        <v>440</v>
      </c>
      <c r="F412" s="21" t="str">
        <f aca="false">IF(OR(E412="",E412="!!!"),"",IF(NOT(ISNA(VLOOKUP(E412,Q$1:Q407,1,FALSE()))),"OLD",IF(AND(E412&lt;&gt;"",E412&lt;&gt;"!!!"),"NEW","")))</f>
        <v>NEW</v>
      </c>
      <c r="G412" s="22" t="s">
        <v>296</v>
      </c>
      <c r="H412" s="23" t="str">
        <f aca="false">IF(J412&lt;&gt;1,"",IF(I412="SBJ","CB","?"))</f>
        <v/>
      </c>
      <c r="I412" s="24" t="str">
        <f aca="false">IF(OR(E412="",E412="!!!",F412="NEW"),"",INDEX(N$2:N407,-1+SUMPRODUCT(MAX(ROW(E$2:E407)*(E412=E$2:E407)))))</f>
        <v/>
      </c>
      <c r="J412" s="25" t="str">
        <f aca="true">IF(OR(E412="",E412="!!!",F412="NEW"),"",COUNTBLANK(OFFSET(M$1,,,SUMPRODUCT(MAX(ROW(E$2:E408)*(E412=E$2:E408)))))-COUNTBLANK(OFFSET(M$1,,,SUMPRODUCT(MAX(ROW(Q$1:Q407)*(E412=Q$1:Q407))))))</f>
        <v/>
      </c>
      <c r="K412" s="25" t="str">
        <f aca="false">IF(OR(E412="",E412="!!!",F412="NEW"),"",INDEX(V$1:V407,SUMPRODUCT(MAX(ROW(Q$1:Q407)*(E412=Q$1:Q407)))))</f>
        <v/>
      </c>
      <c r="L412" s="26"/>
      <c r="M412" s="27"/>
      <c r="N412" s="29"/>
      <c r="O412" s="29"/>
      <c r="P412" s="29"/>
    </row>
    <row r="413" customFormat="false" ht="15" hidden="false" customHeight="false" outlineLevel="0" collapsed="false">
      <c r="A413" s="19" t="s">
        <v>490</v>
      </c>
      <c r="B413" s="28" t="s">
        <v>306</v>
      </c>
      <c r="C413" s="28" t="s">
        <v>314</v>
      </c>
      <c r="D413" s="28" t="s">
        <v>253</v>
      </c>
      <c r="E413" s="20" t="s">
        <v>491</v>
      </c>
      <c r="F413" s="21" t="str">
        <f aca="false">IF(OR(E413="",E413="!!!"),"",IF(NOT(ISNA(VLOOKUP(E413,Q$1:Q408,1,FALSE()))),"OLD",IF(AND(E413&lt;&gt;"",E413&lt;&gt;"!!!"),"NEW","")))</f>
        <v>NEW</v>
      </c>
      <c r="G413" s="22" t="s">
        <v>255</v>
      </c>
      <c r="H413" s="23" t="str">
        <f aca="false">IF(J413&lt;&gt;1,"",IF(I413="SBJ","CB","?"))</f>
        <v/>
      </c>
      <c r="I413" s="24" t="str">
        <f aca="false">IF(OR(E413="",E413="!!!",F413="NEW"),"",INDEX(N$2:N408,-1+SUMPRODUCT(MAX(ROW(E$2:E408)*(E413=E$2:E408)))))</f>
        <v/>
      </c>
      <c r="J413" s="25" t="str">
        <f aca="true">IF(OR(E413="",E413="!!!",F413="NEW"),"",COUNTBLANK(OFFSET(M$1,,,SUMPRODUCT(MAX(ROW(E$2:E409)*(E413=E$2:E409)))))-COUNTBLANK(OFFSET(M$1,,,SUMPRODUCT(MAX(ROW(Q$1:Q408)*(E413=Q$1:Q408))))))</f>
        <v/>
      </c>
      <c r="K413" s="25" t="str">
        <f aca="false">IF(OR(E413="",E413="!!!",F413="NEW"),"",INDEX(V$1:V408,SUMPRODUCT(MAX(ROW(Q$1:Q408)*(E413=Q$1:Q408)))))</f>
        <v/>
      </c>
      <c r="L413" s="26"/>
      <c r="M413" s="27"/>
      <c r="N413" s="29"/>
      <c r="O413" s="29"/>
      <c r="P413" s="29"/>
    </row>
    <row r="414" customFormat="false" ht="15" hidden="false" customHeight="false" outlineLevel="0" collapsed="false">
      <c r="A414" s="19" t="s">
        <v>477</v>
      </c>
      <c r="E414" s="20" t="str">
        <f aca="false">IF(P414="?OLD","!!!","")</f>
        <v/>
      </c>
      <c r="F414" s="21" t="str">
        <f aca="false">IF(OR(E414="",E414="!!!"),"",IF(NOT(ISNA(VLOOKUP(E414,Q$1:Q409,1,FALSE()))),"OLD",IF(AND(E414&lt;&gt;"",E414&lt;&gt;"!!!"),"NEW","")))</f>
        <v/>
      </c>
      <c r="G414" s="22" t="str">
        <f aca="false">IF(OR(E414="",E414="!!!"),"",IF(OR(J414=0,AND(J414=1,K414=1),AND(J414=1,I414="SBJ"),AND(J414=1,I414=0)),"?IN_FOCUS",IF(J414&lt;=2,"?ACTIVATED",IF(J414&lt;&gt;"","?FAMILIAR",IF(F414="NEW",IF(ISNA(VLOOKUP(E414,#REF!,1,FALSE())),"?TYPE_IDENTIFIABLE","?REFERENTIAL"),"_")))))</f>
        <v/>
      </c>
      <c r="H414" s="23" t="str">
        <f aca="false">IF(J414&lt;&gt;1,"",IF(I414="SBJ","CB","?"))</f>
        <v/>
      </c>
      <c r="I414" s="24" t="str">
        <f aca="false">IF(OR(E414="",E414="!!!",F414="NEW"),"",INDEX(N$2:N409,-1+SUMPRODUCT(MAX(ROW(E$2:E409)*(E414=E$2:E409)))))</f>
        <v/>
      </c>
      <c r="J414" s="25" t="str">
        <f aca="true">IF(OR(E414="",E414="!!!",F414="NEW"),"",COUNTBLANK(OFFSET(M$1,,,SUMPRODUCT(MAX(ROW(E$2:E410)*(E414=E$2:E410)))))-COUNTBLANK(OFFSET(M$1,,,SUMPRODUCT(MAX(ROW(Q$1:Q409)*(E414=Q$1:Q409))))))</f>
        <v/>
      </c>
      <c r="K414" s="25" t="str">
        <f aca="false">IF(OR(E414="",E414="!!!",F414="NEW"),"",INDEX(V$1:V409,SUMPRODUCT(MAX(ROW(Q$1:Q409)*(E414=Q$1:Q409)))))</f>
        <v/>
      </c>
      <c r="L414" s="26"/>
      <c r="M414" s="27"/>
    </row>
    <row r="415" customFormat="false" ht="15" hidden="false" customHeight="false" outlineLevel="0" collapsed="false">
      <c r="A415" s="19" t="s">
        <v>83</v>
      </c>
      <c r="E415" s="20" t="str">
        <f aca="false">IF(P415="?OLD","!!!","")</f>
        <v/>
      </c>
      <c r="F415" s="21" t="str">
        <f aca="false">IF(OR(E415="",E415="!!!"),"",IF(NOT(ISNA(VLOOKUP(E415,Q$1:Q410,1,FALSE()))),"OLD",IF(AND(E415&lt;&gt;"",E415&lt;&gt;"!!!"),"NEW","")))</f>
        <v/>
      </c>
      <c r="G415" s="22" t="str">
        <f aca="false">IF(OR(E415="",E415="!!!"),"",IF(OR(J415=0,AND(J415=1,K415=1),AND(J415=1,I415="SBJ"),AND(J415=1,I415=0)),"?IN_FOCUS",IF(J415&lt;=2,"?ACTIVATED",IF(J415&lt;&gt;"","?FAMILIAR",IF(F415="NEW",IF(ISNA(VLOOKUP(E415,#REF!,1,FALSE())),"?TYPE_IDENTIFIABLE","?REFERENTIAL"),"_")))))</f>
        <v/>
      </c>
      <c r="H415" s="23" t="str">
        <f aca="false">IF(J415&lt;&gt;1,"",IF(I415="SBJ","CB","?"))</f>
        <v/>
      </c>
      <c r="I415" s="24" t="str">
        <f aca="false">IF(OR(E415="",E415="!!!",F415="NEW"),"",INDEX(N$2:N410,-1+SUMPRODUCT(MAX(ROW(E$2:E410)*(E415=E$2:E410)))))</f>
        <v/>
      </c>
      <c r="J415" s="25" t="str">
        <f aca="true">IF(OR(E415="",E415="!!!",F415="NEW"),"",COUNTBLANK(OFFSET(M$1,,,SUMPRODUCT(MAX(ROW(E$2:E411)*(E415=E$2:E411)))))-COUNTBLANK(OFFSET(M$1,,,SUMPRODUCT(MAX(ROW(Q$1:Q410)*(E415=Q$1:Q410))))))</f>
        <v/>
      </c>
      <c r="K415" s="25" t="str">
        <f aca="false">IF(OR(E415="",E415="!!!",F415="NEW"),"",INDEX(V$1:V410,SUMPRODUCT(MAX(ROW(Q$1:Q410)*(E415=Q$1:Q410)))))</f>
        <v/>
      </c>
      <c r="L415" s="26"/>
      <c r="M415" s="27"/>
    </row>
    <row r="416" customFormat="false" ht="15" hidden="false" customHeight="false" outlineLevel="0" collapsed="false">
      <c r="A416" s="19" t="s">
        <v>275</v>
      </c>
      <c r="E416" s="20" t="str">
        <f aca="false">IF(P416="?OLD","!!!","")</f>
        <v/>
      </c>
      <c r="F416" s="21" t="str">
        <f aca="false">IF(OR(E416="",E416="!!!"),"",IF(NOT(ISNA(VLOOKUP(E416,Q$1:Q411,1,FALSE()))),"OLD",IF(AND(E416&lt;&gt;"",E416&lt;&gt;"!!!"),"NEW","")))</f>
        <v/>
      </c>
      <c r="G416" s="22" t="str">
        <f aca="false">IF(OR(E416="",E416="!!!"),"",IF(OR(J416=0,AND(J416=1,K416=1),AND(J416=1,I416="SBJ"),AND(J416=1,I416=0)),"?IN_FOCUS",IF(J416&lt;=2,"?ACTIVATED",IF(J416&lt;&gt;"","?FAMILIAR",IF(F416="NEW",IF(ISNA(VLOOKUP(E416,#REF!,1,FALSE())),"?TYPE_IDENTIFIABLE","?REFERENTIAL"),"_")))))</f>
        <v/>
      </c>
      <c r="H416" s="23" t="str">
        <f aca="false">IF(J416&lt;&gt;1,"",IF(I416="SBJ","CB","?"))</f>
        <v/>
      </c>
      <c r="I416" s="24" t="str">
        <f aca="false">IF(OR(E416="",E416="!!!",F416="NEW"),"",INDEX(N$2:N411,-1+SUMPRODUCT(MAX(ROW(E$2:E411)*(E416=E$2:E411)))))</f>
        <v/>
      </c>
      <c r="J416" s="25" t="str">
        <f aca="true">IF(OR(E416="",E416="!!!",F416="NEW"),"",COUNTBLANK(OFFSET(M$1,,,SUMPRODUCT(MAX(ROW(E$2:E412)*(E416=E$2:E412)))))-COUNTBLANK(OFFSET(M$1,,,SUMPRODUCT(MAX(ROW(Q$1:Q411)*(E416=Q$1:Q411))))))</f>
        <v/>
      </c>
      <c r="K416" s="25" t="str">
        <f aca="false">IF(OR(E416="",E416="!!!",F416="NEW"),"",INDEX(V$1:V411,SUMPRODUCT(MAX(ROW(Q$1:Q411)*(E416=Q$1:Q411)))))</f>
        <v/>
      </c>
      <c r="L416" s="26"/>
      <c r="M416" s="27"/>
    </row>
    <row r="417" customFormat="false" ht="15" hidden="false" customHeight="false" outlineLevel="0" collapsed="false">
      <c r="A417" s="19"/>
      <c r="E417" s="20" t="str">
        <f aca="false">IF(P417="?OLD","!!!","")</f>
        <v/>
      </c>
      <c r="F417" s="21" t="str">
        <f aca="false">IF(OR(E417="",E417="!!!"),"",IF(NOT(ISNA(VLOOKUP(E417,Q$1:Q412,1,FALSE()))),"OLD",IF(AND(E417&lt;&gt;"",E417&lt;&gt;"!!!"),"NEW","")))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IF(OR(E417="",E417="!!!",F417="NEW"),"",INDEX(N$2:N412,-1+SUMPRODUCT(MAX(ROW(E$2:E412)*(E417=E$2:E412)))))</f>
        <v/>
      </c>
      <c r="J417" s="25" t="str">
        <f aca="true">IF(OR(E417="",E417="!!!",F417="NEW"),"",COUNTBLANK(OFFSET(M$1,,,SUMPRODUCT(MAX(ROW(E$2:E413)*(E417=E$2:E413)))))-COUNTBLANK(OFFSET(M$1,,,SUMPRODUCT(MAX(ROW(Q$1:Q412)*(E417=Q$1:Q412))))))</f>
        <v/>
      </c>
      <c r="K417" s="25" t="str">
        <f aca="false">IF(OR(E417="",E417="!!!",F417="NEW"),"",INDEX(V$1:V412,SUMPRODUCT(MAX(ROW(Q$1:Q412)*(E417=Q$1:Q412)))))</f>
        <v/>
      </c>
      <c r="L417" s="26"/>
    </row>
    <row r="418" customFormat="false" ht="15" hidden="false" customHeight="false" outlineLevel="0" collapsed="false">
      <c r="A418" s="19" t="s">
        <v>492</v>
      </c>
      <c r="E418" s="20" t="str">
        <f aca="false">IF(P418="?OLD","!!!","")</f>
        <v/>
      </c>
      <c r="F418" s="21" t="str">
        <f aca="false">IF(OR(E418="",E418="!!!"),"",IF(NOT(ISNA(VLOOKUP(E418,Q$1:Q413,1,FALSE()))),"OLD",IF(AND(E418&lt;&gt;"",E418&lt;&gt;"!!!"),"NEW","")))</f>
        <v/>
      </c>
      <c r="G418" s="22" t="str">
        <f aca="false">IF(OR(E418="",E418="!!!"),"",IF(OR(J418=0,AND(J418=1,K418=1),AND(J418=1,I418="SBJ"),AND(J418=1,I418=0)),"?IN_FOCUS",IF(J418&lt;=2,"?ACTIVATED",IF(J418&lt;&gt;"","?FAMILIAR",IF(F418="NEW",IF(ISNA(VLOOKUP(E418,#REF!,1,FALSE())),"?TYPE_IDENTIFIABLE","?REFERENTIAL"),"_")))))</f>
        <v/>
      </c>
      <c r="H418" s="23" t="str">
        <f aca="false">IF(J418&lt;&gt;1,"",IF(I418="SBJ","CB","?"))</f>
        <v/>
      </c>
      <c r="I418" s="24" t="str">
        <f aca="false">IF(OR(E418="",E418="!!!",F418="NEW"),"",INDEX(N$2:N413,-1+SUMPRODUCT(MAX(ROW(E$2:E413)*(E418=E$2:E413)))))</f>
        <v/>
      </c>
      <c r="J418" s="25" t="str">
        <f aca="true">IF(OR(E418="",E418="!!!",F418="NEW"),"",COUNTBLANK(OFFSET(M$1,,,SUMPRODUCT(MAX(ROW(E$2:E414)*(E418=E$2:E414)))))-COUNTBLANK(OFFSET(M$1,,,SUMPRODUCT(MAX(ROW(Q$1:Q413)*(E418=Q$1:Q413))))))</f>
        <v/>
      </c>
      <c r="K418" s="25" t="str">
        <f aca="false">IF(OR(E418="",E418="!!!",F418="NEW"),"",INDEX(V$1:V413,SUMPRODUCT(MAX(ROW(Q$1:Q413)*(E418=Q$1:Q413)))))</f>
        <v/>
      </c>
      <c r="L418" s="26"/>
      <c r="M418" s="27"/>
    </row>
    <row r="419" customFormat="false" ht="15" hidden="false" customHeight="false" outlineLevel="0" collapsed="false">
      <c r="A419" s="19" t="s">
        <v>486</v>
      </c>
      <c r="B419" s="28" t="s">
        <v>306</v>
      </c>
      <c r="C419" s="28" t="s">
        <v>358</v>
      </c>
      <c r="D419" s="28" t="s">
        <v>253</v>
      </c>
      <c r="E419" s="20" t="s">
        <v>440</v>
      </c>
      <c r="F419" s="21" t="str">
        <f aca="false">IF(OR(E419="",E419="!!!"),"",IF(NOT(ISNA(VLOOKUP(E419,Q$1:Q414,1,FALSE()))),"OLD",IF(AND(E419&lt;&gt;"",E419&lt;&gt;"!!!"),"NEW","")))</f>
        <v>NEW</v>
      </c>
      <c r="G419" s="22" t="s">
        <v>266</v>
      </c>
      <c r="H419" s="23" t="s">
        <v>243</v>
      </c>
      <c r="I419" s="24" t="str">
        <f aca="false">IF(OR(E419="",E419="!!!",F419="NEW"),"",INDEX(N$2:N414,-1+SUMPRODUCT(MAX(ROW(E$2:E414)*(E419=E$2:E414)))))</f>
        <v/>
      </c>
      <c r="J419" s="25" t="str">
        <f aca="true">IF(OR(E419="",E419="!!!",F419="NEW"),"",COUNTBLANK(OFFSET(M$1,,,SUMPRODUCT(MAX(ROW(E$2:E415)*(E419=E$2:E415)))))-COUNTBLANK(OFFSET(M$1,,,SUMPRODUCT(MAX(ROW(Q$1:Q414)*(E419=Q$1:Q414))))))</f>
        <v/>
      </c>
      <c r="K419" s="25" t="str">
        <f aca="false">IF(OR(E419="",E419="!!!",F419="NEW"),"",INDEX(V$1:V414,SUMPRODUCT(MAX(ROW(Q$1:Q414)*(E419=Q$1:Q414)))))</f>
        <v/>
      </c>
      <c r="L419" s="26"/>
      <c r="M419" s="27"/>
      <c r="N419" s="29"/>
      <c r="O419" s="29"/>
      <c r="P419" s="29"/>
    </row>
    <row r="420" customFormat="false" ht="15" hidden="false" customHeight="false" outlineLevel="0" collapsed="false">
      <c r="A420" s="19" t="s">
        <v>493</v>
      </c>
      <c r="E420" s="20" t="str">
        <f aca="false">IF(P420="?OLD","!!!","")</f>
        <v/>
      </c>
      <c r="F420" s="21" t="str">
        <f aca="false">IF(OR(E420="",E420="!!!"),"",IF(NOT(ISNA(VLOOKUP(E420,Q$1:Q415,1,FALSE()))),"OLD",IF(AND(E420&lt;&gt;"",E420&lt;&gt;"!!!"),"NEW","")))</f>
        <v/>
      </c>
      <c r="G420" s="22" t="str">
        <f aca="false">IF(OR(E420="",E420="!!!"),"",IF(OR(J420=0,AND(J420=1,K420=1),AND(J420=1,I420="SBJ"),AND(J420=1,I420=0)),"?IN_FOCUS",IF(J420&lt;=2,"?ACTIVATED",IF(J420&lt;&gt;"","?FAMILIAR",IF(F420="NEW",IF(ISNA(VLOOKUP(E420,#REF!,1,FALSE())),"?TYPE_IDENTIFIABLE","?REFERENTIAL"),"_")))))</f>
        <v/>
      </c>
      <c r="H420" s="23" t="str">
        <f aca="false">IF(J420&lt;&gt;1,"",IF(I420="SBJ","CB","?"))</f>
        <v/>
      </c>
      <c r="I420" s="24" t="str">
        <f aca="false">IF(OR(E420="",E420="!!!",F420="NEW"),"",INDEX(N$2:N415,-1+SUMPRODUCT(MAX(ROW(E$2:E415)*(E420=E$2:E415)))))</f>
        <v/>
      </c>
      <c r="J420" s="25" t="str">
        <f aca="true">IF(OR(E420="",E420="!!!",F420="NEW"),"",COUNTBLANK(OFFSET(M$1,,,SUMPRODUCT(MAX(ROW(E$2:E416)*(E420=E$2:E416)))))-COUNTBLANK(OFFSET(M$1,,,SUMPRODUCT(MAX(ROW(Q$1:Q415)*(E420=Q$1:Q415))))))</f>
        <v/>
      </c>
      <c r="K420" s="25" t="str">
        <f aca="false">IF(OR(E420="",E420="!!!",F420="NEW"),"",INDEX(V$1:V415,SUMPRODUCT(MAX(ROW(Q$1:Q415)*(E420=Q$1:Q415)))))</f>
        <v/>
      </c>
      <c r="L420" s="26"/>
      <c r="M420" s="27"/>
    </row>
    <row r="421" customFormat="false" ht="15" hidden="false" customHeight="false" outlineLevel="0" collapsed="false">
      <c r="A421" s="19" t="s">
        <v>336</v>
      </c>
      <c r="B421" s="28" t="s">
        <v>263</v>
      </c>
      <c r="C421" s="28" t="s">
        <v>314</v>
      </c>
      <c r="D421" s="28" t="s">
        <v>253</v>
      </c>
      <c r="E421" s="20" t="s">
        <v>494</v>
      </c>
      <c r="F421" s="21" t="str">
        <f aca="false">IF(OR(E421="",E421="!!!"),"",IF(NOT(ISNA(VLOOKUP(E421,Q$1:Q416,1,FALSE()))),"OLD",IF(AND(E421&lt;&gt;"",E421&lt;&gt;"!!!"),"NEW","")))</f>
        <v>NEW</v>
      </c>
      <c r="G421" s="22" t="s">
        <v>255</v>
      </c>
      <c r="H421" s="23" t="str">
        <f aca="false">IF(J421&lt;&gt;1,"",IF(I421="SBJ","CB","?"))</f>
        <v/>
      </c>
      <c r="I421" s="24" t="str">
        <f aca="false">IF(OR(E421="",E421="!!!",F421="NEW"),"",INDEX(N$2:N416,-1+SUMPRODUCT(MAX(ROW(E$2:E416)*(E421=E$2:E416)))))</f>
        <v/>
      </c>
      <c r="J421" s="25" t="str">
        <f aca="true">IF(OR(E421="",E421="!!!",F421="NEW"),"",COUNTBLANK(OFFSET(M$1,,,SUMPRODUCT(MAX(ROW(E$2:E417)*(E421=E$2:E417)))))-COUNTBLANK(OFFSET(M$1,,,SUMPRODUCT(MAX(ROW(Q$1:Q416)*(E421=Q$1:Q416))))))</f>
        <v/>
      </c>
      <c r="K421" s="25" t="str">
        <f aca="false">IF(OR(E421="",E421="!!!",F421="NEW"),"",INDEX(V$1:V416,SUMPRODUCT(MAX(ROW(Q$1:Q416)*(E421=Q$1:Q416)))))</f>
        <v/>
      </c>
      <c r="L421" s="26"/>
      <c r="M421" s="27"/>
      <c r="N421" s="29"/>
      <c r="O421" s="29"/>
      <c r="P421" s="29"/>
    </row>
    <row r="422" customFormat="false" ht="15" hidden="false" customHeight="false" outlineLevel="0" collapsed="false">
      <c r="A422" s="19" t="s">
        <v>477</v>
      </c>
      <c r="E422" s="20" t="str">
        <f aca="false">IF(P422="?OLD","!!!","")</f>
        <v/>
      </c>
      <c r="F422" s="21" t="str">
        <f aca="false">IF(OR(E422="",E422="!!!"),"",IF(NOT(ISNA(VLOOKUP(E422,Q$1:Q417,1,FALSE()))),"OLD",IF(AND(E422&lt;&gt;"",E422&lt;&gt;"!!!"),"NEW","")))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4" t="str">
        <f aca="false">IF(OR(E422="",E422="!!!",F422="NEW"),"",INDEX(N$2:N417,-1+SUMPRODUCT(MAX(ROW(E$2:E417)*(E422=E$2:E417)))))</f>
        <v/>
      </c>
      <c r="J422" s="25" t="str">
        <f aca="true">IF(OR(E422="",E422="!!!",F422="NEW"),"",COUNTBLANK(OFFSET(M$1,,,SUMPRODUCT(MAX(ROW(E$2:E418)*(E422=E$2:E418)))))-COUNTBLANK(OFFSET(M$1,,,SUMPRODUCT(MAX(ROW(Q$1:Q417)*(E422=Q$1:Q417))))))</f>
        <v/>
      </c>
      <c r="K422" s="25" t="str">
        <f aca="false">IF(OR(E422="",E422="!!!",F422="NEW"),"",INDEX(V$1:V417,SUMPRODUCT(MAX(ROW(Q$1:Q417)*(E422=Q$1:Q417)))))</f>
        <v/>
      </c>
      <c r="L422" s="26"/>
      <c r="M422" s="27"/>
    </row>
    <row r="423" customFormat="false" ht="15" hidden="false" customHeight="false" outlineLevel="0" collapsed="false">
      <c r="A423" s="19" t="s">
        <v>87</v>
      </c>
      <c r="E423" s="20" t="str">
        <f aca="false">IF(P423="?OLD","!!!","")</f>
        <v/>
      </c>
      <c r="F423" s="21" t="str">
        <f aca="false">IF(OR(E423="",E423="!!!"),"",IF(NOT(ISNA(VLOOKUP(E423,Q$1:Q418,1,FALSE()))),"OLD",IF(AND(E423&lt;&gt;"",E423&lt;&gt;"!!!"),"NEW","")))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4" t="str">
        <f aca="false">IF(OR(E423="",E423="!!!",F423="NEW"),"",INDEX(N$2:N418,-1+SUMPRODUCT(MAX(ROW(E$2:E418)*(E423=E$2:E418)))))</f>
        <v/>
      </c>
      <c r="J423" s="25" t="str">
        <f aca="true">IF(OR(E423="",E423="!!!",F423="NEW"),"",COUNTBLANK(OFFSET(M$1,,,SUMPRODUCT(MAX(ROW(E$2:E419)*(E423=E$2:E419)))))-COUNTBLANK(OFFSET(M$1,,,SUMPRODUCT(MAX(ROW(Q$1:Q418)*(E423=Q$1:Q418))))))</f>
        <v/>
      </c>
      <c r="K423" s="25" t="str">
        <f aca="false">IF(OR(E423="",E423="!!!",F423="NEW"),"",INDEX(V$1:V418,SUMPRODUCT(MAX(ROW(Q$1:Q418)*(E423=Q$1:Q418)))))</f>
        <v/>
      </c>
      <c r="L423" s="26"/>
      <c r="M423" s="27"/>
    </row>
    <row r="424" customFormat="false" ht="15" hidden="false" customHeight="false" outlineLevel="0" collapsed="false">
      <c r="A424" s="19" t="s">
        <v>495</v>
      </c>
      <c r="B424" s="28" t="s">
        <v>380</v>
      </c>
      <c r="C424" s="28" t="s">
        <v>259</v>
      </c>
      <c r="E424" s="20" t="str">
        <f aca="false">IF(P424="?OLD","!!!","")</f>
        <v/>
      </c>
      <c r="F424" s="21" t="str">
        <f aca="false">IF(OR(E424="",E424="!!!"),"",IF(NOT(ISNA(VLOOKUP(E424,Q$1:Q419,1,FALSE()))),"OLD",IF(AND(E424&lt;&gt;"",E424&lt;&gt;"!!!"),"NEW","")))</f>
        <v/>
      </c>
      <c r="G424" s="22" t="str">
        <f aca="false">IF(OR(E424="",E424="!!!"),"",IF(OR(J424=0,AND(J424=1,K424=1),AND(J424=1,I424="SBJ"),AND(J424=1,I424=0)),"?IN_FOCUS",IF(J424&lt;=2,"?ACTIVATED",IF(J424&lt;&gt;"","?FAMILIAR",IF(F424="NEW",IF(ISNA(VLOOKUP(E424,#REF!,1,FALSE())),"?TYPE_IDENTIFIABLE","?REFERENTIAL"),"_")))))</f>
        <v/>
      </c>
      <c r="H424" s="23" t="str">
        <f aca="false">IF(J424&lt;&gt;1,"",IF(I424="SBJ","CB","?"))</f>
        <v/>
      </c>
      <c r="I424" s="24" t="str">
        <f aca="false">IF(OR(E424="",E424="!!!",F424="NEW"),"",INDEX(N$2:N419,-1+SUMPRODUCT(MAX(ROW(E$2:E419)*(E424=E$2:E419)))))</f>
        <v/>
      </c>
      <c r="J424" s="25" t="str">
        <f aca="true">IF(OR(E424="",E424="!!!",F424="NEW"),"",COUNTBLANK(OFFSET(M$1,,,SUMPRODUCT(MAX(ROW(E$2:E420)*(E424=E$2:E420)))))-COUNTBLANK(OFFSET(M$1,,,SUMPRODUCT(MAX(ROW(Q$1:Q419)*(E424=Q$1:Q419))))))</f>
        <v/>
      </c>
      <c r="K424" s="25" t="str">
        <f aca="false">IF(OR(E424="",E424="!!!",F424="NEW"),"",INDEX(V$1:V419,SUMPRODUCT(MAX(ROW(Q$1:Q419)*(E424=Q$1:Q419)))))</f>
        <v/>
      </c>
      <c r="L424" s="26"/>
      <c r="M424" s="27"/>
      <c r="N424" s="29"/>
      <c r="O424" s="29"/>
    </row>
    <row r="425" customFormat="false" ht="15" hidden="false" customHeight="false" outlineLevel="0" collapsed="false">
      <c r="A425" s="19" t="s">
        <v>275</v>
      </c>
      <c r="E425" s="20" t="str">
        <f aca="false">IF(P425="?OLD","!!!","")</f>
        <v/>
      </c>
      <c r="F425" s="21" t="str">
        <f aca="false">IF(OR(E425="",E425="!!!"),"",IF(NOT(ISNA(VLOOKUP(E425,Q$1:Q420,1,FALSE()))),"OLD",IF(AND(E425&lt;&gt;"",E425&lt;&gt;"!!!"),"NEW","")))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4" t="str">
        <f aca="false">IF(OR(E425="",E425="!!!",F425="NEW"),"",INDEX(N$2:N420,-1+SUMPRODUCT(MAX(ROW(E$2:E420)*(E425=E$2:E420)))))</f>
        <v/>
      </c>
      <c r="J425" s="25" t="str">
        <f aca="true">IF(OR(E425="",E425="!!!",F425="NEW"),"",COUNTBLANK(OFFSET(M$1,,,SUMPRODUCT(MAX(ROW(E$2:E421)*(E425=E$2:E421)))))-COUNTBLANK(OFFSET(M$1,,,SUMPRODUCT(MAX(ROW(Q$1:Q420)*(E425=Q$1:Q420))))))</f>
        <v/>
      </c>
      <c r="K425" s="25" t="str">
        <f aca="false">IF(OR(E425="",E425="!!!",F425="NEW"),"",INDEX(V$1:V420,SUMPRODUCT(MAX(ROW(Q$1:Q420)*(E425=Q$1:Q420)))))</f>
        <v/>
      </c>
      <c r="L425" s="26"/>
      <c r="M425" s="27"/>
    </row>
    <row r="426" customFormat="false" ht="15" hidden="false" customHeight="false" outlineLevel="0" collapsed="false">
      <c r="A426" s="19"/>
      <c r="E426" s="20" t="str">
        <f aca="false">IF(P426="?OLD","!!!","")</f>
        <v/>
      </c>
      <c r="F426" s="21" t="str">
        <f aca="false">IF(OR(E426="",E426="!!!"),"",IF(NOT(ISNA(VLOOKUP(E426,Q$1:Q421,1,FALSE()))),"OLD",IF(AND(E426&lt;&gt;"",E426&lt;&gt;"!!!"),"NEW","")))</f>
        <v/>
      </c>
      <c r="G426" s="22" t="str">
        <f aca="false">IF(OR(E426="",E426="!!!"),"",IF(OR(J426=0,AND(J426=1,K426=1),AND(J426=1,I426="SBJ"),AND(J426=1,I426=0)),"?IN_FOCUS",IF(J426&lt;=2,"?ACTIVATED",IF(J426&lt;&gt;"","?FAMILIAR",IF(F426="NEW",IF(ISNA(VLOOKUP(E426,#REF!,1,FALSE())),"?TYPE_IDENTIFIABLE","?REFERENTIAL"),"_")))))</f>
        <v/>
      </c>
      <c r="H426" s="23" t="str">
        <f aca="false">IF(J426&lt;&gt;1,"",IF(I426="SBJ","CB","?"))</f>
        <v/>
      </c>
      <c r="I426" s="24" t="str">
        <f aca="false">IF(OR(E426="",E426="!!!",F426="NEW"),"",INDEX(N$2:N421,-1+SUMPRODUCT(MAX(ROW(E$2:E421)*(E426=E$2:E421)))))</f>
        <v/>
      </c>
      <c r="J426" s="25" t="str">
        <f aca="true">IF(OR(E426="",E426="!!!",F426="NEW"),"",COUNTBLANK(OFFSET(M$1,,,SUMPRODUCT(MAX(ROW(E$2:E422)*(E426=E$2:E422)))))-COUNTBLANK(OFFSET(M$1,,,SUMPRODUCT(MAX(ROW(Q$1:Q421)*(E426=Q$1:Q421))))))</f>
        <v/>
      </c>
      <c r="K426" s="25" t="str">
        <f aca="false">IF(OR(E426="",E426="!!!",F426="NEW"),"",INDEX(V$1:V421,SUMPRODUCT(MAX(ROW(Q$1:Q421)*(E426=Q$1:Q421)))))</f>
        <v/>
      </c>
      <c r="L426" s="26"/>
    </row>
    <row r="427" customFormat="false" ht="15" hidden="false" customHeight="false" outlineLevel="0" collapsed="false">
      <c r="A427" s="19" t="s">
        <v>496</v>
      </c>
      <c r="E427" s="20" t="str">
        <f aca="false">IF(P427="?OLD","!!!","")</f>
        <v/>
      </c>
      <c r="F427" s="21" t="str">
        <f aca="false">IF(OR(E427="",E427="!!!"),"",IF(NOT(ISNA(VLOOKUP(E427,Q$1:Q422,1,FALSE()))),"OLD",IF(AND(E427&lt;&gt;"",E427&lt;&gt;"!!!"),"NEW","")))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IF(OR(E427="",E427="!!!",F427="NEW"),"",INDEX(N$2:N422,-1+SUMPRODUCT(MAX(ROW(E$2:E422)*(E427=E$2:E422)))))</f>
        <v/>
      </c>
      <c r="J427" s="25" t="str">
        <f aca="true">IF(OR(E427="",E427="!!!",F427="NEW"),"",COUNTBLANK(OFFSET(M$1,,,SUMPRODUCT(MAX(ROW(E$2:E423)*(E427=E$2:E423)))))-COUNTBLANK(OFFSET(M$1,,,SUMPRODUCT(MAX(ROW(Q$1:Q422)*(E427=Q$1:Q422))))))</f>
        <v/>
      </c>
      <c r="K427" s="25" t="str">
        <f aca="false">IF(OR(E427="",E427="!!!",F427="NEW"),"",INDEX(V$1:V422,SUMPRODUCT(MAX(ROW(Q$1:Q422)*(E427=Q$1:Q422)))))</f>
        <v/>
      </c>
      <c r="L427" s="26"/>
      <c r="M427" s="27"/>
    </row>
    <row r="428" customFormat="false" ht="15" hidden="false" customHeight="false" outlineLevel="0" collapsed="false">
      <c r="A428" s="19" t="s">
        <v>486</v>
      </c>
      <c r="B428" s="28" t="s">
        <v>306</v>
      </c>
      <c r="C428" s="28" t="s">
        <v>358</v>
      </c>
      <c r="D428" s="28" t="s">
        <v>253</v>
      </c>
      <c r="E428" s="20" t="s">
        <v>440</v>
      </c>
      <c r="F428" s="21" t="str">
        <f aca="false">IF(OR(E428="",E428="!!!"),"",IF(NOT(ISNA(VLOOKUP(E428,Q$1:Q423,1,FALSE()))),"OLD",IF(AND(E428&lt;&gt;"",E428&lt;&gt;"!!!"),"NEW","")))</f>
        <v>NEW</v>
      </c>
      <c r="G428" s="22" t="s">
        <v>296</v>
      </c>
      <c r="H428" s="23" t="s">
        <v>243</v>
      </c>
      <c r="I428" s="24" t="str">
        <f aca="false">IF(OR(E428="",E428="!!!",F428="NEW"),"",INDEX(N$2:N423,-1+SUMPRODUCT(MAX(ROW(E$2:E423)*(E428=E$2:E423)))))</f>
        <v/>
      </c>
      <c r="J428" s="25" t="str">
        <f aca="true">IF(OR(E428="",E428="!!!",F428="NEW"),"",COUNTBLANK(OFFSET(M$1,,,SUMPRODUCT(MAX(ROW(E$2:E424)*(E428=E$2:E424)))))-COUNTBLANK(OFFSET(M$1,,,SUMPRODUCT(MAX(ROW(Q$1:Q423)*(E428=Q$1:Q423))))))</f>
        <v/>
      </c>
      <c r="K428" s="25" t="str">
        <f aca="false">IF(OR(E428="",E428="!!!",F428="NEW"),"",INDEX(V$1:V423,SUMPRODUCT(MAX(ROW(Q$1:Q423)*(E428=Q$1:Q423)))))</f>
        <v/>
      </c>
      <c r="L428" s="26"/>
      <c r="M428" s="27"/>
      <c r="N428" s="29"/>
      <c r="O428" s="29"/>
      <c r="P428" s="29"/>
    </row>
    <row r="429" customFormat="false" ht="15" hidden="false" customHeight="false" outlineLevel="0" collapsed="false">
      <c r="A429" s="19" t="s">
        <v>497</v>
      </c>
      <c r="E429" s="20" t="str">
        <f aca="false">IF(P429="?OLD","!!!","")</f>
        <v/>
      </c>
      <c r="F429" s="21" t="str">
        <f aca="false">IF(OR(E429="",E429="!!!"),"",IF(NOT(ISNA(VLOOKUP(E429,Q$1:Q424,1,FALSE()))),"OLD",IF(AND(E429&lt;&gt;"",E429&lt;&gt;"!!!"),"NEW","")))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IF(OR(E429="",E429="!!!",F429="NEW"),"",INDEX(N$2:N424,-1+SUMPRODUCT(MAX(ROW(E$2:E424)*(E429=E$2:E424)))))</f>
        <v/>
      </c>
      <c r="J429" s="25" t="str">
        <f aca="true">IF(OR(E429="",E429="!!!",F429="NEW"),"",COUNTBLANK(OFFSET(M$1,,,SUMPRODUCT(MAX(ROW(E$2:E425)*(E429=E$2:E425)))))-COUNTBLANK(OFFSET(M$1,,,SUMPRODUCT(MAX(ROW(Q$1:Q424)*(E429=Q$1:Q424))))))</f>
        <v/>
      </c>
      <c r="K429" s="25" t="str">
        <f aca="false">IF(OR(E429="",E429="!!!",F429="NEW"),"",INDEX(V$1:V424,SUMPRODUCT(MAX(ROW(Q$1:Q424)*(E429=Q$1:Q424)))))</f>
        <v/>
      </c>
      <c r="L429" s="26"/>
      <c r="M429" s="27"/>
    </row>
    <row r="430" customFormat="false" ht="15" hidden="false" customHeight="false" outlineLevel="0" collapsed="false">
      <c r="A430" s="19" t="s">
        <v>336</v>
      </c>
      <c r="B430" s="28" t="s">
        <v>263</v>
      </c>
      <c r="C430" s="28" t="s">
        <v>314</v>
      </c>
      <c r="D430" s="28" t="s">
        <v>253</v>
      </c>
      <c r="E430" s="20" t="s">
        <v>498</v>
      </c>
      <c r="F430" s="21" t="str">
        <f aca="false">IF(OR(E430="",E430="!!!"),"",IF(NOT(ISNA(VLOOKUP(E430,Q$1:Q425,1,FALSE()))),"OLD",IF(AND(E430&lt;&gt;"",E430&lt;&gt;"!!!"),"NEW","")))</f>
        <v>NEW</v>
      </c>
      <c r="G430" s="22" t="s">
        <v>255</v>
      </c>
      <c r="H430" s="23" t="str">
        <f aca="false">IF(J430&lt;&gt;1,"",IF(I430="SBJ","CB","?"))</f>
        <v/>
      </c>
      <c r="I430" s="24" t="str">
        <f aca="false">IF(OR(E430="",E430="!!!",F430="NEW"),"",INDEX(N$2:N425,-1+SUMPRODUCT(MAX(ROW(E$2:E425)*(E430=E$2:E425)))))</f>
        <v/>
      </c>
      <c r="J430" s="25" t="str">
        <f aca="true">IF(OR(E430="",E430="!!!",F430="NEW"),"",COUNTBLANK(OFFSET(M$1,,,SUMPRODUCT(MAX(ROW(E$2:E426)*(E430=E$2:E426)))))-COUNTBLANK(OFFSET(M$1,,,SUMPRODUCT(MAX(ROW(Q$1:Q425)*(E430=Q$1:Q425))))))</f>
        <v/>
      </c>
      <c r="K430" s="25" t="str">
        <f aca="false">IF(OR(E430="",E430="!!!",F430="NEW"),"",INDEX(V$1:V425,SUMPRODUCT(MAX(ROW(Q$1:Q425)*(E430=Q$1:Q425)))))</f>
        <v/>
      </c>
      <c r="L430" s="26"/>
      <c r="M430" s="27"/>
      <c r="N430" s="29"/>
      <c r="O430" s="29"/>
      <c r="P430" s="29"/>
    </row>
    <row r="431" customFormat="false" ht="15" hidden="false" customHeight="false" outlineLevel="0" collapsed="false">
      <c r="A431" s="19" t="s">
        <v>477</v>
      </c>
      <c r="E431" s="20" t="str">
        <f aca="false">IF(P431="?OLD","!!!","")</f>
        <v/>
      </c>
      <c r="F431" s="21" t="str">
        <f aca="false">IF(OR(E431="",E431="!!!"),"",IF(NOT(ISNA(VLOOKUP(E431,Q$1:Q426,1,FALSE()))),"OLD",IF(AND(E431&lt;&gt;"",E431&lt;&gt;"!!!"),"NEW","")))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4" t="str">
        <f aca="false">IF(OR(E431="",E431="!!!",F431="NEW"),"",INDEX(N$2:N426,-1+SUMPRODUCT(MAX(ROW(E$2:E426)*(E431=E$2:E426)))))</f>
        <v/>
      </c>
      <c r="J431" s="25" t="str">
        <f aca="true">IF(OR(E431="",E431="!!!",F431="NEW"),"",COUNTBLANK(OFFSET(M$1,,,SUMPRODUCT(MAX(ROW(E$2:E427)*(E431=E$2:E427)))))-COUNTBLANK(OFFSET(M$1,,,SUMPRODUCT(MAX(ROW(Q$1:Q426)*(E431=Q$1:Q426))))))</f>
        <v/>
      </c>
      <c r="K431" s="25" t="str">
        <f aca="false">IF(OR(E431="",E431="!!!",F431="NEW"),"",INDEX(V$1:V426,SUMPRODUCT(MAX(ROW(Q$1:Q426)*(E431=Q$1:Q426)))))</f>
        <v/>
      </c>
      <c r="L431" s="26"/>
      <c r="M431" s="27"/>
    </row>
    <row r="432" customFormat="false" ht="15" hidden="false" customHeight="false" outlineLevel="0" collapsed="false">
      <c r="A432" s="19" t="s">
        <v>91</v>
      </c>
      <c r="E432" s="20" t="str">
        <f aca="false">IF(P432="?OLD","!!!","")</f>
        <v/>
      </c>
      <c r="F432" s="21" t="str">
        <f aca="false">IF(OR(E432="",E432="!!!"),"",IF(NOT(ISNA(VLOOKUP(E432,Q$1:Q427,1,FALSE()))),"OLD",IF(AND(E432&lt;&gt;"",E432&lt;&gt;"!!!"),"NEW","")))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IF(OR(E432="",E432="!!!",F432="NEW"),"",INDEX(N$2:N427,-1+SUMPRODUCT(MAX(ROW(E$2:E427)*(E432=E$2:E427)))))</f>
        <v/>
      </c>
      <c r="J432" s="25" t="str">
        <f aca="true">IF(OR(E432="",E432="!!!",F432="NEW"),"",COUNTBLANK(OFFSET(M$1,,,SUMPRODUCT(MAX(ROW(E$2:E428)*(E432=E$2:E428)))))-COUNTBLANK(OFFSET(M$1,,,SUMPRODUCT(MAX(ROW(Q$1:Q427)*(E432=Q$1:Q427))))))</f>
        <v/>
      </c>
      <c r="K432" s="25" t="str">
        <f aca="false">IF(OR(E432="",E432="!!!",F432="NEW"),"",INDEX(V$1:V427,SUMPRODUCT(MAX(ROW(Q$1:Q427)*(E432=Q$1:Q427)))))</f>
        <v/>
      </c>
      <c r="L432" s="26"/>
      <c r="M432" s="27"/>
    </row>
    <row r="433" customFormat="false" ht="15" hidden="false" customHeight="false" outlineLevel="0" collapsed="false">
      <c r="A433" s="19" t="s">
        <v>499</v>
      </c>
      <c r="B433" s="28" t="s">
        <v>380</v>
      </c>
      <c r="C433" s="28" t="s">
        <v>259</v>
      </c>
      <c r="E433" s="20" t="str">
        <f aca="false">IF(P433="?OLD","!!!","")</f>
        <v/>
      </c>
      <c r="F433" s="21" t="str">
        <f aca="false">IF(OR(E433="",E433="!!!"),"",IF(NOT(ISNA(VLOOKUP(E433,Q$1:Q428,1,FALSE()))),"OLD",IF(AND(E433&lt;&gt;"",E433&lt;&gt;"!!!"),"NEW","")))</f>
        <v/>
      </c>
      <c r="G433" s="22" t="str">
        <f aca="false">IF(OR(E433="",E433="!!!"),"",IF(OR(J433=0,AND(J433=1,K433=1),AND(J433=1,I433="SBJ"),AND(J433=1,I433=0)),"?IN_FOCUS",IF(J433&lt;=2,"?ACTIVATED",IF(J433&lt;&gt;"","?FAMILIAR",IF(F433="NEW",IF(ISNA(VLOOKUP(E433,#REF!,1,FALSE())),"?TYPE_IDENTIFIABLE","?REFERENTIAL"),"_")))))</f>
        <v/>
      </c>
      <c r="H433" s="23" t="str">
        <f aca="false">IF(J433&lt;&gt;1,"",IF(I433="SBJ","CB","?"))</f>
        <v/>
      </c>
      <c r="I433" s="24" t="str">
        <f aca="false">IF(OR(E433="",E433="!!!",F433="NEW"),"",INDEX(N$2:N428,-1+SUMPRODUCT(MAX(ROW(E$2:E428)*(E433=E$2:E428)))))</f>
        <v/>
      </c>
      <c r="J433" s="25" t="str">
        <f aca="true">IF(OR(E433="",E433="!!!",F433="NEW"),"",COUNTBLANK(OFFSET(M$1,,,SUMPRODUCT(MAX(ROW(E$2:E429)*(E433=E$2:E429)))))-COUNTBLANK(OFFSET(M$1,,,SUMPRODUCT(MAX(ROW(Q$1:Q428)*(E433=Q$1:Q428))))))</f>
        <v/>
      </c>
      <c r="K433" s="25" t="str">
        <f aca="false">IF(OR(E433="",E433="!!!",F433="NEW"),"",INDEX(V$1:V428,SUMPRODUCT(MAX(ROW(Q$1:Q428)*(E433=Q$1:Q428)))))</f>
        <v/>
      </c>
      <c r="L433" s="26"/>
      <c r="M433" s="27"/>
      <c r="N433" s="29"/>
      <c r="O433" s="29"/>
    </row>
    <row r="434" customFormat="false" ht="15" hidden="false" customHeight="false" outlineLevel="0" collapsed="false">
      <c r="A434" s="19" t="s">
        <v>275</v>
      </c>
      <c r="E434" s="20" t="str">
        <f aca="false">IF(P434="?OLD","!!!","")</f>
        <v/>
      </c>
      <c r="F434" s="21" t="str">
        <f aca="false">IF(OR(E434="",E434="!!!"),"",IF(NOT(ISNA(VLOOKUP(E434,Q$1:Q429,1,FALSE()))),"OLD",IF(AND(E434&lt;&gt;"",E434&lt;&gt;"!!!"),"NEW","")))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IF(OR(E434="",E434="!!!",F434="NEW"),"",INDEX(N$2:N429,-1+SUMPRODUCT(MAX(ROW(E$2:E429)*(E434=E$2:E429)))))</f>
        <v/>
      </c>
      <c r="J434" s="25" t="str">
        <f aca="true">IF(OR(E434="",E434="!!!",F434="NEW"),"",COUNTBLANK(OFFSET(M$1,,,SUMPRODUCT(MAX(ROW(E$2:E430)*(E434=E$2:E430)))))-COUNTBLANK(OFFSET(M$1,,,SUMPRODUCT(MAX(ROW(Q$1:Q429)*(E434=Q$1:Q429))))))</f>
        <v/>
      </c>
      <c r="K434" s="25" t="str">
        <f aca="false">IF(OR(E434="",E434="!!!",F434="NEW"),"",INDEX(V$1:V429,SUMPRODUCT(MAX(ROW(Q$1:Q429)*(E434=Q$1:Q429)))))</f>
        <v/>
      </c>
      <c r="L434" s="26"/>
      <c r="M434" s="27"/>
    </row>
    <row r="435" customFormat="false" ht="15" hidden="false" customHeight="false" outlineLevel="0" collapsed="false">
      <c r="A435" s="19"/>
      <c r="E435" s="20" t="str">
        <f aca="false">IF(P435="?OLD","!!!","")</f>
        <v/>
      </c>
      <c r="F435" s="21" t="str">
        <f aca="false">IF(OR(E435="",E435="!!!"),"",IF(NOT(ISNA(VLOOKUP(E435,Q$1:Q430,1,FALSE()))),"OLD",IF(AND(E435&lt;&gt;"",E435&lt;&gt;"!!!"),"NEW","")))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4" t="str">
        <f aca="false">IF(OR(E435="",E435="!!!",F435="NEW"),"",INDEX(N$2:N430,-1+SUMPRODUCT(MAX(ROW(E$2:E430)*(E435=E$2:E430)))))</f>
        <v/>
      </c>
      <c r="J435" s="25" t="str">
        <f aca="true">IF(OR(E435="",E435="!!!",F435="NEW"),"",COUNTBLANK(OFFSET(M$1,,,SUMPRODUCT(MAX(ROW(E$2:E431)*(E435=E$2:E431)))))-COUNTBLANK(OFFSET(M$1,,,SUMPRODUCT(MAX(ROW(Q$1:Q430)*(E435=Q$1:Q430))))))</f>
        <v/>
      </c>
      <c r="K435" s="25" t="str">
        <f aca="false">IF(OR(E435="",E435="!!!",F435="NEW"),"",INDEX(V$1:V430,SUMPRODUCT(MAX(ROW(Q$1:Q430)*(E435=Q$1:Q430)))))</f>
        <v/>
      </c>
      <c r="L435" s="26"/>
    </row>
    <row r="436" customFormat="false" ht="15" hidden="false" customHeight="false" outlineLevel="0" collapsed="false">
      <c r="A436" s="19" t="s">
        <v>500</v>
      </c>
      <c r="E436" s="20" t="str">
        <f aca="false">IF(P436="?OLD","!!!","")</f>
        <v/>
      </c>
      <c r="F436" s="21" t="str">
        <f aca="false">IF(OR(E436="",E436="!!!"),"",IF(NOT(ISNA(VLOOKUP(E436,Q$1:Q431,1,FALSE()))),"OLD",IF(AND(E436&lt;&gt;"",E436&lt;&gt;"!!!"),"NEW","")))</f>
        <v/>
      </c>
      <c r="G436" s="22" t="str">
        <f aca="false">IF(OR(E436="",E436="!!!"),"",IF(OR(J436=0,AND(J436=1,K436=1),AND(J436=1,I436="SBJ"),AND(J436=1,I436=0)),"?IN_FOCUS",IF(J436&lt;=2,"?ACTIVATED",IF(J436&lt;&gt;"","?FAMILIAR",IF(F436="NEW",IF(ISNA(VLOOKUP(E436,#REF!,1,FALSE())),"?TYPE_IDENTIFIABLE","?REFERENTIAL"),"_")))))</f>
        <v/>
      </c>
      <c r="H436" s="23" t="str">
        <f aca="false">IF(J436&lt;&gt;1,"",IF(I436="SBJ","CB","?"))</f>
        <v/>
      </c>
      <c r="I436" s="24" t="str">
        <f aca="false">IF(OR(E436="",E436="!!!",F436="NEW"),"",INDEX(N$2:N431,-1+SUMPRODUCT(MAX(ROW(E$2:E431)*(E436=E$2:E431)))))</f>
        <v/>
      </c>
      <c r="J436" s="25" t="str">
        <f aca="true">IF(OR(E436="",E436="!!!",F436="NEW"),"",COUNTBLANK(OFFSET(M$1,,,SUMPRODUCT(MAX(ROW(E$2:E432)*(E436=E$2:E432)))))-COUNTBLANK(OFFSET(M$1,,,SUMPRODUCT(MAX(ROW(Q$1:Q431)*(E436=Q$1:Q431))))))</f>
        <v/>
      </c>
      <c r="K436" s="25" t="str">
        <f aca="false">IF(OR(E436="",E436="!!!",F436="NEW"),"",INDEX(V$1:V431,SUMPRODUCT(MAX(ROW(Q$1:Q431)*(E436=Q$1:Q431)))))</f>
        <v/>
      </c>
      <c r="L436" s="26"/>
      <c r="M436" s="27"/>
    </row>
    <row r="437" customFormat="false" ht="15" hidden="false" customHeight="false" outlineLevel="0" collapsed="false">
      <c r="A437" s="19" t="s">
        <v>501</v>
      </c>
      <c r="E437" s="20" t="str">
        <f aca="false">IF(P437="?OLD","!!!","")</f>
        <v/>
      </c>
      <c r="F437" s="21" t="str">
        <f aca="false">IF(OR(E437="",E437="!!!"),"",IF(NOT(ISNA(VLOOKUP(E437,Q$1:Q432,1,FALSE()))),"OLD",IF(AND(E437&lt;&gt;"",E437&lt;&gt;"!!!"),"NEW","")))</f>
        <v/>
      </c>
      <c r="G437" s="22" t="str">
        <f aca="false">IF(OR(E437="",E437="!!!"),"",IF(OR(J437=0,AND(J437=1,K437=1),AND(J437=1,I437="SBJ"),AND(J437=1,I437=0)),"?IN_FOCUS",IF(J437&lt;=2,"?ACTIVATED",IF(J437&lt;&gt;"","?FAMILIAR",IF(F437="NEW",IF(ISNA(VLOOKUP(E437,#REF!,1,FALSE())),"?TYPE_IDENTIFIABLE","?REFERENTIAL"),"_")))))</f>
        <v/>
      </c>
      <c r="H437" s="23" t="str">
        <f aca="false">IF(J437&lt;&gt;1,"",IF(I437="SBJ","CB","?"))</f>
        <v/>
      </c>
      <c r="I437" s="24" t="str">
        <f aca="false">IF(OR(E437="",E437="!!!",F437="NEW"),"",INDEX(N$2:N432,-1+SUMPRODUCT(MAX(ROW(E$2:E432)*(E437=E$2:E432)))))</f>
        <v/>
      </c>
      <c r="J437" s="25" t="str">
        <f aca="true">IF(OR(E437="",E437="!!!",F437="NEW"),"",COUNTBLANK(OFFSET(M$1,,,SUMPRODUCT(MAX(ROW(E$2:E433)*(E437=E$2:E433)))))-COUNTBLANK(OFFSET(M$1,,,SUMPRODUCT(MAX(ROW(Q$1:Q432)*(E437=Q$1:Q432))))))</f>
        <v/>
      </c>
      <c r="K437" s="25" t="str">
        <f aca="false">IF(OR(E437="",E437="!!!",F437="NEW"),"",INDEX(V$1:V432,SUMPRODUCT(MAX(ROW(Q$1:Q432)*(E437=Q$1:Q432)))))</f>
        <v/>
      </c>
      <c r="L437" s="26"/>
      <c r="M437" s="27"/>
    </row>
    <row r="438" customFormat="false" ht="15" hidden="false" customHeight="false" outlineLevel="0" collapsed="false">
      <c r="A438" s="19" t="s">
        <v>261</v>
      </c>
      <c r="E438" s="20" t="str">
        <f aca="false">IF(P438="?OLD","!!!","")</f>
        <v/>
      </c>
      <c r="F438" s="21" t="str">
        <f aca="false">IF(OR(E438="",E438="!!!"),"",IF(NOT(ISNA(VLOOKUP(E438,Q$1:Q433,1,FALSE()))),"OLD",IF(AND(E438&lt;&gt;"",E438&lt;&gt;"!!!"),"NEW","")))</f>
        <v/>
      </c>
      <c r="G438" s="22" t="str">
        <f aca="false">IF(OR(E438="",E438="!!!"),"",IF(OR(J438=0,AND(J438=1,K438=1),AND(J438=1,I438="SBJ"),AND(J438=1,I438=0)),"?IN_FOCUS",IF(J438&lt;=2,"?ACTIVATED",IF(J438&lt;&gt;"","?FAMILIAR",IF(F438="NEW",IF(ISNA(VLOOKUP(E438,#REF!,1,FALSE())),"?TYPE_IDENTIFIABLE","?REFERENTIAL"),"_")))))</f>
        <v/>
      </c>
      <c r="H438" s="23" t="str">
        <f aca="false">IF(J438&lt;&gt;1,"",IF(I438="SBJ","CB","?"))</f>
        <v/>
      </c>
      <c r="I438" s="24" t="str">
        <f aca="false">IF(OR(E438="",E438="!!!",F438="NEW"),"",INDEX(N$2:N433,-1+SUMPRODUCT(MAX(ROW(E$2:E433)*(E438=E$2:E433)))))</f>
        <v/>
      </c>
      <c r="J438" s="25" t="str">
        <f aca="true">IF(OR(E438="",E438="!!!",F438="NEW"),"",COUNTBLANK(OFFSET(M$1,,,SUMPRODUCT(MAX(ROW(E$2:E434)*(E438=E$2:E434)))))-COUNTBLANK(OFFSET(M$1,,,SUMPRODUCT(MAX(ROW(Q$1:Q433)*(E438=Q$1:Q433))))))</f>
        <v/>
      </c>
      <c r="K438" s="25" t="str">
        <f aca="false">IF(OR(E438="",E438="!!!",F438="NEW"),"",INDEX(V$1:V433,SUMPRODUCT(MAX(ROW(Q$1:Q433)*(E438=Q$1:Q433)))))</f>
        <v/>
      </c>
      <c r="L438" s="26"/>
      <c r="M438" s="27"/>
    </row>
    <row r="439" customFormat="false" ht="15" hidden="false" customHeight="false" outlineLevel="0" collapsed="false">
      <c r="A439" s="19" t="s">
        <v>294</v>
      </c>
      <c r="E439" s="20" t="str">
        <f aca="false">IF(P439="?OLD","!!!","")</f>
        <v/>
      </c>
      <c r="F439" s="21" t="str">
        <f aca="false">IF(OR(E439="",E439="!!!"),"",IF(NOT(ISNA(VLOOKUP(E439,Q$1:Q434,1,FALSE()))),"OLD",IF(AND(E439&lt;&gt;"",E439&lt;&gt;"!!!"),"NEW","")))</f>
        <v/>
      </c>
      <c r="G439" s="22" t="str">
        <f aca="false">IF(OR(E439="",E439="!!!"),"",IF(OR(J439=0,AND(J439=1,K439=1),AND(J439=1,I439="SBJ"),AND(J439=1,I439=0)),"?IN_FOCUS",IF(J439&lt;=2,"?ACTIVATED",IF(J439&lt;&gt;"","?FAMILIAR",IF(F439="NEW",IF(ISNA(VLOOKUP(E439,#REF!,1,FALSE())),"?TYPE_IDENTIFIABLE","?REFERENTIAL"),"_")))))</f>
        <v/>
      </c>
      <c r="H439" s="23" t="str">
        <f aca="false">IF(J439&lt;&gt;1,"",IF(I439="SBJ","CB","?"))</f>
        <v/>
      </c>
      <c r="I439" s="24" t="str">
        <f aca="false">IF(OR(E439="",E439="!!!",F439="NEW"),"",INDEX(N$2:N434,-1+SUMPRODUCT(MAX(ROW(E$2:E434)*(E439=E$2:E434)))))</f>
        <v/>
      </c>
      <c r="J439" s="25" t="str">
        <f aca="true">IF(OR(E439="",E439="!!!",F439="NEW"),"",COUNTBLANK(OFFSET(M$1,,,SUMPRODUCT(MAX(ROW(E$2:E435)*(E439=E$2:E435)))))-COUNTBLANK(OFFSET(M$1,,,SUMPRODUCT(MAX(ROW(Q$1:Q434)*(E439=Q$1:Q434))))))</f>
        <v/>
      </c>
      <c r="K439" s="25" t="str">
        <f aca="false">IF(OR(E439="",E439="!!!",F439="NEW"),"",INDEX(V$1:V434,SUMPRODUCT(MAX(ROW(Q$1:Q434)*(E439=Q$1:Q434)))))</f>
        <v/>
      </c>
      <c r="L439" s="26"/>
      <c r="M439" s="27"/>
    </row>
    <row r="440" customFormat="false" ht="15" hidden="false" customHeight="false" outlineLevel="0" collapsed="false">
      <c r="A440" s="19" t="s">
        <v>312</v>
      </c>
      <c r="E440" s="20" t="str">
        <f aca="false">IF(P440="?OLD","!!!","")</f>
        <v/>
      </c>
      <c r="F440" s="21" t="str">
        <f aca="false">IF(OR(E440="",E440="!!!"),"",IF(NOT(ISNA(VLOOKUP(E440,Q$1:Q435,1,FALSE()))),"OLD",IF(AND(E440&lt;&gt;"",E440&lt;&gt;"!!!"),"NEW","")))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IF(OR(E440="",E440="!!!",F440="NEW"),"",INDEX(N$2:N435,-1+SUMPRODUCT(MAX(ROW(E$2:E435)*(E440=E$2:E435)))))</f>
        <v/>
      </c>
      <c r="J440" s="25" t="str">
        <f aca="true">IF(OR(E440="",E440="!!!",F440="NEW"),"",COUNTBLANK(OFFSET(M$1,,,SUMPRODUCT(MAX(ROW(E$2:E436)*(E440=E$2:E436)))))-COUNTBLANK(OFFSET(M$1,,,SUMPRODUCT(MAX(ROW(Q$1:Q435)*(E440=Q$1:Q435))))))</f>
        <v/>
      </c>
      <c r="K440" s="25" t="str">
        <f aca="false">IF(OR(E440="",E440="!!!",F440="NEW"),"",INDEX(V$1:V435,SUMPRODUCT(MAX(ROW(Q$1:Q435)*(E440=Q$1:Q435)))))</f>
        <v/>
      </c>
      <c r="L440" s="26"/>
      <c r="M440" s="27"/>
    </row>
    <row r="441" customFormat="false" ht="15" hidden="false" customHeight="false" outlineLevel="0" collapsed="false">
      <c r="A441" s="19" t="s">
        <v>452</v>
      </c>
      <c r="B441" s="28" t="s">
        <v>306</v>
      </c>
      <c r="C441" s="28" t="s">
        <v>358</v>
      </c>
      <c r="D441" s="28" t="s">
        <v>253</v>
      </c>
      <c r="E441" s="20" t="s">
        <v>413</v>
      </c>
      <c r="F441" s="21" t="str">
        <f aca="false">IF(OR(E441="",E441="!!!"),"",IF(NOT(ISNA(VLOOKUP(E441,Q$1:Q436,1,FALSE()))),"OLD",IF(AND(E441&lt;&gt;"",E441&lt;&gt;"!!!"),"NEW","")))</f>
        <v>NEW</v>
      </c>
      <c r="G441" s="22" t="s">
        <v>283</v>
      </c>
      <c r="H441" s="23" t="str">
        <f aca="false">IF(J441&lt;&gt;1,"",IF(I441="SBJ","CB","?"))</f>
        <v/>
      </c>
      <c r="I441" s="24" t="str">
        <f aca="false">IF(OR(E441="",E441="!!!",F441="NEW"),"",INDEX(N$2:N436,-1+SUMPRODUCT(MAX(ROW(E$2:E436)*(E441=E$2:E436)))))</f>
        <v/>
      </c>
      <c r="J441" s="25" t="str">
        <f aca="true">IF(OR(E441="",E441="!!!",F441="NEW"),"",COUNTBLANK(OFFSET(M$1,,,SUMPRODUCT(MAX(ROW(E$2:E437)*(E441=E$2:E437)))))-COUNTBLANK(OFFSET(M$1,,,SUMPRODUCT(MAX(ROW(Q$1:Q436)*(E441=Q$1:Q436))))))</f>
        <v/>
      </c>
      <c r="K441" s="25" t="str">
        <f aca="false">IF(OR(E441="",E441="!!!",F441="NEW"),"",INDEX(V$1:V436,SUMPRODUCT(MAX(ROW(Q$1:Q436)*(E441=Q$1:Q436)))))</f>
        <v/>
      </c>
      <c r="L441" s="26"/>
      <c r="M441" s="27"/>
      <c r="N441" s="29"/>
      <c r="O441" s="29"/>
      <c r="P441" s="29"/>
    </row>
    <row r="442" customFormat="false" ht="15" hidden="false" customHeight="false" outlineLevel="0" collapsed="false">
      <c r="A442" s="19" t="s">
        <v>502</v>
      </c>
      <c r="B442" s="28" t="s">
        <v>271</v>
      </c>
      <c r="C442" s="28" t="s">
        <v>314</v>
      </c>
      <c r="D442" s="28" t="s">
        <v>253</v>
      </c>
      <c r="E442" s="20" t="s">
        <v>503</v>
      </c>
      <c r="F442" s="21" t="str">
        <f aca="false">IF(OR(E442="",E442="!!!"),"",IF(NOT(ISNA(VLOOKUP(E442,Q$1:Q437,1,FALSE()))),"OLD",IF(AND(E442&lt;&gt;"",E442&lt;&gt;"!!!"),"NEW","")))</f>
        <v>NEW</v>
      </c>
      <c r="G442" s="22" t="s">
        <v>255</v>
      </c>
      <c r="H442" s="23" t="str">
        <f aca="false">IF(J442&lt;&gt;1,"",IF(I442="SBJ","CB","?"))</f>
        <v/>
      </c>
      <c r="I442" s="24" t="str">
        <f aca="false">IF(OR(E442="",E442="!!!",F442="NEW"),"",INDEX(N$2:N437,-1+SUMPRODUCT(MAX(ROW(E$2:E437)*(E442=E$2:E437)))))</f>
        <v/>
      </c>
      <c r="J442" s="25" t="str">
        <f aca="true">IF(OR(E442="",E442="!!!",F442="NEW"),"",COUNTBLANK(OFFSET(M$1,,,SUMPRODUCT(MAX(ROW(E$2:E438)*(E442=E$2:E438)))))-COUNTBLANK(OFFSET(M$1,,,SUMPRODUCT(MAX(ROW(Q$1:Q437)*(E442=Q$1:Q437))))))</f>
        <v/>
      </c>
      <c r="K442" s="25" t="str">
        <f aca="false">IF(OR(E442="",E442="!!!",F442="NEW"),"",INDEX(V$1:V437,SUMPRODUCT(MAX(ROW(Q$1:Q437)*(E442=Q$1:Q437)))))</f>
        <v/>
      </c>
      <c r="L442" s="26"/>
      <c r="M442" s="27"/>
      <c r="N442" s="29"/>
      <c r="O442" s="29"/>
      <c r="P442" s="29"/>
    </row>
    <row r="443" customFormat="false" ht="15" hidden="false" customHeight="false" outlineLevel="0" collapsed="false">
      <c r="A443" s="19" t="s">
        <v>294</v>
      </c>
      <c r="E443" s="20" t="str">
        <f aca="false">IF(P443="?OLD","!!!","")</f>
        <v/>
      </c>
      <c r="F443" s="21" t="str">
        <f aca="false">IF(OR(E443="",E443="!!!"),"",IF(NOT(ISNA(VLOOKUP(E443,Q$1:Q438,1,FALSE()))),"OLD",IF(AND(E443&lt;&gt;"",E443&lt;&gt;"!!!"),"NEW","")))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4" t="str">
        <f aca="false">IF(OR(E443="",E443="!!!",F443="NEW"),"",INDEX(N$2:N438,-1+SUMPRODUCT(MAX(ROW(E$2:E438)*(E443=E$2:E438)))))</f>
        <v/>
      </c>
      <c r="J443" s="25" t="str">
        <f aca="true">IF(OR(E443="",E443="!!!",F443="NEW"),"",COUNTBLANK(OFFSET(M$1,,,SUMPRODUCT(MAX(ROW(E$2:E439)*(E443=E$2:E439)))))-COUNTBLANK(OFFSET(M$1,,,SUMPRODUCT(MAX(ROW(Q$1:Q438)*(E443=Q$1:Q438))))))</f>
        <v/>
      </c>
      <c r="K443" s="25" t="str">
        <f aca="false">IF(OR(E443="",E443="!!!",F443="NEW"),"",INDEX(V$1:V438,SUMPRODUCT(MAX(ROW(Q$1:Q438)*(E443=Q$1:Q438)))))</f>
        <v/>
      </c>
      <c r="L443" s="26"/>
      <c r="M443" s="27"/>
    </row>
    <row r="444" customFormat="false" ht="15" hidden="false" customHeight="false" outlineLevel="0" collapsed="false">
      <c r="A444" s="19" t="s">
        <v>312</v>
      </c>
      <c r="E444" s="20" t="str">
        <f aca="false">IF(P444="?OLD","!!!","")</f>
        <v/>
      </c>
      <c r="F444" s="21" t="str">
        <f aca="false">IF(OR(E444="",E444="!!!"),"",IF(NOT(ISNA(VLOOKUP(E444,Q$1:Q439,1,FALSE()))),"OLD",IF(AND(E444&lt;&gt;"",E444&lt;&gt;"!!!"),"NEW","")))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IF(OR(E444="",E444="!!!",F444="NEW"),"",INDEX(N$2:N439,-1+SUMPRODUCT(MAX(ROW(E$2:E439)*(E444=E$2:E439)))))</f>
        <v/>
      </c>
      <c r="J444" s="25" t="str">
        <f aca="true">IF(OR(E444="",E444="!!!",F444="NEW"),"",COUNTBLANK(OFFSET(M$1,,,SUMPRODUCT(MAX(ROW(E$2:E440)*(E444=E$2:E440)))))-COUNTBLANK(OFFSET(M$1,,,SUMPRODUCT(MAX(ROW(Q$1:Q439)*(E444=Q$1:Q439))))))</f>
        <v/>
      </c>
      <c r="K444" s="25" t="str">
        <f aca="false">IF(OR(E444="",E444="!!!",F444="NEW"),"",INDEX(V$1:V439,SUMPRODUCT(MAX(ROW(Q$1:Q439)*(E444=Q$1:Q439)))))</f>
        <v/>
      </c>
      <c r="L444" s="26"/>
      <c r="M444" s="27"/>
    </row>
    <row r="445" customFormat="false" ht="15" hidden="false" customHeight="false" outlineLevel="0" collapsed="false">
      <c r="A445" s="19" t="s">
        <v>452</v>
      </c>
      <c r="B445" s="28" t="s">
        <v>258</v>
      </c>
      <c r="C445" s="28" t="s">
        <v>358</v>
      </c>
      <c r="D445" s="28" t="s">
        <v>253</v>
      </c>
      <c r="E445" s="20" t="s">
        <v>413</v>
      </c>
      <c r="F445" s="21" t="str">
        <f aca="false">IF(OR(E445="",E445="!!!"),"",IF(NOT(ISNA(VLOOKUP(E445,Q$1:Q440,1,FALSE()))),"OLD",IF(AND(E445&lt;&gt;"",E445&lt;&gt;"!!!"),"NEW","")))</f>
        <v>NEW</v>
      </c>
      <c r="G445" s="22" t="s">
        <v>296</v>
      </c>
      <c r="H445" s="23" t="str">
        <f aca="false">IF(J445&lt;&gt;1,"",IF(I445="SBJ","CB","?"))</f>
        <v/>
      </c>
      <c r="I445" s="24" t="str">
        <f aca="false">IF(OR(E445="",E445="!!!",F445="NEW"),"",INDEX(N$2:N440,-1+SUMPRODUCT(MAX(ROW(E$2:E440)*(E445=E$2:E440)))))</f>
        <v/>
      </c>
      <c r="J445" s="25" t="str">
        <f aca="true">IF(OR(E445="",E445="!!!",F445="NEW"),"",COUNTBLANK(OFFSET(M$1,,,SUMPRODUCT(MAX(ROW(E$2:E441)*(E445=E$2:E441)))))-COUNTBLANK(OFFSET(M$1,,,SUMPRODUCT(MAX(ROW(Q$1:Q440)*(E445=Q$1:Q440))))))</f>
        <v/>
      </c>
      <c r="K445" s="25" t="str">
        <f aca="false">IF(OR(E445="",E445="!!!",F445="NEW"),"",INDEX(V$1:V440,SUMPRODUCT(MAX(ROW(Q$1:Q440)*(E445=Q$1:Q440)))))</f>
        <v/>
      </c>
      <c r="L445" s="26"/>
      <c r="M445" s="27"/>
      <c r="N445" s="29"/>
      <c r="O445" s="29"/>
      <c r="P445" s="29"/>
    </row>
    <row r="446" customFormat="false" ht="15" hidden="false" customHeight="false" outlineLevel="0" collapsed="false">
      <c r="A446" s="19" t="s">
        <v>504</v>
      </c>
      <c r="B446" s="28" t="s">
        <v>306</v>
      </c>
      <c r="C446" s="28" t="s">
        <v>314</v>
      </c>
      <c r="D446" s="28" t="s">
        <v>253</v>
      </c>
      <c r="E446" s="20" t="s">
        <v>505</v>
      </c>
      <c r="F446" s="21" t="str">
        <f aca="false">IF(OR(E446="",E446="!!!"),"",IF(NOT(ISNA(VLOOKUP(E446,Q$1:Q441,1,FALSE()))),"OLD",IF(AND(E446&lt;&gt;"",E446&lt;&gt;"!!!"),"NEW","")))</f>
        <v>NEW</v>
      </c>
      <c r="G446" s="22" t="s">
        <v>255</v>
      </c>
      <c r="H446" s="23" t="str">
        <f aca="false">IF(J446&lt;&gt;1,"",IF(I446="SBJ","CB","?"))</f>
        <v/>
      </c>
      <c r="I446" s="24" t="str">
        <f aca="false">IF(OR(E446="",E446="!!!",F446="NEW"),"",INDEX(N$2:N441,-1+SUMPRODUCT(MAX(ROW(E$2:E441)*(E446=E$2:E441)))))</f>
        <v/>
      </c>
      <c r="J446" s="25" t="str">
        <f aca="true">IF(OR(E446="",E446="!!!",F446="NEW"),"",COUNTBLANK(OFFSET(M$1,,,SUMPRODUCT(MAX(ROW(E$2:E442)*(E446=E$2:E442)))))-COUNTBLANK(OFFSET(M$1,,,SUMPRODUCT(MAX(ROW(Q$1:Q441)*(E446=Q$1:Q441))))))</f>
        <v/>
      </c>
      <c r="K446" s="25" t="str">
        <f aca="false">IF(OR(E446="",E446="!!!",F446="NEW"),"",INDEX(V$1:V441,SUMPRODUCT(MAX(ROW(Q$1:Q441)*(E446=Q$1:Q441)))))</f>
        <v/>
      </c>
      <c r="L446" s="26"/>
      <c r="M446" s="27"/>
      <c r="N446" s="29"/>
      <c r="O446" s="29"/>
      <c r="P446" s="29"/>
    </row>
    <row r="447" customFormat="false" ht="15" hidden="false" customHeight="false" outlineLevel="0" collapsed="false">
      <c r="A447" s="19" t="s">
        <v>273</v>
      </c>
      <c r="E447" s="20" t="str">
        <f aca="false">IF(P447="?OLD","!!!","")</f>
        <v/>
      </c>
      <c r="F447" s="21" t="str">
        <f aca="false">IF(OR(E447="",E447="!!!"),"",IF(NOT(ISNA(VLOOKUP(E447,Q$1:Q442,1,FALSE()))),"OLD",IF(AND(E447&lt;&gt;"",E447&lt;&gt;"!!!"),"NEW","")))</f>
        <v/>
      </c>
      <c r="G447" s="22" t="str">
        <f aca="false">IF(OR(E447="",E447="!!!"),"",IF(OR(J447=0,AND(J447=1,K447=1),AND(J447=1,I447="SBJ"),AND(J447=1,I447=0)),"?IN_FOCUS",IF(J447&lt;=2,"?ACTIVATED",IF(J447&lt;&gt;"","?FAMILIAR",IF(F447="NEW",IF(ISNA(VLOOKUP(E447,#REF!,1,FALSE())),"?TYPE_IDENTIFIABLE","?REFERENTIAL"),"_")))))</f>
        <v/>
      </c>
      <c r="H447" s="23" t="str">
        <f aca="false">IF(J447&lt;&gt;1,"",IF(I447="SBJ","CB","?"))</f>
        <v/>
      </c>
      <c r="I447" s="24" t="str">
        <f aca="false">IF(OR(E447="",E447="!!!",F447="NEW"),"",INDEX(N$2:N442,-1+SUMPRODUCT(MAX(ROW(E$2:E442)*(E447=E$2:E442)))))</f>
        <v/>
      </c>
      <c r="J447" s="25" t="str">
        <f aca="true">IF(OR(E447="",E447="!!!",F447="NEW"),"",COUNTBLANK(OFFSET(M$1,,,SUMPRODUCT(MAX(ROW(E$2:E443)*(E447=E$2:E443)))))-COUNTBLANK(OFFSET(M$1,,,SUMPRODUCT(MAX(ROW(Q$1:Q442)*(E447=Q$1:Q442))))))</f>
        <v/>
      </c>
      <c r="K447" s="25" t="str">
        <f aca="false">IF(OR(E447="",E447="!!!",F447="NEW"),"",INDEX(V$1:V442,SUMPRODUCT(MAX(ROW(Q$1:Q442)*(E447=Q$1:Q442)))))</f>
        <v/>
      </c>
      <c r="L447" s="26"/>
      <c r="M447" s="27"/>
    </row>
    <row r="448" customFormat="false" ht="15" hidden="false" customHeight="false" outlineLevel="0" collapsed="false">
      <c r="A448" s="19" t="s">
        <v>506</v>
      </c>
      <c r="E448" s="20" t="str">
        <f aca="false">IF(P448="?OLD","!!!","")</f>
        <v/>
      </c>
      <c r="F448" s="21" t="str">
        <f aca="false">IF(OR(E448="",E448="!!!"),"",IF(NOT(ISNA(VLOOKUP(E448,Q$1:Q443,1,FALSE()))),"OLD",IF(AND(E448&lt;&gt;"",E448&lt;&gt;"!!!"),"NEW","")))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4" t="str">
        <f aca="false">IF(OR(E448="",E448="!!!",F448="NEW"),"",INDEX(N$2:N443,-1+SUMPRODUCT(MAX(ROW(E$2:E443)*(E448=E$2:E443)))))</f>
        <v/>
      </c>
      <c r="J448" s="25" t="str">
        <f aca="true">IF(OR(E448="",E448="!!!",F448="NEW"),"",COUNTBLANK(OFFSET(M$1,,,SUMPRODUCT(MAX(ROW(E$2:E444)*(E448=E$2:E444)))))-COUNTBLANK(OFFSET(M$1,,,SUMPRODUCT(MAX(ROW(Q$1:Q443)*(E448=Q$1:Q443))))))</f>
        <v/>
      </c>
      <c r="K448" s="25" t="str">
        <f aca="false">IF(OR(E448="",E448="!!!",F448="NEW"),"",INDEX(V$1:V443,SUMPRODUCT(MAX(ROW(Q$1:Q443)*(E448=Q$1:Q443)))))</f>
        <v/>
      </c>
      <c r="L448" s="26"/>
      <c r="M448" s="27"/>
    </row>
    <row r="449" customFormat="false" ht="15" hidden="false" customHeight="false" outlineLevel="0" collapsed="false">
      <c r="A449" s="19" t="s">
        <v>479</v>
      </c>
      <c r="B449" s="28" t="s">
        <v>306</v>
      </c>
      <c r="C449" s="28" t="s">
        <v>344</v>
      </c>
      <c r="D449" s="28" t="s">
        <v>253</v>
      </c>
      <c r="E449" s="20" t="s">
        <v>507</v>
      </c>
      <c r="F449" s="21" t="str">
        <f aca="false">IF(OR(E449="",E449="!!!"),"",IF(NOT(ISNA(VLOOKUP(E449,Q$1:Q444,1,FALSE()))),"OLD",IF(AND(E449&lt;&gt;"",E449&lt;&gt;"!!!"),"NEW","")))</f>
        <v>NEW</v>
      </c>
      <c r="G449" s="22" t="s">
        <v>255</v>
      </c>
      <c r="H449" s="23" t="str">
        <f aca="false">IF(J449&lt;&gt;1,"",IF(I449="SBJ","CB","?"))</f>
        <v/>
      </c>
      <c r="I449" s="24" t="str">
        <f aca="false">IF(OR(E449="",E449="!!!",F449="NEW"),"",INDEX(N$2:N444,-1+SUMPRODUCT(MAX(ROW(E$2:E444)*(E449=E$2:E444)))))</f>
        <v/>
      </c>
      <c r="J449" s="25" t="str">
        <f aca="true">IF(OR(E449="",E449="!!!",F449="NEW"),"",COUNTBLANK(OFFSET(M$1,,,SUMPRODUCT(MAX(ROW(E$2:E445)*(E449=E$2:E445)))))-COUNTBLANK(OFFSET(M$1,,,SUMPRODUCT(MAX(ROW(Q$1:Q444)*(E449=Q$1:Q444))))))</f>
        <v/>
      </c>
      <c r="K449" s="25" t="str">
        <f aca="false">IF(OR(E449="",E449="!!!",F449="NEW"),"",INDEX(V$1:V444,SUMPRODUCT(MAX(ROW(Q$1:Q444)*(E449=Q$1:Q444)))))</f>
        <v/>
      </c>
      <c r="L449" s="26"/>
      <c r="M449" s="27"/>
      <c r="N449" s="29"/>
      <c r="O449" s="29"/>
      <c r="P449" s="29"/>
    </row>
    <row r="450" customFormat="false" ht="15" hidden="false" customHeight="false" outlineLevel="0" collapsed="false">
      <c r="A450" s="19" t="s">
        <v>261</v>
      </c>
      <c r="E450" s="20" t="str">
        <f aca="false">IF(P450="?OLD","!!!","")</f>
        <v/>
      </c>
      <c r="F450" s="21" t="str">
        <f aca="false">IF(OR(E450="",E450="!!!"),"",IF(NOT(ISNA(VLOOKUP(E450,Q$1:Q445,1,FALSE()))),"OLD",IF(AND(E450&lt;&gt;"",E450&lt;&gt;"!!!"),"NEW","")))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4" t="str">
        <f aca="false">IF(OR(E450="",E450="!!!",F450="NEW"),"",INDEX(N$2:N445,-1+SUMPRODUCT(MAX(ROW(E$2:E445)*(E450=E$2:E445)))))</f>
        <v/>
      </c>
      <c r="J450" s="25" t="str">
        <f aca="true">IF(OR(E450="",E450="!!!",F450="NEW"),"",COUNTBLANK(OFFSET(M$1,,,SUMPRODUCT(MAX(ROW(E$2:E446)*(E450=E$2:E446)))))-COUNTBLANK(OFFSET(M$1,,,SUMPRODUCT(MAX(ROW(Q$1:Q445)*(E450=Q$1:Q445))))))</f>
        <v/>
      </c>
      <c r="K450" s="25" t="str">
        <f aca="false">IF(OR(E450="",E450="!!!",F450="NEW"),"",INDEX(V$1:V445,SUMPRODUCT(MAX(ROW(Q$1:Q445)*(E450=Q$1:Q445)))))</f>
        <v/>
      </c>
      <c r="L450" s="26"/>
      <c r="M450" s="27"/>
    </row>
    <row r="451" customFormat="false" ht="15" hidden="false" customHeight="false" outlineLevel="0" collapsed="false">
      <c r="A451" s="19" t="s">
        <v>483</v>
      </c>
      <c r="B451" s="28" t="s">
        <v>263</v>
      </c>
      <c r="C451" s="28" t="s">
        <v>264</v>
      </c>
      <c r="D451" s="28" t="s">
        <v>253</v>
      </c>
      <c r="E451" s="20" t="s">
        <v>413</v>
      </c>
      <c r="F451" s="21" t="str">
        <f aca="false">IF(OR(E451="",E451="!!!"),"",IF(NOT(ISNA(VLOOKUP(E451,Q$1:Q446,1,FALSE()))),"OLD",IF(AND(E451&lt;&gt;"",E451&lt;&gt;"!!!"),"NEW","")))</f>
        <v>NEW</v>
      </c>
      <c r="G451" s="22" t="s">
        <v>283</v>
      </c>
      <c r="H451" s="23" t="str">
        <f aca="false">IF(J451&lt;&gt;1,"",IF(I451="SBJ","CB","?"))</f>
        <v/>
      </c>
      <c r="I451" s="24" t="str">
        <f aca="false">IF(OR(E451="",E451="!!!",F451="NEW"),"",INDEX(N$2:N446,-1+SUMPRODUCT(MAX(ROW(E$2:E446)*(E451=E$2:E446)))))</f>
        <v/>
      </c>
      <c r="J451" s="25" t="str">
        <f aca="true">IF(OR(E451="",E451="!!!",F451="NEW"),"",COUNTBLANK(OFFSET(M$1,,,SUMPRODUCT(MAX(ROW(E$2:E447)*(E451=E$2:E447)))))-COUNTBLANK(OFFSET(M$1,,,SUMPRODUCT(MAX(ROW(Q$1:Q446)*(E451=Q$1:Q446))))))</f>
        <v/>
      </c>
      <c r="K451" s="25" t="str">
        <f aca="false">IF(OR(E451="",E451="!!!",F451="NEW"),"",INDEX(V$1:V446,SUMPRODUCT(MAX(ROW(Q$1:Q446)*(E451=Q$1:Q446)))))</f>
        <v/>
      </c>
      <c r="L451" s="26"/>
      <c r="M451" s="27"/>
      <c r="N451" s="29"/>
      <c r="O451" s="29"/>
      <c r="P451" s="29"/>
    </row>
    <row r="452" customFormat="false" ht="15" hidden="false" customHeight="false" outlineLevel="0" collapsed="false">
      <c r="A452" s="19" t="s">
        <v>477</v>
      </c>
      <c r="E452" s="20" t="str">
        <f aca="false">IF(P452="?OLD","!!!","")</f>
        <v/>
      </c>
      <c r="F452" s="21" t="str">
        <f aca="false">IF(OR(E452="",E452="!!!"),"",IF(NOT(ISNA(VLOOKUP(E452,Q$1:Q447,1,FALSE()))),"OLD",IF(AND(E452&lt;&gt;"",E452&lt;&gt;"!!!"),"NEW","")))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4" t="str">
        <f aca="false">IF(OR(E452="",E452="!!!",F452="NEW"),"",INDEX(N$2:N447,-1+SUMPRODUCT(MAX(ROW(E$2:E447)*(E452=E$2:E447)))))</f>
        <v/>
      </c>
      <c r="J452" s="25" t="str">
        <f aca="true">IF(OR(E452="",E452="!!!",F452="NEW"),"",COUNTBLANK(OFFSET(M$1,,,SUMPRODUCT(MAX(ROW(E$2:E448)*(E452=E$2:E448)))))-COUNTBLANK(OFFSET(M$1,,,SUMPRODUCT(MAX(ROW(Q$1:Q447)*(E452=Q$1:Q447))))))</f>
        <v/>
      </c>
      <c r="K452" s="25" t="str">
        <f aca="false">IF(OR(E452="",E452="!!!",F452="NEW"),"",INDEX(V$1:V447,SUMPRODUCT(MAX(ROW(Q$1:Q447)*(E452=Q$1:Q447)))))</f>
        <v/>
      </c>
      <c r="L452" s="26"/>
      <c r="M452" s="27"/>
    </row>
    <row r="453" customFormat="false" ht="15" hidden="false" customHeight="false" outlineLevel="0" collapsed="false">
      <c r="A453" s="19" t="s">
        <v>95</v>
      </c>
      <c r="E453" s="20" t="str">
        <f aca="false">IF(P453="?OLD","!!!","")</f>
        <v/>
      </c>
      <c r="F453" s="21" t="str">
        <f aca="false">IF(OR(E453="",E453="!!!"),"",IF(NOT(ISNA(VLOOKUP(E453,Q$1:Q448,1,FALSE()))),"OLD",IF(AND(E453&lt;&gt;"",E453&lt;&gt;"!!!"),"NEW","")))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4" t="str">
        <f aca="false">IF(OR(E453="",E453="!!!",F453="NEW"),"",INDEX(N$2:N448,-1+SUMPRODUCT(MAX(ROW(E$2:E448)*(E453=E$2:E448)))))</f>
        <v/>
      </c>
      <c r="J453" s="25" t="str">
        <f aca="true">IF(OR(E453="",E453="!!!",F453="NEW"),"",COUNTBLANK(OFFSET(M$1,,,SUMPRODUCT(MAX(ROW(E$2:E449)*(E453=E$2:E449)))))-COUNTBLANK(OFFSET(M$1,,,SUMPRODUCT(MAX(ROW(Q$1:Q448)*(E453=Q$1:Q448))))))</f>
        <v/>
      </c>
      <c r="K453" s="25" t="str">
        <f aca="false">IF(OR(E453="",E453="!!!",F453="NEW"),"",INDEX(V$1:V448,SUMPRODUCT(MAX(ROW(Q$1:Q448)*(E453=Q$1:Q448)))))</f>
        <v/>
      </c>
      <c r="L453" s="26"/>
      <c r="M453" s="27"/>
    </row>
    <row r="454" customFormat="false" ht="15" hidden="false" customHeight="false" outlineLevel="0" collapsed="false">
      <c r="A454" s="19" t="s">
        <v>438</v>
      </c>
      <c r="E454" s="20" t="str">
        <f aca="false">IF(P454="?OLD","!!!","")</f>
        <v/>
      </c>
      <c r="F454" s="21" t="str">
        <f aca="false">IF(OR(E454="",E454="!!!"),"",IF(NOT(ISNA(VLOOKUP(E454,Q$1:Q449,1,FALSE()))),"OLD",IF(AND(E454&lt;&gt;"",E454&lt;&gt;"!!!"),"NEW","")))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4" t="str">
        <f aca="false">IF(OR(E454="",E454="!!!",F454="NEW"),"",INDEX(N$2:N449,-1+SUMPRODUCT(MAX(ROW(E$2:E449)*(E454=E$2:E449)))))</f>
        <v/>
      </c>
      <c r="J454" s="25" t="str">
        <f aca="true">IF(OR(E454="",E454="!!!",F454="NEW"),"",COUNTBLANK(OFFSET(M$1,,,SUMPRODUCT(MAX(ROW(E$2:E450)*(E454=E$2:E450)))))-COUNTBLANK(OFFSET(M$1,,,SUMPRODUCT(MAX(ROW(Q$1:Q449)*(E454=Q$1:Q449))))))</f>
        <v/>
      </c>
      <c r="K454" s="25" t="str">
        <f aca="false">IF(OR(E454="",E454="!!!",F454="NEW"),"",INDEX(V$1:V449,SUMPRODUCT(MAX(ROW(Q$1:Q449)*(E454=Q$1:Q449)))))</f>
        <v/>
      </c>
      <c r="L454" s="26"/>
      <c r="M454" s="27"/>
    </row>
    <row r="455" customFormat="false" ht="15" hidden="false" customHeight="false" outlineLevel="0" collapsed="false">
      <c r="A455" s="19" t="s">
        <v>452</v>
      </c>
      <c r="B455" s="28" t="s">
        <v>306</v>
      </c>
      <c r="C455" s="28" t="s">
        <v>358</v>
      </c>
      <c r="D455" s="28" t="s">
        <v>253</v>
      </c>
      <c r="E455" s="20" t="s">
        <v>413</v>
      </c>
      <c r="F455" s="21" t="str">
        <f aca="false">IF(OR(E455="",E455="!!!"),"",IF(NOT(ISNA(VLOOKUP(E455,Q$1:Q450,1,FALSE()))),"OLD",IF(AND(E455&lt;&gt;"",E455&lt;&gt;"!!!"),"NEW","")))</f>
        <v>NEW</v>
      </c>
      <c r="G455" s="22" t="s">
        <v>296</v>
      </c>
      <c r="H455" s="23" t="str">
        <f aca="false">IF(J455&lt;&gt;1,"",IF(I455="SBJ","CB","?"))</f>
        <v/>
      </c>
      <c r="I455" s="24" t="str">
        <f aca="false">IF(OR(E455="",E455="!!!",F455="NEW"),"",INDEX(N$2:N450,-1+SUMPRODUCT(MAX(ROW(E$2:E450)*(E455=E$2:E450)))))</f>
        <v/>
      </c>
      <c r="J455" s="25" t="str">
        <f aca="true">IF(OR(E455="",E455="!!!",F455="NEW"),"",COUNTBLANK(OFFSET(M$1,,,SUMPRODUCT(MAX(ROW(E$2:E451)*(E455=E$2:E451)))))-COUNTBLANK(OFFSET(M$1,,,SUMPRODUCT(MAX(ROW(Q$1:Q450)*(E455=Q$1:Q450))))))</f>
        <v/>
      </c>
      <c r="K455" s="25" t="str">
        <f aca="false">IF(OR(E455="",E455="!!!",F455="NEW"),"",INDEX(V$1:V450,SUMPRODUCT(MAX(ROW(Q$1:Q450)*(E455=Q$1:Q450)))))</f>
        <v/>
      </c>
      <c r="L455" s="26"/>
      <c r="M455" s="27"/>
      <c r="N455" s="29"/>
      <c r="O455" s="29"/>
      <c r="P455" s="29"/>
    </row>
    <row r="456" customFormat="false" ht="15" hidden="false" customHeight="false" outlineLevel="0" collapsed="false">
      <c r="A456" s="19" t="s">
        <v>319</v>
      </c>
      <c r="B456" s="28" t="s">
        <v>380</v>
      </c>
      <c r="C456" s="28" t="s">
        <v>314</v>
      </c>
      <c r="D456" s="28" t="s">
        <v>253</v>
      </c>
      <c r="E456" s="20" t="s">
        <v>320</v>
      </c>
      <c r="F456" s="21" t="str">
        <f aca="false">IF(OR(E456="",E456="!!!"),"",IF(NOT(ISNA(VLOOKUP(E456,Q$1:Q451,1,FALSE()))),"OLD",IF(AND(E456&lt;&gt;"",E456&lt;&gt;"!!!"),"NEW","")))</f>
        <v>NEW</v>
      </c>
      <c r="G456" s="22" t="s">
        <v>283</v>
      </c>
      <c r="H456" s="23" t="str">
        <f aca="false">IF(J456&lt;&gt;1,"",IF(I456="SBJ","CB","?"))</f>
        <v/>
      </c>
      <c r="I456" s="24" t="str">
        <f aca="false">IF(OR(E456="",E456="!!!",F456="NEW"),"",INDEX(N$2:N451,-1+SUMPRODUCT(MAX(ROW(E$2:E451)*(E456=E$2:E451)))))</f>
        <v/>
      </c>
      <c r="J456" s="25" t="str">
        <f aca="true">IF(OR(E456="",E456="!!!",F456="NEW"),"",COUNTBLANK(OFFSET(M$1,,,SUMPRODUCT(MAX(ROW(E$2:E452)*(E456=E$2:E452)))))-COUNTBLANK(OFFSET(M$1,,,SUMPRODUCT(MAX(ROW(Q$1:Q451)*(E456=Q$1:Q451))))))</f>
        <v/>
      </c>
      <c r="K456" s="25" t="str">
        <f aca="false">IF(OR(E456="",E456="!!!",F456="NEW"),"",INDEX(V$1:V451,SUMPRODUCT(MAX(ROW(Q$1:Q451)*(E456=Q$1:Q451)))))</f>
        <v/>
      </c>
      <c r="L456" s="26"/>
      <c r="M456" s="27"/>
      <c r="N456" s="29"/>
      <c r="O456" s="29"/>
      <c r="P456" s="29"/>
    </row>
    <row r="457" customFormat="false" ht="15" hidden="false" customHeight="false" outlineLevel="0" collapsed="false">
      <c r="A457" s="19" t="s">
        <v>261</v>
      </c>
      <c r="E457" s="20" t="str">
        <f aca="false">IF(P457="?OLD","!!!","")</f>
        <v/>
      </c>
      <c r="F457" s="21" t="str">
        <f aca="false">IF(OR(E457="",E457="!!!"),"",IF(NOT(ISNA(VLOOKUP(E457,Q$1:Q452,1,FALSE()))),"OLD",IF(AND(E457&lt;&gt;"",E457&lt;&gt;"!!!"),"NEW","")))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4" t="str">
        <f aca="false">IF(OR(E457="",E457="!!!",F457="NEW"),"",INDEX(N$2:N452,-1+SUMPRODUCT(MAX(ROW(E$2:E452)*(E457=E$2:E452)))))</f>
        <v/>
      </c>
      <c r="J457" s="25" t="str">
        <f aca="true">IF(OR(E457="",E457="!!!",F457="NEW"),"",COUNTBLANK(OFFSET(M$1,,,SUMPRODUCT(MAX(ROW(E$2:E453)*(E457=E$2:E453)))))-COUNTBLANK(OFFSET(M$1,,,SUMPRODUCT(MAX(ROW(Q$1:Q452)*(E457=Q$1:Q452))))))</f>
        <v/>
      </c>
      <c r="K457" s="25" t="str">
        <f aca="false">IF(OR(E457="",E457="!!!",F457="NEW"),"",INDEX(V$1:V452,SUMPRODUCT(MAX(ROW(Q$1:Q452)*(E457=Q$1:Q452)))))</f>
        <v/>
      </c>
      <c r="L457" s="26"/>
      <c r="M457" s="27"/>
    </row>
    <row r="458" customFormat="false" ht="15" hidden="false" customHeight="false" outlineLevel="0" collapsed="false">
      <c r="A458" s="19" t="s">
        <v>294</v>
      </c>
      <c r="E458" s="20" t="str">
        <f aca="false">IF(P458="?OLD","!!!","")</f>
        <v/>
      </c>
      <c r="F458" s="21" t="str">
        <f aca="false">IF(OR(E458="",E458="!!!"),"",IF(NOT(ISNA(VLOOKUP(E458,Q$1:Q453,1,FALSE()))),"OLD",IF(AND(E458&lt;&gt;"",E458&lt;&gt;"!!!"),"NEW","")))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IF(OR(E458="",E458="!!!",F458="NEW"),"",INDEX(N$2:N453,-1+SUMPRODUCT(MAX(ROW(E$2:E453)*(E458=E$2:E453)))))</f>
        <v/>
      </c>
      <c r="J458" s="25" t="str">
        <f aca="true">IF(OR(E458="",E458="!!!",F458="NEW"),"",COUNTBLANK(OFFSET(M$1,,,SUMPRODUCT(MAX(ROW(E$2:E454)*(E458=E$2:E454)))))-COUNTBLANK(OFFSET(M$1,,,SUMPRODUCT(MAX(ROW(Q$1:Q453)*(E458=Q$1:Q453))))))</f>
        <v/>
      </c>
      <c r="K458" s="25" t="str">
        <f aca="false">IF(OR(E458="",E458="!!!",F458="NEW"),"",INDEX(V$1:V453,SUMPRODUCT(MAX(ROW(Q$1:Q453)*(E458=Q$1:Q453)))))</f>
        <v/>
      </c>
      <c r="L458" s="26"/>
      <c r="M458" s="27"/>
    </row>
    <row r="459" customFormat="false" ht="15" hidden="false" customHeight="false" outlineLevel="0" collapsed="false">
      <c r="A459" s="19" t="s">
        <v>262</v>
      </c>
      <c r="B459" s="28" t="s">
        <v>251</v>
      </c>
      <c r="C459" s="28" t="s">
        <v>264</v>
      </c>
      <c r="D459" s="28" t="s">
        <v>253</v>
      </c>
      <c r="E459" s="20" t="s">
        <v>508</v>
      </c>
      <c r="F459" s="21" t="str">
        <f aca="false">IF(OR(E459="",E459="!!!"),"",IF(NOT(ISNA(VLOOKUP(E459,Q$1:Q454,1,FALSE()))),"OLD",IF(AND(E459&lt;&gt;"",E459&lt;&gt;"!!!"),"NEW","")))</f>
        <v>NEW</v>
      </c>
      <c r="G459" s="22" t="s">
        <v>255</v>
      </c>
      <c r="H459" s="23" t="str">
        <f aca="false">IF(J459&lt;&gt;1,"",IF(I459="SBJ","CB","?"))</f>
        <v/>
      </c>
      <c r="I459" s="24" t="str">
        <f aca="false">IF(OR(E459="",E459="!!!",F459="NEW"),"",INDEX(N$2:N454,-1+SUMPRODUCT(MAX(ROW(E$2:E454)*(E459=E$2:E454)))))</f>
        <v/>
      </c>
      <c r="J459" s="25" t="str">
        <f aca="true">IF(OR(E459="",E459="!!!",F459="NEW"),"",COUNTBLANK(OFFSET(M$1,,,SUMPRODUCT(MAX(ROW(E$2:E455)*(E459=E$2:E455)))))-COUNTBLANK(OFFSET(M$1,,,SUMPRODUCT(MAX(ROW(Q$1:Q454)*(E459=Q$1:Q454))))))</f>
        <v/>
      </c>
      <c r="K459" s="25" t="str">
        <f aca="false">IF(OR(E459="",E459="!!!",F459="NEW"),"",INDEX(V$1:V454,SUMPRODUCT(MAX(ROW(Q$1:Q454)*(E459=Q$1:Q454)))))</f>
        <v/>
      </c>
      <c r="L459" s="26"/>
      <c r="M459" s="27"/>
      <c r="N459" s="29"/>
      <c r="O459" s="29"/>
      <c r="P459" s="29"/>
    </row>
    <row r="460" customFormat="false" ht="15" hidden="false" customHeight="false" outlineLevel="0" collapsed="false">
      <c r="A460" s="19" t="s">
        <v>477</v>
      </c>
      <c r="E460" s="20" t="str">
        <f aca="false">IF(P460="?OLD","!!!","")</f>
        <v/>
      </c>
      <c r="F460" s="21" t="str">
        <f aca="false">IF(OR(E460="",E460="!!!"),"",IF(NOT(ISNA(VLOOKUP(E460,Q$1:Q455,1,FALSE()))),"OLD",IF(AND(E460&lt;&gt;"",E460&lt;&gt;"!!!"),"NEW","")))</f>
        <v/>
      </c>
      <c r="G460" s="22" t="str">
        <f aca="false">IF(OR(E460="",E460="!!!"),"",IF(OR(J460=0,AND(J460=1,K460=1),AND(J460=1,I460="SBJ"),AND(J460=1,I460=0)),"?IN_FOCUS",IF(J460&lt;=2,"?ACTIVATED",IF(J460&lt;&gt;"","?FAMILIAR",IF(F460="NEW",IF(ISNA(VLOOKUP(E460,#REF!,1,FALSE())),"?TYPE_IDENTIFIABLE","?REFERENTIAL"),"_")))))</f>
        <v/>
      </c>
      <c r="H460" s="23" t="str">
        <f aca="false">IF(J460&lt;&gt;1,"",IF(I460="SBJ","CB","?"))</f>
        <v/>
      </c>
      <c r="I460" s="24" t="str">
        <f aca="false">IF(OR(E460="",E460="!!!",F460="NEW"),"",INDEX(N$2:N455,-1+SUMPRODUCT(MAX(ROW(E$2:E455)*(E460=E$2:E455)))))</f>
        <v/>
      </c>
      <c r="J460" s="25" t="str">
        <f aca="true">IF(OR(E460="",E460="!!!",F460="NEW"),"",COUNTBLANK(OFFSET(M$1,,,SUMPRODUCT(MAX(ROW(E$2:E456)*(E460=E$2:E456)))))-COUNTBLANK(OFFSET(M$1,,,SUMPRODUCT(MAX(ROW(Q$1:Q455)*(E460=Q$1:Q455))))))</f>
        <v/>
      </c>
      <c r="K460" s="25" t="str">
        <f aca="false">IF(OR(E460="",E460="!!!",F460="NEW"),"",INDEX(V$1:V455,SUMPRODUCT(MAX(ROW(Q$1:Q455)*(E460=Q$1:Q455)))))</f>
        <v/>
      </c>
      <c r="L460" s="26"/>
      <c r="M460" s="27"/>
    </row>
    <row r="461" customFormat="false" ht="15" hidden="false" customHeight="false" outlineLevel="0" collapsed="false">
      <c r="A461" s="19" t="s">
        <v>83</v>
      </c>
      <c r="E461" s="20" t="str">
        <f aca="false">IF(P461="?OLD","!!!","")</f>
        <v/>
      </c>
      <c r="F461" s="21" t="str">
        <f aca="false">IF(OR(E461="",E461="!!!"),"",IF(NOT(ISNA(VLOOKUP(E461,Q$1:Q456,1,FALSE()))),"OLD",IF(AND(E461&lt;&gt;"",E461&lt;&gt;"!!!"),"NEW","")))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4" t="str">
        <f aca="false">IF(OR(E461="",E461="!!!",F461="NEW"),"",INDEX(N$2:N456,-1+SUMPRODUCT(MAX(ROW(E$2:E456)*(E461=E$2:E456)))))</f>
        <v/>
      </c>
      <c r="J461" s="25" t="str">
        <f aca="true">IF(OR(E461="",E461="!!!",F461="NEW"),"",COUNTBLANK(OFFSET(M$1,,,SUMPRODUCT(MAX(ROW(E$2:E457)*(E461=E$2:E457)))))-COUNTBLANK(OFFSET(M$1,,,SUMPRODUCT(MAX(ROW(Q$1:Q456)*(E461=Q$1:Q456))))))</f>
        <v/>
      </c>
      <c r="K461" s="25" t="str">
        <f aca="false">IF(OR(E461="",E461="!!!",F461="NEW"),"",INDEX(V$1:V456,SUMPRODUCT(MAX(ROW(Q$1:Q456)*(E461=Q$1:Q456)))))</f>
        <v/>
      </c>
      <c r="L461" s="26"/>
      <c r="M461" s="27"/>
    </row>
    <row r="462" customFormat="false" ht="15" hidden="false" customHeight="false" outlineLevel="0" collapsed="false">
      <c r="A462" s="19" t="s">
        <v>275</v>
      </c>
      <c r="E462" s="20" t="str">
        <f aca="false">IF(P462="?OLD","!!!","")</f>
        <v/>
      </c>
      <c r="F462" s="21" t="str">
        <f aca="false">IF(OR(E462="",E462="!!!"),"",IF(NOT(ISNA(VLOOKUP(E462,Q$1:Q457,1,FALSE()))),"OLD",IF(AND(E462&lt;&gt;"",E462&lt;&gt;"!!!"),"NEW","")))</f>
        <v/>
      </c>
      <c r="G462" s="22" t="str">
        <f aca="false">IF(OR(E462="",E462="!!!"),"",IF(OR(J462=0,AND(J462=1,K462=1),AND(J462=1,I462="SBJ"),AND(J462=1,I462=0)),"?IN_FOCUS",IF(J462&lt;=2,"?ACTIVATED",IF(J462&lt;&gt;"","?FAMILIAR",IF(F462="NEW",IF(ISNA(VLOOKUP(E462,#REF!,1,FALSE())),"?TYPE_IDENTIFIABLE","?REFERENTIAL"),"_")))))</f>
        <v/>
      </c>
      <c r="H462" s="23" t="str">
        <f aca="false">IF(J462&lt;&gt;1,"",IF(I462="SBJ","CB","?"))</f>
        <v/>
      </c>
      <c r="I462" s="24" t="str">
        <f aca="false">IF(OR(E462="",E462="!!!",F462="NEW"),"",INDEX(N$2:N457,-1+SUMPRODUCT(MAX(ROW(E$2:E457)*(E462=E$2:E457)))))</f>
        <v/>
      </c>
      <c r="J462" s="25" t="str">
        <f aca="true">IF(OR(E462="",E462="!!!",F462="NEW"),"",COUNTBLANK(OFFSET(M$1,,,SUMPRODUCT(MAX(ROW(E$2:E458)*(E462=E$2:E458)))))-COUNTBLANK(OFFSET(M$1,,,SUMPRODUCT(MAX(ROW(Q$1:Q457)*(E462=Q$1:Q457))))))</f>
        <v/>
      </c>
      <c r="K462" s="25" t="str">
        <f aca="false">IF(OR(E462="",E462="!!!",F462="NEW"),"",INDEX(V$1:V457,SUMPRODUCT(MAX(ROW(Q$1:Q457)*(E462=Q$1:Q457)))))</f>
        <v/>
      </c>
      <c r="L462" s="26"/>
      <c r="M462" s="27"/>
    </row>
    <row r="463" customFormat="false" ht="15" hidden="false" customHeight="false" outlineLevel="0" collapsed="false">
      <c r="A463" s="19"/>
      <c r="E463" s="20" t="str">
        <f aca="false">IF(P463="?OLD","!!!","")</f>
        <v/>
      </c>
      <c r="F463" s="21" t="str">
        <f aca="false">IF(OR(E463="",E463="!!!"),"",IF(NOT(ISNA(VLOOKUP(E463,Q$1:Q458,1,FALSE()))),"OLD",IF(AND(E463&lt;&gt;"",E463&lt;&gt;"!!!"),"NEW","")))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4" t="str">
        <f aca="false">IF(OR(E463="",E463="!!!",F463="NEW"),"",INDEX(N$2:N458,-1+SUMPRODUCT(MAX(ROW(E$2:E458)*(E463=E$2:E458)))))</f>
        <v/>
      </c>
      <c r="J463" s="25" t="str">
        <f aca="true">IF(OR(E463="",E463="!!!",F463="NEW"),"",COUNTBLANK(OFFSET(M$1,,,SUMPRODUCT(MAX(ROW(E$2:E459)*(E463=E$2:E459)))))-COUNTBLANK(OFFSET(M$1,,,SUMPRODUCT(MAX(ROW(Q$1:Q458)*(E463=Q$1:Q458))))))</f>
        <v/>
      </c>
      <c r="K463" s="25" t="str">
        <f aca="false">IF(OR(E463="",E463="!!!",F463="NEW"),"",INDEX(V$1:V458,SUMPRODUCT(MAX(ROW(Q$1:Q458)*(E463=Q$1:Q458)))))</f>
        <v/>
      </c>
      <c r="L463" s="26"/>
    </row>
    <row r="464" customFormat="false" ht="15" hidden="false" customHeight="false" outlineLevel="0" collapsed="false">
      <c r="A464" s="19" t="s">
        <v>509</v>
      </c>
      <c r="E464" s="20" t="str">
        <f aca="false">IF(P464="?OLD","!!!","")</f>
        <v/>
      </c>
      <c r="F464" s="21" t="str">
        <f aca="false">IF(OR(E464="",E464="!!!"),"",IF(NOT(ISNA(VLOOKUP(E464,Q$1:Q459,1,FALSE()))),"OLD",IF(AND(E464&lt;&gt;"",E464&lt;&gt;"!!!"),"NEW","")))</f>
        <v/>
      </c>
      <c r="G464" s="22" t="str">
        <f aca="false">IF(OR(E464="",E464="!!!"),"",IF(OR(J464=0,AND(J464=1,K464=1),AND(J464=1,I464="SBJ"),AND(J464=1,I464=0)),"?IN_FOCUS",IF(J464&lt;=2,"?ACTIVATED",IF(J464&lt;&gt;"","?FAMILIAR",IF(F464="NEW",IF(ISNA(VLOOKUP(E464,#REF!,1,FALSE())),"?TYPE_IDENTIFIABLE","?REFERENTIAL"),"_")))))</f>
        <v/>
      </c>
      <c r="H464" s="23" t="str">
        <f aca="false">IF(J464&lt;&gt;1,"",IF(I464="SBJ","CB","?"))</f>
        <v/>
      </c>
      <c r="I464" s="24" t="str">
        <f aca="false">IF(OR(E464="",E464="!!!",F464="NEW"),"",INDEX(N$2:N459,-1+SUMPRODUCT(MAX(ROW(E$2:E459)*(E464=E$2:E459)))))</f>
        <v/>
      </c>
      <c r="J464" s="25" t="str">
        <f aca="true">IF(OR(E464="",E464="!!!",F464="NEW"),"",COUNTBLANK(OFFSET(M$1,,,SUMPRODUCT(MAX(ROW(E$2:E460)*(E464=E$2:E460)))))-COUNTBLANK(OFFSET(M$1,,,SUMPRODUCT(MAX(ROW(Q$1:Q459)*(E464=Q$1:Q459))))))</f>
        <v/>
      </c>
      <c r="K464" s="25" t="str">
        <f aca="false">IF(OR(E464="",E464="!!!",F464="NEW"),"",INDEX(V$1:V459,SUMPRODUCT(MAX(ROW(Q$1:Q459)*(E464=Q$1:Q459)))))</f>
        <v/>
      </c>
      <c r="L464" s="26"/>
      <c r="M464" s="27"/>
    </row>
    <row r="465" customFormat="false" ht="15" hidden="false" customHeight="false" outlineLevel="0" collapsed="false">
      <c r="A465" s="19" t="s">
        <v>483</v>
      </c>
      <c r="B465" s="28" t="s">
        <v>263</v>
      </c>
      <c r="C465" s="28" t="s">
        <v>264</v>
      </c>
      <c r="D465" s="28" t="s">
        <v>253</v>
      </c>
      <c r="E465" s="20" t="s">
        <v>413</v>
      </c>
      <c r="F465" s="21" t="str">
        <f aca="false">IF(OR(E465="",E465="!!!"),"",IF(NOT(ISNA(VLOOKUP(E465,Q$1:Q460,1,FALSE()))),"OLD",IF(AND(E465&lt;&gt;"",E465&lt;&gt;"!!!"),"NEW","")))</f>
        <v>NEW</v>
      </c>
      <c r="G465" s="22" t="s">
        <v>266</v>
      </c>
      <c r="H465" s="23" t="s">
        <v>243</v>
      </c>
      <c r="I465" s="24" t="str">
        <f aca="false">IF(OR(E465="",E465="!!!",F465="NEW"),"",INDEX(N$2:N460,-1+SUMPRODUCT(MAX(ROW(E$2:E460)*(E465=E$2:E460)))))</f>
        <v/>
      </c>
      <c r="J465" s="25" t="str">
        <f aca="true">IF(OR(E465="",E465="!!!",F465="NEW"),"",COUNTBLANK(OFFSET(M$1,,,SUMPRODUCT(MAX(ROW(E$2:E461)*(E465=E$2:E461)))))-COUNTBLANK(OFFSET(M$1,,,SUMPRODUCT(MAX(ROW(Q$1:Q460)*(E465=Q$1:Q460))))))</f>
        <v/>
      </c>
      <c r="K465" s="25" t="str">
        <f aca="false">IF(OR(E465="",E465="!!!",F465="NEW"),"",INDEX(V$1:V460,SUMPRODUCT(MAX(ROW(Q$1:Q460)*(E465=Q$1:Q460)))))</f>
        <v/>
      </c>
      <c r="L465" s="26"/>
      <c r="M465" s="27"/>
      <c r="N465" s="29"/>
      <c r="O465" s="29"/>
      <c r="P465" s="29"/>
    </row>
    <row r="466" customFormat="false" ht="15" hidden="false" customHeight="false" outlineLevel="0" collapsed="false">
      <c r="A466" s="19" t="s">
        <v>477</v>
      </c>
      <c r="E466" s="20" t="str">
        <f aca="false">IF(P466="?OLD","!!!","")</f>
        <v/>
      </c>
      <c r="F466" s="21" t="str">
        <f aca="false">IF(OR(E466="",E466="!!!"),"",IF(NOT(ISNA(VLOOKUP(E466,Q$1:Q461,1,FALSE()))),"OLD",IF(AND(E466&lt;&gt;"",E466&lt;&gt;"!!!"),"NEW","")))</f>
        <v/>
      </c>
      <c r="G466" s="22" t="str">
        <f aca="false">IF(OR(E466="",E466="!!!"),"",IF(OR(J466=0,AND(J466=1,K466=1),AND(J466=1,I466="SBJ"),AND(J466=1,I466=0)),"?IN_FOCUS",IF(J466&lt;=2,"?ACTIVATED",IF(J466&lt;&gt;"","?FAMILIAR",IF(F466="NEW",IF(ISNA(VLOOKUP(E466,#REF!,1,FALSE())),"?TYPE_IDENTIFIABLE","?REFERENTIAL"),"_")))))</f>
        <v/>
      </c>
      <c r="H466" s="23" t="str">
        <f aca="false">IF(J466&lt;&gt;1,"",IF(I466="SBJ","CB","?"))</f>
        <v/>
      </c>
      <c r="I466" s="24" t="str">
        <f aca="false">IF(OR(E466="",E466="!!!",F466="NEW"),"",INDEX(N$2:N461,-1+SUMPRODUCT(MAX(ROW(E$2:E461)*(E466=E$2:E461)))))</f>
        <v/>
      </c>
      <c r="J466" s="25" t="str">
        <f aca="true">IF(OR(E466="",E466="!!!",F466="NEW"),"",COUNTBLANK(OFFSET(M$1,,,SUMPRODUCT(MAX(ROW(E$2:E462)*(E466=E$2:E462)))))-COUNTBLANK(OFFSET(M$1,,,SUMPRODUCT(MAX(ROW(Q$1:Q461)*(E466=Q$1:Q461))))))</f>
        <v/>
      </c>
      <c r="K466" s="25" t="str">
        <f aca="false">IF(OR(E466="",E466="!!!",F466="NEW"),"",INDEX(V$1:V461,SUMPRODUCT(MAX(ROW(Q$1:Q461)*(E466=Q$1:Q461)))))</f>
        <v/>
      </c>
      <c r="L466" s="26"/>
      <c r="M466" s="27"/>
    </row>
    <row r="467" customFormat="false" ht="15" hidden="false" customHeight="false" outlineLevel="0" collapsed="false">
      <c r="A467" s="19" t="s">
        <v>510</v>
      </c>
      <c r="E467" s="20" t="str">
        <f aca="false">IF(P467="?OLD","!!!","")</f>
        <v/>
      </c>
      <c r="F467" s="21" t="str">
        <f aca="false">IF(OR(E467="",E467="!!!"),"",IF(NOT(ISNA(VLOOKUP(E467,Q$1:Q462,1,FALSE()))),"OLD",IF(AND(E467&lt;&gt;"",E467&lt;&gt;"!!!"),"NEW","")))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4" t="str">
        <f aca="false">IF(OR(E467="",E467="!!!",F467="NEW"),"",INDEX(N$2:N462,-1+SUMPRODUCT(MAX(ROW(E$2:E462)*(E467=E$2:E462)))))</f>
        <v/>
      </c>
      <c r="J467" s="25" t="str">
        <f aca="true">IF(OR(E467="",E467="!!!",F467="NEW"),"",COUNTBLANK(OFFSET(M$1,,,SUMPRODUCT(MAX(ROW(E$2:E463)*(E467=E$2:E463)))))-COUNTBLANK(OFFSET(M$1,,,SUMPRODUCT(MAX(ROW(Q$1:Q462)*(E467=Q$1:Q462))))))</f>
        <v/>
      </c>
      <c r="K467" s="25" t="str">
        <f aca="false">IF(OR(E467="",E467="!!!",F467="NEW"),"",INDEX(V$1:V462,SUMPRODUCT(MAX(ROW(Q$1:Q462)*(E467=Q$1:Q462)))))</f>
        <v/>
      </c>
      <c r="L467" s="26"/>
      <c r="M467" s="27"/>
    </row>
    <row r="468" customFormat="false" ht="15" hidden="false" customHeight="false" outlineLevel="0" collapsed="false">
      <c r="A468" s="19" t="s">
        <v>511</v>
      </c>
      <c r="B468" s="28" t="s">
        <v>380</v>
      </c>
      <c r="C468" s="28" t="s">
        <v>259</v>
      </c>
      <c r="E468" s="20" t="str">
        <f aca="false">IF(P468="?OLD","!!!","")</f>
        <v/>
      </c>
      <c r="F468" s="21" t="str">
        <f aca="false">IF(OR(E468="",E468="!!!"),"",IF(NOT(ISNA(VLOOKUP(E468,Q$1:Q463,1,FALSE()))),"OLD",IF(AND(E468&lt;&gt;"",E468&lt;&gt;"!!!"),"NEW","")))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4" t="str">
        <f aca="false">IF(OR(E468="",E468="!!!",F468="NEW"),"",INDEX(N$2:N463,-1+SUMPRODUCT(MAX(ROW(E$2:E463)*(E468=E$2:E463)))))</f>
        <v/>
      </c>
      <c r="J468" s="25" t="str">
        <f aca="true">IF(OR(E468="",E468="!!!",F468="NEW"),"",COUNTBLANK(OFFSET(M$1,,,SUMPRODUCT(MAX(ROW(E$2:E464)*(E468=E$2:E464)))))-COUNTBLANK(OFFSET(M$1,,,SUMPRODUCT(MAX(ROW(Q$1:Q463)*(E468=Q$1:Q463))))))</f>
        <v/>
      </c>
      <c r="K468" s="25" t="str">
        <f aca="false">IF(OR(E468="",E468="!!!",F468="NEW"),"",INDEX(V$1:V463,SUMPRODUCT(MAX(ROW(Q$1:Q463)*(E468=Q$1:Q463)))))</f>
        <v/>
      </c>
      <c r="L468" s="26"/>
      <c r="M468" s="27"/>
      <c r="N468" s="29"/>
      <c r="O468" s="29"/>
    </row>
    <row r="469" customFormat="false" ht="15" hidden="false" customHeight="false" outlineLevel="0" collapsed="false">
      <c r="A469" s="19" t="s">
        <v>273</v>
      </c>
      <c r="E469" s="20" t="str">
        <f aca="false">IF(P469="?OLD","!!!","")</f>
        <v/>
      </c>
      <c r="F469" s="21" t="str">
        <f aca="false">IF(OR(E469="",E469="!!!"),"",IF(NOT(ISNA(VLOOKUP(E469,Q$1:Q464,1,FALSE()))),"OLD",IF(AND(E469&lt;&gt;"",E469&lt;&gt;"!!!"),"NEW","")))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4" t="str">
        <f aca="false">IF(OR(E469="",E469="!!!",F469="NEW"),"",INDEX(N$2:N464,-1+SUMPRODUCT(MAX(ROW(E$2:E464)*(E469=E$2:E464)))))</f>
        <v/>
      </c>
      <c r="J469" s="25" t="str">
        <f aca="true">IF(OR(E469="",E469="!!!",F469="NEW"),"",COUNTBLANK(OFFSET(M$1,,,SUMPRODUCT(MAX(ROW(E$2:E465)*(E469=E$2:E465)))))-COUNTBLANK(OFFSET(M$1,,,SUMPRODUCT(MAX(ROW(Q$1:Q464)*(E469=Q$1:Q464))))))</f>
        <v/>
      </c>
      <c r="K469" s="25" t="str">
        <f aca="false">IF(OR(E469="",E469="!!!",F469="NEW"),"",INDEX(V$1:V464,SUMPRODUCT(MAX(ROW(Q$1:Q464)*(E469=Q$1:Q464)))))</f>
        <v/>
      </c>
      <c r="L469" s="26"/>
      <c r="M469" s="27"/>
    </row>
    <row r="470" customFormat="false" ht="15" hidden="false" customHeight="false" outlineLevel="0" collapsed="false">
      <c r="A470" s="19" t="s">
        <v>250</v>
      </c>
      <c r="E470" s="20" t="str">
        <f aca="false">IF(P470="?OLD","!!!","")</f>
        <v/>
      </c>
      <c r="F470" s="21" t="str">
        <f aca="false">IF(OR(E470="",E470="!!!"),"",IF(NOT(ISNA(VLOOKUP(E470,Q$1:Q465,1,FALSE()))),"OLD",IF(AND(E470&lt;&gt;"",E470&lt;&gt;"!!!"),"NEW","")))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IF(OR(E470="",E470="!!!",F470="NEW"),"",INDEX(N$2:N465,-1+SUMPRODUCT(MAX(ROW(E$2:E465)*(E470=E$2:E465)))))</f>
        <v/>
      </c>
      <c r="J470" s="25" t="str">
        <f aca="true">IF(OR(E470="",E470="!!!",F470="NEW"),"",COUNTBLANK(OFFSET(M$1,,,SUMPRODUCT(MAX(ROW(E$2:E466)*(E470=E$2:E466)))))-COUNTBLANK(OFFSET(M$1,,,SUMPRODUCT(MAX(ROW(Q$1:Q465)*(E470=Q$1:Q465))))))</f>
        <v/>
      </c>
      <c r="K470" s="25" t="str">
        <f aca="false">IF(OR(E470="",E470="!!!",F470="NEW"),"",INDEX(V$1:V465,SUMPRODUCT(MAX(ROW(Q$1:Q465)*(E470=Q$1:Q465)))))</f>
        <v/>
      </c>
      <c r="L470" s="26"/>
      <c r="M470" s="27"/>
    </row>
    <row r="471" customFormat="false" ht="15" hidden="false" customHeight="false" outlineLevel="0" collapsed="false">
      <c r="A471" s="19" t="s">
        <v>281</v>
      </c>
      <c r="B471" s="28" t="s">
        <v>271</v>
      </c>
      <c r="C471" s="28" t="s">
        <v>252</v>
      </c>
      <c r="D471" s="28" t="s">
        <v>253</v>
      </c>
      <c r="E471" s="20" t="s">
        <v>282</v>
      </c>
      <c r="F471" s="21" t="str">
        <f aca="false">IF(OR(E471="",E471="!!!"),"",IF(NOT(ISNA(VLOOKUP(E471,Q$1:Q466,1,FALSE()))),"OLD",IF(AND(E471&lt;&gt;"",E471&lt;&gt;"!!!"),"NEW","")))</f>
        <v>NEW</v>
      </c>
      <c r="G471" s="22" t="s">
        <v>283</v>
      </c>
      <c r="H471" s="23" t="str">
        <f aca="false">IF(J471&lt;&gt;1,"",IF(I471="SBJ","CB","?"))</f>
        <v/>
      </c>
      <c r="I471" s="24" t="str">
        <f aca="false">IF(OR(E471="",E471="!!!",F471="NEW"),"",INDEX(N$2:N466,-1+SUMPRODUCT(MAX(ROW(E$2:E466)*(E471=E$2:E466)))))</f>
        <v/>
      </c>
      <c r="J471" s="25" t="str">
        <f aca="true">IF(OR(E471="",E471="!!!",F471="NEW"),"",COUNTBLANK(OFFSET(M$1,,,SUMPRODUCT(MAX(ROW(E$2:E467)*(E471=E$2:E467)))))-COUNTBLANK(OFFSET(M$1,,,SUMPRODUCT(MAX(ROW(Q$1:Q466)*(E471=Q$1:Q466))))))</f>
        <v/>
      </c>
      <c r="K471" s="25" t="str">
        <f aca="false">IF(OR(E471="",E471="!!!",F471="NEW"),"",INDEX(V$1:V466,SUMPRODUCT(MAX(ROW(Q$1:Q466)*(E471=Q$1:Q466)))))</f>
        <v/>
      </c>
      <c r="L471" s="26"/>
      <c r="M471" s="27"/>
      <c r="N471" s="29"/>
      <c r="O471" s="29"/>
      <c r="P471" s="29"/>
    </row>
    <row r="472" customFormat="false" ht="15" hidden="false" customHeight="false" outlineLevel="0" collapsed="false">
      <c r="A472" s="19" t="s">
        <v>512</v>
      </c>
      <c r="E472" s="20" t="str">
        <f aca="false">IF(P472="?OLD","!!!","")</f>
        <v/>
      </c>
      <c r="F472" s="21" t="str">
        <f aca="false">IF(OR(E472="",E472="!!!"),"",IF(NOT(ISNA(VLOOKUP(E472,Q$1:Q467,1,FALSE()))),"OLD",IF(AND(E472&lt;&gt;"",E472&lt;&gt;"!!!"),"NEW","")))</f>
        <v/>
      </c>
      <c r="G472" s="22" t="str">
        <f aca="false">IF(OR(E472="",E472="!!!"),"",IF(OR(J472=0,AND(J472=1,K472=1),AND(J472=1,I472="SBJ"),AND(J472=1,I472=0)),"?IN_FOCUS",IF(J472&lt;=2,"?ACTIVATED",IF(J472&lt;&gt;"","?FAMILIAR",IF(F472="NEW",IF(ISNA(VLOOKUP(E472,#REF!,1,FALSE())),"?TYPE_IDENTIFIABLE","?REFERENTIAL"),"_")))))</f>
        <v/>
      </c>
      <c r="H472" s="23" t="str">
        <f aca="false">IF(J472&lt;&gt;1,"",IF(I472="SBJ","CB","?"))</f>
        <v/>
      </c>
      <c r="I472" s="24" t="str">
        <f aca="false">IF(OR(E472="",E472="!!!",F472="NEW"),"",INDEX(N$2:N467,-1+SUMPRODUCT(MAX(ROW(E$2:E467)*(E472=E$2:E467)))))</f>
        <v/>
      </c>
      <c r="J472" s="25" t="str">
        <f aca="true">IF(OR(E472="",E472="!!!",F472="NEW"),"",COUNTBLANK(OFFSET(M$1,,,SUMPRODUCT(MAX(ROW(E$2:E468)*(E472=E$2:E468)))))-COUNTBLANK(OFFSET(M$1,,,SUMPRODUCT(MAX(ROW(Q$1:Q467)*(E472=Q$1:Q467))))))</f>
        <v/>
      </c>
      <c r="K472" s="25" t="str">
        <f aca="false">IF(OR(E472="",E472="!!!",F472="NEW"),"",INDEX(V$1:V467,SUMPRODUCT(MAX(ROW(Q$1:Q467)*(E472=Q$1:Q467)))))</f>
        <v/>
      </c>
      <c r="L472" s="26"/>
      <c r="M472" s="27"/>
    </row>
    <row r="473" customFormat="false" ht="15" hidden="false" customHeight="false" outlineLevel="0" collapsed="false">
      <c r="A473" s="19" t="s">
        <v>261</v>
      </c>
      <c r="E473" s="20" t="str">
        <f aca="false">IF(P473="?OLD","!!!","")</f>
        <v/>
      </c>
      <c r="F473" s="21" t="str">
        <f aca="false">IF(OR(E473="",E473="!!!"),"",IF(NOT(ISNA(VLOOKUP(E473,Q$1:Q468,1,FALSE()))),"OLD",IF(AND(E473&lt;&gt;"",E473&lt;&gt;"!!!"),"NEW","")))</f>
        <v/>
      </c>
      <c r="G473" s="22" t="str">
        <f aca="false">IF(OR(E473="",E473="!!!"),"",IF(OR(J473=0,AND(J473=1,K473=1),AND(J473=1,I473="SBJ"),AND(J473=1,I473=0)),"?IN_FOCUS",IF(J473&lt;=2,"?ACTIVATED",IF(J473&lt;&gt;"","?FAMILIAR",IF(F473="NEW",IF(ISNA(VLOOKUP(E473,#REF!,1,FALSE())),"?TYPE_IDENTIFIABLE","?REFERENTIAL"),"_")))))</f>
        <v/>
      </c>
      <c r="H473" s="23" t="str">
        <f aca="false">IF(J473&lt;&gt;1,"",IF(I473="SBJ","CB","?"))</f>
        <v/>
      </c>
      <c r="I473" s="24" t="str">
        <f aca="false">IF(OR(E473="",E473="!!!",F473="NEW"),"",INDEX(N$2:N468,-1+SUMPRODUCT(MAX(ROW(E$2:E468)*(E473=E$2:E468)))))</f>
        <v/>
      </c>
      <c r="J473" s="25" t="str">
        <f aca="true">IF(OR(E473="",E473="!!!",F473="NEW"),"",COUNTBLANK(OFFSET(M$1,,,SUMPRODUCT(MAX(ROW(E$2:E469)*(E473=E$2:E469)))))-COUNTBLANK(OFFSET(M$1,,,SUMPRODUCT(MAX(ROW(Q$1:Q468)*(E473=Q$1:Q468))))))</f>
        <v/>
      </c>
      <c r="K473" s="25" t="str">
        <f aca="false">IF(OR(E473="",E473="!!!",F473="NEW"),"",INDEX(V$1:V468,SUMPRODUCT(MAX(ROW(Q$1:Q468)*(E473=Q$1:Q468)))))</f>
        <v/>
      </c>
      <c r="L473" s="26"/>
      <c r="M473" s="27"/>
    </row>
    <row r="474" customFormat="false" ht="15" hidden="false" customHeight="false" outlineLevel="0" collapsed="false">
      <c r="A474" s="19" t="s">
        <v>294</v>
      </c>
      <c r="E474" s="20" t="str">
        <f aca="false">IF(P474="?OLD","!!!","")</f>
        <v/>
      </c>
      <c r="F474" s="21" t="str">
        <f aca="false">IF(OR(E474="",E474="!!!"),"",IF(NOT(ISNA(VLOOKUP(E474,Q$1:Q469,1,FALSE()))),"OLD",IF(AND(E474&lt;&gt;"",E474&lt;&gt;"!!!"),"NEW","")))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4" t="str">
        <f aca="false">IF(OR(E474="",E474="!!!",F474="NEW"),"",INDEX(N$2:N469,-1+SUMPRODUCT(MAX(ROW(E$2:E469)*(E474=E$2:E469)))))</f>
        <v/>
      </c>
      <c r="J474" s="25" t="str">
        <f aca="true">IF(OR(E474="",E474="!!!",F474="NEW"),"",COUNTBLANK(OFFSET(M$1,,,SUMPRODUCT(MAX(ROW(E$2:E470)*(E474=E$2:E470)))))-COUNTBLANK(OFFSET(M$1,,,SUMPRODUCT(MAX(ROW(Q$1:Q469)*(E474=Q$1:Q469))))))</f>
        <v/>
      </c>
      <c r="K474" s="25" t="str">
        <f aca="false">IF(OR(E474="",E474="!!!",F474="NEW"),"",INDEX(V$1:V469,SUMPRODUCT(MAX(ROW(Q$1:Q469)*(E474=Q$1:Q469)))))</f>
        <v/>
      </c>
      <c r="L474" s="26"/>
      <c r="M474" s="27"/>
    </row>
    <row r="475" customFormat="false" ht="15" hidden="false" customHeight="false" outlineLevel="0" collapsed="false">
      <c r="A475" s="19" t="s">
        <v>513</v>
      </c>
      <c r="B475" s="28" t="s">
        <v>271</v>
      </c>
      <c r="C475" s="28" t="s">
        <v>259</v>
      </c>
      <c r="E475" s="20" t="str">
        <f aca="false">IF(P475="?OLD","!!!","")</f>
        <v/>
      </c>
      <c r="F475" s="21" t="str">
        <f aca="false">IF(OR(E475="",E475="!!!"),"",IF(NOT(ISNA(VLOOKUP(E475,Q$1:Q470,1,FALSE()))),"OLD",IF(AND(E475&lt;&gt;"",E475&lt;&gt;"!!!"),"NEW","")))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IF(OR(E475="",E475="!!!",F475="NEW"),"",INDEX(N$2:N470,-1+SUMPRODUCT(MAX(ROW(E$2:E470)*(E475=E$2:E470)))))</f>
        <v/>
      </c>
      <c r="J475" s="25" t="str">
        <f aca="true">IF(OR(E475="",E475="!!!",F475="NEW"),"",COUNTBLANK(OFFSET(M$1,,,SUMPRODUCT(MAX(ROW(E$2:E471)*(E475=E$2:E471)))))-COUNTBLANK(OFFSET(M$1,,,SUMPRODUCT(MAX(ROW(Q$1:Q470)*(E475=Q$1:Q470))))))</f>
        <v/>
      </c>
      <c r="K475" s="25" t="str">
        <f aca="false">IF(OR(E475="",E475="!!!",F475="NEW"),"",INDEX(V$1:V470,SUMPRODUCT(MAX(ROW(Q$1:Q470)*(E475=Q$1:Q470)))))</f>
        <v/>
      </c>
      <c r="L475" s="26"/>
      <c r="M475" s="27"/>
      <c r="N475" s="29"/>
      <c r="O475" s="29"/>
    </row>
    <row r="476" customFormat="false" ht="15" hidden="false" customHeight="false" outlineLevel="0" collapsed="false">
      <c r="A476" s="19" t="s">
        <v>312</v>
      </c>
      <c r="E476" s="20" t="str">
        <f aca="false">IF(P476="?OLD","!!!","")</f>
        <v/>
      </c>
      <c r="F476" s="21" t="str">
        <f aca="false">IF(OR(E476="",E476="!!!"),"",IF(NOT(ISNA(VLOOKUP(E476,Q$1:Q471,1,FALSE()))),"OLD",IF(AND(E476&lt;&gt;"",E476&lt;&gt;"!!!"),"NEW","")))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4" t="str">
        <f aca="false">IF(OR(E476="",E476="!!!",F476="NEW"),"",INDEX(N$2:N471,-1+SUMPRODUCT(MAX(ROW(E$2:E471)*(E476=E$2:E471)))))</f>
        <v/>
      </c>
      <c r="J476" s="25" t="str">
        <f aca="true">IF(OR(E476="",E476="!!!",F476="NEW"),"",COUNTBLANK(OFFSET(M$1,,,SUMPRODUCT(MAX(ROW(E$2:E472)*(E476=E$2:E472)))))-COUNTBLANK(OFFSET(M$1,,,SUMPRODUCT(MAX(ROW(Q$1:Q471)*(E476=Q$1:Q471))))))</f>
        <v/>
      </c>
      <c r="K476" s="25" t="str">
        <f aca="false">IF(OR(E476="",E476="!!!",F476="NEW"),"",INDEX(V$1:V471,SUMPRODUCT(MAX(ROW(Q$1:Q471)*(E476=Q$1:Q471)))))</f>
        <v/>
      </c>
      <c r="L476" s="26"/>
      <c r="M476" s="27"/>
    </row>
    <row r="477" customFormat="false" ht="15" hidden="false" customHeight="false" outlineLevel="0" collapsed="false">
      <c r="A477" s="19" t="s">
        <v>250</v>
      </c>
      <c r="E477" s="20" t="str">
        <f aca="false">IF(P477="?OLD","!!!","")</f>
        <v/>
      </c>
      <c r="F477" s="21" t="str">
        <f aca="false">IF(OR(E477="",E477="!!!"),"",IF(NOT(ISNA(VLOOKUP(E477,Q$1:Q472,1,FALSE()))),"OLD",IF(AND(E477&lt;&gt;"",E477&lt;&gt;"!!!"),"NEW","")))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4" t="str">
        <f aca="false">IF(OR(E477="",E477="!!!",F477="NEW"),"",INDEX(N$2:N472,-1+SUMPRODUCT(MAX(ROW(E$2:E472)*(E477=E$2:E472)))))</f>
        <v/>
      </c>
      <c r="J477" s="25" t="str">
        <f aca="true">IF(OR(E477="",E477="!!!",F477="NEW"),"",COUNTBLANK(OFFSET(M$1,,,SUMPRODUCT(MAX(ROW(E$2:E473)*(E477=E$2:E473)))))-COUNTBLANK(OFFSET(M$1,,,SUMPRODUCT(MAX(ROW(Q$1:Q472)*(E477=Q$1:Q472))))))</f>
        <v/>
      </c>
      <c r="K477" s="25" t="str">
        <f aca="false">IF(OR(E477="",E477="!!!",F477="NEW"),"",INDEX(V$1:V472,SUMPRODUCT(MAX(ROW(Q$1:Q472)*(E477=Q$1:Q472)))))</f>
        <v/>
      </c>
      <c r="L477" s="26"/>
      <c r="M477" s="27"/>
    </row>
    <row r="478" customFormat="false" ht="15" hidden="false" customHeight="false" outlineLevel="0" collapsed="false">
      <c r="A478" s="19" t="s">
        <v>514</v>
      </c>
      <c r="E478" s="20" t="str">
        <f aca="false">IF(P478="?OLD","!!!","")</f>
        <v/>
      </c>
      <c r="F478" s="21" t="str">
        <f aca="false">IF(OR(E478="",E478="!!!"),"",IF(NOT(ISNA(VLOOKUP(E478,Q$1:Q473,1,FALSE()))),"OLD",IF(AND(E478&lt;&gt;"",E478&lt;&gt;"!!!"),"NEW","")))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IF(OR(E478="",E478="!!!",F478="NEW"),"",INDEX(N$2:N473,-1+SUMPRODUCT(MAX(ROW(E$2:E473)*(E478=E$2:E473)))))</f>
        <v/>
      </c>
      <c r="J478" s="25" t="str">
        <f aca="true">IF(OR(E478="",E478="!!!",F478="NEW"),"",COUNTBLANK(OFFSET(M$1,,,SUMPRODUCT(MAX(ROW(E$2:E474)*(E478=E$2:E474)))))-COUNTBLANK(OFFSET(M$1,,,SUMPRODUCT(MAX(ROW(Q$1:Q473)*(E478=Q$1:Q473))))))</f>
        <v/>
      </c>
      <c r="K478" s="25" t="str">
        <f aca="false">IF(OR(E478="",E478="!!!",F478="NEW"),"",INDEX(V$1:V473,SUMPRODUCT(MAX(ROW(Q$1:Q473)*(E478=Q$1:Q473)))))</f>
        <v/>
      </c>
      <c r="L478" s="26"/>
      <c r="M478" s="27"/>
    </row>
    <row r="479" customFormat="false" ht="15" hidden="false" customHeight="false" outlineLevel="0" collapsed="false">
      <c r="A479" s="19" t="s">
        <v>515</v>
      </c>
      <c r="B479" s="28" t="s">
        <v>306</v>
      </c>
      <c r="C479" s="28" t="s">
        <v>252</v>
      </c>
      <c r="D479" s="28" t="s">
        <v>253</v>
      </c>
      <c r="E479" s="20" t="s">
        <v>516</v>
      </c>
      <c r="F479" s="21" t="str">
        <f aca="false">IF(OR(E479="",E479="!!!"),"",IF(NOT(ISNA(VLOOKUP(E479,Q$1:Q474,1,FALSE()))),"OLD",IF(AND(E479&lt;&gt;"",E479&lt;&gt;"!!!"),"NEW","")))</f>
        <v>NEW</v>
      </c>
      <c r="G479" s="22" t="s">
        <v>283</v>
      </c>
      <c r="H479" s="23" t="str">
        <f aca="false">IF(J479&lt;&gt;1,"",IF(I479="SBJ","CB","?"))</f>
        <v/>
      </c>
      <c r="I479" s="24" t="str">
        <f aca="false">IF(OR(E479="",E479="!!!",F479="NEW"),"",INDEX(N$2:N474,-1+SUMPRODUCT(MAX(ROW(E$2:E474)*(E479=E$2:E474)))))</f>
        <v/>
      </c>
      <c r="J479" s="25" t="str">
        <f aca="true">IF(OR(E479="",E479="!!!",F479="NEW"),"",COUNTBLANK(OFFSET(M$1,,,SUMPRODUCT(MAX(ROW(E$2:E475)*(E479=E$2:E475)))))-COUNTBLANK(OFFSET(M$1,,,SUMPRODUCT(MAX(ROW(Q$1:Q474)*(E479=Q$1:Q474))))))</f>
        <v/>
      </c>
      <c r="K479" s="25" t="str">
        <f aca="false">IF(OR(E479="",E479="!!!",F479="NEW"),"",INDEX(V$1:V474,SUMPRODUCT(MAX(ROW(Q$1:Q474)*(E479=Q$1:Q474)))))</f>
        <v/>
      </c>
      <c r="L479" s="26"/>
      <c r="M479" s="27"/>
      <c r="N479" s="29"/>
      <c r="O479" s="29"/>
      <c r="P479" s="29"/>
    </row>
    <row r="480" customFormat="false" ht="15" hidden="false" customHeight="false" outlineLevel="0" collapsed="false">
      <c r="A480" s="19" t="s">
        <v>517</v>
      </c>
      <c r="E480" s="20" t="str">
        <f aca="false">IF(P480="?OLD","!!!","")</f>
        <v/>
      </c>
      <c r="F480" s="21" t="str">
        <f aca="false">IF(OR(E480="",E480="!!!"),"",IF(NOT(ISNA(VLOOKUP(E480,Q$1:Q475,1,FALSE()))),"OLD",IF(AND(E480&lt;&gt;"",E480&lt;&gt;"!!!"),"NEW","")))</f>
        <v/>
      </c>
      <c r="G480" s="22" t="str">
        <f aca="false">IF(OR(E480="",E480="!!!"),"",IF(OR(J480=0,AND(J480=1,K480=1),AND(J480=1,I480="SBJ"),AND(J480=1,I480=0)),"?IN_FOCUS",IF(J480&lt;=2,"?ACTIVATED",IF(J480&lt;&gt;"","?FAMILIAR",IF(F480="NEW",IF(ISNA(VLOOKUP(E480,#REF!,1,FALSE())),"?TYPE_IDENTIFIABLE","?REFERENTIAL"),"_")))))</f>
        <v/>
      </c>
      <c r="H480" s="23" t="str">
        <f aca="false">IF(J480&lt;&gt;1,"",IF(I480="SBJ","CB","?"))</f>
        <v/>
      </c>
      <c r="I480" s="24" t="str">
        <f aca="false">IF(OR(E480="",E480="!!!",F480="NEW"),"",INDEX(N$2:N475,-1+SUMPRODUCT(MAX(ROW(E$2:E475)*(E480=E$2:E475)))))</f>
        <v/>
      </c>
      <c r="J480" s="25" t="str">
        <f aca="true">IF(OR(E480="",E480="!!!",F480="NEW"),"",COUNTBLANK(OFFSET(M$1,,,SUMPRODUCT(MAX(ROW(E$2:E476)*(E480=E$2:E476)))))-COUNTBLANK(OFFSET(M$1,,,SUMPRODUCT(MAX(ROW(Q$1:Q475)*(E480=Q$1:Q475))))))</f>
        <v/>
      </c>
      <c r="K480" s="25" t="str">
        <f aca="false">IF(OR(E480="",E480="!!!",F480="NEW"),"",INDEX(V$1:V475,SUMPRODUCT(MAX(ROW(Q$1:Q475)*(E480=Q$1:Q475)))))</f>
        <v/>
      </c>
      <c r="L480" s="26"/>
      <c r="M480" s="27"/>
    </row>
    <row r="481" customFormat="false" ht="15" hidden="false" customHeight="false" outlineLevel="0" collapsed="false">
      <c r="A481" s="19" t="s">
        <v>518</v>
      </c>
      <c r="B481" s="28" t="s">
        <v>271</v>
      </c>
      <c r="C481" s="28" t="s">
        <v>259</v>
      </c>
      <c r="E481" s="20" t="str">
        <f aca="false">IF(P481="?OLD","!!!","")</f>
        <v/>
      </c>
      <c r="F481" s="21" t="str">
        <f aca="false">IF(OR(E481="",E481="!!!"),"",IF(NOT(ISNA(VLOOKUP(E481,Q$1:Q476,1,FALSE()))),"OLD",IF(AND(E481&lt;&gt;"",E481&lt;&gt;"!!!"),"NEW","")))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IF(OR(E481="",E481="!!!",F481="NEW"),"",INDEX(N$2:N476,-1+SUMPRODUCT(MAX(ROW(E$2:E476)*(E481=E$2:E476)))))</f>
        <v/>
      </c>
      <c r="J481" s="25" t="str">
        <f aca="true">IF(OR(E481="",E481="!!!",F481="NEW"),"",COUNTBLANK(OFFSET(M$1,,,SUMPRODUCT(MAX(ROW(E$2:E477)*(E481=E$2:E477)))))-COUNTBLANK(OFFSET(M$1,,,SUMPRODUCT(MAX(ROW(Q$1:Q476)*(E481=Q$1:Q476))))))</f>
        <v/>
      </c>
      <c r="K481" s="25" t="str">
        <f aca="false">IF(OR(E481="",E481="!!!",F481="NEW"),"",INDEX(V$1:V476,SUMPRODUCT(MAX(ROW(Q$1:Q476)*(E481=Q$1:Q476)))))</f>
        <v/>
      </c>
      <c r="L481" s="26"/>
      <c r="M481" s="27"/>
      <c r="N481" s="29"/>
      <c r="O481" s="29"/>
    </row>
    <row r="482" customFormat="false" ht="15" hidden="false" customHeight="false" outlineLevel="0" collapsed="false">
      <c r="A482" s="19" t="s">
        <v>261</v>
      </c>
      <c r="E482" s="20" t="str">
        <f aca="false">IF(P482="?OLD","!!!","")</f>
        <v/>
      </c>
      <c r="F482" s="21" t="str">
        <f aca="false">IF(OR(E482="",E482="!!!"),"",IF(NOT(ISNA(VLOOKUP(E482,Q$1:Q477,1,FALSE()))),"OLD",IF(AND(E482&lt;&gt;"",E482&lt;&gt;"!!!"),"NEW","")))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4" t="str">
        <f aca="false">IF(OR(E482="",E482="!!!",F482="NEW"),"",INDEX(N$2:N477,-1+SUMPRODUCT(MAX(ROW(E$2:E477)*(E482=E$2:E477)))))</f>
        <v/>
      </c>
      <c r="J482" s="25" t="str">
        <f aca="true">IF(OR(E482="",E482="!!!",F482="NEW"),"",COUNTBLANK(OFFSET(M$1,,,SUMPRODUCT(MAX(ROW(E$2:E478)*(E482=E$2:E478)))))-COUNTBLANK(OFFSET(M$1,,,SUMPRODUCT(MAX(ROW(Q$1:Q477)*(E482=Q$1:Q477))))))</f>
        <v/>
      </c>
      <c r="K482" s="25" t="str">
        <f aca="false">IF(OR(E482="",E482="!!!",F482="NEW"),"",INDEX(V$1:V477,SUMPRODUCT(MAX(ROW(Q$1:Q477)*(E482=Q$1:Q477)))))</f>
        <v/>
      </c>
      <c r="L482" s="26"/>
      <c r="M482" s="27"/>
    </row>
    <row r="483" customFormat="false" ht="15" hidden="false" customHeight="false" outlineLevel="0" collapsed="false">
      <c r="A483" s="19" t="s">
        <v>294</v>
      </c>
      <c r="E483" s="20" t="str">
        <f aca="false">IF(P483="?OLD","!!!","")</f>
        <v/>
      </c>
      <c r="F483" s="21" t="str">
        <f aca="false">IF(OR(E483="",E483="!!!"),"",IF(NOT(ISNA(VLOOKUP(E483,Q$1:Q478,1,FALSE()))),"OLD",IF(AND(E483&lt;&gt;"",E483&lt;&gt;"!!!"),"NEW","")))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IF(OR(E483="",E483="!!!",F483="NEW"),"",INDEX(N$2:N478,-1+SUMPRODUCT(MAX(ROW(E$2:E478)*(E483=E$2:E478)))))</f>
        <v/>
      </c>
      <c r="J483" s="25" t="str">
        <f aca="true">IF(OR(E483="",E483="!!!",F483="NEW"),"",COUNTBLANK(OFFSET(M$1,,,SUMPRODUCT(MAX(ROW(E$2:E479)*(E483=E$2:E479)))))-COUNTBLANK(OFFSET(M$1,,,SUMPRODUCT(MAX(ROW(Q$1:Q478)*(E483=Q$1:Q478))))))</f>
        <v/>
      </c>
      <c r="K483" s="25" t="str">
        <f aca="false">IF(OR(E483="",E483="!!!",F483="NEW"),"",INDEX(V$1:V478,SUMPRODUCT(MAX(ROW(Q$1:Q478)*(E483=Q$1:Q478)))))</f>
        <v/>
      </c>
      <c r="L483" s="26"/>
      <c r="M483" s="27"/>
    </row>
    <row r="484" customFormat="false" ht="15" hidden="false" customHeight="false" outlineLevel="0" collapsed="false">
      <c r="A484" s="19" t="s">
        <v>305</v>
      </c>
      <c r="B484" s="28" t="s">
        <v>271</v>
      </c>
      <c r="C484" s="28" t="s">
        <v>259</v>
      </c>
      <c r="E484" s="20" t="str">
        <f aca="false">IF(P484="?OLD","!!!","")</f>
        <v/>
      </c>
      <c r="F484" s="21" t="str">
        <f aca="false">IF(OR(E484="",E484="!!!"),"",IF(NOT(ISNA(VLOOKUP(E484,Q$1:Q479,1,FALSE()))),"OLD",IF(AND(E484&lt;&gt;"",E484&lt;&gt;"!!!"),"NEW","")))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IF(OR(E484="",E484="!!!",F484="NEW"),"",INDEX(N$2:N479,-1+SUMPRODUCT(MAX(ROW(E$2:E479)*(E484=E$2:E479)))))</f>
        <v/>
      </c>
      <c r="J484" s="25" t="str">
        <f aca="true">IF(OR(E484="",E484="!!!",F484="NEW"),"",COUNTBLANK(OFFSET(M$1,,,SUMPRODUCT(MAX(ROW(E$2:E480)*(E484=E$2:E480)))))-COUNTBLANK(OFFSET(M$1,,,SUMPRODUCT(MAX(ROW(Q$1:Q479)*(E484=Q$1:Q479))))))</f>
        <v/>
      </c>
      <c r="K484" s="25" t="str">
        <f aca="false">IF(OR(E484="",E484="!!!",F484="NEW"),"",INDEX(V$1:V479,SUMPRODUCT(MAX(ROW(Q$1:Q479)*(E484=Q$1:Q479)))))</f>
        <v/>
      </c>
      <c r="L484" s="26"/>
      <c r="M484" s="27"/>
      <c r="N484" s="29"/>
      <c r="O484" s="29"/>
    </row>
    <row r="485" customFormat="false" ht="15" hidden="false" customHeight="false" outlineLevel="0" collapsed="false">
      <c r="A485" s="19" t="s">
        <v>261</v>
      </c>
      <c r="E485" s="20" t="str">
        <f aca="false">IF(P485="?OLD","!!!","")</f>
        <v/>
      </c>
      <c r="F485" s="21" t="str">
        <f aca="false">IF(OR(E485="",E485="!!!"),"",IF(NOT(ISNA(VLOOKUP(E485,Q$1:Q480,1,FALSE()))),"OLD",IF(AND(E485&lt;&gt;"",E485&lt;&gt;"!!!"),"NEW","")))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IF(OR(E485="",E485="!!!",F485="NEW"),"",INDEX(N$2:N480,-1+SUMPRODUCT(MAX(ROW(E$2:E480)*(E485=E$2:E480)))))</f>
        <v/>
      </c>
      <c r="J485" s="25" t="str">
        <f aca="true">IF(OR(E485="",E485="!!!",F485="NEW"),"",COUNTBLANK(OFFSET(M$1,,,SUMPRODUCT(MAX(ROW(E$2:E481)*(E485=E$2:E481)))))-COUNTBLANK(OFFSET(M$1,,,SUMPRODUCT(MAX(ROW(Q$1:Q480)*(E485=Q$1:Q480))))))</f>
        <v/>
      </c>
      <c r="K485" s="25" t="str">
        <f aca="false">IF(OR(E485="",E485="!!!",F485="NEW"),"",INDEX(V$1:V480,SUMPRODUCT(MAX(ROW(Q$1:Q480)*(E485=Q$1:Q480)))))</f>
        <v/>
      </c>
      <c r="L485" s="26"/>
      <c r="M485" s="27"/>
    </row>
    <row r="486" customFormat="false" ht="15" hidden="false" customHeight="false" outlineLevel="0" collapsed="false">
      <c r="A486" s="19" t="s">
        <v>294</v>
      </c>
      <c r="E486" s="20" t="str">
        <f aca="false">IF(P486="?OLD","!!!","")</f>
        <v/>
      </c>
      <c r="F486" s="21" t="str">
        <f aca="false">IF(OR(E486="",E486="!!!"),"",IF(NOT(ISNA(VLOOKUP(E486,Q$1:Q481,1,FALSE()))),"OLD",IF(AND(E486&lt;&gt;"",E486&lt;&gt;"!!!"),"NEW","")))</f>
        <v/>
      </c>
      <c r="G486" s="22" t="str">
        <f aca="false">IF(OR(E486="",E486="!!!"),"",IF(OR(J486=0,AND(J486=1,K486=1),AND(J486=1,I486="SBJ"),AND(J486=1,I486=0)),"?IN_FOCUS",IF(J486&lt;=2,"?ACTIVATED",IF(J486&lt;&gt;"","?FAMILIAR",IF(F486="NEW",IF(ISNA(VLOOKUP(E486,#REF!,1,FALSE())),"?TYPE_IDENTIFIABLE","?REFERENTIAL"),"_")))))</f>
        <v/>
      </c>
      <c r="H486" s="23" t="str">
        <f aca="false">IF(J486&lt;&gt;1,"",IF(I486="SBJ","CB","?"))</f>
        <v/>
      </c>
      <c r="I486" s="24" t="str">
        <f aca="false">IF(OR(E486="",E486="!!!",F486="NEW"),"",INDEX(N$2:N481,-1+SUMPRODUCT(MAX(ROW(E$2:E481)*(E486=E$2:E481)))))</f>
        <v/>
      </c>
      <c r="J486" s="25" t="str">
        <f aca="true">IF(OR(E486="",E486="!!!",F486="NEW"),"",COUNTBLANK(OFFSET(M$1,,,SUMPRODUCT(MAX(ROW(E$2:E482)*(E486=E$2:E482)))))-COUNTBLANK(OFFSET(M$1,,,SUMPRODUCT(MAX(ROW(Q$1:Q481)*(E486=Q$1:Q481))))))</f>
        <v/>
      </c>
      <c r="K486" s="25" t="str">
        <f aca="false">IF(OR(E486="",E486="!!!",F486="NEW"),"",INDEX(V$1:V481,SUMPRODUCT(MAX(ROW(Q$1:Q481)*(E486=Q$1:Q481)))))</f>
        <v/>
      </c>
      <c r="L486" s="26"/>
      <c r="M486" s="27"/>
    </row>
    <row r="487" customFormat="false" ht="15" hidden="false" customHeight="false" outlineLevel="0" collapsed="false">
      <c r="A487" s="19" t="s">
        <v>519</v>
      </c>
      <c r="B487" s="28" t="s">
        <v>271</v>
      </c>
      <c r="C487" s="28" t="s">
        <v>259</v>
      </c>
      <c r="E487" s="20" t="str">
        <f aca="false">IF(P487="?OLD","!!!","")</f>
        <v/>
      </c>
      <c r="F487" s="21" t="str">
        <f aca="false">IF(OR(E487="",E487="!!!"),"",IF(NOT(ISNA(VLOOKUP(E487,Q$1:Q482,1,FALSE()))),"OLD",IF(AND(E487&lt;&gt;"",E487&lt;&gt;"!!!"),"NEW","")))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4" t="str">
        <f aca="false">IF(OR(E487="",E487="!!!",F487="NEW"),"",INDEX(N$2:N482,-1+SUMPRODUCT(MAX(ROW(E$2:E482)*(E487=E$2:E482)))))</f>
        <v/>
      </c>
      <c r="J487" s="25" t="str">
        <f aca="true">IF(OR(E487="",E487="!!!",F487="NEW"),"",COUNTBLANK(OFFSET(M$1,,,SUMPRODUCT(MAX(ROW(E$2:E483)*(E487=E$2:E483)))))-COUNTBLANK(OFFSET(M$1,,,SUMPRODUCT(MAX(ROW(Q$1:Q482)*(E487=Q$1:Q482))))))</f>
        <v/>
      </c>
      <c r="K487" s="25" t="str">
        <f aca="false">IF(OR(E487="",E487="!!!",F487="NEW"),"",INDEX(V$1:V482,SUMPRODUCT(MAX(ROW(Q$1:Q482)*(E487=Q$1:Q482)))))</f>
        <v/>
      </c>
      <c r="L487" s="26"/>
      <c r="M487" s="27"/>
      <c r="N487" s="29"/>
      <c r="O487" s="29"/>
    </row>
    <row r="488" customFormat="false" ht="15" hidden="false" customHeight="false" outlineLevel="0" collapsed="false">
      <c r="A488" s="19" t="s">
        <v>256</v>
      </c>
      <c r="E488" s="20" t="str">
        <f aca="false">IF(P488="?OLD","!!!","")</f>
        <v/>
      </c>
      <c r="F488" s="21" t="str">
        <f aca="false">IF(OR(E488="",E488="!!!"),"",IF(NOT(ISNA(VLOOKUP(E488,Q$1:Q483,1,FALSE()))),"OLD",IF(AND(E488&lt;&gt;"",E488&lt;&gt;"!!!"),"NEW","")))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4" t="str">
        <f aca="false">IF(OR(E488="",E488="!!!",F488="NEW"),"",INDEX(N$2:N483,-1+SUMPRODUCT(MAX(ROW(E$2:E483)*(E488=E$2:E483)))))</f>
        <v/>
      </c>
      <c r="J488" s="25" t="str">
        <f aca="true">IF(OR(E488="",E488="!!!",F488="NEW"),"",COUNTBLANK(OFFSET(M$1,,,SUMPRODUCT(MAX(ROW(E$2:E484)*(E488=E$2:E484)))))-COUNTBLANK(OFFSET(M$1,,,SUMPRODUCT(MAX(ROW(Q$1:Q483)*(E488=Q$1:Q483))))))</f>
        <v/>
      </c>
      <c r="K488" s="25" t="str">
        <f aca="false">IF(OR(E488="",E488="!!!",F488="NEW"),"",INDEX(V$1:V483,SUMPRODUCT(MAX(ROW(Q$1:Q483)*(E488=Q$1:Q483)))))</f>
        <v/>
      </c>
      <c r="L488" s="26"/>
      <c r="M488" s="27"/>
    </row>
    <row r="489" customFormat="false" ht="15" hidden="false" customHeight="false" outlineLevel="0" collapsed="false">
      <c r="A489" s="19" t="s">
        <v>520</v>
      </c>
      <c r="B489" s="28" t="s">
        <v>306</v>
      </c>
      <c r="C489" s="28" t="s">
        <v>259</v>
      </c>
      <c r="E489" s="20" t="str">
        <f aca="false">IF(P489="?OLD","!!!","")</f>
        <v/>
      </c>
      <c r="F489" s="21" t="str">
        <f aca="false">IF(OR(E489="",E489="!!!"),"",IF(NOT(ISNA(VLOOKUP(E489,Q$1:Q484,1,FALSE()))),"OLD",IF(AND(E489&lt;&gt;"",E489&lt;&gt;"!!!"),"NEW","")))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4" t="str">
        <f aca="false">IF(OR(E489="",E489="!!!",F489="NEW"),"",INDEX(N$2:N484,-1+SUMPRODUCT(MAX(ROW(E$2:E484)*(E489=E$2:E484)))))</f>
        <v/>
      </c>
      <c r="J489" s="25" t="str">
        <f aca="true">IF(OR(E489="",E489="!!!",F489="NEW"),"",COUNTBLANK(OFFSET(M$1,,,SUMPRODUCT(MAX(ROW(E$2:E485)*(E489=E$2:E485)))))-COUNTBLANK(OFFSET(M$1,,,SUMPRODUCT(MAX(ROW(Q$1:Q484)*(E489=Q$1:Q484))))))</f>
        <v/>
      </c>
      <c r="K489" s="25" t="str">
        <f aca="false">IF(OR(E489="",E489="!!!",F489="NEW"),"",INDEX(V$1:V484,SUMPRODUCT(MAX(ROW(Q$1:Q484)*(E489=Q$1:Q484)))))</f>
        <v/>
      </c>
      <c r="L489" s="26"/>
      <c r="M489" s="27"/>
      <c r="N489" s="29"/>
      <c r="O489" s="29"/>
    </row>
    <row r="490" customFormat="false" ht="15" hidden="false" customHeight="false" outlineLevel="0" collapsed="false">
      <c r="A490" s="19" t="s">
        <v>275</v>
      </c>
      <c r="E490" s="20" t="str">
        <f aca="false">IF(P490="?OLD","!!!","")</f>
        <v/>
      </c>
      <c r="F490" s="21" t="str">
        <f aca="false">IF(OR(E490="",E490="!!!"),"",IF(NOT(ISNA(VLOOKUP(E490,Q$1:Q485,1,FALSE()))),"OLD",IF(AND(E490&lt;&gt;"",E490&lt;&gt;"!!!"),"NEW","")))</f>
        <v/>
      </c>
      <c r="G490" s="22" t="str">
        <f aca="false">IF(OR(E490="",E490="!!!"),"",IF(OR(J490=0,AND(J490=1,K490=1),AND(J490=1,I490="SBJ"),AND(J490=1,I490=0)),"?IN_FOCUS",IF(J490&lt;=2,"?ACTIVATED",IF(J490&lt;&gt;"","?FAMILIAR",IF(F490="NEW",IF(ISNA(VLOOKUP(E490,#REF!,1,FALSE())),"?TYPE_IDENTIFIABLE","?REFERENTIAL"),"_")))))</f>
        <v/>
      </c>
      <c r="H490" s="23" t="str">
        <f aca="false">IF(J490&lt;&gt;1,"",IF(I490="SBJ","CB","?"))</f>
        <v/>
      </c>
      <c r="I490" s="24" t="str">
        <f aca="false">IF(OR(E490="",E490="!!!",F490="NEW"),"",INDEX(N$2:N485,-1+SUMPRODUCT(MAX(ROW(E$2:E485)*(E490=E$2:E485)))))</f>
        <v/>
      </c>
      <c r="J490" s="25" t="str">
        <f aca="true">IF(OR(E490="",E490="!!!",F490="NEW"),"",COUNTBLANK(OFFSET(M$1,,,SUMPRODUCT(MAX(ROW(E$2:E486)*(E490=E$2:E486)))))-COUNTBLANK(OFFSET(M$1,,,SUMPRODUCT(MAX(ROW(Q$1:Q485)*(E490=Q$1:Q485))))))</f>
        <v/>
      </c>
      <c r="K490" s="25" t="str">
        <f aca="false">IF(OR(E490="",E490="!!!",F490="NEW"),"",INDEX(V$1:V485,SUMPRODUCT(MAX(ROW(Q$1:Q485)*(E490=Q$1:Q485)))))</f>
        <v/>
      </c>
      <c r="L490" s="26"/>
      <c r="M490" s="27"/>
    </row>
    <row r="491" customFormat="false" ht="15" hidden="false" customHeight="false" outlineLevel="0" collapsed="false">
      <c r="A491" s="19"/>
      <c r="E491" s="20" t="str">
        <f aca="false">IF(P491="?OLD","!!!","")</f>
        <v/>
      </c>
      <c r="F491" s="21" t="str">
        <f aca="false">IF(OR(E491="",E491="!!!"),"",IF(NOT(ISNA(VLOOKUP(E491,Q$1:Q486,1,FALSE()))),"OLD",IF(AND(E491&lt;&gt;"",E491&lt;&gt;"!!!"),"NEW","")))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4" t="str">
        <f aca="false">IF(OR(E491="",E491="!!!",F491="NEW"),"",INDEX(N$2:N486,-1+SUMPRODUCT(MAX(ROW(E$2:E486)*(E491=E$2:E486)))))</f>
        <v/>
      </c>
      <c r="J491" s="25" t="str">
        <f aca="true">IF(OR(E491="",E491="!!!",F491="NEW"),"",COUNTBLANK(OFFSET(M$1,,,SUMPRODUCT(MAX(ROW(E$2:E487)*(E491=E$2:E487)))))-COUNTBLANK(OFFSET(M$1,,,SUMPRODUCT(MAX(ROW(Q$1:Q486)*(E491=Q$1:Q486))))))</f>
        <v/>
      </c>
      <c r="K491" s="25" t="str">
        <f aca="false">IF(OR(E491="",E491="!!!",F491="NEW"),"",INDEX(V$1:V486,SUMPRODUCT(MAX(ROW(Q$1:Q486)*(E491=Q$1:Q486)))))</f>
        <v/>
      </c>
      <c r="L491" s="26"/>
    </row>
    <row r="492" customFormat="false" ht="15" hidden="false" customHeight="false" outlineLevel="0" collapsed="false">
      <c r="A492" s="19" t="s">
        <v>521</v>
      </c>
      <c r="E492" s="20" t="str">
        <f aca="false">IF(P492="?OLD","!!!","")</f>
        <v/>
      </c>
      <c r="F492" s="21" t="str">
        <f aca="false">IF(OR(E492="",E492="!!!"),"",IF(NOT(ISNA(VLOOKUP(E492,Q$1:Q487,1,FALSE()))),"OLD",IF(AND(E492&lt;&gt;"",E492&lt;&gt;"!!!"),"NEW","")))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IF(OR(E492="",E492="!!!",F492="NEW"),"",INDEX(N$2:N487,-1+SUMPRODUCT(MAX(ROW(E$2:E487)*(E492=E$2:E487)))))</f>
        <v/>
      </c>
      <c r="J492" s="25" t="str">
        <f aca="true">IF(OR(E492="",E492="!!!",F492="NEW"),"",COUNTBLANK(OFFSET(M$1,,,SUMPRODUCT(MAX(ROW(E$2:E488)*(E492=E$2:E488)))))-COUNTBLANK(OFFSET(M$1,,,SUMPRODUCT(MAX(ROW(Q$1:Q487)*(E492=Q$1:Q487))))))</f>
        <v/>
      </c>
      <c r="K492" s="25" t="str">
        <f aca="false">IF(OR(E492="",E492="!!!",F492="NEW"),"",INDEX(V$1:V487,SUMPRODUCT(MAX(ROW(Q$1:Q487)*(E492=Q$1:Q487)))))</f>
        <v/>
      </c>
      <c r="L492" s="26"/>
      <c r="M492" s="27"/>
    </row>
    <row r="493" customFormat="false" ht="15" hidden="false" customHeight="false" outlineLevel="0" collapsed="false">
      <c r="A493" s="19" t="s">
        <v>522</v>
      </c>
      <c r="E493" s="20" t="str">
        <f aca="false">IF(P493="?OLD","!!!","")</f>
        <v/>
      </c>
      <c r="F493" s="21" t="str">
        <f aca="false">IF(OR(E493="",E493="!!!"),"",IF(NOT(ISNA(VLOOKUP(E493,Q$1:Q488,1,FALSE()))),"OLD",IF(AND(E493&lt;&gt;"",E493&lt;&gt;"!!!"),"NEW","")))</f>
        <v/>
      </c>
      <c r="G493" s="22" t="str">
        <f aca="false">IF(OR(E493="",E493="!!!"),"",IF(OR(J493=0,AND(J493=1,K493=1),AND(J493=1,I493="SBJ"),AND(J493=1,I493=0)),"?IN_FOCUS",IF(J493&lt;=2,"?ACTIVATED",IF(J493&lt;&gt;"","?FAMILIAR",IF(F493="NEW",IF(ISNA(VLOOKUP(E493,#REF!,1,FALSE())),"?TYPE_IDENTIFIABLE","?REFERENTIAL"),"_")))))</f>
        <v/>
      </c>
      <c r="H493" s="23" t="str">
        <f aca="false">IF(J493&lt;&gt;1,"",IF(I493="SBJ","CB","?"))</f>
        <v/>
      </c>
      <c r="I493" s="24" t="str">
        <f aca="false">IF(OR(E493="",E493="!!!",F493="NEW"),"",INDEX(N$2:N488,-1+SUMPRODUCT(MAX(ROW(E$2:E488)*(E493=E$2:E488)))))</f>
        <v/>
      </c>
      <c r="J493" s="25" t="str">
        <f aca="true">IF(OR(E493="",E493="!!!",F493="NEW"),"",COUNTBLANK(OFFSET(M$1,,,SUMPRODUCT(MAX(ROW(E$2:E489)*(E493=E$2:E489)))))-COUNTBLANK(OFFSET(M$1,,,SUMPRODUCT(MAX(ROW(Q$1:Q488)*(E493=Q$1:Q488))))))</f>
        <v/>
      </c>
      <c r="K493" s="25" t="str">
        <f aca="false">IF(OR(E493="",E493="!!!",F493="NEW"),"",INDEX(V$1:V488,SUMPRODUCT(MAX(ROW(Q$1:Q488)*(E493=Q$1:Q488)))))</f>
        <v/>
      </c>
      <c r="L493" s="26"/>
      <c r="M493" s="27"/>
    </row>
    <row r="494" customFormat="false" ht="15" hidden="false" customHeight="false" outlineLevel="0" collapsed="false">
      <c r="A494" s="19" t="s">
        <v>523</v>
      </c>
      <c r="B494" s="28" t="s">
        <v>263</v>
      </c>
      <c r="C494" s="28" t="s">
        <v>252</v>
      </c>
      <c r="D494" s="28" t="s">
        <v>253</v>
      </c>
      <c r="E494" s="20" t="s">
        <v>524</v>
      </c>
      <c r="F494" s="21" t="str">
        <f aca="false">IF(OR(E494="",E494="!!!"),"",IF(NOT(ISNA(VLOOKUP(E494,Q$1:Q489,1,FALSE()))),"OLD",IF(AND(E494&lt;&gt;"",E494&lt;&gt;"!!!"),"NEW","")))</f>
        <v>NEW</v>
      </c>
      <c r="G494" s="22" t="s">
        <v>255</v>
      </c>
      <c r="H494" s="23" t="str">
        <f aca="false">IF(J494&lt;&gt;1,"",IF(I494="SBJ","CB","?"))</f>
        <v/>
      </c>
      <c r="I494" s="24" t="str">
        <f aca="false">IF(OR(E494="",E494="!!!",F494="NEW"),"",INDEX(N$2:N489,-1+SUMPRODUCT(MAX(ROW(E$2:E489)*(E494=E$2:E489)))))</f>
        <v/>
      </c>
      <c r="J494" s="25" t="str">
        <f aca="true">IF(OR(E494="",E494="!!!",F494="NEW"),"",COUNTBLANK(OFFSET(M$1,,,SUMPRODUCT(MAX(ROW(E$2:E490)*(E494=E$2:E490)))))-COUNTBLANK(OFFSET(M$1,,,SUMPRODUCT(MAX(ROW(Q$1:Q489)*(E494=Q$1:Q489))))))</f>
        <v/>
      </c>
      <c r="K494" s="25" t="str">
        <f aca="false">IF(OR(E494="",E494="!!!",F494="NEW"),"",INDEX(V$1:V489,SUMPRODUCT(MAX(ROW(Q$1:Q489)*(E494=Q$1:Q489)))))</f>
        <v/>
      </c>
      <c r="L494" s="26"/>
      <c r="M494" s="27"/>
      <c r="N494" s="29"/>
      <c r="O494" s="29"/>
      <c r="P494" s="29"/>
    </row>
    <row r="495" customFormat="false" ht="15" hidden="false" customHeight="false" outlineLevel="0" collapsed="false">
      <c r="A495" s="19" t="s">
        <v>477</v>
      </c>
      <c r="E495" s="20" t="str">
        <f aca="false">IF(P495="?OLD","!!!","")</f>
        <v/>
      </c>
      <c r="F495" s="21" t="str">
        <f aca="false">IF(OR(E495="",E495="!!!"),"",IF(NOT(ISNA(VLOOKUP(E495,Q$1:Q490,1,FALSE()))),"OLD",IF(AND(E495&lt;&gt;"",E495&lt;&gt;"!!!"),"NEW","")))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4" t="str">
        <f aca="false">IF(OR(E495="",E495="!!!",F495="NEW"),"",INDEX(N$2:N490,-1+SUMPRODUCT(MAX(ROW(E$2:E490)*(E495=E$2:E490)))))</f>
        <v/>
      </c>
      <c r="J495" s="25" t="str">
        <f aca="true">IF(OR(E495="",E495="!!!",F495="NEW"),"",COUNTBLANK(OFFSET(M$1,,,SUMPRODUCT(MAX(ROW(E$2:E491)*(E495=E$2:E491)))))-COUNTBLANK(OFFSET(M$1,,,SUMPRODUCT(MAX(ROW(Q$1:Q490)*(E495=Q$1:Q490))))))</f>
        <v/>
      </c>
      <c r="K495" s="25" t="str">
        <f aca="false">IF(OR(E495="",E495="!!!",F495="NEW"),"",INDEX(V$1:V490,SUMPRODUCT(MAX(ROW(Q$1:Q490)*(E495=Q$1:Q490)))))</f>
        <v/>
      </c>
      <c r="L495" s="26"/>
      <c r="M495" s="27"/>
    </row>
    <row r="496" customFormat="false" ht="15" hidden="false" customHeight="false" outlineLevel="0" collapsed="false">
      <c r="A496" s="19" t="s">
        <v>31</v>
      </c>
      <c r="E496" s="20" t="str">
        <f aca="false">IF(P496="?OLD","!!!","")</f>
        <v/>
      </c>
      <c r="F496" s="21" t="str">
        <f aca="false">IF(OR(E496="",E496="!!!"),"",IF(NOT(ISNA(VLOOKUP(E496,Q$1:Q491,1,FALSE()))),"OLD",IF(AND(E496&lt;&gt;"",E496&lt;&gt;"!!!"),"NEW","")))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IF(OR(E496="",E496="!!!",F496="NEW"),"",INDEX(N$2:N491,-1+SUMPRODUCT(MAX(ROW(E$2:E491)*(E496=E$2:E491)))))</f>
        <v/>
      </c>
      <c r="J496" s="25" t="str">
        <f aca="true">IF(OR(E496="",E496="!!!",F496="NEW"),"",COUNTBLANK(OFFSET(M$1,,,SUMPRODUCT(MAX(ROW(E$2:E492)*(E496=E$2:E492)))))-COUNTBLANK(OFFSET(M$1,,,SUMPRODUCT(MAX(ROW(Q$1:Q491)*(E496=Q$1:Q491))))))</f>
        <v/>
      </c>
      <c r="K496" s="25" t="str">
        <f aca="false">IF(OR(E496="",E496="!!!",F496="NEW"),"",INDEX(V$1:V491,SUMPRODUCT(MAX(ROW(Q$1:Q491)*(E496=Q$1:Q491)))))</f>
        <v/>
      </c>
      <c r="L496" s="26"/>
      <c r="M496" s="27"/>
    </row>
    <row r="497" customFormat="false" ht="15" hidden="false" customHeight="false" outlineLevel="0" collapsed="false">
      <c r="A497" s="19" t="s">
        <v>525</v>
      </c>
      <c r="E497" s="20" t="str">
        <f aca="false">IF(P497="?OLD","!!!","")</f>
        <v/>
      </c>
      <c r="F497" s="21" t="str">
        <f aca="false">IF(OR(E497="",E497="!!!"),"",IF(NOT(ISNA(VLOOKUP(E497,Q$1:Q492,1,FALSE()))),"OLD",IF(AND(E497&lt;&gt;"",E497&lt;&gt;"!!!"),"NEW","")))</f>
        <v/>
      </c>
      <c r="G497" s="22" t="str">
        <f aca="false">IF(OR(E497="",E497="!!!"),"",IF(OR(J497=0,AND(J497=1,K497=1),AND(J497=1,I497="SBJ"),AND(J497=1,I497=0)),"?IN_FOCUS",IF(J497&lt;=2,"?ACTIVATED",IF(J497&lt;&gt;"","?FAMILIAR",IF(F497="NEW",IF(ISNA(VLOOKUP(E497,#REF!,1,FALSE())),"?TYPE_IDENTIFIABLE","?REFERENTIAL"),"_")))))</f>
        <v/>
      </c>
      <c r="H497" s="23" t="str">
        <f aca="false">IF(J497&lt;&gt;1,"",IF(I497="SBJ","CB","?"))</f>
        <v/>
      </c>
      <c r="I497" s="24" t="str">
        <f aca="false">IF(OR(E497="",E497="!!!",F497="NEW"),"",INDEX(N$2:N492,-1+SUMPRODUCT(MAX(ROW(E$2:E492)*(E497=E$2:E492)))))</f>
        <v/>
      </c>
      <c r="J497" s="25" t="str">
        <f aca="true">IF(OR(E497="",E497="!!!",F497="NEW"),"",COUNTBLANK(OFFSET(M$1,,,SUMPRODUCT(MAX(ROW(E$2:E493)*(E497=E$2:E493)))))-COUNTBLANK(OFFSET(M$1,,,SUMPRODUCT(MAX(ROW(Q$1:Q492)*(E497=Q$1:Q492))))))</f>
        <v/>
      </c>
      <c r="K497" s="25" t="str">
        <f aca="false">IF(OR(E497="",E497="!!!",F497="NEW"),"",INDEX(V$1:V492,SUMPRODUCT(MAX(ROW(Q$1:Q492)*(E497=Q$1:Q492)))))</f>
        <v/>
      </c>
      <c r="L497" s="26"/>
      <c r="M497" s="27"/>
    </row>
    <row r="498" customFormat="false" ht="15" hidden="false" customHeight="false" outlineLevel="0" collapsed="false">
      <c r="A498" s="19" t="s">
        <v>526</v>
      </c>
      <c r="E498" s="20" t="str">
        <f aca="false">IF(P498="?OLD","!!!","")</f>
        <v/>
      </c>
      <c r="F498" s="21" t="str">
        <f aca="false">IF(OR(E498="",E498="!!!"),"",IF(NOT(ISNA(VLOOKUP(E498,Q$1:Q493,1,FALSE()))),"OLD",IF(AND(E498&lt;&gt;"",E498&lt;&gt;"!!!"),"NEW","")))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4" t="str">
        <f aca="false">IF(OR(E498="",E498="!!!",F498="NEW"),"",INDEX(N$2:N493,-1+SUMPRODUCT(MAX(ROW(E$2:E493)*(E498=E$2:E493)))))</f>
        <v/>
      </c>
      <c r="J498" s="25" t="str">
        <f aca="true">IF(OR(E498="",E498="!!!",F498="NEW"),"",COUNTBLANK(OFFSET(M$1,,,SUMPRODUCT(MAX(ROW(E$2:E494)*(E498=E$2:E494)))))-COUNTBLANK(OFFSET(M$1,,,SUMPRODUCT(MAX(ROW(Q$1:Q493)*(E498=Q$1:Q493))))))</f>
        <v/>
      </c>
      <c r="K498" s="25" t="str">
        <f aca="false">IF(OR(E498="",E498="!!!",F498="NEW"),"",INDEX(V$1:V493,SUMPRODUCT(MAX(ROW(Q$1:Q493)*(E498=Q$1:Q493)))))</f>
        <v/>
      </c>
      <c r="L498" s="26"/>
      <c r="M498" s="27"/>
    </row>
    <row r="499" customFormat="false" ht="15" hidden="false" customHeight="false" outlineLevel="0" collapsed="false">
      <c r="A499" s="19" t="s">
        <v>527</v>
      </c>
      <c r="B499" s="28" t="s">
        <v>271</v>
      </c>
      <c r="C499" s="28" t="s">
        <v>259</v>
      </c>
      <c r="E499" s="20" t="str">
        <f aca="false">IF(P499="?OLD","!!!","")</f>
        <v/>
      </c>
      <c r="F499" s="21" t="str">
        <f aca="false">IF(OR(E499="",E499="!!!"),"",IF(NOT(ISNA(VLOOKUP(E499,Q$1:Q494,1,FALSE()))),"OLD",IF(AND(E499&lt;&gt;"",E499&lt;&gt;"!!!"),"NEW","")))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4" t="str">
        <f aca="false">IF(OR(E499="",E499="!!!",F499="NEW"),"",INDEX(N$2:N494,-1+SUMPRODUCT(MAX(ROW(E$2:E494)*(E499=E$2:E494)))))</f>
        <v/>
      </c>
      <c r="J499" s="25" t="str">
        <f aca="true">IF(OR(E499="",E499="!!!",F499="NEW"),"",COUNTBLANK(OFFSET(M$1,,,SUMPRODUCT(MAX(ROW(E$2:E495)*(E499=E$2:E495)))))-COUNTBLANK(OFFSET(M$1,,,SUMPRODUCT(MAX(ROW(Q$1:Q494)*(E499=Q$1:Q494))))))</f>
        <v/>
      </c>
      <c r="K499" s="25" t="str">
        <f aca="false">IF(OR(E499="",E499="!!!",F499="NEW"),"",INDEX(V$1:V494,SUMPRODUCT(MAX(ROW(Q$1:Q494)*(E499=Q$1:Q494)))))</f>
        <v/>
      </c>
      <c r="L499" s="26"/>
      <c r="M499" s="27"/>
      <c r="N499" s="29"/>
      <c r="O499" s="29"/>
    </row>
    <row r="500" customFormat="false" ht="15" hidden="false" customHeight="false" outlineLevel="0" collapsed="false">
      <c r="A500" s="19" t="s">
        <v>261</v>
      </c>
      <c r="E500" s="20" t="str">
        <f aca="false">IF(P500="?OLD","!!!","")</f>
        <v/>
      </c>
      <c r="F500" s="21" t="str">
        <f aca="false">IF(OR(E500="",E500="!!!"),"",IF(NOT(ISNA(VLOOKUP(E500,Q$1:Q495,1,FALSE()))),"OLD",IF(AND(E500&lt;&gt;"",E500&lt;&gt;"!!!"),"NEW","")))</f>
        <v/>
      </c>
      <c r="G500" s="22" t="str">
        <f aca="false">IF(OR(E500="",E500="!!!"),"",IF(OR(J500=0,AND(J500=1,K500=1),AND(J500=1,I500="SBJ"),AND(J500=1,I500=0)),"?IN_FOCUS",IF(J500&lt;=2,"?ACTIVATED",IF(J500&lt;&gt;"","?FAMILIAR",IF(F500="NEW",IF(ISNA(VLOOKUP(E500,#REF!,1,FALSE())),"?TYPE_IDENTIFIABLE","?REFERENTIAL"),"_")))))</f>
        <v/>
      </c>
      <c r="H500" s="23" t="str">
        <f aca="false">IF(J500&lt;&gt;1,"",IF(I500="SBJ","CB","?"))</f>
        <v/>
      </c>
      <c r="I500" s="24" t="str">
        <f aca="false">IF(OR(E500="",E500="!!!",F500="NEW"),"",INDEX(N$2:N495,-1+SUMPRODUCT(MAX(ROW(E$2:E495)*(E500=E$2:E495)))))</f>
        <v/>
      </c>
      <c r="J500" s="25" t="str">
        <f aca="true">IF(OR(E500="",E500="!!!",F500="NEW"),"",COUNTBLANK(OFFSET(M$1,,,SUMPRODUCT(MAX(ROW(E$2:E496)*(E500=E$2:E496)))))-COUNTBLANK(OFFSET(M$1,,,SUMPRODUCT(MAX(ROW(Q$1:Q495)*(E500=Q$1:Q495))))))</f>
        <v/>
      </c>
      <c r="K500" s="25" t="str">
        <f aca="false">IF(OR(E500="",E500="!!!",F500="NEW"),"",INDEX(V$1:V495,SUMPRODUCT(MAX(ROW(Q$1:Q495)*(E500=Q$1:Q495)))))</f>
        <v/>
      </c>
      <c r="L500" s="26"/>
      <c r="M500" s="27"/>
    </row>
    <row r="501" customFormat="false" ht="15" hidden="false" customHeight="false" outlineLevel="0" collapsed="false">
      <c r="A501" s="19" t="s">
        <v>294</v>
      </c>
      <c r="E501" s="20" t="str">
        <f aca="false">IF(P501="?OLD","!!!","")</f>
        <v/>
      </c>
      <c r="F501" s="21" t="str">
        <f aca="false">IF(OR(E501="",E501="!!!"),"",IF(NOT(ISNA(VLOOKUP(E501,Q$1:Q496,1,FALSE()))),"OLD",IF(AND(E501&lt;&gt;"",E501&lt;&gt;"!!!"),"NEW","")))</f>
        <v/>
      </c>
      <c r="G501" s="22" t="str">
        <f aca="false">IF(OR(E501="",E501="!!!"),"",IF(OR(J501=0,AND(J501=1,K501=1),AND(J501=1,I501="SBJ"),AND(J501=1,I501=0)),"?IN_FOCUS",IF(J501&lt;=2,"?ACTIVATED",IF(J501&lt;&gt;"","?FAMILIAR",IF(F501="NEW",IF(ISNA(VLOOKUP(E501,#REF!,1,FALSE())),"?TYPE_IDENTIFIABLE","?REFERENTIAL"),"_")))))</f>
        <v/>
      </c>
      <c r="H501" s="23" t="str">
        <f aca="false">IF(J501&lt;&gt;1,"",IF(I501="SBJ","CB","?"))</f>
        <v/>
      </c>
      <c r="I501" s="24" t="str">
        <f aca="false">IF(OR(E501="",E501="!!!",F501="NEW"),"",INDEX(N$2:N496,-1+SUMPRODUCT(MAX(ROW(E$2:E496)*(E501=E$2:E496)))))</f>
        <v/>
      </c>
      <c r="J501" s="25" t="str">
        <f aca="true">IF(OR(E501="",E501="!!!",F501="NEW"),"",COUNTBLANK(OFFSET(M$1,,,SUMPRODUCT(MAX(ROW(E$2:E497)*(E501=E$2:E497)))))-COUNTBLANK(OFFSET(M$1,,,SUMPRODUCT(MAX(ROW(Q$1:Q496)*(E501=Q$1:Q496))))))</f>
        <v/>
      </c>
      <c r="K501" s="25" t="str">
        <f aca="false">IF(OR(E501="",E501="!!!",F501="NEW"),"",INDEX(V$1:V496,SUMPRODUCT(MAX(ROW(Q$1:Q496)*(E501=Q$1:Q496)))))</f>
        <v/>
      </c>
      <c r="L501" s="26"/>
      <c r="M501" s="27"/>
    </row>
    <row r="502" customFormat="false" ht="15" hidden="false" customHeight="false" outlineLevel="0" collapsed="false">
      <c r="A502" s="19" t="s">
        <v>250</v>
      </c>
      <c r="E502" s="20" t="str">
        <f aca="false">IF(P502="?OLD","!!!","")</f>
        <v/>
      </c>
      <c r="F502" s="21" t="str">
        <f aca="false">IF(OR(E502="",E502="!!!"),"",IF(NOT(ISNA(VLOOKUP(E502,Q$1:Q497,1,FALSE()))),"OLD",IF(AND(E502&lt;&gt;"",E502&lt;&gt;"!!!"),"NEW","")))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4" t="str">
        <f aca="false">IF(OR(E502="",E502="!!!",F502="NEW"),"",INDEX(N$2:N497,-1+SUMPRODUCT(MAX(ROW(E$2:E497)*(E502=E$2:E497)))))</f>
        <v/>
      </c>
      <c r="J502" s="25" t="str">
        <f aca="true">IF(OR(E502="",E502="!!!",F502="NEW"),"",COUNTBLANK(OFFSET(M$1,,,SUMPRODUCT(MAX(ROW(E$2:E498)*(E502=E$2:E498)))))-COUNTBLANK(OFFSET(M$1,,,SUMPRODUCT(MAX(ROW(Q$1:Q497)*(E502=Q$1:Q497))))))</f>
        <v/>
      </c>
      <c r="K502" s="25" t="str">
        <f aca="false">IF(OR(E502="",E502="!!!",F502="NEW"),"",INDEX(V$1:V497,SUMPRODUCT(MAX(ROW(Q$1:Q497)*(E502=Q$1:Q497)))))</f>
        <v/>
      </c>
      <c r="L502" s="26"/>
      <c r="M502" s="27"/>
    </row>
    <row r="503" customFormat="false" ht="15" hidden="false" customHeight="false" outlineLevel="0" collapsed="false">
      <c r="A503" s="19" t="s">
        <v>528</v>
      </c>
      <c r="B503" s="28" t="s">
        <v>271</v>
      </c>
      <c r="C503" s="28" t="s">
        <v>252</v>
      </c>
      <c r="D503" s="28" t="s">
        <v>253</v>
      </c>
      <c r="E503" s="20" t="s">
        <v>529</v>
      </c>
      <c r="F503" s="21" t="str">
        <f aca="false">IF(OR(E503="",E503="!!!"),"",IF(NOT(ISNA(VLOOKUP(E503,Q$1:Q498,1,FALSE()))),"OLD",IF(AND(E503&lt;&gt;"",E503&lt;&gt;"!!!"),"NEW","")))</f>
        <v>NEW</v>
      </c>
      <c r="G503" s="22" t="s">
        <v>255</v>
      </c>
      <c r="H503" s="23" t="str">
        <f aca="false">IF(J503&lt;&gt;1,"",IF(I503="SBJ","CB","?"))</f>
        <v/>
      </c>
      <c r="I503" s="24" t="str">
        <f aca="false">IF(OR(E503="",E503="!!!",F503="NEW"),"",INDEX(N$2:N498,-1+SUMPRODUCT(MAX(ROW(E$2:E498)*(E503=E$2:E498)))))</f>
        <v/>
      </c>
      <c r="J503" s="25" t="str">
        <f aca="true">IF(OR(E503="",E503="!!!",F503="NEW"),"",COUNTBLANK(OFFSET(M$1,,,SUMPRODUCT(MAX(ROW(E$2:E499)*(E503=E$2:E499)))))-COUNTBLANK(OFFSET(M$1,,,SUMPRODUCT(MAX(ROW(Q$1:Q498)*(E503=Q$1:Q498))))))</f>
        <v/>
      </c>
      <c r="K503" s="25" t="str">
        <f aca="false">IF(OR(E503="",E503="!!!",F503="NEW"),"",INDEX(V$1:V498,SUMPRODUCT(MAX(ROW(Q$1:Q498)*(E503=Q$1:Q498)))))</f>
        <v/>
      </c>
      <c r="L503" s="26"/>
      <c r="M503" s="27"/>
      <c r="N503" s="29"/>
      <c r="O503" s="29"/>
      <c r="P503" s="29"/>
    </row>
    <row r="504" customFormat="false" ht="15" hidden="false" customHeight="false" outlineLevel="0" collapsed="false">
      <c r="A504" s="19" t="s">
        <v>526</v>
      </c>
      <c r="E504" s="20" t="str">
        <f aca="false">IF(P504="?OLD","!!!","")</f>
        <v/>
      </c>
      <c r="F504" s="21" t="str">
        <f aca="false">IF(OR(E504="",E504="!!!"),"",IF(NOT(ISNA(VLOOKUP(E504,Q$1:Q499,1,FALSE()))),"OLD",IF(AND(E504&lt;&gt;"",E504&lt;&gt;"!!!"),"NEW","")))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IF(OR(E504="",E504="!!!",F504="NEW"),"",INDEX(N$2:N499,-1+SUMPRODUCT(MAX(ROW(E$2:E499)*(E504=E$2:E499)))))</f>
        <v/>
      </c>
      <c r="J504" s="25" t="str">
        <f aca="true">IF(OR(E504="",E504="!!!",F504="NEW"),"",COUNTBLANK(OFFSET(M$1,,,SUMPRODUCT(MAX(ROW(E$2:E500)*(E504=E$2:E500)))))-COUNTBLANK(OFFSET(M$1,,,SUMPRODUCT(MAX(ROW(Q$1:Q499)*(E504=Q$1:Q499))))))</f>
        <v/>
      </c>
      <c r="K504" s="25" t="str">
        <f aca="false">IF(OR(E504="",E504="!!!",F504="NEW"),"",INDEX(V$1:V499,SUMPRODUCT(MAX(ROW(Q$1:Q499)*(E504=Q$1:Q499)))))</f>
        <v/>
      </c>
      <c r="L504" s="26"/>
      <c r="M504" s="27"/>
    </row>
    <row r="505" customFormat="false" ht="15" hidden="false" customHeight="false" outlineLevel="0" collapsed="false">
      <c r="A505" s="19" t="s">
        <v>518</v>
      </c>
      <c r="B505" s="28" t="s">
        <v>306</v>
      </c>
      <c r="C505" s="28" t="s">
        <v>259</v>
      </c>
      <c r="E505" s="20" t="str">
        <f aca="false">IF(P505="?OLD","!!!","")</f>
        <v/>
      </c>
      <c r="F505" s="21" t="str">
        <f aca="false">IF(OR(E505="",E505="!!!"),"",IF(NOT(ISNA(VLOOKUP(E505,Q$1:Q500,1,FALSE()))),"OLD",IF(AND(E505&lt;&gt;"",E505&lt;&gt;"!!!"),"NEW","")))</f>
        <v/>
      </c>
      <c r="G505" s="22" t="str">
        <f aca="false">IF(OR(E505="",E505="!!!"),"",IF(OR(J505=0,AND(J505=1,K505=1),AND(J505=1,I505="SBJ"),AND(J505=1,I505=0)),"?IN_FOCUS",IF(J505&lt;=2,"?ACTIVATED",IF(J505&lt;&gt;"","?FAMILIAR",IF(F505="NEW",IF(ISNA(VLOOKUP(E505,#REF!,1,FALSE())),"?TYPE_IDENTIFIABLE","?REFERENTIAL"),"_")))))</f>
        <v/>
      </c>
      <c r="H505" s="23" t="str">
        <f aca="false">IF(J505&lt;&gt;1,"",IF(I505="SBJ","CB","?"))</f>
        <v/>
      </c>
      <c r="I505" s="24" t="str">
        <f aca="false">IF(OR(E505="",E505="!!!",F505="NEW"),"",INDEX(N$2:N500,-1+SUMPRODUCT(MAX(ROW(E$2:E500)*(E505=E$2:E500)))))</f>
        <v/>
      </c>
      <c r="J505" s="25" t="str">
        <f aca="true">IF(OR(E505="",E505="!!!",F505="NEW"),"",COUNTBLANK(OFFSET(M$1,,,SUMPRODUCT(MAX(ROW(E$2:E501)*(E505=E$2:E501)))))-COUNTBLANK(OFFSET(M$1,,,SUMPRODUCT(MAX(ROW(Q$1:Q500)*(E505=Q$1:Q500))))))</f>
        <v/>
      </c>
      <c r="K505" s="25" t="str">
        <f aca="false">IF(OR(E505="",E505="!!!",F505="NEW"),"",INDEX(V$1:V500,SUMPRODUCT(MAX(ROW(Q$1:Q500)*(E505=Q$1:Q500)))))</f>
        <v/>
      </c>
      <c r="L505" s="26"/>
      <c r="M505" s="27"/>
      <c r="N505" s="29"/>
      <c r="O505" s="29"/>
    </row>
    <row r="506" customFormat="false" ht="15" hidden="false" customHeight="false" outlineLevel="0" collapsed="false">
      <c r="A506" s="19" t="s">
        <v>261</v>
      </c>
      <c r="E506" s="20" t="str">
        <f aca="false">IF(P506="?OLD","!!!","")</f>
        <v/>
      </c>
      <c r="F506" s="21" t="str">
        <f aca="false">IF(OR(E506="",E506="!!!"),"",IF(NOT(ISNA(VLOOKUP(E506,Q$1:Q501,1,FALSE()))),"OLD",IF(AND(E506&lt;&gt;"",E506&lt;&gt;"!!!"),"NEW","")))</f>
        <v/>
      </c>
      <c r="G506" s="22" t="str">
        <f aca="false">IF(OR(E506="",E506="!!!"),"",IF(OR(J506=0,AND(J506=1,K506=1),AND(J506=1,I506="SBJ"),AND(J506=1,I506=0)),"?IN_FOCUS",IF(J506&lt;=2,"?ACTIVATED",IF(J506&lt;&gt;"","?FAMILIAR",IF(F506="NEW",IF(ISNA(VLOOKUP(E506,#REF!,1,FALSE())),"?TYPE_IDENTIFIABLE","?REFERENTIAL"),"_")))))</f>
        <v/>
      </c>
      <c r="H506" s="23" t="str">
        <f aca="false">IF(J506&lt;&gt;1,"",IF(I506="SBJ","CB","?"))</f>
        <v/>
      </c>
      <c r="I506" s="24" t="str">
        <f aca="false">IF(OR(E506="",E506="!!!",F506="NEW"),"",INDEX(N$2:N501,-1+SUMPRODUCT(MAX(ROW(E$2:E501)*(E506=E$2:E501)))))</f>
        <v/>
      </c>
      <c r="J506" s="25" t="str">
        <f aca="true">IF(OR(E506="",E506="!!!",F506="NEW"),"",COUNTBLANK(OFFSET(M$1,,,SUMPRODUCT(MAX(ROW(E$2:E502)*(E506=E$2:E502)))))-COUNTBLANK(OFFSET(M$1,,,SUMPRODUCT(MAX(ROW(Q$1:Q501)*(E506=Q$1:Q501))))))</f>
        <v/>
      </c>
      <c r="K506" s="25" t="str">
        <f aca="false">IF(OR(E506="",E506="!!!",F506="NEW"),"",INDEX(V$1:V501,SUMPRODUCT(MAX(ROW(Q$1:Q501)*(E506=Q$1:Q501)))))</f>
        <v/>
      </c>
      <c r="L506" s="26"/>
      <c r="M506" s="27"/>
    </row>
    <row r="507" customFormat="false" ht="15" hidden="false" customHeight="false" outlineLevel="0" collapsed="false">
      <c r="A507" s="19" t="s">
        <v>530</v>
      </c>
      <c r="E507" s="20" t="str">
        <f aca="false">IF(P507="?OLD","!!!","")</f>
        <v/>
      </c>
      <c r="F507" s="21" t="str">
        <f aca="false">IF(OR(E507="",E507="!!!"),"",IF(NOT(ISNA(VLOOKUP(E507,Q$1:Q502,1,FALSE()))),"OLD",IF(AND(E507&lt;&gt;"",E507&lt;&gt;"!!!"),"NEW","")))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IF(OR(E507="",E507="!!!",F507="NEW"),"",INDEX(N$2:N502,-1+SUMPRODUCT(MAX(ROW(E$2:E502)*(E507=E$2:E502)))))</f>
        <v/>
      </c>
      <c r="J507" s="25" t="str">
        <f aca="true">IF(OR(E507="",E507="!!!",F507="NEW"),"",COUNTBLANK(OFFSET(M$1,,,SUMPRODUCT(MAX(ROW(E$2:E503)*(E507=E$2:E503)))))-COUNTBLANK(OFFSET(M$1,,,SUMPRODUCT(MAX(ROW(Q$1:Q502)*(E507=Q$1:Q502))))))</f>
        <v/>
      </c>
      <c r="K507" s="25" t="str">
        <f aca="false">IF(OR(E507="",E507="!!!",F507="NEW"),"",INDEX(V$1:V502,SUMPRODUCT(MAX(ROW(Q$1:Q502)*(E507=Q$1:Q502)))))</f>
        <v/>
      </c>
      <c r="L507" s="26"/>
      <c r="M507" s="27"/>
    </row>
    <row r="508" customFormat="false" ht="15" hidden="false" customHeight="false" outlineLevel="0" collapsed="false">
      <c r="A508" s="19" t="s">
        <v>250</v>
      </c>
      <c r="E508" s="20" t="str">
        <f aca="false">IF(P508="?OLD","!!!","")</f>
        <v/>
      </c>
      <c r="F508" s="21" t="str">
        <f aca="false">IF(OR(E508="",E508="!!!"),"",IF(NOT(ISNA(VLOOKUP(E508,Q$1:Q503,1,FALSE()))),"OLD",IF(AND(E508&lt;&gt;"",E508&lt;&gt;"!!!"),"NEW","")))</f>
        <v/>
      </c>
      <c r="G508" s="22" t="str">
        <f aca="false">IF(OR(E508="",E508="!!!"),"",IF(OR(J508=0,AND(J508=1,K508=1),AND(J508=1,I508="SBJ"),AND(J508=1,I508=0)),"?IN_FOCUS",IF(J508&lt;=2,"?ACTIVATED",IF(J508&lt;&gt;"","?FAMILIAR",IF(F508="NEW",IF(ISNA(VLOOKUP(E508,#REF!,1,FALSE())),"?TYPE_IDENTIFIABLE","?REFERENTIAL"),"_")))))</f>
        <v/>
      </c>
      <c r="H508" s="23" t="str">
        <f aca="false">IF(J508&lt;&gt;1,"",IF(I508="SBJ","CB","?"))</f>
        <v/>
      </c>
      <c r="I508" s="24" t="str">
        <f aca="false">IF(OR(E508="",E508="!!!",F508="NEW"),"",INDEX(N$2:N503,-1+SUMPRODUCT(MAX(ROW(E$2:E503)*(E508=E$2:E503)))))</f>
        <v/>
      </c>
      <c r="J508" s="25" t="str">
        <f aca="true">IF(OR(E508="",E508="!!!",F508="NEW"),"",COUNTBLANK(OFFSET(M$1,,,SUMPRODUCT(MAX(ROW(E$2:E504)*(E508=E$2:E504)))))-COUNTBLANK(OFFSET(M$1,,,SUMPRODUCT(MAX(ROW(Q$1:Q503)*(E508=Q$1:Q503))))))</f>
        <v/>
      </c>
      <c r="K508" s="25" t="str">
        <f aca="false">IF(OR(E508="",E508="!!!",F508="NEW"),"",INDEX(V$1:V503,SUMPRODUCT(MAX(ROW(Q$1:Q503)*(E508=Q$1:Q503)))))</f>
        <v/>
      </c>
      <c r="L508" s="26"/>
      <c r="M508" s="27"/>
    </row>
    <row r="509" customFormat="false" ht="15" hidden="false" customHeight="false" outlineLevel="0" collapsed="false">
      <c r="A509" s="19" t="s">
        <v>531</v>
      </c>
      <c r="E509" s="20" t="str">
        <f aca="false">IF(P509="?OLD","!!!","")</f>
        <v/>
      </c>
      <c r="F509" s="21" t="str">
        <f aca="false">IF(OR(E509="",E509="!!!"),"",IF(NOT(ISNA(VLOOKUP(E509,Q$1:Q504,1,FALSE()))),"OLD",IF(AND(E509&lt;&gt;"",E509&lt;&gt;"!!!"),"NEW","")))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IF(OR(E509="",E509="!!!",F509="NEW"),"",INDEX(N$2:N504,-1+SUMPRODUCT(MAX(ROW(E$2:E504)*(E509=E$2:E504)))))</f>
        <v/>
      </c>
      <c r="J509" s="25" t="str">
        <f aca="true">IF(OR(E509="",E509="!!!",F509="NEW"),"",COUNTBLANK(OFFSET(M$1,,,SUMPRODUCT(MAX(ROW(E$2:E505)*(E509=E$2:E505)))))-COUNTBLANK(OFFSET(M$1,,,SUMPRODUCT(MAX(ROW(Q$1:Q504)*(E509=Q$1:Q504))))))</f>
        <v/>
      </c>
      <c r="K509" s="25" t="str">
        <f aca="false">IF(OR(E509="",E509="!!!",F509="NEW"),"",INDEX(V$1:V504,SUMPRODUCT(MAX(ROW(Q$1:Q504)*(E509=Q$1:Q504)))))</f>
        <v/>
      </c>
      <c r="L509" s="26"/>
      <c r="M509" s="27"/>
    </row>
    <row r="510" customFormat="false" ht="15" hidden="false" customHeight="false" outlineLevel="0" collapsed="false">
      <c r="A510" s="19" t="s">
        <v>294</v>
      </c>
      <c r="E510" s="20" t="str">
        <f aca="false">IF(P510="?OLD","!!!","")</f>
        <v/>
      </c>
      <c r="F510" s="21" t="str">
        <f aca="false">IF(OR(E510="",E510="!!!"),"",IF(NOT(ISNA(VLOOKUP(E510,Q$1:Q505,1,FALSE()))),"OLD",IF(AND(E510&lt;&gt;"",E510&lt;&gt;"!!!"),"NEW","")))</f>
        <v/>
      </c>
      <c r="G510" s="22" t="str">
        <f aca="false">IF(OR(E510="",E510="!!!"),"",IF(OR(J510=0,AND(J510=1,K510=1),AND(J510=1,I510="SBJ"),AND(J510=1,I510=0)),"?IN_FOCUS",IF(J510&lt;=2,"?ACTIVATED",IF(J510&lt;&gt;"","?FAMILIAR",IF(F510="NEW",IF(ISNA(VLOOKUP(E510,#REF!,1,FALSE())),"?TYPE_IDENTIFIABLE","?REFERENTIAL"),"_")))))</f>
        <v/>
      </c>
      <c r="H510" s="23" t="str">
        <f aca="false">IF(J510&lt;&gt;1,"",IF(I510="SBJ","CB","?"))</f>
        <v/>
      </c>
      <c r="I510" s="24" t="str">
        <f aca="false">IF(OR(E510="",E510="!!!",F510="NEW"),"",INDEX(N$2:N505,-1+SUMPRODUCT(MAX(ROW(E$2:E505)*(E510=E$2:E505)))))</f>
        <v/>
      </c>
      <c r="J510" s="25" t="str">
        <f aca="true">IF(OR(E510="",E510="!!!",F510="NEW"),"",COUNTBLANK(OFFSET(M$1,,,SUMPRODUCT(MAX(ROW(E$2:E506)*(E510=E$2:E506)))))-COUNTBLANK(OFFSET(M$1,,,SUMPRODUCT(MAX(ROW(Q$1:Q505)*(E510=Q$1:Q505))))))</f>
        <v/>
      </c>
      <c r="K510" s="25" t="str">
        <f aca="false">IF(OR(E510="",E510="!!!",F510="NEW"),"",INDEX(V$1:V505,SUMPRODUCT(MAX(ROW(Q$1:Q505)*(E510=Q$1:Q505)))))</f>
        <v/>
      </c>
      <c r="L510" s="26"/>
      <c r="M510" s="27"/>
    </row>
    <row r="511" customFormat="false" ht="15" hidden="false" customHeight="false" outlineLevel="0" collapsed="false">
      <c r="A511" s="19" t="s">
        <v>532</v>
      </c>
      <c r="E511" s="20" t="str">
        <f aca="false">IF(P511="?OLD","!!!","")</f>
        <v/>
      </c>
      <c r="F511" s="21" t="str">
        <f aca="false">IF(OR(E511="",E511="!!!"),"",IF(NOT(ISNA(VLOOKUP(E511,Q$1:Q506,1,FALSE()))),"OLD",IF(AND(E511&lt;&gt;"",E511&lt;&gt;"!!!"),"NEW","")))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IF(OR(E511="",E511="!!!",F511="NEW"),"",INDEX(N$2:N506,-1+SUMPRODUCT(MAX(ROW(E$2:E506)*(E511=E$2:E506)))))</f>
        <v/>
      </c>
      <c r="J511" s="25" t="str">
        <f aca="true">IF(OR(E511="",E511="!!!",F511="NEW"),"",COUNTBLANK(OFFSET(M$1,,,SUMPRODUCT(MAX(ROW(E$2:E507)*(E511=E$2:E507)))))-COUNTBLANK(OFFSET(M$1,,,SUMPRODUCT(MAX(ROW(Q$1:Q506)*(E511=Q$1:Q506))))))</f>
        <v/>
      </c>
      <c r="K511" s="25" t="str">
        <f aca="false">IF(OR(E511="",E511="!!!",F511="NEW"),"",INDEX(V$1:V506,SUMPRODUCT(MAX(ROW(Q$1:Q506)*(E511=Q$1:Q506)))))</f>
        <v/>
      </c>
      <c r="L511" s="26"/>
      <c r="M511" s="27"/>
    </row>
    <row r="512" customFormat="false" ht="15" hidden="false" customHeight="false" outlineLevel="0" collapsed="false">
      <c r="A512" s="19" t="s">
        <v>226</v>
      </c>
      <c r="B512" s="28" t="s">
        <v>251</v>
      </c>
      <c r="C512" s="28" t="s">
        <v>314</v>
      </c>
      <c r="D512" s="28" t="s">
        <v>253</v>
      </c>
      <c r="E512" s="20" t="s">
        <v>533</v>
      </c>
      <c r="F512" s="21" t="str">
        <f aca="false">IF(OR(E512="",E512="!!!"),"",IF(NOT(ISNA(VLOOKUP(E512,Q$1:Q507,1,FALSE()))),"OLD",IF(AND(E512&lt;&gt;"",E512&lt;&gt;"!!!"),"NEW","")))</f>
        <v>NEW</v>
      </c>
      <c r="G512" s="22" t="s">
        <v>255</v>
      </c>
      <c r="H512" s="23" t="str">
        <f aca="false">IF(J512&lt;&gt;1,"",IF(I512="SBJ","CB","?"))</f>
        <v/>
      </c>
      <c r="I512" s="24" t="str">
        <f aca="false">IF(OR(E512="",E512="!!!",F512="NEW"),"",INDEX(N$2:N507,-1+SUMPRODUCT(MAX(ROW(E$2:E507)*(E512=E$2:E507)))))</f>
        <v/>
      </c>
      <c r="J512" s="25" t="str">
        <f aca="true">IF(OR(E512="",E512="!!!",F512="NEW"),"",COUNTBLANK(OFFSET(M$1,,,SUMPRODUCT(MAX(ROW(E$2:E508)*(E512=E$2:E508)))))-COUNTBLANK(OFFSET(M$1,,,SUMPRODUCT(MAX(ROW(Q$1:Q507)*(E512=Q$1:Q507))))))</f>
        <v/>
      </c>
      <c r="K512" s="25" t="str">
        <f aca="false">IF(OR(E512="",E512="!!!",F512="NEW"),"",INDEX(V$1:V507,SUMPRODUCT(MAX(ROW(Q$1:Q507)*(E512=Q$1:Q507)))))</f>
        <v/>
      </c>
      <c r="L512" s="26"/>
      <c r="M512" s="27"/>
      <c r="N512" s="29"/>
      <c r="O512" s="29"/>
      <c r="P512" s="29"/>
    </row>
    <row r="513" customFormat="false" ht="15" hidden="false" customHeight="false" outlineLevel="0" collapsed="false">
      <c r="A513" s="19" t="s">
        <v>256</v>
      </c>
      <c r="E513" s="20" t="str">
        <f aca="false">IF(P513="?OLD","!!!","")</f>
        <v/>
      </c>
      <c r="F513" s="21" t="str">
        <f aca="false">IF(OR(E513="",E513="!!!"),"",IF(NOT(ISNA(VLOOKUP(E513,Q$1:Q508,1,FALSE()))),"OLD",IF(AND(E513&lt;&gt;"",E513&lt;&gt;"!!!"),"NEW","")))</f>
        <v/>
      </c>
      <c r="G513" s="22" t="str">
        <f aca="false">IF(OR(E513="",E513="!!!"),"",IF(OR(J513=0,AND(J513=1,K513=1),AND(J513=1,I513="SBJ"),AND(J513=1,I513=0)),"?IN_FOCUS",IF(J513&lt;=2,"?ACTIVATED",IF(J513&lt;&gt;"","?FAMILIAR",IF(F513="NEW",IF(ISNA(VLOOKUP(E513,#REF!,1,FALSE())),"?TYPE_IDENTIFIABLE","?REFERENTIAL"),"_")))))</f>
        <v/>
      </c>
      <c r="H513" s="23" t="str">
        <f aca="false">IF(J513&lt;&gt;1,"",IF(I513="SBJ","CB","?"))</f>
        <v/>
      </c>
      <c r="I513" s="24" t="str">
        <f aca="false">IF(OR(E513="",E513="!!!",F513="NEW"),"",INDEX(N$2:N508,-1+SUMPRODUCT(MAX(ROW(E$2:E508)*(E513=E$2:E508)))))</f>
        <v/>
      </c>
      <c r="J513" s="25" t="str">
        <f aca="true">IF(OR(E513="",E513="!!!",F513="NEW"),"",COUNTBLANK(OFFSET(M$1,,,SUMPRODUCT(MAX(ROW(E$2:E509)*(E513=E$2:E509)))))-COUNTBLANK(OFFSET(M$1,,,SUMPRODUCT(MAX(ROW(Q$1:Q508)*(E513=Q$1:Q508))))))</f>
        <v/>
      </c>
      <c r="K513" s="25" t="str">
        <f aca="false">IF(OR(E513="",E513="!!!",F513="NEW"),"",INDEX(V$1:V508,SUMPRODUCT(MAX(ROW(Q$1:Q508)*(E513=Q$1:Q508)))))</f>
        <v/>
      </c>
      <c r="L513" s="26"/>
      <c r="M513" s="27"/>
    </row>
    <row r="514" customFormat="false" ht="15" hidden="false" customHeight="false" outlineLevel="0" collapsed="false">
      <c r="A514" s="19" t="s">
        <v>250</v>
      </c>
      <c r="E514" s="20" t="str">
        <f aca="false">IF(P514="?OLD","!!!","")</f>
        <v/>
      </c>
      <c r="F514" s="21" t="str">
        <f aca="false">IF(OR(E514="",E514="!!!"),"",IF(NOT(ISNA(VLOOKUP(E514,Q$1:Q509,1,FALSE()))),"OLD",IF(AND(E514&lt;&gt;"",E514&lt;&gt;"!!!"),"NEW","")))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IF(OR(E514="",E514="!!!",F514="NEW"),"",INDEX(N$2:N509,-1+SUMPRODUCT(MAX(ROW(E$2:E509)*(E514=E$2:E509)))))</f>
        <v/>
      </c>
      <c r="J514" s="25" t="str">
        <f aca="true">IF(OR(E514="",E514="!!!",F514="NEW"),"",COUNTBLANK(OFFSET(M$1,,,SUMPRODUCT(MAX(ROW(E$2:E510)*(E514=E$2:E510)))))-COUNTBLANK(OFFSET(M$1,,,SUMPRODUCT(MAX(ROW(Q$1:Q509)*(E514=Q$1:Q509))))))</f>
        <v/>
      </c>
      <c r="K514" s="25" t="str">
        <f aca="false">IF(OR(E514="",E514="!!!",F514="NEW"),"",INDEX(V$1:V509,SUMPRODUCT(MAX(ROW(Q$1:Q509)*(E514=Q$1:Q509)))))</f>
        <v/>
      </c>
      <c r="L514" s="26"/>
      <c r="M514" s="27"/>
    </row>
    <row r="515" customFormat="false" ht="15" hidden="false" customHeight="false" outlineLevel="0" collapsed="false">
      <c r="A515" s="19" t="s">
        <v>534</v>
      </c>
      <c r="B515" s="28" t="s">
        <v>258</v>
      </c>
      <c r="C515" s="28" t="s">
        <v>333</v>
      </c>
      <c r="D515" s="28" t="s">
        <v>253</v>
      </c>
      <c r="E515" s="20" t="s">
        <v>413</v>
      </c>
      <c r="F515" s="21" t="str">
        <f aca="false">IF(OR(E515="",E515="!!!"),"",IF(NOT(ISNA(VLOOKUP(E515,Q$1:Q510,1,FALSE()))),"OLD",IF(AND(E515&lt;&gt;"",E515&lt;&gt;"!!!"),"NEW","")))</f>
        <v>NEW</v>
      </c>
      <c r="G515" s="22" t="s">
        <v>283</v>
      </c>
      <c r="H515" s="23" t="str">
        <f aca="false">IF(J515&lt;&gt;1,"",IF(I515="SBJ","CB","?"))</f>
        <v/>
      </c>
      <c r="I515" s="24" t="str">
        <f aca="false">IF(OR(E515="",E515="!!!",F515="NEW"),"",INDEX(N$2:N510,-1+SUMPRODUCT(MAX(ROW(E$2:E510)*(E515=E$2:E510)))))</f>
        <v/>
      </c>
      <c r="J515" s="25" t="str">
        <f aca="true">IF(OR(E515="",E515="!!!",F515="NEW"),"",COUNTBLANK(OFFSET(M$1,,,SUMPRODUCT(MAX(ROW(E$2:E511)*(E515=E$2:E511)))))-COUNTBLANK(OFFSET(M$1,,,SUMPRODUCT(MAX(ROW(Q$1:Q510)*(E515=Q$1:Q510))))))</f>
        <v/>
      </c>
      <c r="K515" s="25" t="str">
        <f aca="false">IF(OR(E515="",E515="!!!",F515="NEW"),"",INDEX(V$1:V510,SUMPRODUCT(MAX(ROW(Q$1:Q510)*(E515=Q$1:Q510)))))</f>
        <v/>
      </c>
      <c r="L515" s="26"/>
      <c r="M515" s="27"/>
      <c r="N515" s="29"/>
      <c r="O515" s="29"/>
      <c r="P515" s="29"/>
    </row>
    <row r="516" customFormat="false" ht="15" hidden="false" customHeight="false" outlineLevel="0" collapsed="false">
      <c r="A516" s="19" t="s">
        <v>535</v>
      </c>
      <c r="E516" s="20" t="str">
        <f aca="false">IF(P516="?OLD","!!!","")</f>
        <v/>
      </c>
      <c r="F516" s="21" t="str">
        <f aca="false">IF(OR(E516="",E516="!!!"),"",IF(NOT(ISNA(VLOOKUP(E516,Q$1:Q511,1,FALSE()))),"OLD",IF(AND(E516&lt;&gt;"",E516&lt;&gt;"!!!"),"NEW","")))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4" t="str">
        <f aca="false">IF(OR(E516="",E516="!!!",F516="NEW"),"",INDEX(N$2:N511,-1+SUMPRODUCT(MAX(ROW(E$2:E511)*(E516=E$2:E511)))))</f>
        <v/>
      </c>
      <c r="J516" s="25" t="str">
        <f aca="true">IF(OR(E516="",E516="!!!",F516="NEW"),"",COUNTBLANK(OFFSET(M$1,,,SUMPRODUCT(MAX(ROW(E$2:E512)*(E516=E$2:E512)))))-COUNTBLANK(OFFSET(M$1,,,SUMPRODUCT(MAX(ROW(Q$1:Q511)*(E516=Q$1:Q511))))))</f>
        <v/>
      </c>
      <c r="K516" s="25" t="str">
        <f aca="false">IF(OR(E516="",E516="!!!",F516="NEW"),"",INDEX(V$1:V511,SUMPRODUCT(MAX(ROW(Q$1:Q511)*(E516=Q$1:Q511)))))</f>
        <v/>
      </c>
      <c r="L516" s="26"/>
      <c r="M516" s="27"/>
    </row>
    <row r="517" customFormat="false" ht="15" hidden="false" customHeight="false" outlineLevel="0" collapsed="false">
      <c r="A517" s="19" t="s">
        <v>275</v>
      </c>
      <c r="E517" s="20" t="str">
        <f aca="false">IF(P517="?OLD","!!!","")</f>
        <v/>
      </c>
      <c r="F517" s="21" t="str">
        <f aca="false">IF(OR(E517="",E517="!!!"),"",IF(NOT(ISNA(VLOOKUP(E517,Q$1:Q512,1,FALSE()))),"OLD",IF(AND(E517&lt;&gt;"",E517&lt;&gt;"!!!"),"NEW","")))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IF(OR(E517="",E517="!!!",F517="NEW"),"",INDEX(N$2:N512,-1+SUMPRODUCT(MAX(ROW(E$2:E512)*(E517=E$2:E512)))))</f>
        <v/>
      </c>
      <c r="J517" s="25" t="str">
        <f aca="true">IF(OR(E517="",E517="!!!",F517="NEW"),"",COUNTBLANK(OFFSET(M$1,,,SUMPRODUCT(MAX(ROW(E$2:E513)*(E517=E$2:E513)))))-COUNTBLANK(OFFSET(M$1,,,SUMPRODUCT(MAX(ROW(Q$1:Q512)*(E517=Q$1:Q512))))))</f>
        <v/>
      </c>
      <c r="K517" s="25" t="str">
        <f aca="false">IF(OR(E517="",E517="!!!",F517="NEW"),"",INDEX(V$1:V512,SUMPRODUCT(MAX(ROW(Q$1:Q512)*(E517=Q$1:Q512)))))</f>
        <v/>
      </c>
      <c r="L517" s="26"/>
      <c r="M517" s="27"/>
    </row>
    <row r="518" customFormat="false" ht="15" hidden="false" customHeight="false" outlineLevel="0" collapsed="false">
      <c r="A518" s="19"/>
      <c r="E518" s="20" t="str">
        <f aca="false">IF(P518="?OLD","!!!","")</f>
        <v/>
      </c>
      <c r="F518" s="21" t="str">
        <f aca="false">IF(OR(E518="",E518="!!!"),"",IF(NOT(ISNA(VLOOKUP(E518,Q$1:Q513,1,FALSE()))),"OLD",IF(AND(E518&lt;&gt;"",E518&lt;&gt;"!!!"),"NEW","")))</f>
        <v/>
      </c>
      <c r="G518" s="22" t="str">
        <f aca="false">IF(OR(E518="",E518="!!!"),"",IF(OR(J518=0,AND(J518=1,K518=1),AND(J518=1,I518="SBJ"),AND(J518=1,I518=0)),"?IN_FOCUS",IF(J518&lt;=2,"?ACTIVATED",IF(J518&lt;&gt;"","?FAMILIAR",IF(F518="NEW",IF(ISNA(VLOOKUP(E518,#REF!,1,FALSE())),"?TYPE_IDENTIFIABLE","?REFERENTIAL"),"_")))))</f>
        <v/>
      </c>
      <c r="H518" s="23" t="str">
        <f aca="false">IF(J518&lt;&gt;1,"",IF(I518="SBJ","CB","?"))</f>
        <v/>
      </c>
      <c r="I518" s="24" t="str">
        <f aca="false">IF(OR(E518="",E518="!!!",F518="NEW"),"",INDEX(N$2:N513,-1+SUMPRODUCT(MAX(ROW(E$2:E513)*(E518=E$2:E513)))))</f>
        <v/>
      </c>
      <c r="J518" s="25" t="str">
        <f aca="true">IF(OR(E518="",E518="!!!",F518="NEW"),"",COUNTBLANK(OFFSET(M$1,,,SUMPRODUCT(MAX(ROW(E$2:E514)*(E518=E$2:E514)))))-COUNTBLANK(OFFSET(M$1,,,SUMPRODUCT(MAX(ROW(Q$1:Q513)*(E518=Q$1:Q513))))))</f>
        <v/>
      </c>
      <c r="K518" s="25" t="str">
        <f aca="false">IF(OR(E518="",E518="!!!",F518="NEW"),"",INDEX(V$1:V513,SUMPRODUCT(MAX(ROW(Q$1:Q513)*(E518=Q$1:Q513)))))</f>
        <v/>
      </c>
      <c r="L518" s="26"/>
    </row>
    <row r="519" customFormat="false" ht="15" hidden="false" customHeight="false" outlineLevel="0" collapsed="false">
      <c r="A519" s="19" t="s">
        <v>536</v>
      </c>
      <c r="E519" s="20" t="str">
        <f aca="false">IF(P519="?OLD","!!!","")</f>
        <v/>
      </c>
      <c r="F519" s="21" t="str">
        <f aca="false">IF(OR(E519="",E519="!!!"),"",IF(NOT(ISNA(VLOOKUP(E519,Q$1:Q514,1,FALSE()))),"OLD",IF(AND(E519&lt;&gt;"",E519&lt;&gt;"!!!"),"NEW","")))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4" t="str">
        <f aca="false">IF(OR(E519="",E519="!!!",F519="NEW"),"",INDEX(N$2:N514,-1+SUMPRODUCT(MAX(ROW(E$2:E514)*(E519=E$2:E514)))))</f>
        <v/>
      </c>
      <c r="J519" s="25" t="str">
        <f aca="true">IF(OR(E519="",E519="!!!",F519="NEW"),"",COUNTBLANK(OFFSET(M$1,,,SUMPRODUCT(MAX(ROW(E$2:E515)*(E519=E$2:E515)))))-COUNTBLANK(OFFSET(M$1,,,SUMPRODUCT(MAX(ROW(Q$1:Q514)*(E519=Q$1:Q514))))))</f>
        <v/>
      </c>
      <c r="K519" s="25" t="str">
        <f aca="false">IF(OR(E519="",E519="!!!",F519="NEW"),"",INDEX(V$1:V514,SUMPRODUCT(MAX(ROW(Q$1:Q514)*(E519=Q$1:Q514)))))</f>
        <v/>
      </c>
      <c r="L519" s="26"/>
      <c r="M519" s="27"/>
    </row>
    <row r="520" customFormat="false" ht="15" hidden="false" customHeight="false" outlineLevel="0" collapsed="false">
      <c r="A520" s="19" t="s">
        <v>476</v>
      </c>
      <c r="B520" s="28" t="s">
        <v>263</v>
      </c>
      <c r="C520" s="28" t="s">
        <v>264</v>
      </c>
      <c r="D520" s="28" t="s">
        <v>253</v>
      </c>
      <c r="E520" s="20"/>
      <c r="F520" s="21" t="s">
        <v>448</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IF(OR(E520="",E520="!!!",F520="NEW"),"",INDEX(N$2:N515,-1+SUMPRODUCT(MAX(ROW(E$2:E515)*(E520=E$2:E515)))))</f>
        <v/>
      </c>
      <c r="J520" s="25" t="str">
        <f aca="true">IF(OR(E520="",E520="!!!",F520="NEW"),"",COUNTBLANK(OFFSET(M$1,,,SUMPRODUCT(MAX(ROW(E$2:E516)*(E520=E$2:E516)))))-COUNTBLANK(OFFSET(M$1,,,SUMPRODUCT(MAX(ROW(Q$1:Q515)*(E520=Q$1:Q515))))))</f>
        <v/>
      </c>
      <c r="K520" s="25" t="str">
        <f aca="false">IF(OR(E520="",E520="!!!",F520="NEW"),"",INDEX(V$1:V515,SUMPRODUCT(MAX(ROW(Q$1:Q515)*(E520=Q$1:Q515)))))</f>
        <v/>
      </c>
      <c r="L520" s="26"/>
      <c r="M520" s="27"/>
      <c r="N520" s="29"/>
      <c r="O520" s="29"/>
      <c r="P520" s="29"/>
    </row>
    <row r="521" customFormat="false" ht="15" hidden="false" customHeight="false" outlineLevel="0" collapsed="false">
      <c r="A521" s="19" t="s">
        <v>477</v>
      </c>
      <c r="E521" s="20" t="str">
        <f aca="false">IF(P521="?OLD","!!!","")</f>
        <v/>
      </c>
      <c r="F521" s="21" t="str">
        <f aca="false">IF(OR(E521="",E521="!!!"),"",IF(NOT(ISNA(VLOOKUP(E521,Q$1:Q516,1,FALSE()))),"OLD",IF(AND(E521&lt;&gt;"",E521&lt;&gt;"!!!"),"NEW","")))</f>
        <v/>
      </c>
      <c r="G521" s="22" t="str">
        <f aca="false">IF(OR(E521="",E521="!!!"),"",IF(OR(J521=0,AND(J521=1,K521=1),AND(J521=1,I521="SBJ"),AND(J521=1,I521=0)),"?IN_FOCUS",IF(J521&lt;=2,"?ACTIVATED",IF(J521&lt;&gt;"","?FAMILIAR",IF(F521="NEW",IF(ISNA(VLOOKUP(E521,#REF!,1,FALSE())),"?TYPE_IDENTIFIABLE","?REFERENTIAL"),"_")))))</f>
        <v/>
      </c>
      <c r="H521" s="23" t="str">
        <f aca="false">IF(J521&lt;&gt;1,"",IF(I521="SBJ","CB","?"))</f>
        <v/>
      </c>
      <c r="I521" s="24" t="str">
        <f aca="false">IF(OR(E521="",E521="!!!",F521="NEW"),"",INDEX(N$2:N516,-1+SUMPRODUCT(MAX(ROW(E$2:E516)*(E521=E$2:E516)))))</f>
        <v/>
      </c>
      <c r="J521" s="25" t="str">
        <f aca="true">IF(OR(E521="",E521="!!!",F521="NEW"),"",COUNTBLANK(OFFSET(M$1,,,SUMPRODUCT(MAX(ROW(E$2:E517)*(E521=E$2:E517)))))-COUNTBLANK(OFFSET(M$1,,,SUMPRODUCT(MAX(ROW(Q$1:Q516)*(E521=Q$1:Q516))))))</f>
        <v/>
      </c>
      <c r="K521" s="25" t="str">
        <f aca="false">IF(OR(E521="",E521="!!!",F521="NEW"),"",INDEX(V$1:V516,SUMPRODUCT(MAX(ROW(Q$1:Q516)*(E521=Q$1:Q516)))))</f>
        <v/>
      </c>
      <c r="L521" s="26"/>
      <c r="M521" s="27"/>
    </row>
    <row r="522" customFormat="false" ht="15" hidden="false" customHeight="false" outlineLevel="0" collapsed="false">
      <c r="A522" s="19" t="s">
        <v>31</v>
      </c>
      <c r="B522" s="28" t="s">
        <v>263</v>
      </c>
      <c r="E522" s="20" t="str">
        <f aca="false">IF(P522="?OLD","!!!","")</f>
        <v/>
      </c>
      <c r="F522" s="21" t="str">
        <f aca="false">IF(OR(E522="",E522="!!!"),"",IF(NOT(ISNA(VLOOKUP(E522,Q$1:Q517,1,FALSE()))),"OLD",IF(AND(E522&lt;&gt;"",E522&lt;&gt;"!!!"),"NEW","")))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IF(OR(E522="",E522="!!!",F522="NEW"),"",INDEX(N$2:N517,-1+SUMPRODUCT(MAX(ROW(E$2:E517)*(E522=E$2:E517)))))</f>
        <v/>
      </c>
      <c r="J522" s="25" t="str">
        <f aca="true">IF(OR(E522="",E522="!!!",F522="NEW"),"",COUNTBLANK(OFFSET(M$1,,,SUMPRODUCT(MAX(ROW(E$2:E518)*(E522=E$2:E518)))))-COUNTBLANK(OFFSET(M$1,,,SUMPRODUCT(MAX(ROW(Q$1:Q517)*(E522=Q$1:Q517))))))</f>
        <v/>
      </c>
      <c r="K522" s="25" t="str">
        <f aca="false">IF(OR(E522="",E522="!!!",F522="NEW"),"",INDEX(V$1:V517,SUMPRODUCT(MAX(ROW(Q$1:Q517)*(E522=Q$1:Q517)))))</f>
        <v/>
      </c>
      <c r="L522" s="26"/>
      <c r="M522" s="27"/>
      <c r="N522" s="29"/>
    </row>
    <row r="523" customFormat="false" ht="15" hidden="false" customHeight="false" outlineLevel="0" collapsed="false">
      <c r="A523" s="19" t="s">
        <v>261</v>
      </c>
      <c r="E523" s="20" t="str">
        <f aca="false">IF(P523="?OLD","!!!","")</f>
        <v/>
      </c>
      <c r="F523" s="21" t="str">
        <f aca="false">IF(OR(E523="",E523="!!!"),"",IF(NOT(ISNA(VLOOKUP(E523,Q$1:Q518,1,FALSE()))),"OLD",IF(AND(E523&lt;&gt;"",E523&lt;&gt;"!!!"),"NEW","")))</f>
        <v/>
      </c>
      <c r="G523" s="22" t="str">
        <f aca="false">IF(OR(E523="",E523="!!!"),"",IF(OR(J523=0,AND(J523=1,K523=1),AND(J523=1,I523="SBJ"),AND(J523=1,I523=0)),"?IN_FOCUS",IF(J523&lt;=2,"?ACTIVATED",IF(J523&lt;&gt;"","?FAMILIAR",IF(F523="NEW",IF(ISNA(VLOOKUP(E523,#REF!,1,FALSE())),"?TYPE_IDENTIFIABLE","?REFERENTIAL"),"_")))))</f>
        <v/>
      </c>
      <c r="H523" s="23" t="str">
        <f aca="false">IF(J523&lt;&gt;1,"",IF(I523="SBJ","CB","?"))</f>
        <v/>
      </c>
      <c r="I523" s="24" t="str">
        <f aca="false">IF(OR(E523="",E523="!!!",F523="NEW"),"",INDEX(N$2:N518,-1+SUMPRODUCT(MAX(ROW(E$2:E518)*(E523=E$2:E518)))))</f>
        <v/>
      </c>
      <c r="J523" s="25" t="str">
        <f aca="true">IF(OR(E523="",E523="!!!",F523="NEW"),"",COUNTBLANK(OFFSET(M$1,,,SUMPRODUCT(MAX(ROW(E$2:E519)*(E523=E$2:E519)))))-COUNTBLANK(OFFSET(M$1,,,SUMPRODUCT(MAX(ROW(Q$1:Q518)*(E523=Q$1:Q518))))))</f>
        <v/>
      </c>
      <c r="K523" s="25" t="str">
        <f aca="false">IF(OR(E523="",E523="!!!",F523="NEW"),"",INDEX(V$1:V518,SUMPRODUCT(MAX(ROW(Q$1:Q518)*(E523=Q$1:Q518)))))</f>
        <v/>
      </c>
      <c r="L523" s="26"/>
      <c r="M523" s="27"/>
    </row>
    <row r="524" customFormat="false" ht="15" hidden="false" customHeight="false" outlineLevel="0" collapsed="false">
      <c r="A524" s="19" t="s">
        <v>482</v>
      </c>
      <c r="E524" s="20" t="str">
        <f aca="false">IF(P524="?OLD","!!!","")</f>
        <v/>
      </c>
      <c r="F524" s="21" t="str">
        <f aca="false">IF(OR(E524="",E524="!!!"),"",IF(NOT(ISNA(VLOOKUP(E524,Q$1:Q519,1,FALSE()))),"OLD",IF(AND(E524&lt;&gt;"",E524&lt;&gt;"!!!"),"NEW","")))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IF(OR(E524="",E524="!!!",F524="NEW"),"",INDEX(N$2:N519,-1+SUMPRODUCT(MAX(ROW(E$2:E519)*(E524=E$2:E519)))))</f>
        <v/>
      </c>
      <c r="J524" s="25" t="str">
        <f aca="true">IF(OR(E524="",E524="!!!",F524="NEW"),"",COUNTBLANK(OFFSET(M$1,,,SUMPRODUCT(MAX(ROW(E$2:E520)*(E524=E$2:E520)))))-COUNTBLANK(OFFSET(M$1,,,SUMPRODUCT(MAX(ROW(Q$1:Q519)*(E524=Q$1:Q519))))))</f>
        <v/>
      </c>
      <c r="K524" s="25" t="str">
        <f aca="false">IF(OR(E524="",E524="!!!",F524="NEW"),"",INDEX(V$1:V519,SUMPRODUCT(MAX(ROW(Q$1:Q519)*(E524=Q$1:Q519)))))</f>
        <v/>
      </c>
      <c r="L524" s="26"/>
      <c r="M524" s="27"/>
    </row>
    <row r="525" customFormat="false" ht="15" hidden="false" customHeight="false" outlineLevel="0" collapsed="false">
      <c r="A525" s="19" t="s">
        <v>537</v>
      </c>
      <c r="B525" s="28" t="s">
        <v>324</v>
      </c>
      <c r="C525" s="28" t="s">
        <v>418</v>
      </c>
      <c r="E525" s="20" t="str">
        <f aca="false">IF(P525="?OLD","!!!","")</f>
        <v/>
      </c>
      <c r="F525" s="21" t="str">
        <f aca="false">IF(OR(E525="",E525="!!!"),"",IF(NOT(ISNA(VLOOKUP(E525,Q$1:Q520,1,FALSE()))),"OLD",IF(AND(E525&lt;&gt;"",E525&lt;&gt;"!!!"),"NEW","")))</f>
        <v/>
      </c>
      <c r="G525" s="22" t="str">
        <f aca="false">IF(OR(E525="",E525="!!!"),"",IF(OR(J525=0,AND(J525=1,K525=1),AND(J525=1,I525="SBJ"),AND(J525=1,I525=0)),"?IN_FOCUS",IF(J525&lt;=2,"?ACTIVATED",IF(J525&lt;&gt;"","?FAMILIAR",IF(F525="NEW",IF(ISNA(VLOOKUP(E525,#REF!,1,FALSE())),"?TYPE_IDENTIFIABLE","?REFERENTIAL"),"_")))))</f>
        <v/>
      </c>
      <c r="H525" s="23" t="str">
        <f aca="false">IF(J525&lt;&gt;1,"",IF(I525="SBJ","CB","?"))</f>
        <v/>
      </c>
      <c r="I525" s="24" t="str">
        <f aca="false">IF(OR(E525="",E525="!!!",F525="NEW"),"",INDEX(N$2:N520,-1+SUMPRODUCT(MAX(ROW(E$2:E520)*(E525=E$2:E520)))))</f>
        <v/>
      </c>
      <c r="J525" s="25" t="str">
        <f aca="true">IF(OR(E525="",E525="!!!",F525="NEW"),"",COUNTBLANK(OFFSET(M$1,,,SUMPRODUCT(MAX(ROW(E$2:E521)*(E525=E$2:E521)))))-COUNTBLANK(OFFSET(M$1,,,SUMPRODUCT(MAX(ROW(Q$1:Q520)*(E525=Q$1:Q520))))))</f>
        <v/>
      </c>
      <c r="K525" s="25" t="str">
        <f aca="false">IF(OR(E525="",E525="!!!",F525="NEW"),"",INDEX(V$1:V520,SUMPRODUCT(MAX(ROW(Q$1:Q520)*(E525=Q$1:Q520)))))</f>
        <v/>
      </c>
      <c r="L525" s="26"/>
      <c r="M525" s="27"/>
      <c r="N525" s="29"/>
      <c r="O525" s="29"/>
    </row>
    <row r="526" customFormat="false" ht="15" hidden="false" customHeight="false" outlineLevel="0" collapsed="false">
      <c r="A526" s="19" t="s">
        <v>477</v>
      </c>
      <c r="E526" s="20" t="str">
        <f aca="false">IF(P526="?OLD","!!!","")</f>
        <v/>
      </c>
      <c r="F526" s="21" t="str">
        <f aca="false">IF(OR(E526="",E526="!!!"),"",IF(NOT(ISNA(VLOOKUP(E526,Q$1:Q521,1,FALSE()))),"OLD",IF(AND(E526&lt;&gt;"",E526&lt;&gt;"!!!"),"NEW","")))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4" t="str">
        <f aca="false">IF(OR(E526="",E526="!!!",F526="NEW"),"",INDEX(N$2:N521,-1+SUMPRODUCT(MAX(ROW(E$2:E521)*(E526=E$2:E521)))))</f>
        <v/>
      </c>
      <c r="J526" s="25" t="str">
        <f aca="true">IF(OR(E526="",E526="!!!",F526="NEW"),"",COUNTBLANK(OFFSET(M$1,,,SUMPRODUCT(MAX(ROW(E$2:E522)*(E526=E$2:E522)))))-COUNTBLANK(OFFSET(M$1,,,SUMPRODUCT(MAX(ROW(Q$1:Q521)*(E526=Q$1:Q521))))))</f>
        <v/>
      </c>
      <c r="K526" s="25" t="str">
        <f aca="false">IF(OR(E526="",E526="!!!",F526="NEW"),"",INDEX(V$1:V521,SUMPRODUCT(MAX(ROW(Q$1:Q521)*(E526=Q$1:Q521)))))</f>
        <v/>
      </c>
      <c r="L526" s="26"/>
      <c r="M526" s="27"/>
    </row>
    <row r="527" customFormat="false" ht="15" hidden="false" customHeight="false" outlineLevel="0" collapsed="false">
      <c r="A527" s="19" t="s">
        <v>194</v>
      </c>
      <c r="E527" s="20" t="str">
        <f aca="false">IF(P527="?OLD","!!!","")</f>
        <v/>
      </c>
      <c r="F527" s="21" t="str">
        <f aca="false">IF(OR(E527="",E527="!!!"),"",IF(NOT(ISNA(VLOOKUP(E527,Q$1:Q522,1,FALSE()))),"OLD",IF(AND(E527&lt;&gt;"",E527&lt;&gt;"!!!"),"NEW","")))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4" t="str">
        <f aca="false">IF(OR(E527="",E527="!!!",F527="NEW"),"",INDEX(N$2:N522,-1+SUMPRODUCT(MAX(ROW(E$2:E522)*(E527=E$2:E522)))))</f>
        <v/>
      </c>
      <c r="J527" s="25" t="str">
        <f aca="true">IF(OR(E527="",E527="!!!",F527="NEW"),"",COUNTBLANK(OFFSET(M$1,,,SUMPRODUCT(MAX(ROW(E$2:E523)*(E527=E$2:E523)))))-COUNTBLANK(OFFSET(M$1,,,SUMPRODUCT(MAX(ROW(Q$1:Q522)*(E527=Q$1:Q522))))))</f>
        <v/>
      </c>
      <c r="K527" s="25" t="str">
        <f aca="false">IF(OR(E527="",E527="!!!",F527="NEW"),"",INDEX(V$1:V522,SUMPRODUCT(MAX(ROW(Q$1:Q522)*(E527=Q$1:Q522)))))</f>
        <v/>
      </c>
      <c r="L527" s="26"/>
      <c r="M527" s="27"/>
    </row>
    <row r="528" customFormat="false" ht="15" hidden="false" customHeight="false" outlineLevel="0" collapsed="false">
      <c r="A528" s="19" t="s">
        <v>312</v>
      </c>
      <c r="E528" s="20" t="str">
        <f aca="false">IF(P528="?OLD","!!!","")</f>
        <v/>
      </c>
      <c r="F528" s="21" t="str">
        <f aca="false">IF(OR(E528="",E528="!!!"),"",IF(NOT(ISNA(VLOOKUP(E528,Q$1:Q523,1,FALSE()))),"OLD",IF(AND(E528&lt;&gt;"",E528&lt;&gt;"!!!"),"NEW","")))</f>
        <v/>
      </c>
      <c r="G528" s="22" t="str">
        <f aca="false">IF(OR(E528="",E528="!!!"),"",IF(OR(J528=0,AND(J528=1,K528=1),AND(J528=1,I528="SBJ"),AND(J528=1,I528=0)),"?IN_FOCUS",IF(J528&lt;=2,"?ACTIVATED",IF(J528&lt;&gt;"","?FAMILIAR",IF(F528="NEW",IF(ISNA(VLOOKUP(E528,#REF!,1,FALSE())),"?TYPE_IDENTIFIABLE","?REFERENTIAL"),"_")))))</f>
        <v/>
      </c>
      <c r="H528" s="23" t="str">
        <f aca="false">IF(J528&lt;&gt;1,"",IF(I528="SBJ","CB","?"))</f>
        <v/>
      </c>
      <c r="I528" s="24" t="str">
        <f aca="false">IF(OR(E528="",E528="!!!",F528="NEW"),"",INDEX(N$2:N523,-1+SUMPRODUCT(MAX(ROW(E$2:E523)*(E528=E$2:E523)))))</f>
        <v/>
      </c>
      <c r="J528" s="25" t="str">
        <f aca="true">IF(OR(E528="",E528="!!!",F528="NEW"),"",COUNTBLANK(OFFSET(M$1,,,SUMPRODUCT(MAX(ROW(E$2:E524)*(E528=E$2:E524)))))-COUNTBLANK(OFFSET(M$1,,,SUMPRODUCT(MAX(ROW(Q$1:Q523)*(E528=Q$1:Q523))))))</f>
        <v/>
      </c>
      <c r="K528" s="25" t="str">
        <f aca="false">IF(OR(E528="",E528="!!!",F528="NEW"),"",INDEX(V$1:V523,SUMPRODUCT(MAX(ROW(Q$1:Q523)*(E528=Q$1:Q523)))))</f>
        <v/>
      </c>
      <c r="L528" s="26"/>
      <c r="M528" s="27"/>
    </row>
    <row r="529" customFormat="false" ht="15" hidden="false" customHeight="false" outlineLevel="0" collapsed="false">
      <c r="A529" s="19" t="s">
        <v>250</v>
      </c>
      <c r="E529" s="20" t="str">
        <f aca="false">IF(P529="?OLD","!!!","")</f>
        <v/>
      </c>
      <c r="F529" s="21" t="str">
        <f aca="false">IF(OR(E529="",E529="!!!"),"",IF(NOT(ISNA(VLOOKUP(E529,Q$1:Q524,1,FALSE()))),"OLD",IF(AND(E529&lt;&gt;"",E529&lt;&gt;"!!!"),"NEW","")))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4" t="str">
        <f aca="false">IF(OR(E529="",E529="!!!",F529="NEW"),"",INDEX(N$2:N524,-1+SUMPRODUCT(MAX(ROW(E$2:E524)*(E529=E$2:E524)))))</f>
        <v/>
      </c>
      <c r="J529" s="25" t="str">
        <f aca="true">IF(OR(E529="",E529="!!!",F529="NEW"),"",COUNTBLANK(OFFSET(M$1,,,SUMPRODUCT(MAX(ROW(E$2:E525)*(E529=E$2:E525)))))-COUNTBLANK(OFFSET(M$1,,,SUMPRODUCT(MAX(ROW(Q$1:Q524)*(E529=Q$1:Q524))))))</f>
        <v/>
      </c>
      <c r="K529" s="25" t="str">
        <f aca="false">IF(OR(E529="",E529="!!!",F529="NEW"),"",INDEX(V$1:V524,SUMPRODUCT(MAX(ROW(Q$1:Q524)*(E529=Q$1:Q524)))))</f>
        <v/>
      </c>
      <c r="L529" s="26"/>
      <c r="M529" s="27"/>
    </row>
    <row r="530" customFormat="false" ht="15" hidden="false" customHeight="false" outlineLevel="0" collapsed="false">
      <c r="A530" s="19" t="s">
        <v>538</v>
      </c>
      <c r="B530" s="28" t="s">
        <v>258</v>
      </c>
      <c r="C530" s="28" t="s">
        <v>314</v>
      </c>
      <c r="D530" s="28" t="s">
        <v>253</v>
      </c>
      <c r="E530" s="20" t="s">
        <v>539</v>
      </c>
      <c r="F530" s="21" t="str">
        <f aca="false">IF(OR(E530="",E530="!!!"),"",IF(NOT(ISNA(VLOOKUP(E530,Q$1:Q525,1,FALSE()))),"OLD",IF(AND(E530&lt;&gt;"",E530&lt;&gt;"!!!"),"NEW","")))</f>
        <v>NEW</v>
      </c>
      <c r="G530" s="22" t="s">
        <v>255</v>
      </c>
      <c r="H530" s="23" t="str">
        <f aca="false">IF(J530&lt;&gt;1,"",IF(I530="SBJ","CB","?"))</f>
        <v/>
      </c>
      <c r="I530" s="24" t="str">
        <f aca="false">IF(OR(E530="",E530="!!!",F530="NEW"),"",INDEX(N$2:N525,-1+SUMPRODUCT(MAX(ROW(E$2:E525)*(E530=E$2:E525)))))</f>
        <v/>
      </c>
      <c r="J530" s="25" t="str">
        <f aca="true">IF(OR(E530="",E530="!!!",F530="NEW"),"",COUNTBLANK(OFFSET(M$1,,,SUMPRODUCT(MAX(ROW(E$2:E526)*(E530=E$2:E526)))))-COUNTBLANK(OFFSET(M$1,,,SUMPRODUCT(MAX(ROW(Q$1:Q525)*(E530=Q$1:Q525))))))</f>
        <v/>
      </c>
      <c r="K530" s="25" t="str">
        <f aca="false">IF(OR(E530="",E530="!!!",F530="NEW"),"",INDEX(V$1:V525,SUMPRODUCT(MAX(ROW(Q$1:Q525)*(E530=Q$1:Q525)))))</f>
        <v/>
      </c>
      <c r="L530" s="26"/>
      <c r="M530" s="27"/>
      <c r="N530" s="29"/>
      <c r="O530" s="29"/>
      <c r="P530" s="29"/>
    </row>
    <row r="531" customFormat="false" ht="15" hidden="false" customHeight="false" outlineLevel="0" collapsed="false">
      <c r="A531" s="19" t="s">
        <v>256</v>
      </c>
      <c r="E531" s="20" t="str">
        <f aca="false">IF(P531="?OLD","!!!","")</f>
        <v/>
      </c>
      <c r="F531" s="21" t="str">
        <f aca="false">IF(OR(E531="",E531="!!!"),"",IF(NOT(ISNA(VLOOKUP(E531,Q$1:Q526,1,FALSE()))),"OLD",IF(AND(E531&lt;&gt;"",E531&lt;&gt;"!!!"),"NEW","")))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4" t="str">
        <f aca="false">IF(OR(E531="",E531="!!!",F531="NEW"),"",INDEX(N$2:N526,-1+SUMPRODUCT(MAX(ROW(E$2:E526)*(E531=E$2:E526)))))</f>
        <v/>
      </c>
      <c r="J531" s="25" t="str">
        <f aca="true">IF(OR(E531="",E531="!!!",F531="NEW"),"",COUNTBLANK(OFFSET(M$1,,,SUMPRODUCT(MAX(ROW(E$2:E527)*(E531=E$2:E527)))))-COUNTBLANK(OFFSET(M$1,,,SUMPRODUCT(MAX(ROW(Q$1:Q526)*(E531=Q$1:Q526))))))</f>
        <v/>
      </c>
      <c r="K531" s="25" t="str">
        <f aca="false">IF(OR(E531="",E531="!!!",F531="NEW"),"",INDEX(V$1:V526,SUMPRODUCT(MAX(ROW(Q$1:Q526)*(E531=Q$1:Q526)))))</f>
        <v/>
      </c>
      <c r="L531" s="26"/>
      <c r="M531" s="27"/>
    </row>
    <row r="532" customFormat="false" ht="15" hidden="false" customHeight="false" outlineLevel="0" collapsed="false">
      <c r="A532" s="19" t="s">
        <v>250</v>
      </c>
      <c r="E532" s="20" t="str">
        <f aca="false">IF(P532="?OLD","!!!","")</f>
        <v/>
      </c>
      <c r="F532" s="21" t="str">
        <f aca="false">IF(OR(E532="",E532="!!!"),"",IF(NOT(ISNA(VLOOKUP(E532,Q$1:Q527,1,FALSE()))),"OLD",IF(AND(E532&lt;&gt;"",E532&lt;&gt;"!!!"),"NEW","")))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IF(OR(E532="",E532="!!!",F532="NEW"),"",INDEX(N$2:N527,-1+SUMPRODUCT(MAX(ROW(E$2:E527)*(E532=E$2:E527)))))</f>
        <v/>
      </c>
      <c r="J532" s="25" t="str">
        <f aca="true">IF(OR(E532="",E532="!!!",F532="NEW"),"",COUNTBLANK(OFFSET(M$1,,,SUMPRODUCT(MAX(ROW(E$2:E528)*(E532=E$2:E528)))))-COUNTBLANK(OFFSET(M$1,,,SUMPRODUCT(MAX(ROW(Q$1:Q527)*(E532=Q$1:Q527))))))</f>
        <v/>
      </c>
      <c r="K532" s="25" t="str">
        <f aca="false">IF(OR(E532="",E532="!!!",F532="NEW"),"",INDEX(V$1:V527,SUMPRODUCT(MAX(ROW(Q$1:Q527)*(E532=Q$1:Q527)))))</f>
        <v/>
      </c>
      <c r="L532" s="26"/>
      <c r="M532" s="27"/>
    </row>
    <row r="533" customFormat="false" ht="15" hidden="false" customHeight="false" outlineLevel="0" collapsed="false">
      <c r="A533" s="19" t="s">
        <v>534</v>
      </c>
      <c r="B533" s="28" t="s">
        <v>293</v>
      </c>
      <c r="C533" s="28" t="s">
        <v>333</v>
      </c>
      <c r="D533" s="28" t="s">
        <v>253</v>
      </c>
      <c r="E533" s="20" t="s">
        <v>413</v>
      </c>
      <c r="F533" s="21" t="str">
        <f aca="false">IF(OR(E533="",E533="!!!"),"",IF(NOT(ISNA(VLOOKUP(E533,Q$1:Q528,1,FALSE()))),"OLD",IF(AND(E533&lt;&gt;"",E533&lt;&gt;"!!!"),"NEW","")))</f>
        <v>NEW</v>
      </c>
      <c r="G533" s="22" t="s">
        <v>296</v>
      </c>
      <c r="H533" s="23" t="s">
        <v>243</v>
      </c>
      <c r="I533" s="24" t="str">
        <f aca="false">IF(OR(E533="",E533="!!!",F533="NEW"),"",INDEX(N$2:N528,-1+SUMPRODUCT(MAX(ROW(E$2:E528)*(E533=E$2:E528)))))</f>
        <v/>
      </c>
      <c r="J533" s="25" t="str">
        <f aca="true">IF(OR(E533="",E533="!!!",F533="NEW"),"",COUNTBLANK(OFFSET(M$1,,,SUMPRODUCT(MAX(ROW(E$2:E529)*(E533=E$2:E529)))))-COUNTBLANK(OFFSET(M$1,,,SUMPRODUCT(MAX(ROW(Q$1:Q528)*(E533=Q$1:Q528))))))</f>
        <v/>
      </c>
      <c r="K533" s="25" t="str">
        <f aca="false">IF(OR(E533="",E533="!!!",F533="NEW"),"",INDEX(V$1:V528,SUMPRODUCT(MAX(ROW(Q$1:Q528)*(E533=Q$1:Q528)))))</f>
        <v/>
      </c>
      <c r="L533" s="26"/>
      <c r="M533" s="27"/>
      <c r="N533" s="29"/>
      <c r="O533" s="29"/>
      <c r="P533" s="29"/>
    </row>
    <row r="534" customFormat="false" ht="15" hidden="false" customHeight="false" outlineLevel="0" collapsed="false">
      <c r="A534" s="19" t="s">
        <v>477</v>
      </c>
      <c r="E534" s="20" t="str">
        <f aca="false">IF(P534="?OLD","!!!","")</f>
        <v/>
      </c>
      <c r="F534" s="21" t="str">
        <f aca="false">IF(OR(E534="",E534="!!!"),"",IF(NOT(ISNA(VLOOKUP(E534,Q$1:Q529,1,FALSE()))),"OLD",IF(AND(E534&lt;&gt;"",E534&lt;&gt;"!!!"),"NEW","")))</f>
        <v/>
      </c>
      <c r="G534" s="22" t="str">
        <f aca="false">IF(OR(E534="",E534="!!!"),"",IF(OR(J534=0,AND(J534=1,K534=1),AND(J534=1,I534="SBJ"),AND(J534=1,I534=0)),"?IN_FOCUS",IF(J534&lt;=2,"?ACTIVATED",IF(J534&lt;&gt;"","?FAMILIAR",IF(F534="NEW",IF(ISNA(VLOOKUP(E534,#REF!,1,FALSE())),"?TYPE_IDENTIFIABLE","?REFERENTIAL"),"_")))))</f>
        <v/>
      </c>
      <c r="H534" s="23" t="str">
        <f aca="false">IF(J534&lt;&gt;1,"",IF(I534="SBJ","CB","?"))</f>
        <v/>
      </c>
      <c r="I534" s="24" t="str">
        <f aca="false">IF(OR(E534="",E534="!!!",F534="NEW"),"",INDEX(N$2:N529,-1+SUMPRODUCT(MAX(ROW(E$2:E529)*(E534=E$2:E529)))))</f>
        <v/>
      </c>
      <c r="J534" s="25" t="str">
        <f aca="true">IF(OR(E534="",E534="!!!",F534="NEW"),"",COUNTBLANK(OFFSET(M$1,,,SUMPRODUCT(MAX(ROW(E$2:E530)*(E534=E$2:E530)))))-COUNTBLANK(OFFSET(M$1,,,SUMPRODUCT(MAX(ROW(Q$1:Q529)*(E534=Q$1:Q529))))))</f>
        <v/>
      </c>
      <c r="K534" s="25" t="str">
        <f aca="false">IF(OR(E534="",E534="!!!",F534="NEW"),"",INDEX(V$1:V529,SUMPRODUCT(MAX(ROW(Q$1:Q529)*(E534=Q$1:Q529)))))</f>
        <v/>
      </c>
      <c r="L534" s="26"/>
      <c r="M534" s="27"/>
    </row>
    <row r="535" customFormat="false" ht="15" hidden="false" customHeight="false" outlineLevel="0" collapsed="false">
      <c r="A535" s="19" t="s">
        <v>31</v>
      </c>
      <c r="E535" s="20" t="str">
        <f aca="false">IF(P535="?OLD","!!!","")</f>
        <v/>
      </c>
      <c r="F535" s="21" t="str">
        <f aca="false">IF(OR(E535="",E535="!!!"),"",IF(NOT(ISNA(VLOOKUP(E535,Q$1:Q530,1,FALSE()))),"OLD",IF(AND(E535&lt;&gt;"",E535&lt;&gt;"!!!"),"NEW","")))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4" t="str">
        <f aca="false">IF(OR(E535="",E535="!!!",F535="NEW"),"",INDEX(N$2:N530,-1+SUMPRODUCT(MAX(ROW(E$2:E530)*(E535=E$2:E530)))))</f>
        <v/>
      </c>
      <c r="J535" s="25" t="str">
        <f aca="true">IF(OR(E535="",E535="!!!",F535="NEW"),"",COUNTBLANK(OFFSET(M$1,,,SUMPRODUCT(MAX(ROW(E$2:E531)*(E535=E$2:E531)))))-COUNTBLANK(OFFSET(M$1,,,SUMPRODUCT(MAX(ROW(Q$1:Q530)*(E535=Q$1:Q530))))))</f>
        <v/>
      </c>
      <c r="K535" s="25" t="str">
        <f aca="false">IF(OR(E535="",E535="!!!",F535="NEW"),"",INDEX(V$1:V530,SUMPRODUCT(MAX(ROW(Q$1:Q530)*(E535=Q$1:Q530)))))</f>
        <v/>
      </c>
      <c r="L535" s="26"/>
      <c r="M535" s="27"/>
    </row>
    <row r="536" customFormat="false" ht="15" hidden="false" customHeight="false" outlineLevel="0" collapsed="false">
      <c r="A536" s="19" t="s">
        <v>540</v>
      </c>
      <c r="E536" s="20" t="str">
        <f aca="false">IF(P536="?OLD","!!!","")</f>
        <v/>
      </c>
      <c r="F536" s="21" t="str">
        <f aca="false">IF(OR(E536="",E536="!!!"),"",IF(NOT(ISNA(VLOOKUP(E536,Q$1:Q531,1,FALSE()))),"OLD",IF(AND(E536&lt;&gt;"",E536&lt;&gt;"!!!"),"NEW","")))</f>
        <v/>
      </c>
      <c r="G536" s="22" t="str">
        <f aca="false">IF(OR(E536="",E536="!!!"),"",IF(OR(J536=0,AND(J536=1,K536=1),AND(J536=1,I536="SBJ"),AND(J536=1,I536=0)),"?IN_FOCUS",IF(J536&lt;=2,"?ACTIVATED",IF(J536&lt;&gt;"","?FAMILIAR",IF(F536="NEW",IF(ISNA(VLOOKUP(E536,#REF!,1,FALSE())),"?TYPE_IDENTIFIABLE","?REFERENTIAL"),"_")))))</f>
        <v/>
      </c>
      <c r="H536" s="23" t="str">
        <f aca="false">IF(J536&lt;&gt;1,"",IF(I536="SBJ","CB","?"))</f>
        <v/>
      </c>
      <c r="I536" s="24" t="str">
        <f aca="false">IF(OR(E536="",E536="!!!",F536="NEW"),"",INDEX(N$2:N531,-1+SUMPRODUCT(MAX(ROW(E$2:E531)*(E536=E$2:E531)))))</f>
        <v/>
      </c>
      <c r="J536" s="25" t="str">
        <f aca="true">IF(OR(E536="",E536="!!!",F536="NEW"),"",COUNTBLANK(OFFSET(M$1,,,SUMPRODUCT(MAX(ROW(E$2:E532)*(E536=E$2:E532)))))-COUNTBLANK(OFFSET(M$1,,,SUMPRODUCT(MAX(ROW(Q$1:Q531)*(E536=Q$1:Q531))))))</f>
        <v/>
      </c>
      <c r="K536" s="25" t="str">
        <f aca="false">IF(OR(E536="",E536="!!!",F536="NEW"),"",INDEX(V$1:V531,SUMPRODUCT(MAX(ROW(Q$1:Q531)*(E536=Q$1:Q531)))))</f>
        <v/>
      </c>
      <c r="L536" s="26"/>
      <c r="M536" s="27"/>
    </row>
    <row r="537" customFormat="false" ht="15" hidden="false" customHeight="false" outlineLevel="0" collapsed="false">
      <c r="A537" s="19" t="s">
        <v>275</v>
      </c>
      <c r="E537" s="20" t="str">
        <f aca="false">IF(P537="?OLD","!!!","")</f>
        <v/>
      </c>
      <c r="F537" s="21" t="str">
        <f aca="false">IF(OR(E537="",E537="!!!"),"",IF(NOT(ISNA(VLOOKUP(E537,Q$1:Q532,1,FALSE()))),"OLD",IF(AND(E537&lt;&gt;"",E537&lt;&gt;"!!!"),"NEW","")))</f>
        <v/>
      </c>
      <c r="G537" s="22" t="str">
        <f aca="false">IF(OR(E537="",E537="!!!"),"",IF(OR(J537=0,AND(J537=1,K537=1),AND(J537=1,I537="SBJ"),AND(J537=1,I537=0)),"?IN_FOCUS",IF(J537&lt;=2,"?ACTIVATED",IF(J537&lt;&gt;"","?FAMILIAR",IF(F537="NEW",IF(ISNA(VLOOKUP(E537,#REF!,1,FALSE())),"?TYPE_IDENTIFIABLE","?REFERENTIAL"),"_")))))</f>
        <v/>
      </c>
      <c r="H537" s="23" t="str">
        <f aca="false">IF(J537&lt;&gt;1,"",IF(I537="SBJ","CB","?"))</f>
        <v/>
      </c>
      <c r="I537" s="24" t="str">
        <f aca="false">IF(OR(E537="",E537="!!!",F537="NEW"),"",INDEX(N$2:N532,-1+SUMPRODUCT(MAX(ROW(E$2:E532)*(E537=E$2:E532)))))</f>
        <v/>
      </c>
      <c r="J537" s="25" t="str">
        <f aca="true">IF(OR(E537="",E537="!!!",F537="NEW"),"",COUNTBLANK(OFFSET(M$1,,,SUMPRODUCT(MAX(ROW(E$2:E533)*(E537=E$2:E533)))))-COUNTBLANK(OFFSET(M$1,,,SUMPRODUCT(MAX(ROW(Q$1:Q532)*(E537=Q$1:Q532))))))</f>
        <v/>
      </c>
      <c r="K537" s="25" t="str">
        <f aca="false">IF(OR(E537="",E537="!!!",F537="NEW"),"",INDEX(V$1:V532,SUMPRODUCT(MAX(ROW(Q$1:Q532)*(E537=Q$1:Q532)))))</f>
        <v/>
      </c>
      <c r="L537" s="26"/>
      <c r="M537" s="27"/>
    </row>
    <row r="538" customFormat="false" ht="15" hidden="false" customHeight="false" outlineLevel="0" collapsed="false">
      <c r="A538" s="19" t="s">
        <v>475</v>
      </c>
      <c r="E538" s="20" t="str">
        <f aca="false">IF(P538="?OLD","!!!","")</f>
        <v/>
      </c>
      <c r="F538" s="21" t="str">
        <f aca="false">IF(OR(E538="",E538="!!!"),"",IF(NOT(ISNA(VLOOKUP(E538,Q$1:Q533,1,FALSE()))),"OLD",IF(AND(E538&lt;&gt;"",E538&lt;&gt;"!!!"),"NEW","")))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4" t="str">
        <f aca="false">IF(OR(E538="",E538="!!!",F538="NEW"),"",INDEX(N$2:N533,-1+SUMPRODUCT(MAX(ROW(E$2:E533)*(E538=E$2:E533)))))</f>
        <v/>
      </c>
      <c r="J538" s="25" t="str">
        <f aca="true">IF(OR(E538="",E538="!!!",F538="NEW"),"",COUNTBLANK(OFFSET(M$1,,,SUMPRODUCT(MAX(ROW(E$2:E534)*(E538=E$2:E534)))))-COUNTBLANK(OFFSET(M$1,,,SUMPRODUCT(MAX(ROW(Q$1:Q533)*(E538=Q$1:Q533))))))</f>
        <v/>
      </c>
      <c r="K538" s="25" t="str">
        <f aca="false">IF(OR(E538="",E538="!!!",F538="NEW"),"",INDEX(V$1:V533,SUMPRODUCT(MAX(ROW(Q$1:Q533)*(E538=Q$1:Q533)))))</f>
        <v/>
      </c>
      <c r="L538" s="26"/>
      <c r="M538" s="27"/>
    </row>
    <row r="539" customFormat="false" ht="15" hidden="false" customHeight="false" outlineLevel="0" collapsed="false">
      <c r="A539" s="19"/>
      <c r="E539" s="20" t="str">
        <f aca="false">IF(P539="?OLD","!!!","")</f>
        <v/>
      </c>
      <c r="F539" s="21" t="str">
        <f aca="false">IF(OR(E539="",E539="!!!"),"",IF(NOT(ISNA(VLOOKUP(E539,Q$1:Q534,1,FALSE()))),"OLD",IF(AND(E539&lt;&gt;"",E539&lt;&gt;"!!!"),"NEW","")))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4" t="str">
        <f aca="false">IF(OR(E539="",E539="!!!",F539="NEW"),"",INDEX(N$2:N534,-1+SUMPRODUCT(MAX(ROW(E$2:E534)*(E539=E$2:E534)))))</f>
        <v/>
      </c>
      <c r="J539" s="25" t="str">
        <f aca="true">IF(OR(E539="",E539="!!!",F539="NEW"),"",COUNTBLANK(OFFSET(M$1,,,SUMPRODUCT(MAX(ROW(E$2:E535)*(E539=E$2:E535)))))-COUNTBLANK(OFFSET(M$1,,,SUMPRODUCT(MAX(ROW(Q$1:Q534)*(E539=Q$1:Q534))))))</f>
        <v/>
      </c>
      <c r="K539" s="25" t="str">
        <f aca="false">IF(OR(E539="",E539="!!!",F539="NEW"),"",INDEX(V$1:V534,SUMPRODUCT(MAX(ROW(Q$1:Q534)*(E539=Q$1:Q534)))))</f>
        <v/>
      </c>
      <c r="L539" s="26"/>
    </row>
    <row r="540" customFormat="false" ht="15" hidden="false" customHeight="false" outlineLevel="0" collapsed="false">
      <c r="A540" s="19" t="s">
        <v>362</v>
      </c>
      <c r="E540" s="20" t="str">
        <f aca="false">IF(P540="?OLD","!!!","")</f>
        <v/>
      </c>
      <c r="F540" s="21" t="str">
        <f aca="false">IF(OR(E540="",E540="!!!"),"",IF(NOT(ISNA(VLOOKUP(E540,Q$1:Q535,1,FALSE()))),"OLD",IF(AND(E540&lt;&gt;"",E540&lt;&gt;"!!!"),"NEW","")))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4" t="str">
        <f aca="false">IF(OR(E540="",E540="!!!",F540="NEW"),"",INDEX(N$2:N535,-1+SUMPRODUCT(MAX(ROW(E$2:E535)*(E540=E$2:E535)))))</f>
        <v/>
      </c>
      <c r="J540" s="25" t="str">
        <f aca="true">IF(OR(E540="",E540="!!!",F540="NEW"),"",COUNTBLANK(OFFSET(M$1,,,SUMPRODUCT(MAX(ROW(E$2:E536)*(E540=E$2:E536)))))-COUNTBLANK(OFFSET(M$1,,,SUMPRODUCT(MAX(ROW(Q$1:Q535)*(E540=Q$1:Q535))))))</f>
        <v/>
      </c>
      <c r="K540" s="25" t="str">
        <f aca="false">IF(OR(E540="",E540="!!!",F540="NEW"),"",INDEX(V$1:V535,SUMPRODUCT(MAX(ROW(Q$1:Q535)*(E540=Q$1:Q535)))))</f>
        <v/>
      </c>
      <c r="L540" s="26"/>
      <c r="M540" s="27"/>
    </row>
    <row r="541" customFormat="false" ht="15" hidden="false" customHeight="false" outlineLevel="0" collapsed="false">
      <c r="A541" s="19" t="s">
        <v>541</v>
      </c>
      <c r="E541" s="20" t="str">
        <f aca="false">IF(P541="?OLD","!!!","")</f>
        <v/>
      </c>
      <c r="F541" s="21" t="str">
        <f aca="false">IF(OR(E541="",E541="!!!"),"",IF(NOT(ISNA(VLOOKUP(E541,Q$1:Q536,1,FALSE()))),"OLD",IF(AND(E541&lt;&gt;"",E541&lt;&gt;"!!!"),"NEW","")))</f>
        <v/>
      </c>
      <c r="G541" s="22" t="str">
        <f aca="false">IF(OR(E541="",E541="!!!"),"",IF(OR(J541=0,AND(J541=1,K541=1),AND(J541=1,I541="SBJ"),AND(J541=1,I541=0)),"?IN_FOCUS",IF(J541&lt;=2,"?ACTIVATED",IF(J541&lt;&gt;"","?FAMILIAR",IF(F541="NEW",IF(ISNA(VLOOKUP(E541,#REF!,1,FALSE())),"?TYPE_IDENTIFIABLE","?REFERENTIAL"),"_")))))</f>
        <v/>
      </c>
      <c r="H541" s="23" t="str">
        <f aca="false">IF(J541&lt;&gt;1,"",IF(I541="SBJ","CB","?"))</f>
        <v/>
      </c>
      <c r="I541" s="24" t="str">
        <f aca="false">IF(OR(E541="",E541="!!!",F541="NEW"),"",INDEX(N$2:N536,-1+SUMPRODUCT(MAX(ROW(E$2:E536)*(E541=E$2:E536)))))</f>
        <v/>
      </c>
      <c r="J541" s="25" t="str">
        <f aca="true">IF(OR(E541="",E541="!!!",F541="NEW"),"",COUNTBLANK(OFFSET(M$1,,,SUMPRODUCT(MAX(ROW(E$2:E537)*(E541=E$2:E537)))))-COUNTBLANK(OFFSET(M$1,,,SUMPRODUCT(MAX(ROW(Q$1:Q536)*(E541=Q$1:Q536))))))</f>
        <v/>
      </c>
      <c r="K541" s="25" t="str">
        <f aca="false">IF(OR(E541="",E541="!!!",F541="NEW"),"",INDEX(V$1:V536,SUMPRODUCT(MAX(ROW(Q$1:Q536)*(E541=Q$1:Q536)))))</f>
        <v/>
      </c>
      <c r="L541" s="26"/>
      <c r="M541" s="27"/>
    </row>
    <row r="542" customFormat="false" ht="15" hidden="false" customHeight="false" outlineLevel="0" collapsed="false">
      <c r="A542" s="19" t="s">
        <v>367</v>
      </c>
      <c r="E542" s="20" t="str">
        <f aca="false">IF(P542="?OLD","!!!","")</f>
        <v/>
      </c>
      <c r="F542" s="21" t="str">
        <f aca="false">IF(OR(E542="",E542="!!!"),"",IF(NOT(ISNA(VLOOKUP(E542,Q$1:Q537,1,FALSE()))),"OLD",IF(AND(E542&lt;&gt;"",E542&lt;&gt;"!!!"),"NEW","")))</f>
        <v/>
      </c>
      <c r="G542" s="22" t="str">
        <f aca="false">IF(OR(E542="",E542="!!!"),"",IF(OR(J542=0,AND(J542=1,K542=1),AND(J542=1,I542="SBJ"),AND(J542=1,I542=0)),"?IN_FOCUS",IF(J542&lt;=2,"?ACTIVATED",IF(J542&lt;&gt;"","?FAMILIAR",IF(F542="NEW",IF(ISNA(VLOOKUP(E542,#REF!,1,FALSE())),"?TYPE_IDENTIFIABLE","?REFERENTIAL"),"_")))))</f>
        <v/>
      </c>
      <c r="H542" s="23" t="str">
        <f aca="false">IF(J542&lt;&gt;1,"",IF(I542="SBJ","CB","?"))</f>
        <v/>
      </c>
      <c r="I542" s="24" t="str">
        <f aca="false">IF(OR(E542="",E542="!!!",F542="NEW"),"",INDEX(N$2:N537,-1+SUMPRODUCT(MAX(ROW(E$2:E537)*(E542=E$2:E537)))))</f>
        <v/>
      </c>
      <c r="J542" s="25" t="str">
        <f aca="true">IF(OR(E542="",E542="!!!",F542="NEW"),"",COUNTBLANK(OFFSET(M$1,,,SUMPRODUCT(MAX(ROW(E$2:E538)*(E542=E$2:E538)))))-COUNTBLANK(OFFSET(M$1,,,SUMPRODUCT(MAX(ROW(Q$1:Q537)*(E542=Q$1:Q537))))))</f>
        <v/>
      </c>
      <c r="K542" s="25" t="str">
        <f aca="false">IF(OR(E542="",E542="!!!",F542="NEW"),"",INDEX(V$1:V537,SUMPRODUCT(MAX(ROW(Q$1:Q537)*(E542=Q$1:Q537)))))</f>
        <v/>
      </c>
      <c r="L542" s="26"/>
      <c r="M542" s="27"/>
    </row>
    <row r="543" customFormat="false" ht="15" hidden="false" customHeight="false" outlineLevel="0" collapsed="false">
      <c r="A543" s="19" t="s">
        <v>542</v>
      </c>
      <c r="B543" s="28" t="s">
        <v>263</v>
      </c>
      <c r="C543" s="28" t="s">
        <v>333</v>
      </c>
      <c r="D543" s="28" t="s">
        <v>253</v>
      </c>
      <c r="E543" s="20" t="s">
        <v>543</v>
      </c>
      <c r="F543" s="21" t="str">
        <f aca="false">IF(OR(E543="",E543="!!!"),"",IF(NOT(ISNA(VLOOKUP(E543,Q$1:Q538,1,FALSE()))),"OLD",IF(AND(E543&lt;&gt;"",E543&lt;&gt;"!!!"),"NEW","")))</f>
        <v>NEW</v>
      </c>
      <c r="G543" s="22" t="s">
        <v>255</v>
      </c>
      <c r="H543" s="23" t="str">
        <f aca="false">IF(J543&lt;&gt;1,"",IF(I543="SBJ","CB","?"))</f>
        <v/>
      </c>
      <c r="I543" s="24" t="str">
        <f aca="false">IF(OR(E543="",E543="!!!",F543="NEW"),"",INDEX(N$2:N538,-1+SUMPRODUCT(MAX(ROW(E$2:E538)*(E543=E$2:E538)))))</f>
        <v/>
      </c>
      <c r="J543" s="25" t="str">
        <f aca="true">IF(OR(E543="",E543="!!!",F543="NEW"),"",COUNTBLANK(OFFSET(M$1,,,SUMPRODUCT(MAX(ROW(E$2:E539)*(E543=E$2:E539)))))-COUNTBLANK(OFFSET(M$1,,,SUMPRODUCT(MAX(ROW(Q$1:Q538)*(E543=Q$1:Q538))))))</f>
        <v/>
      </c>
      <c r="K543" s="25" t="str">
        <f aca="false">IF(OR(E543="",E543="!!!",F543="NEW"),"",INDEX(V$1:V538,SUMPRODUCT(MAX(ROW(Q$1:Q538)*(E543=Q$1:Q538)))))</f>
        <v/>
      </c>
      <c r="L543" s="26"/>
      <c r="M543" s="27"/>
      <c r="N543" s="29"/>
      <c r="O543" s="29"/>
      <c r="P543" s="29"/>
    </row>
    <row r="544" customFormat="false" ht="15" hidden="false" customHeight="false" outlineLevel="0" collapsed="false">
      <c r="A544" s="19" t="s">
        <v>256</v>
      </c>
      <c r="E544" s="20" t="str">
        <f aca="false">IF(P544="?OLD","!!!","")</f>
        <v/>
      </c>
      <c r="F544" s="21" t="str">
        <f aca="false">IF(OR(E544="",E544="!!!"),"",IF(NOT(ISNA(VLOOKUP(E544,Q$1:Q539,1,FALSE()))),"OLD",IF(AND(E544&lt;&gt;"",E544&lt;&gt;"!!!"),"NEW","")))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4" t="str">
        <f aca="false">IF(OR(E544="",E544="!!!",F544="NEW"),"",INDEX(N$2:N539,-1+SUMPRODUCT(MAX(ROW(E$2:E539)*(E544=E$2:E539)))))</f>
        <v/>
      </c>
      <c r="J544" s="25" t="str">
        <f aca="true">IF(OR(E544="",E544="!!!",F544="NEW"),"",COUNTBLANK(OFFSET(M$1,,,SUMPRODUCT(MAX(ROW(E$2:E540)*(E544=E$2:E540)))))-COUNTBLANK(OFFSET(M$1,,,SUMPRODUCT(MAX(ROW(Q$1:Q539)*(E544=Q$1:Q539))))))</f>
        <v/>
      </c>
      <c r="K544" s="25" t="str">
        <f aca="false">IF(OR(E544="",E544="!!!",F544="NEW"),"",INDEX(V$1:V539,SUMPRODUCT(MAX(ROW(Q$1:Q539)*(E544=Q$1:Q539)))))</f>
        <v/>
      </c>
      <c r="L544" s="26"/>
      <c r="M544" s="27"/>
    </row>
    <row r="545" customFormat="false" ht="15" hidden="false" customHeight="false" outlineLevel="0" collapsed="false">
      <c r="A545" s="19" t="s">
        <v>544</v>
      </c>
      <c r="B545" s="28" t="s">
        <v>306</v>
      </c>
      <c r="C545" s="28" t="s">
        <v>333</v>
      </c>
      <c r="D545" s="28" t="s">
        <v>253</v>
      </c>
      <c r="E545" s="20" t="s">
        <v>543</v>
      </c>
      <c r="F545" s="21" t="str">
        <f aca="false">IF(OR(E545="",E545="!!!"),"",IF(NOT(ISNA(VLOOKUP(E545,Q$1:Q540,1,FALSE()))),"OLD",IF(AND(E545&lt;&gt;"",E545&lt;&gt;"!!!"),"NEW","")))</f>
        <v>NEW</v>
      </c>
      <c r="G545" s="22" t="s">
        <v>296</v>
      </c>
      <c r="H545" s="23" t="str">
        <f aca="false">IF(J545&lt;&gt;1,"",IF(I545="SBJ","CB","?"))</f>
        <v/>
      </c>
      <c r="I545" s="24" t="str">
        <f aca="false">IF(OR(E545="",E545="!!!",F545="NEW"),"",INDEX(N$2:N540,-1+SUMPRODUCT(MAX(ROW(E$2:E540)*(E545=E$2:E540)))))</f>
        <v/>
      </c>
      <c r="J545" s="25" t="str">
        <f aca="true">IF(OR(E545="",E545="!!!",F545="NEW"),"",COUNTBLANK(OFFSET(M$1,,,SUMPRODUCT(MAX(ROW(E$2:E541)*(E545=E$2:E541)))))-COUNTBLANK(OFFSET(M$1,,,SUMPRODUCT(MAX(ROW(Q$1:Q540)*(E545=Q$1:Q540))))))</f>
        <v/>
      </c>
      <c r="K545" s="25" t="str">
        <f aca="false">IF(OR(E545="",E545="!!!",F545="NEW"),"",INDEX(V$1:V540,SUMPRODUCT(MAX(ROW(Q$1:Q540)*(E545=Q$1:Q540)))))</f>
        <v/>
      </c>
      <c r="L545" s="26"/>
      <c r="M545" s="27"/>
      <c r="N545" s="29"/>
      <c r="O545" s="29"/>
      <c r="P545" s="29"/>
    </row>
    <row r="546" customFormat="false" ht="15" hidden="false" customHeight="false" outlineLevel="0" collapsed="false">
      <c r="A546" s="19" t="s">
        <v>261</v>
      </c>
      <c r="E546" s="20" t="str">
        <f aca="false">IF(P546="?OLD","!!!","")</f>
        <v/>
      </c>
      <c r="F546" s="21" t="str">
        <f aca="false">IF(OR(E546="",E546="!!!"),"",IF(NOT(ISNA(VLOOKUP(E546,Q$1:Q541,1,FALSE()))),"OLD",IF(AND(E546&lt;&gt;"",E546&lt;&gt;"!!!"),"NEW","")))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IF(OR(E546="",E546="!!!",F546="NEW"),"",INDEX(N$2:N541,-1+SUMPRODUCT(MAX(ROW(E$2:E541)*(E546=E$2:E541)))))</f>
        <v/>
      </c>
      <c r="J546" s="25" t="str">
        <f aca="true">IF(OR(E546="",E546="!!!",F546="NEW"),"",COUNTBLANK(OFFSET(M$1,,,SUMPRODUCT(MAX(ROW(E$2:E542)*(E546=E$2:E542)))))-COUNTBLANK(OFFSET(M$1,,,SUMPRODUCT(MAX(ROW(Q$1:Q541)*(E546=Q$1:Q541))))))</f>
        <v/>
      </c>
      <c r="K546" s="25" t="str">
        <f aca="false">IF(OR(E546="",E546="!!!",F546="NEW"),"",INDEX(V$1:V541,SUMPRODUCT(MAX(ROW(Q$1:Q541)*(E546=Q$1:Q541)))))</f>
        <v/>
      </c>
      <c r="L546" s="26"/>
      <c r="M546" s="27"/>
    </row>
    <row r="547" customFormat="false" ht="15" hidden="false" customHeight="false" outlineLevel="0" collapsed="false">
      <c r="A547" s="19" t="s">
        <v>43</v>
      </c>
      <c r="E547" s="20" t="str">
        <f aca="false">IF(P547="?OLD","!!!","")</f>
        <v/>
      </c>
      <c r="F547" s="21" t="str">
        <f aca="false">IF(OR(E547="",E547="!!!"),"",IF(NOT(ISNA(VLOOKUP(E547,Q$1:Q542,1,FALSE()))),"OLD",IF(AND(E547&lt;&gt;"",E547&lt;&gt;"!!!"),"NEW","")))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4" t="str">
        <f aca="false">IF(OR(E547="",E547="!!!",F547="NEW"),"",INDEX(N$2:N542,-1+SUMPRODUCT(MAX(ROW(E$2:E542)*(E547=E$2:E542)))))</f>
        <v/>
      </c>
      <c r="J547" s="25" t="str">
        <f aca="true">IF(OR(E547="",E547="!!!",F547="NEW"),"",COUNTBLANK(OFFSET(M$1,,,SUMPRODUCT(MAX(ROW(E$2:E543)*(E547=E$2:E543)))))-COUNTBLANK(OFFSET(M$1,,,SUMPRODUCT(MAX(ROW(Q$1:Q542)*(E547=Q$1:Q542))))))</f>
        <v/>
      </c>
      <c r="K547" s="25" t="str">
        <f aca="false">IF(OR(E547="",E547="!!!",F547="NEW"),"",INDEX(V$1:V542,SUMPRODUCT(MAX(ROW(Q$1:Q542)*(E547=Q$1:Q542)))))</f>
        <v/>
      </c>
      <c r="L547" s="26"/>
      <c r="M547" s="27"/>
    </row>
    <row r="548" customFormat="false" ht="15" hidden="false" customHeight="false" outlineLevel="0" collapsed="false">
      <c r="A548" s="19" t="s">
        <v>371</v>
      </c>
      <c r="E548" s="20" t="str">
        <f aca="false">IF(P548="?OLD","!!!","")</f>
        <v/>
      </c>
      <c r="F548" s="21" t="str">
        <f aca="false">IF(OR(E548="",E548="!!!"),"",IF(NOT(ISNA(VLOOKUP(E548,Q$1:Q543,1,FALSE()))),"OLD",IF(AND(E548&lt;&gt;"",E548&lt;&gt;"!!!"),"NEW","")))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4" t="str">
        <f aca="false">IF(OR(E548="",E548="!!!",F548="NEW"),"",INDEX(N$2:N543,-1+SUMPRODUCT(MAX(ROW(E$2:E543)*(E548=E$2:E543)))))</f>
        <v/>
      </c>
      <c r="J548" s="25" t="str">
        <f aca="true">IF(OR(E548="",E548="!!!",F548="NEW"),"",COUNTBLANK(OFFSET(M$1,,,SUMPRODUCT(MAX(ROW(E$2:E544)*(E548=E$2:E544)))))-COUNTBLANK(OFFSET(M$1,,,SUMPRODUCT(MAX(ROW(Q$1:Q543)*(E548=Q$1:Q543))))))</f>
        <v/>
      </c>
      <c r="K548" s="25" t="str">
        <f aca="false">IF(OR(E548="",E548="!!!",F548="NEW"),"",INDEX(V$1:V543,SUMPRODUCT(MAX(ROW(Q$1:Q543)*(E548=Q$1:Q543)))))</f>
        <v/>
      </c>
      <c r="L548" s="26"/>
      <c r="M548" s="27"/>
    </row>
    <row r="549" customFormat="false" ht="15" hidden="false" customHeight="false" outlineLevel="0" collapsed="false">
      <c r="A549" s="19" t="s">
        <v>453</v>
      </c>
      <c r="B549" s="28" t="s">
        <v>380</v>
      </c>
      <c r="C549" s="28" t="s">
        <v>344</v>
      </c>
      <c r="D549" s="28" t="s">
        <v>253</v>
      </c>
      <c r="E549" s="20"/>
      <c r="F549" s="21" t="s">
        <v>448</v>
      </c>
      <c r="G549" s="22" t="str">
        <f aca="false">IF(OR(E549="",E549="!!!"),"",IF(OR(J549=0,AND(J549=1,K549=1),AND(J549=1,I549="SBJ"),AND(J549=1,I549=0)),"?IN_FOCUS",IF(J549&lt;=2,"?ACTIVATED",IF(J549&lt;&gt;"","?FAMILIAR",IF(F549="NEW",IF(ISNA(VLOOKUP(E549,#REF!,1,FALSE())),"?TYPE_IDENTIFIABLE","?REFERENTIAL"),"_")))))</f>
        <v/>
      </c>
      <c r="H549" s="23" t="str">
        <f aca="false">IF(J549&lt;&gt;1,"",IF(I549="SBJ","CB","?"))</f>
        <v/>
      </c>
      <c r="I549" s="24" t="str">
        <f aca="false">IF(OR(E549="",E549="!!!",F549="NEW"),"",INDEX(N$2:N544,-1+SUMPRODUCT(MAX(ROW(E$2:E544)*(E549=E$2:E544)))))</f>
        <v/>
      </c>
      <c r="J549" s="25" t="str">
        <f aca="true">IF(OR(E549="",E549="!!!",F549="NEW"),"",COUNTBLANK(OFFSET(M$1,,,SUMPRODUCT(MAX(ROW(E$2:E545)*(E549=E$2:E545)))))-COUNTBLANK(OFFSET(M$1,,,SUMPRODUCT(MAX(ROW(Q$1:Q544)*(E549=Q$1:Q544))))))</f>
        <v/>
      </c>
      <c r="K549" s="25" t="str">
        <f aca="false">IF(OR(E549="",E549="!!!",F549="NEW"),"",INDEX(V$1:V544,SUMPRODUCT(MAX(ROW(Q$1:Q544)*(E549=Q$1:Q544)))))</f>
        <v/>
      </c>
      <c r="L549" s="26"/>
      <c r="M549" s="27"/>
      <c r="N549" s="29"/>
      <c r="O549" s="29"/>
      <c r="P549" s="29"/>
    </row>
    <row r="550" customFormat="false" ht="15" hidden="false" customHeight="false" outlineLevel="0" collapsed="false">
      <c r="A550" s="19" t="s">
        <v>414</v>
      </c>
      <c r="E550" s="20" t="str">
        <f aca="false">IF(P550="?OLD","!!!","")</f>
        <v/>
      </c>
      <c r="F550" s="21" t="str">
        <f aca="false">IF(OR(E550="",E550="!!!"),"",IF(NOT(ISNA(VLOOKUP(E550,Q$1:Q545,1,FALSE()))),"OLD",IF(AND(E550&lt;&gt;"",E550&lt;&gt;"!!!"),"NEW","")))</f>
        <v/>
      </c>
      <c r="G550" s="22" t="str">
        <f aca="false">IF(OR(E550="",E550="!!!"),"",IF(OR(J550=0,AND(J550=1,K550=1),AND(J550=1,I550="SBJ"),AND(J550=1,I550=0)),"?IN_FOCUS",IF(J550&lt;=2,"?ACTIVATED",IF(J550&lt;&gt;"","?FAMILIAR",IF(F550="NEW",IF(ISNA(VLOOKUP(E550,#REF!,1,FALSE())),"?TYPE_IDENTIFIABLE","?REFERENTIAL"),"_")))))</f>
        <v/>
      </c>
      <c r="H550" s="23" t="str">
        <f aca="false">IF(J550&lt;&gt;1,"",IF(I550="SBJ","CB","?"))</f>
        <v/>
      </c>
      <c r="I550" s="24" t="str">
        <f aca="false">IF(OR(E550="",E550="!!!",F550="NEW"),"",INDEX(N$2:N545,-1+SUMPRODUCT(MAX(ROW(E$2:E545)*(E550=E$2:E545)))))</f>
        <v/>
      </c>
      <c r="J550" s="25" t="str">
        <f aca="true">IF(OR(E550="",E550="!!!",F550="NEW"),"",COUNTBLANK(OFFSET(M$1,,,SUMPRODUCT(MAX(ROW(E$2:E546)*(E550=E$2:E546)))))-COUNTBLANK(OFFSET(M$1,,,SUMPRODUCT(MAX(ROW(Q$1:Q545)*(E550=Q$1:Q545))))))</f>
        <v/>
      </c>
      <c r="K550" s="25" t="str">
        <f aca="false">IF(OR(E550="",E550="!!!",F550="NEW"),"",INDEX(V$1:V545,SUMPRODUCT(MAX(ROW(Q$1:Q545)*(E550=Q$1:Q545)))))</f>
        <v/>
      </c>
      <c r="L550" s="26"/>
      <c r="M550" s="27"/>
    </row>
    <row r="551" customFormat="false" ht="15" hidden="false" customHeight="false" outlineLevel="0" collapsed="false">
      <c r="A551" s="19"/>
      <c r="E551" s="20" t="str">
        <f aca="false">IF(P551="?OLD","!!!","")</f>
        <v/>
      </c>
      <c r="F551" s="21" t="str">
        <f aca="false">IF(OR(E551="",E551="!!!"),"",IF(NOT(ISNA(VLOOKUP(E551,Q$1:Q546,1,FALSE()))),"OLD",IF(AND(E551&lt;&gt;"",E551&lt;&gt;"!!!"),"NEW","")))</f>
        <v/>
      </c>
      <c r="G551" s="22" t="str">
        <f aca="false">IF(OR(E551="",E551="!!!"),"",IF(OR(J551=0,AND(J551=1,K551=1),AND(J551=1,I551="SBJ"),AND(J551=1,I551=0)),"?IN_FOCUS",IF(J551&lt;=2,"?ACTIVATED",IF(J551&lt;&gt;"","?FAMILIAR",IF(F551="NEW",IF(ISNA(VLOOKUP(E551,#REF!,1,FALSE())),"?TYPE_IDENTIFIABLE","?REFERENTIAL"),"_")))))</f>
        <v/>
      </c>
      <c r="H551" s="23" t="str">
        <f aca="false">IF(J551&lt;&gt;1,"",IF(I551="SBJ","CB","?"))</f>
        <v/>
      </c>
      <c r="I551" s="24" t="str">
        <f aca="false">IF(OR(E551="",E551="!!!",F551="NEW"),"",INDEX(N$2:N546,-1+SUMPRODUCT(MAX(ROW(E$2:E546)*(E551=E$2:E546)))))</f>
        <v/>
      </c>
      <c r="J551" s="25" t="str">
        <f aca="true">IF(OR(E551="",E551="!!!",F551="NEW"),"",COUNTBLANK(OFFSET(M$1,,,SUMPRODUCT(MAX(ROW(E$2:E547)*(E551=E$2:E547)))))-COUNTBLANK(OFFSET(M$1,,,SUMPRODUCT(MAX(ROW(Q$1:Q546)*(E551=Q$1:Q546))))))</f>
        <v/>
      </c>
      <c r="K551" s="25" t="str">
        <f aca="false">IF(OR(E551="",E551="!!!",F551="NEW"),"",INDEX(V$1:V546,SUMPRODUCT(MAX(ROW(Q$1:Q546)*(E551=Q$1:Q546)))))</f>
        <v/>
      </c>
      <c r="L551" s="26"/>
    </row>
    <row r="552" customFormat="false" ht="15" hidden="false" customHeight="false" outlineLevel="0" collapsed="false">
      <c r="A552" s="19" t="s">
        <v>545</v>
      </c>
      <c r="E552" s="20" t="str">
        <f aca="false">IF(P552="?OLD","!!!","")</f>
        <v/>
      </c>
      <c r="F552" s="21" t="str">
        <f aca="false">IF(OR(E552="",E552="!!!"),"",IF(NOT(ISNA(VLOOKUP(E552,Q$1:Q547,1,FALSE()))),"OLD",IF(AND(E552&lt;&gt;"",E552&lt;&gt;"!!!"),"NEW","")))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IF(OR(E552="",E552="!!!",F552="NEW"),"",INDEX(N$2:N547,-1+SUMPRODUCT(MAX(ROW(E$2:E547)*(E552=E$2:E547)))))</f>
        <v/>
      </c>
      <c r="J552" s="25" t="str">
        <f aca="true">IF(OR(E552="",E552="!!!",F552="NEW"),"",COUNTBLANK(OFFSET(M$1,,,SUMPRODUCT(MAX(ROW(E$2:E548)*(E552=E$2:E548)))))-COUNTBLANK(OFFSET(M$1,,,SUMPRODUCT(MAX(ROW(Q$1:Q547)*(E552=Q$1:Q547))))))</f>
        <v/>
      </c>
      <c r="K552" s="25" t="str">
        <f aca="false">IF(OR(E552="",E552="!!!",F552="NEW"),"",INDEX(V$1:V547,SUMPRODUCT(MAX(ROW(Q$1:Q547)*(E552=Q$1:Q547)))))</f>
        <v/>
      </c>
      <c r="L552" s="26"/>
      <c r="M552" s="27"/>
    </row>
    <row r="553" customFormat="false" ht="15" hidden="false" customHeight="false" outlineLevel="0" collapsed="false">
      <c r="A553" s="19" t="s">
        <v>546</v>
      </c>
      <c r="E553" s="20" t="str">
        <f aca="false">IF(P553="?OLD","!!!","")</f>
        <v/>
      </c>
      <c r="F553" s="21" t="str">
        <f aca="false">IF(OR(E553="",E553="!!!"),"",IF(NOT(ISNA(VLOOKUP(E553,Q$1:Q548,1,FALSE()))),"OLD",IF(AND(E553&lt;&gt;"",E553&lt;&gt;"!!!"),"NEW","")))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4" t="str">
        <f aca="false">IF(OR(E553="",E553="!!!",F553="NEW"),"",INDEX(N$2:N548,-1+SUMPRODUCT(MAX(ROW(E$2:E548)*(E553=E$2:E548)))))</f>
        <v/>
      </c>
      <c r="J553" s="25" t="str">
        <f aca="true">IF(OR(E553="",E553="!!!",F553="NEW"),"",COUNTBLANK(OFFSET(M$1,,,SUMPRODUCT(MAX(ROW(E$2:E549)*(E553=E$2:E549)))))-COUNTBLANK(OFFSET(M$1,,,SUMPRODUCT(MAX(ROW(Q$1:Q548)*(E553=Q$1:Q548))))))</f>
        <v/>
      </c>
      <c r="K553" s="25" t="str">
        <f aca="false">IF(OR(E553="",E553="!!!",F553="NEW"),"",INDEX(V$1:V548,SUMPRODUCT(MAX(ROW(Q$1:Q548)*(E553=Q$1:Q548)))))</f>
        <v/>
      </c>
      <c r="L553" s="26"/>
      <c r="M553" s="27"/>
    </row>
    <row r="554" customFormat="false" ht="15" hidden="false" customHeight="false" outlineLevel="0" collapsed="false">
      <c r="A554" s="19" t="s">
        <v>256</v>
      </c>
      <c r="E554" s="20" t="str">
        <f aca="false">IF(P554="?OLD","!!!","")</f>
        <v/>
      </c>
      <c r="F554" s="21" t="str">
        <f aca="false">IF(OR(E554="",E554="!!!"),"",IF(NOT(ISNA(VLOOKUP(E554,Q$1:Q549,1,FALSE()))),"OLD",IF(AND(E554&lt;&gt;"",E554&lt;&gt;"!!!"),"NEW","")))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IF(OR(E554="",E554="!!!",F554="NEW"),"",INDEX(N$2:N549,-1+SUMPRODUCT(MAX(ROW(E$2:E549)*(E554=E$2:E549)))))</f>
        <v/>
      </c>
      <c r="J554" s="25" t="str">
        <f aca="true">IF(OR(E554="",E554="!!!",F554="NEW"),"",COUNTBLANK(OFFSET(M$1,,,SUMPRODUCT(MAX(ROW(E$2:E550)*(E554=E$2:E550)))))-COUNTBLANK(OFFSET(M$1,,,SUMPRODUCT(MAX(ROW(Q$1:Q549)*(E554=Q$1:Q549))))))</f>
        <v/>
      </c>
      <c r="K554" s="25" t="str">
        <f aca="false">IF(OR(E554="",E554="!!!",F554="NEW"),"",INDEX(V$1:V549,SUMPRODUCT(MAX(ROW(Q$1:Q549)*(E554=Q$1:Q549)))))</f>
        <v/>
      </c>
      <c r="L554" s="26"/>
      <c r="M554" s="27"/>
    </row>
    <row r="555" customFormat="false" ht="15" hidden="false" customHeight="false" outlineLevel="0" collapsed="false">
      <c r="A555" s="19" t="s">
        <v>547</v>
      </c>
      <c r="B555" s="28" t="s">
        <v>271</v>
      </c>
      <c r="C555" s="28" t="s">
        <v>333</v>
      </c>
      <c r="D555" s="28" t="s">
        <v>253</v>
      </c>
      <c r="E555" s="20" t="s">
        <v>546</v>
      </c>
      <c r="F555" s="21" t="str">
        <f aca="false">IF(OR(E555="",E555="!!!"),"",IF(NOT(ISNA(VLOOKUP(E555,Q$1:Q550,1,FALSE()))),"OLD",IF(AND(E555&lt;&gt;"",E555&lt;&gt;"!!!"),"NEW","")))</f>
        <v>NEW</v>
      </c>
      <c r="G555" s="22" t="s">
        <v>283</v>
      </c>
      <c r="H555" s="23" t="str">
        <f aca="false">IF(J555&lt;&gt;1,"",IF(I555="SBJ","CB","?"))</f>
        <v/>
      </c>
      <c r="I555" s="24" t="str">
        <f aca="false">IF(OR(E555="",E555="!!!",F555="NEW"),"",INDEX(N$2:N550,-1+SUMPRODUCT(MAX(ROW(E$2:E550)*(E555=E$2:E550)))))</f>
        <v/>
      </c>
      <c r="J555" s="25" t="str">
        <f aca="true">IF(OR(E555="",E555="!!!",F555="NEW"),"",COUNTBLANK(OFFSET(M$1,,,SUMPRODUCT(MAX(ROW(E$2:E551)*(E555=E$2:E551)))))-COUNTBLANK(OFFSET(M$1,,,SUMPRODUCT(MAX(ROW(Q$1:Q550)*(E555=Q$1:Q550))))))</f>
        <v/>
      </c>
      <c r="K555" s="25" t="str">
        <f aca="false">IF(OR(E555="",E555="!!!",F555="NEW"),"",INDEX(V$1:V550,SUMPRODUCT(MAX(ROW(Q$1:Q550)*(E555=Q$1:Q550)))))</f>
        <v/>
      </c>
      <c r="L555" s="26"/>
      <c r="M555" s="27"/>
      <c r="N555" s="29"/>
      <c r="O555" s="29"/>
      <c r="P555" s="29"/>
    </row>
    <row r="556" customFormat="false" ht="15" hidden="false" customHeight="false" outlineLevel="0" collapsed="false">
      <c r="A556" s="19" t="s">
        <v>261</v>
      </c>
      <c r="E556" s="20" t="str">
        <f aca="false">IF(P556="?OLD","!!!","")</f>
        <v/>
      </c>
      <c r="F556" s="21" t="str">
        <f aca="false">IF(OR(E556="",E556="!!!"),"",IF(NOT(ISNA(VLOOKUP(E556,Q$1:Q551,1,FALSE()))),"OLD",IF(AND(E556&lt;&gt;"",E556&lt;&gt;"!!!"),"NEW","")))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IF(OR(E556="",E556="!!!",F556="NEW"),"",INDEX(N$2:N551,-1+SUMPRODUCT(MAX(ROW(E$2:E551)*(E556=E$2:E551)))))</f>
        <v/>
      </c>
      <c r="J556" s="25" t="str">
        <f aca="true">IF(OR(E556="",E556="!!!",F556="NEW"),"",COUNTBLANK(OFFSET(M$1,,,SUMPRODUCT(MAX(ROW(E$2:E552)*(E556=E$2:E552)))))-COUNTBLANK(OFFSET(M$1,,,SUMPRODUCT(MAX(ROW(Q$1:Q551)*(E556=Q$1:Q551))))))</f>
        <v/>
      </c>
      <c r="K556" s="25" t="str">
        <f aca="false">IF(OR(E556="",E556="!!!",F556="NEW"),"",INDEX(V$1:V551,SUMPRODUCT(MAX(ROW(Q$1:Q551)*(E556=Q$1:Q551)))))</f>
        <v/>
      </c>
      <c r="L556" s="26"/>
      <c r="M556" s="27"/>
    </row>
    <row r="557" customFormat="false" ht="15" hidden="false" customHeight="false" outlineLevel="0" collapsed="false">
      <c r="A557" s="19" t="s">
        <v>284</v>
      </c>
      <c r="E557" s="20" t="str">
        <f aca="false">IF(P557="?OLD","!!!","")</f>
        <v/>
      </c>
      <c r="F557" s="21" t="str">
        <f aca="false">IF(OR(E557="",E557="!!!"),"",IF(NOT(ISNA(VLOOKUP(E557,Q$1:Q552,1,FALSE()))),"OLD",IF(AND(E557&lt;&gt;"",E557&lt;&gt;"!!!"),"NEW","")))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4" t="str">
        <f aca="false">IF(OR(E557="",E557="!!!",F557="NEW"),"",INDEX(N$2:N552,-1+SUMPRODUCT(MAX(ROW(E$2:E552)*(E557=E$2:E552)))))</f>
        <v/>
      </c>
      <c r="J557" s="25" t="str">
        <f aca="true">IF(OR(E557="",E557="!!!",F557="NEW"),"",COUNTBLANK(OFFSET(M$1,,,SUMPRODUCT(MAX(ROW(E$2:E553)*(E557=E$2:E553)))))-COUNTBLANK(OFFSET(M$1,,,SUMPRODUCT(MAX(ROW(Q$1:Q552)*(E557=Q$1:Q552))))))</f>
        <v/>
      </c>
      <c r="K557" s="25" t="str">
        <f aca="false">IF(OR(E557="",E557="!!!",F557="NEW"),"",INDEX(V$1:V552,SUMPRODUCT(MAX(ROW(Q$1:Q552)*(E557=Q$1:Q552)))))</f>
        <v/>
      </c>
      <c r="L557" s="26"/>
      <c r="M557" s="27"/>
    </row>
    <row r="558" customFormat="false" ht="15" hidden="false" customHeight="false" outlineLevel="0" collapsed="false">
      <c r="A558" s="19" t="s">
        <v>115</v>
      </c>
      <c r="B558" s="28" t="s">
        <v>271</v>
      </c>
      <c r="C558" s="28" t="s">
        <v>314</v>
      </c>
      <c r="D558" s="28" t="s">
        <v>253</v>
      </c>
      <c r="E558" s="20" t="s">
        <v>546</v>
      </c>
      <c r="F558" s="21" t="str">
        <f aca="false">IF(OR(E558="",E558="!!!"),"",IF(NOT(ISNA(VLOOKUP(E558,Q$1:Q553,1,FALSE()))),"OLD",IF(AND(E558&lt;&gt;"",E558&lt;&gt;"!!!"),"NEW","")))</f>
        <v>NEW</v>
      </c>
      <c r="G558" s="22" t="s">
        <v>296</v>
      </c>
      <c r="H558" s="23" t="str">
        <f aca="false">IF(J558&lt;&gt;1,"",IF(I558="SBJ","CB","?"))</f>
        <v/>
      </c>
      <c r="I558" s="24" t="str">
        <f aca="false">IF(OR(E558="",E558="!!!",F558="NEW"),"",INDEX(N$2:N553,-1+SUMPRODUCT(MAX(ROW(E$2:E553)*(E558=E$2:E553)))))</f>
        <v/>
      </c>
      <c r="J558" s="25" t="str">
        <f aca="true">IF(OR(E558="",E558="!!!",F558="NEW"),"",COUNTBLANK(OFFSET(M$1,,,SUMPRODUCT(MAX(ROW(E$2:E554)*(E558=E$2:E554)))))-COUNTBLANK(OFFSET(M$1,,,SUMPRODUCT(MAX(ROW(Q$1:Q553)*(E558=Q$1:Q553))))))</f>
        <v/>
      </c>
      <c r="K558" s="25" t="str">
        <f aca="false">IF(OR(E558="",E558="!!!",F558="NEW"),"",INDEX(V$1:V553,SUMPRODUCT(MAX(ROW(Q$1:Q553)*(E558=Q$1:Q553)))))</f>
        <v/>
      </c>
      <c r="L558" s="26"/>
      <c r="M558" s="27"/>
      <c r="N558" s="29"/>
      <c r="O558" s="29"/>
      <c r="P558" s="29"/>
    </row>
    <row r="559" customFormat="false" ht="15" hidden="false" customHeight="false" outlineLevel="0" collapsed="false">
      <c r="A559" s="19" t="s">
        <v>548</v>
      </c>
      <c r="E559" s="20" t="str">
        <f aca="false">IF(P559="?OLD","!!!","")</f>
        <v/>
      </c>
      <c r="F559" s="21" t="str">
        <f aca="false">IF(OR(E559="",E559="!!!"),"",IF(NOT(ISNA(VLOOKUP(E559,Q$1:Q554,1,FALSE()))),"OLD",IF(AND(E559&lt;&gt;"",E559&lt;&gt;"!!!"),"NEW","")))</f>
        <v/>
      </c>
      <c r="G559" s="22" t="str">
        <f aca="false">IF(OR(E559="",E559="!!!"),"",IF(OR(J559=0,AND(J559=1,K559=1),AND(J559=1,I559="SBJ"),AND(J559=1,I559=0)),"?IN_FOCUS",IF(J559&lt;=2,"?ACTIVATED",IF(J559&lt;&gt;"","?FAMILIAR",IF(F559="NEW",IF(ISNA(VLOOKUP(E559,#REF!,1,FALSE())),"?TYPE_IDENTIFIABLE","?REFERENTIAL"),"_")))))</f>
        <v/>
      </c>
      <c r="H559" s="23" t="str">
        <f aca="false">IF(J559&lt;&gt;1,"",IF(I559="SBJ","CB","?"))</f>
        <v/>
      </c>
      <c r="I559" s="24" t="str">
        <f aca="false">IF(OR(E559="",E559="!!!",F559="NEW"),"",INDEX(N$2:N554,-1+SUMPRODUCT(MAX(ROW(E$2:E554)*(E559=E$2:E554)))))</f>
        <v/>
      </c>
      <c r="J559" s="25" t="str">
        <f aca="true">IF(OR(E559="",E559="!!!",F559="NEW"),"",COUNTBLANK(OFFSET(M$1,,,SUMPRODUCT(MAX(ROW(E$2:E555)*(E559=E$2:E555)))))-COUNTBLANK(OFFSET(M$1,,,SUMPRODUCT(MAX(ROW(Q$1:Q554)*(E559=Q$1:Q554))))))</f>
        <v/>
      </c>
      <c r="K559" s="25" t="str">
        <f aca="false">IF(OR(E559="",E559="!!!",F559="NEW"),"",INDEX(V$1:V554,SUMPRODUCT(MAX(ROW(Q$1:Q554)*(E559=Q$1:Q554)))))</f>
        <v/>
      </c>
      <c r="L559" s="26"/>
      <c r="M559" s="27"/>
    </row>
    <row r="560" customFormat="false" ht="15" hidden="false" customHeight="false" outlineLevel="0" collapsed="false">
      <c r="A560" s="19" t="s">
        <v>549</v>
      </c>
      <c r="E560" s="20" t="str">
        <f aca="false">IF(P560="?OLD","!!!","")</f>
        <v/>
      </c>
      <c r="F560" s="21" t="str">
        <f aca="false">IF(OR(E560="",E560="!!!"),"",IF(NOT(ISNA(VLOOKUP(E560,Q$1:Q555,1,FALSE()))),"OLD",IF(AND(E560&lt;&gt;"",E560&lt;&gt;"!!!"),"NEW","")))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IF(OR(E560="",E560="!!!",F560="NEW"),"",INDEX(N$2:N555,-1+SUMPRODUCT(MAX(ROW(E$2:E555)*(E560=E$2:E555)))))</f>
        <v/>
      </c>
      <c r="J560" s="25" t="str">
        <f aca="true">IF(OR(E560="",E560="!!!",F560="NEW"),"",COUNTBLANK(OFFSET(M$1,,,SUMPRODUCT(MAX(ROW(E$2:E556)*(E560=E$2:E556)))))-COUNTBLANK(OFFSET(M$1,,,SUMPRODUCT(MAX(ROW(Q$1:Q555)*(E560=Q$1:Q555))))))</f>
        <v/>
      </c>
      <c r="K560" s="25" t="str">
        <f aca="false">IF(OR(E560="",E560="!!!",F560="NEW"),"",INDEX(V$1:V555,SUMPRODUCT(MAX(ROW(Q$1:Q555)*(E560=Q$1:Q555)))))</f>
        <v/>
      </c>
      <c r="L560" s="26"/>
      <c r="M560" s="27"/>
    </row>
    <row r="561" customFormat="false" ht="15" hidden="false" customHeight="false" outlineLevel="0" collapsed="false">
      <c r="A561" s="19" t="s">
        <v>413</v>
      </c>
      <c r="B561" s="28" t="s">
        <v>306</v>
      </c>
      <c r="C561" s="28" t="s">
        <v>333</v>
      </c>
      <c r="D561" s="28" t="s">
        <v>253</v>
      </c>
      <c r="E561" s="20" t="s">
        <v>413</v>
      </c>
      <c r="F561" s="21" t="str">
        <f aca="false">IF(OR(E561="",E561="!!!"),"",IF(NOT(ISNA(VLOOKUP(E561,Q$1:Q556,1,FALSE()))),"OLD",IF(AND(E561&lt;&gt;"",E561&lt;&gt;"!!!"),"NEW","")))</f>
        <v>NEW</v>
      </c>
      <c r="G561" s="22" t="s">
        <v>266</v>
      </c>
      <c r="H561" s="23" t="str">
        <f aca="false">IF(J561&lt;&gt;1,"",IF(I561="SBJ","CB","?"))</f>
        <v/>
      </c>
      <c r="I561" s="24" t="str">
        <f aca="false">IF(OR(E561="",E561="!!!",F561="NEW"),"",INDEX(N$2:N556,-1+SUMPRODUCT(MAX(ROW(E$2:E556)*(E561=E$2:E556)))))</f>
        <v/>
      </c>
      <c r="J561" s="25" t="str">
        <f aca="true">IF(OR(E561="",E561="!!!",F561="NEW"),"",COUNTBLANK(OFFSET(M$1,,,SUMPRODUCT(MAX(ROW(E$2:E557)*(E561=E$2:E557)))))-COUNTBLANK(OFFSET(M$1,,,SUMPRODUCT(MAX(ROW(Q$1:Q556)*(E561=Q$1:Q556))))))</f>
        <v/>
      </c>
      <c r="K561" s="25" t="str">
        <f aca="false">IF(OR(E561="",E561="!!!",F561="NEW"),"",INDEX(V$1:V556,SUMPRODUCT(MAX(ROW(Q$1:Q556)*(E561=Q$1:Q556)))))</f>
        <v/>
      </c>
      <c r="L561" s="26"/>
      <c r="M561" s="27"/>
      <c r="N561" s="29"/>
      <c r="O561" s="29"/>
      <c r="P561" s="29"/>
    </row>
    <row r="562" customFormat="false" ht="15" hidden="false" customHeight="false" outlineLevel="0" collapsed="false">
      <c r="A562" s="19" t="s">
        <v>309</v>
      </c>
      <c r="E562" s="20" t="str">
        <f aca="false">IF(P562="?OLD","!!!","")</f>
        <v/>
      </c>
      <c r="F562" s="21" t="str">
        <f aca="false">IF(OR(E562="",E562="!!!"),"",IF(NOT(ISNA(VLOOKUP(E562,Q$1:Q557,1,FALSE()))),"OLD",IF(AND(E562&lt;&gt;"",E562&lt;&gt;"!!!"),"NEW","")))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IF(OR(E562="",E562="!!!",F562="NEW"),"",INDEX(N$2:N557,-1+SUMPRODUCT(MAX(ROW(E$2:E557)*(E562=E$2:E557)))))</f>
        <v/>
      </c>
      <c r="J562" s="25" t="str">
        <f aca="true">IF(OR(E562="",E562="!!!",F562="NEW"),"",COUNTBLANK(OFFSET(M$1,,,SUMPRODUCT(MAX(ROW(E$2:E558)*(E562=E$2:E558)))))-COUNTBLANK(OFFSET(M$1,,,SUMPRODUCT(MAX(ROW(Q$1:Q557)*(E562=Q$1:Q557))))))</f>
        <v/>
      </c>
      <c r="K562" s="25" t="str">
        <f aca="false">IF(OR(E562="",E562="!!!",F562="NEW"),"",INDEX(V$1:V557,SUMPRODUCT(MAX(ROW(Q$1:Q557)*(E562=Q$1:Q557)))))</f>
        <v/>
      </c>
      <c r="L562" s="26"/>
      <c r="M562" s="27"/>
    </row>
    <row r="563" customFormat="false" ht="15" hidden="false" customHeight="false" outlineLevel="0" collapsed="false">
      <c r="A563" s="19" t="s">
        <v>441</v>
      </c>
      <c r="B563" s="28" t="s">
        <v>306</v>
      </c>
      <c r="C563" s="28" t="s">
        <v>264</v>
      </c>
      <c r="D563" s="28" t="s">
        <v>253</v>
      </c>
      <c r="E563" s="20" t="s">
        <v>543</v>
      </c>
      <c r="F563" s="21" t="str">
        <f aca="false">IF(OR(E563="",E563="!!!"),"",IF(NOT(ISNA(VLOOKUP(E563,Q$1:Q558,1,FALSE()))),"OLD",IF(AND(E563&lt;&gt;"",E563&lt;&gt;"!!!"),"NEW","")))</f>
        <v>NEW</v>
      </c>
      <c r="G563" s="22" t="s">
        <v>266</v>
      </c>
      <c r="H563" s="23" t="s">
        <v>243</v>
      </c>
      <c r="I563" s="24" t="str">
        <f aca="false">IF(OR(E563="",E563="!!!",F563="NEW"),"",INDEX(N$2:N558,-1+SUMPRODUCT(MAX(ROW(E$2:E558)*(E563=E$2:E558)))))</f>
        <v/>
      </c>
      <c r="J563" s="25" t="str">
        <f aca="true">IF(OR(E563="",E563="!!!",F563="NEW"),"",COUNTBLANK(OFFSET(M$1,,,SUMPRODUCT(MAX(ROW(E$2:E559)*(E563=E$2:E559)))))-COUNTBLANK(OFFSET(M$1,,,SUMPRODUCT(MAX(ROW(Q$1:Q558)*(E563=Q$1:Q558))))))</f>
        <v/>
      </c>
      <c r="K563" s="25" t="str">
        <f aca="false">IF(OR(E563="",E563="!!!",F563="NEW"),"",INDEX(V$1:V558,SUMPRODUCT(MAX(ROW(Q$1:Q558)*(E563=Q$1:Q558)))))</f>
        <v/>
      </c>
      <c r="L563" s="26"/>
      <c r="M563" s="27"/>
      <c r="N563" s="29"/>
      <c r="O563" s="29"/>
      <c r="P563" s="29"/>
    </row>
    <row r="564" customFormat="false" ht="15" hidden="false" customHeight="false" outlineLevel="0" collapsed="false">
      <c r="A564" s="19" t="s">
        <v>549</v>
      </c>
      <c r="E564" s="20" t="str">
        <f aca="false">IF(P564="?OLD","!!!","")</f>
        <v/>
      </c>
      <c r="F564" s="21" t="str">
        <f aca="false">IF(OR(E564="",E564="!!!"),"",IF(NOT(ISNA(VLOOKUP(E564,Q$1:Q559,1,FALSE()))),"OLD",IF(AND(E564&lt;&gt;"",E564&lt;&gt;"!!!"),"NEW","")))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IF(OR(E564="",E564="!!!",F564="NEW"),"",INDEX(N$2:N559,-1+SUMPRODUCT(MAX(ROW(E$2:E559)*(E564=E$2:E559)))))</f>
        <v/>
      </c>
      <c r="J564" s="25" t="str">
        <f aca="true">IF(OR(E564="",E564="!!!",F564="NEW"),"",COUNTBLANK(OFFSET(M$1,,,SUMPRODUCT(MAX(ROW(E$2:E560)*(E564=E$2:E560)))))-COUNTBLANK(OFFSET(M$1,,,SUMPRODUCT(MAX(ROW(Q$1:Q559)*(E564=Q$1:Q559))))))</f>
        <v/>
      </c>
      <c r="K564" s="25" t="str">
        <f aca="false">IF(OR(E564="",E564="!!!",F564="NEW"),"",INDEX(V$1:V559,SUMPRODUCT(MAX(ROW(Q$1:Q559)*(E564=Q$1:Q559)))))</f>
        <v/>
      </c>
      <c r="L564" s="26"/>
      <c r="M564" s="27"/>
    </row>
    <row r="565" customFormat="false" ht="15" hidden="false" customHeight="false" outlineLevel="0" collapsed="false">
      <c r="A565" s="19" t="s">
        <v>291</v>
      </c>
      <c r="E565" s="20" t="str">
        <f aca="false">IF(P565="?OLD","!!!","")</f>
        <v/>
      </c>
      <c r="F565" s="21" t="str">
        <f aca="false">IF(OR(E565="",E565="!!!"),"",IF(NOT(ISNA(VLOOKUP(E565,Q$1:Q560,1,FALSE()))),"OLD",IF(AND(E565&lt;&gt;"",E565&lt;&gt;"!!!"),"NEW","")))</f>
        <v/>
      </c>
      <c r="G565" s="22" t="str">
        <f aca="false">IF(OR(E565="",E565="!!!"),"",IF(OR(J565=0,AND(J565=1,K565=1),AND(J565=1,I565="SBJ"),AND(J565=1,I565=0)),"?IN_FOCUS",IF(J565&lt;=2,"?ACTIVATED",IF(J565&lt;&gt;"","?FAMILIAR",IF(F565="NEW",IF(ISNA(VLOOKUP(E565,#REF!,1,FALSE())),"?TYPE_IDENTIFIABLE","?REFERENTIAL"),"_")))))</f>
        <v/>
      </c>
      <c r="H565" s="23" t="str">
        <f aca="false">IF(J565&lt;&gt;1,"",IF(I565="SBJ","CB","?"))</f>
        <v/>
      </c>
      <c r="I565" s="24" t="str">
        <f aca="false">IF(OR(E565="",E565="!!!",F565="NEW"),"",INDEX(N$2:N560,-1+SUMPRODUCT(MAX(ROW(E$2:E560)*(E565=E$2:E560)))))</f>
        <v/>
      </c>
      <c r="J565" s="25" t="str">
        <f aca="true">IF(OR(E565="",E565="!!!",F565="NEW"),"",COUNTBLANK(OFFSET(M$1,,,SUMPRODUCT(MAX(ROW(E$2:E561)*(E565=E$2:E561)))))-COUNTBLANK(OFFSET(M$1,,,SUMPRODUCT(MAX(ROW(Q$1:Q560)*(E565=Q$1:Q560))))))</f>
        <v/>
      </c>
      <c r="K565" s="25" t="str">
        <f aca="false">IF(OR(E565="",E565="!!!",F565="NEW"),"",INDEX(V$1:V560,SUMPRODUCT(MAX(ROW(Q$1:Q560)*(E565=Q$1:Q560)))))</f>
        <v/>
      </c>
      <c r="L565" s="26"/>
      <c r="M565" s="27"/>
    </row>
    <row r="566" customFormat="false" ht="15" hidden="false" customHeight="false" outlineLevel="0" collapsed="false">
      <c r="A566" s="19" t="s">
        <v>411</v>
      </c>
      <c r="B566" s="28" t="s">
        <v>306</v>
      </c>
      <c r="C566" s="28" t="s">
        <v>259</v>
      </c>
      <c r="E566" s="20" t="str">
        <f aca="false">IF(P566="?OLD","!!!","")</f>
        <v/>
      </c>
      <c r="F566" s="21" t="str">
        <f aca="false">IF(OR(E566="",E566="!!!"),"",IF(NOT(ISNA(VLOOKUP(E566,Q$1:Q561,1,FALSE()))),"OLD",IF(AND(E566&lt;&gt;"",E566&lt;&gt;"!!!"),"NEW","")))</f>
        <v/>
      </c>
      <c r="G566" s="22" t="str">
        <f aca="false">IF(OR(E566="",E566="!!!"),"",IF(OR(J566=0,AND(J566=1,K566=1),AND(J566=1,I566="SBJ"),AND(J566=1,I566=0)),"?IN_FOCUS",IF(J566&lt;=2,"?ACTIVATED",IF(J566&lt;&gt;"","?FAMILIAR",IF(F566="NEW",IF(ISNA(VLOOKUP(E566,#REF!,1,FALSE())),"?TYPE_IDENTIFIABLE","?REFERENTIAL"),"_")))))</f>
        <v/>
      </c>
      <c r="H566" s="23" t="str">
        <f aca="false">IF(J566&lt;&gt;1,"",IF(I566="SBJ","CB","?"))</f>
        <v/>
      </c>
      <c r="I566" s="24" t="str">
        <f aca="false">IF(OR(E566="",E566="!!!",F566="NEW"),"",INDEX(N$2:N561,-1+SUMPRODUCT(MAX(ROW(E$2:E561)*(E566=E$2:E561)))))</f>
        <v/>
      </c>
      <c r="J566" s="25" t="str">
        <f aca="true">IF(OR(E566="",E566="!!!",F566="NEW"),"",COUNTBLANK(OFFSET(M$1,,,SUMPRODUCT(MAX(ROW(E$2:E562)*(E566=E$2:E562)))))-COUNTBLANK(OFFSET(M$1,,,SUMPRODUCT(MAX(ROW(Q$1:Q561)*(E566=Q$1:Q561))))))</f>
        <v/>
      </c>
      <c r="K566" s="25" t="str">
        <f aca="false">IF(OR(E566="",E566="!!!",F566="NEW"),"",INDEX(V$1:V561,SUMPRODUCT(MAX(ROW(Q$1:Q561)*(E566=Q$1:Q561)))))</f>
        <v/>
      </c>
      <c r="L566" s="26"/>
      <c r="M566" s="27"/>
      <c r="N566" s="29"/>
      <c r="O566" s="29"/>
    </row>
    <row r="567" customFormat="false" ht="15" hidden="false" customHeight="false" outlineLevel="0" collapsed="false">
      <c r="A567" s="19" t="s">
        <v>294</v>
      </c>
      <c r="E567" s="20" t="str">
        <f aca="false">IF(P567="?OLD","!!!","")</f>
        <v/>
      </c>
      <c r="F567" s="21" t="str">
        <f aca="false">IF(OR(E567="",E567="!!!"),"",IF(NOT(ISNA(VLOOKUP(E567,Q$1:Q562,1,FALSE()))),"OLD",IF(AND(E567&lt;&gt;"",E567&lt;&gt;"!!!"),"NEW","")))</f>
        <v/>
      </c>
      <c r="G567" s="22" t="str">
        <f aca="false">IF(OR(E567="",E567="!!!"),"",IF(OR(J567=0,AND(J567=1,K567=1),AND(J567=1,I567="SBJ"),AND(J567=1,I567=0)),"?IN_FOCUS",IF(J567&lt;=2,"?ACTIVATED",IF(J567&lt;&gt;"","?FAMILIAR",IF(F567="NEW",IF(ISNA(VLOOKUP(E567,#REF!,1,FALSE())),"?TYPE_IDENTIFIABLE","?REFERENTIAL"),"_")))))</f>
        <v/>
      </c>
      <c r="H567" s="23" t="str">
        <f aca="false">IF(J567&lt;&gt;1,"",IF(I567="SBJ","CB","?"))</f>
        <v/>
      </c>
      <c r="I567" s="24" t="str">
        <f aca="false">IF(OR(E567="",E567="!!!",F567="NEW"),"",INDEX(N$2:N562,-1+SUMPRODUCT(MAX(ROW(E$2:E562)*(E567=E$2:E562)))))</f>
        <v/>
      </c>
      <c r="J567" s="25" t="str">
        <f aca="true">IF(OR(E567="",E567="!!!",F567="NEW"),"",COUNTBLANK(OFFSET(M$1,,,SUMPRODUCT(MAX(ROW(E$2:E563)*(E567=E$2:E563)))))-COUNTBLANK(OFFSET(M$1,,,SUMPRODUCT(MAX(ROW(Q$1:Q562)*(E567=Q$1:Q562))))))</f>
        <v/>
      </c>
      <c r="K567" s="25" t="str">
        <f aca="false">IF(OR(E567="",E567="!!!",F567="NEW"),"",INDEX(V$1:V562,SUMPRODUCT(MAX(ROW(Q$1:Q562)*(E567=Q$1:Q562)))))</f>
        <v/>
      </c>
      <c r="L567" s="26"/>
      <c r="M567" s="27"/>
    </row>
    <row r="568" customFormat="false" ht="15" hidden="false" customHeight="false" outlineLevel="0" collapsed="false">
      <c r="A568" s="19" t="s">
        <v>511</v>
      </c>
      <c r="B568" s="28" t="s">
        <v>258</v>
      </c>
      <c r="C568" s="28" t="s">
        <v>259</v>
      </c>
      <c r="E568" s="20" t="str">
        <f aca="false">IF(P568="?OLD","!!!","")</f>
        <v/>
      </c>
      <c r="F568" s="21" t="str">
        <f aca="false">IF(OR(E568="",E568="!!!"),"",IF(NOT(ISNA(VLOOKUP(E568,Q$1:Q563,1,FALSE()))),"OLD",IF(AND(E568&lt;&gt;"",E568&lt;&gt;"!!!"),"NEW","")))</f>
        <v/>
      </c>
      <c r="G568" s="22" t="str">
        <f aca="false">IF(OR(E568="",E568="!!!"),"",IF(OR(J568=0,AND(J568=1,K568=1),AND(J568=1,I568="SBJ"),AND(J568=1,I568=0)),"?IN_FOCUS",IF(J568&lt;=2,"?ACTIVATED",IF(J568&lt;&gt;"","?FAMILIAR",IF(F568="NEW",IF(ISNA(VLOOKUP(E568,#REF!,1,FALSE())),"?TYPE_IDENTIFIABLE","?REFERENTIAL"),"_")))))</f>
        <v/>
      </c>
      <c r="H568" s="23" t="str">
        <f aca="false">IF(J568&lt;&gt;1,"",IF(I568="SBJ","CB","?"))</f>
        <v/>
      </c>
      <c r="I568" s="24" t="str">
        <f aca="false">IF(OR(E568="",E568="!!!",F568="NEW"),"",INDEX(N$2:N563,-1+SUMPRODUCT(MAX(ROW(E$2:E563)*(E568=E$2:E563)))))</f>
        <v/>
      </c>
      <c r="J568" s="25" t="str">
        <f aca="true">IF(OR(E568="",E568="!!!",F568="NEW"),"",COUNTBLANK(OFFSET(M$1,,,SUMPRODUCT(MAX(ROW(E$2:E564)*(E568=E$2:E564)))))-COUNTBLANK(OFFSET(M$1,,,SUMPRODUCT(MAX(ROW(Q$1:Q563)*(E568=Q$1:Q563))))))</f>
        <v/>
      </c>
      <c r="K568" s="25" t="str">
        <f aca="false">IF(OR(E568="",E568="!!!",F568="NEW"),"",INDEX(V$1:V563,SUMPRODUCT(MAX(ROW(Q$1:Q563)*(E568=Q$1:Q563)))))</f>
        <v/>
      </c>
      <c r="L568" s="26"/>
      <c r="M568" s="27"/>
      <c r="N568" s="29"/>
      <c r="O568" s="29"/>
    </row>
    <row r="569" customFormat="false" ht="15" hidden="false" customHeight="false" outlineLevel="0" collapsed="false">
      <c r="A569" s="19" t="s">
        <v>294</v>
      </c>
      <c r="E569" s="20" t="str">
        <f aca="false">IF(P569="?OLD","!!!","")</f>
        <v/>
      </c>
      <c r="F569" s="21" t="str">
        <f aca="false">IF(OR(E569="",E569="!!!"),"",IF(NOT(ISNA(VLOOKUP(E569,Q$1:Q564,1,FALSE()))),"OLD",IF(AND(E569&lt;&gt;"",E569&lt;&gt;"!!!"),"NEW","")))</f>
        <v/>
      </c>
      <c r="G569" s="22" t="str">
        <f aca="false">IF(OR(E569="",E569="!!!"),"",IF(OR(J569=0,AND(J569=1,K569=1),AND(J569=1,I569="SBJ"),AND(J569=1,I569=0)),"?IN_FOCUS",IF(J569&lt;=2,"?ACTIVATED",IF(J569&lt;&gt;"","?FAMILIAR",IF(F569="NEW",IF(ISNA(VLOOKUP(E569,#REF!,1,FALSE())),"?TYPE_IDENTIFIABLE","?REFERENTIAL"),"_")))))</f>
        <v/>
      </c>
      <c r="H569" s="23" t="str">
        <f aca="false">IF(J569&lt;&gt;1,"",IF(I569="SBJ","CB","?"))</f>
        <v/>
      </c>
      <c r="I569" s="24" t="str">
        <f aca="false">IF(OR(E569="",E569="!!!",F569="NEW"),"",INDEX(N$2:N564,-1+SUMPRODUCT(MAX(ROW(E$2:E564)*(E569=E$2:E564)))))</f>
        <v/>
      </c>
      <c r="J569" s="25" t="str">
        <f aca="true">IF(OR(E569="",E569="!!!",F569="NEW"),"",COUNTBLANK(OFFSET(M$1,,,SUMPRODUCT(MAX(ROW(E$2:E565)*(E569=E$2:E565)))))-COUNTBLANK(OFFSET(M$1,,,SUMPRODUCT(MAX(ROW(Q$1:Q564)*(E569=Q$1:Q564))))))</f>
        <v/>
      </c>
      <c r="K569" s="25" t="str">
        <f aca="false">IF(OR(E569="",E569="!!!",F569="NEW"),"",INDEX(V$1:V564,SUMPRODUCT(MAX(ROW(Q$1:Q564)*(E569=Q$1:Q564)))))</f>
        <v/>
      </c>
      <c r="L569" s="26"/>
      <c r="M569" s="27"/>
    </row>
    <row r="570" customFormat="false" ht="15" hidden="false" customHeight="false" outlineLevel="0" collapsed="false">
      <c r="A570" s="19" t="s">
        <v>513</v>
      </c>
      <c r="B570" s="28" t="s">
        <v>271</v>
      </c>
      <c r="C570" s="28" t="s">
        <v>259</v>
      </c>
      <c r="E570" s="20" t="str">
        <f aca="false">IF(P570="?OLD","!!!","")</f>
        <v/>
      </c>
      <c r="F570" s="21" t="str">
        <f aca="false">IF(OR(E570="",E570="!!!"),"",IF(NOT(ISNA(VLOOKUP(E570,Q$1:Q565,1,FALSE()))),"OLD",IF(AND(E570&lt;&gt;"",E570&lt;&gt;"!!!"),"NEW","")))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4" t="str">
        <f aca="false">IF(OR(E570="",E570="!!!",F570="NEW"),"",INDEX(N$2:N565,-1+SUMPRODUCT(MAX(ROW(E$2:E565)*(E570=E$2:E565)))))</f>
        <v/>
      </c>
      <c r="J570" s="25" t="str">
        <f aca="true">IF(OR(E570="",E570="!!!",F570="NEW"),"",COUNTBLANK(OFFSET(M$1,,,SUMPRODUCT(MAX(ROW(E$2:E566)*(E570=E$2:E566)))))-COUNTBLANK(OFFSET(M$1,,,SUMPRODUCT(MAX(ROW(Q$1:Q565)*(E570=Q$1:Q565))))))</f>
        <v/>
      </c>
      <c r="K570" s="25" t="str">
        <f aca="false">IF(OR(E570="",E570="!!!",F570="NEW"),"",INDEX(V$1:V565,SUMPRODUCT(MAX(ROW(Q$1:Q565)*(E570=Q$1:Q565)))))</f>
        <v/>
      </c>
      <c r="L570" s="26"/>
      <c r="M570" s="27"/>
      <c r="N570" s="29"/>
      <c r="O570" s="29"/>
    </row>
    <row r="571" customFormat="false" ht="15" hidden="false" customHeight="false" outlineLevel="0" collapsed="false">
      <c r="A571" s="19" t="s">
        <v>550</v>
      </c>
      <c r="B571" s="28" t="s">
        <v>286</v>
      </c>
      <c r="E571" s="20" t="str">
        <f aca="false">IF(P571="?OLD","!!!","")</f>
        <v/>
      </c>
      <c r="F571" s="21" t="str">
        <f aca="false">IF(OR(E571="",E571="!!!"),"",IF(NOT(ISNA(VLOOKUP(E571,Q$1:Q566,1,FALSE()))),"OLD",IF(AND(E571&lt;&gt;"",E571&lt;&gt;"!!!"),"NEW","")))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4" t="str">
        <f aca="false">IF(OR(E571="",E571="!!!",F571="NEW"),"",INDEX(N$2:N566,-1+SUMPRODUCT(MAX(ROW(E$2:E566)*(E571=E$2:E566)))))</f>
        <v/>
      </c>
      <c r="J571" s="25" t="str">
        <f aca="true">IF(OR(E571="",E571="!!!",F571="NEW"),"",COUNTBLANK(OFFSET(M$1,,,SUMPRODUCT(MAX(ROW(E$2:E567)*(E571=E$2:E567)))))-COUNTBLANK(OFFSET(M$1,,,SUMPRODUCT(MAX(ROW(Q$1:Q566)*(E571=Q$1:Q566))))))</f>
        <v/>
      </c>
      <c r="K571" s="25" t="str">
        <f aca="false">IF(OR(E571="",E571="!!!",F571="NEW"),"",INDEX(V$1:V566,SUMPRODUCT(MAX(ROW(Q$1:Q566)*(E571=Q$1:Q566)))))</f>
        <v/>
      </c>
      <c r="L571" s="26"/>
      <c r="M571" s="27"/>
      <c r="N571" s="29"/>
    </row>
    <row r="572" customFormat="false" ht="15" hidden="false" customHeight="false" outlineLevel="0" collapsed="false">
      <c r="A572" s="19" t="s">
        <v>413</v>
      </c>
      <c r="B572" s="28" t="s">
        <v>251</v>
      </c>
      <c r="C572" s="28" t="s">
        <v>333</v>
      </c>
      <c r="D572" s="28" t="s">
        <v>253</v>
      </c>
      <c r="E572" s="20" t="s">
        <v>413</v>
      </c>
      <c r="F572" s="21" t="str">
        <f aca="false">IF(OR(E572="",E572="!!!"),"",IF(NOT(ISNA(VLOOKUP(E572,Q$1:Q567,1,FALSE()))),"OLD",IF(AND(E572&lt;&gt;"",E572&lt;&gt;"!!!"),"NEW","")))</f>
        <v>NEW</v>
      </c>
      <c r="G572" s="22" t="s">
        <v>296</v>
      </c>
      <c r="H572" s="23" t="str">
        <f aca="false">IF(J572&lt;&gt;1,"",IF(I572="SBJ","CB","?"))</f>
        <v/>
      </c>
      <c r="I572" s="24" t="str">
        <f aca="false">IF(OR(E572="",E572="!!!",F572="NEW"),"",INDEX(N$2:N567,-1+SUMPRODUCT(MAX(ROW(E$2:E567)*(E572=E$2:E567)))))</f>
        <v/>
      </c>
      <c r="J572" s="25" t="str">
        <f aca="true">IF(OR(E572="",E572="!!!",F572="NEW"),"",COUNTBLANK(OFFSET(M$1,,,SUMPRODUCT(MAX(ROW(E$2:E568)*(E572=E$2:E568)))))-COUNTBLANK(OFFSET(M$1,,,SUMPRODUCT(MAX(ROW(Q$1:Q567)*(E572=Q$1:Q567))))))</f>
        <v/>
      </c>
      <c r="K572" s="25" t="str">
        <f aca="false">IF(OR(E572="",E572="!!!",F572="NEW"),"",INDEX(V$1:V567,SUMPRODUCT(MAX(ROW(Q$1:Q567)*(E572=Q$1:Q567)))))</f>
        <v/>
      </c>
      <c r="L572" s="26"/>
      <c r="M572" s="27"/>
      <c r="N572" s="29"/>
      <c r="O572" s="29"/>
      <c r="P572" s="29"/>
    </row>
    <row r="573" customFormat="false" ht="15" hidden="false" customHeight="false" outlineLevel="0" collapsed="false">
      <c r="A573" s="19" t="s">
        <v>551</v>
      </c>
      <c r="E573" s="20" t="str">
        <f aca="false">IF(P573="?OLD","!!!","")</f>
        <v/>
      </c>
      <c r="F573" s="21" t="str">
        <f aca="false">IF(OR(E573="",E573="!!!"),"",IF(NOT(ISNA(VLOOKUP(E573,Q$1:Q568,1,FALSE()))),"OLD",IF(AND(E573&lt;&gt;"",E573&lt;&gt;"!!!"),"NEW","")))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4" t="str">
        <f aca="false">IF(OR(E573="",E573="!!!",F573="NEW"),"",INDEX(N$2:N568,-1+SUMPRODUCT(MAX(ROW(E$2:E568)*(E573=E$2:E568)))))</f>
        <v/>
      </c>
      <c r="J573" s="25" t="str">
        <f aca="true">IF(OR(E573="",E573="!!!",F573="NEW"),"",COUNTBLANK(OFFSET(M$1,,,SUMPRODUCT(MAX(ROW(E$2:E569)*(E573=E$2:E569)))))-COUNTBLANK(OFFSET(M$1,,,SUMPRODUCT(MAX(ROW(Q$1:Q568)*(E573=Q$1:Q568))))))</f>
        <v/>
      </c>
      <c r="K573" s="25" t="str">
        <f aca="false">IF(OR(E573="",E573="!!!",F573="NEW"),"",INDEX(V$1:V568,SUMPRODUCT(MAX(ROW(Q$1:Q568)*(E573=Q$1:Q568)))))</f>
        <v/>
      </c>
      <c r="L573" s="26"/>
      <c r="M573" s="27"/>
    </row>
    <row r="574" customFormat="false" ht="15" hidden="false" customHeight="false" outlineLevel="0" collapsed="false">
      <c r="A574" s="19" t="s">
        <v>549</v>
      </c>
      <c r="E574" s="20" t="str">
        <f aca="false">IF(P574="?OLD","!!!","")</f>
        <v/>
      </c>
      <c r="F574" s="21" t="str">
        <f aca="false">IF(OR(E574="",E574="!!!"),"",IF(NOT(ISNA(VLOOKUP(E574,Q$1:Q569,1,FALSE()))),"OLD",IF(AND(E574&lt;&gt;"",E574&lt;&gt;"!!!"),"NEW","")))</f>
        <v/>
      </c>
      <c r="G574" s="22" t="str">
        <f aca="false">IF(OR(E574="",E574="!!!"),"",IF(OR(J574=0,AND(J574=1,K574=1),AND(J574=1,I574="SBJ"),AND(J574=1,I574=0)),"?IN_FOCUS",IF(J574&lt;=2,"?ACTIVATED",IF(J574&lt;&gt;"","?FAMILIAR",IF(F574="NEW",IF(ISNA(VLOOKUP(E574,#REF!,1,FALSE())),"?TYPE_IDENTIFIABLE","?REFERENTIAL"),"_")))))</f>
        <v/>
      </c>
      <c r="H574" s="23" t="str">
        <f aca="false">IF(J574&lt;&gt;1,"",IF(I574="SBJ","CB","?"))</f>
        <v/>
      </c>
      <c r="I574" s="24" t="str">
        <f aca="false">IF(OR(E574="",E574="!!!",F574="NEW"),"",INDEX(N$2:N569,-1+SUMPRODUCT(MAX(ROW(E$2:E569)*(E574=E$2:E569)))))</f>
        <v/>
      </c>
      <c r="J574" s="25" t="str">
        <f aca="true">IF(OR(E574="",E574="!!!",F574="NEW"),"",COUNTBLANK(OFFSET(M$1,,,SUMPRODUCT(MAX(ROW(E$2:E570)*(E574=E$2:E570)))))-COUNTBLANK(OFFSET(M$1,,,SUMPRODUCT(MAX(ROW(Q$1:Q569)*(E574=Q$1:Q569))))))</f>
        <v/>
      </c>
      <c r="K574" s="25" t="str">
        <f aca="false">IF(OR(E574="",E574="!!!",F574="NEW"),"",INDEX(V$1:V569,SUMPRODUCT(MAX(ROW(Q$1:Q569)*(E574=Q$1:Q569)))))</f>
        <v/>
      </c>
      <c r="L574" s="26"/>
      <c r="M574" s="27"/>
    </row>
    <row r="575" customFormat="false" ht="15" hidden="false" customHeight="false" outlineLevel="0" collapsed="false">
      <c r="A575" s="19" t="s">
        <v>552</v>
      </c>
      <c r="B575" s="28" t="s">
        <v>306</v>
      </c>
      <c r="C575" s="28" t="s">
        <v>264</v>
      </c>
      <c r="D575" s="28" t="s">
        <v>253</v>
      </c>
      <c r="E575" s="20" t="s">
        <v>546</v>
      </c>
      <c r="F575" s="21" t="str">
        <f aca="false">IF(OR(E575="",E575="!!!"),"",IF(NOT(ISNA(VLOOKUP(E575,Q$1:Q570,1,FALSE()))),"OLD",IF(AND(E575&lt;&gt;"",E575&lt;&gt;"!!!"),"NEW","")))</f>
        <v>NEW</v>
      </c>
      <c r="G575" s="22" t="s">
        <v>296</v>
      </c>
      <c r="H575" s="23" t="str">
        <f aca="false">IF(J575&lt;&gt;1,"",IF(I575="SBJ","CB","?"))</f>
        <v/>
      </c>
      <c r="I575" s="24" t="str">
        <f aca="false">IF(OR(E575="",E575="!!!",F575="NEW"),"",INDEX(N$2:N570,-1+SUMPRODUCT(MAX(ROW(E$2:E570)*(E575=E$2:E570)))))</f>
        <v/>
      </c>
      <c r="J575" s="25" t="str">
        <f aca="true">IF(OR(E575="",E575="!!!",F575="NEW"),"",COUNTBLANK(OFFSET(M$1,,,SUMPRODUCT(MAX(ROW(E$2:E571)*(E575=E$2:E571)))))-COUNTBLANK(OFFSET(M$1,,,SUMPRODUCT(MAX(ROW(Q$1:Q570)*(E575=Q$1:Q570))))))</f>
        <v/>
      </c>
      <c r="K575" s="25" t="str">
        <f aca="false">IF(OR(E575="",E575="!!!",F575="NEW"),"",INDEX(V$1:V570,SUMPRODUCT(MAX(ROW(Q$1:Q570)*(E575=Q$1:Q570)))))</f>
        <v/>
      </c>
      <c r="L575" s="26"/>
      <c r="M575" s="27"/>
      <c r="N575" s="29"/>
      <c r="O575" s="29"/>
      <c r="P575" s="29"/>
    </row>
    <row r="576" customFormat="false" ht="15" hidden="false" customHeight="false" outlineLevel="0" collapsed="false">
      <c r="A576" s="19" t="s">
        <v>273</v>
      </c>
      <c r="E576" s="20" t="str">
        <f aca="false">IF(P576="?OLD","!!!","")</f>
        <v/>
      </c>
      <c r="F576" s="21" t="str">
        <f aca="false">IF(OR(E576="",E576="!!!"),"",IF(NOT(ISNA(VLOOKUP(E576,Q$1:Q571,1,FALSE()))),"OLD",IF(AND(E576&lt;&gt;"",E576&lt;&gt;"!!!"),"NEW","")))</f>
        <v/>
      </c>
      <c r="G576" s="22" t="str">
        <f aca="false">IF(OR(E576="",E576="!!!"),"",IF(OR(J576=0,AND(J576=1,K576=1),AND(J576=1,I576="SBJ"),AND(J576=1,I576=0)),"?IN_FOCUS",IF(J576&lt;=2,"?ACTIVATED",IF(J576&lt;&gt;"","?FAMILIAR",IF(F576="NEW",IF(ISNA(VLOOKUP(E576,#REF!,1,FALSE())),"?TYPE_IDENTIFIABLE","?REFERENTIAL"),"_")))))</f>
        <v/>
      </c>
      <c r="H576" s="23" t="str">
        <f aca="false">IF(J576&lt;&gt;1,"",IF(I576="SBJ","CB","?"))</f>
        <v/>
      </c>
      <c r="I576" s="24" t="str">
        <f aca="false">IF(OR(E576="",E576="!!!",F576="NEW"),"",INDEX(N$2:N571,-1+SUMPRODUCT(MAX(ROW(E$2:E571)*(E576=E$2:E571)))))</f>
        <v/>
      </c>
      <c r="J576" s="25" t="str">
        <f aca="true">IF(OR(E576="",E576="!!!",F576="NEW"),"",COUNTBLANK(OFFSET(M$1,,,SUMPRODUCT(MAX(ROW(E$2:E572)*(E576=E$2:E572)))))-COUNTBLANK(OFFSET(M$1,,,SUMPRODUCT(MAX(ROW(Q$1:Q571)*(E576=Q$1:Q571))))))</f>
        <v/>
      </c>
      <c r="K576" s="25" t="str">
        <f aca="false">IF(OR(E576="",E576="!!!",F576="NEW"),"",INDEX(V$1:V571,SUMPRODUCT(MAX(ROW(Q$1:Q571)*(E576=Q$1:Q571)))))</f>
        <v/>
      </c>
      <c r="L576" s="26"/>
      <c r="M576" s="27"/>
    </row>
    <row r="577" customFormat="false" ht="15" hidden="false" customHeight="false" outlineLevel="0" collapsed="false">
      <c r="A577" s="19" t="s">
        <v>250</v>
      </c>
      <c r="E577" s="20" t="str">
        <f aca="false">IF(P577="?OLD","!!!","")</f>
        <v/>
      </c>
      <c r="F577" s="21" t="str">
        <f aca="false">IF(OR(E577="",E577="!!!"),"",IF(NOT(ISNA(VLOOKUP(E577,Q$1:Q572,1,FALSE()))),"OLD",IF(AND(E577&lt;&gt;"",E577&lt;&gt;"!!!"),"NEW","")))</f>
        <v/>
      </c>
      <c r="G577" s="22" t="str">
        <f aca="false">IF(OR(E577="",E577="!!!"),"",IF(OR(J577=0,AND(J577=1,K577=1),AND(J577=1,I577="SBJ"),AND(J577=1,I577=0)),"?IN_FOCUS",IF(J577&lt;=2,"?ACTIVATED",IF(J577&lt;&gt;"","?FAMILIAR",IF(F577="NEW",IF(ISNA(VLOOKUP(E577,#REF!,1,FALSE())),"?TYPE_IDENTIFIABLE","?REFERENTIAL"),"_")))))</f>
        <v/>
      </c>
      <c r="H577" s="23" t="str">
        <f aca="false">IF(J577&lt;&gt;1,"",IF(I577="SBJ","CB","?"))</f>
        <v/>
      </c>
      <c r="I577" s="24" t="str">
        <f aca="false">IF(OR(E577="",E577="!!!",F577="NEW"),"",INDEX(N$2:N572,-1+SUMPRODUCT(MAX(ROW(E$2:E572)*(E577=E$2:E572)))))</f>
        <v/>
      </c>
      <c r="J577" s="25" t="str">
        <f aca="true">IF(OR(E577="",E577="!!!",F577="NEW"),"",COUNTBLANK(OFFSET(M$1,,,SUMPRODUCT(MAX(ROW(E$2:E573)*(E577=E$2:E573)))))-COUNTBLANK(OFFSET(M$1,,,SUMPRODUCT(MAX(ROW(Q$1:Q572)*(E577=Q$1:Q572))))))</f>
        <v/>
      </c>
      <c r="K577" s="25" t="str">
        <f aca="false">IF(OR(E577="",E577="!!!",F577="NEW"),"",INDEX(V$1:V572,SUMPRODUCT(MAX(ROW(Q$1:Q572)*(E577=Q$1:Q572)))))</f>
        <v/>
      </c>
      <c r="L577" s="26"/>
      <c r="M577" s="27"/>
    </row>
    <row r="578" customFormat="false" ht="15" hidden="false" customHeight="false" outlineLevel="0" collapsed="false">
      <c r="A578" s="19" t="s">
        <v>553</v>
      </c>
      <c r="B578" s="28" t="s">
        <v>306</v>
      </c>
      <c r="C578" s="28" t="s">
        <v>314</v>
      </c>
      <c r="D578" s="28" t="s">
        <v>253</v>
      </c>
      <c r="E578" s="20" t="s">
        <v>554</v>
      </c>
      <c r="F578" s="21" t="str">
        <f aca="false">IF(OR(E578="",E578="!!!"),"",IF(NOT(ISNA(VLOOKUP(E578,Q$1:Q573,1,FALSE()))),"OLD",IF(AND(E578&lt;&gt;"",E578&lt;&gt;"!!!"),"NEW","")))</f>
        <v>NEW</v>
      </c>
      <c r="G578" s="22" t="s">
        <v>283</v>
      </c>
      <c r="H578" s="23" t="str">
        <f aca="false">IF(J578&lt;&gt;1,"",IF(I578="SBJ","CB","?"))</f>
        <v/>
      </c>
      <c r="I578" s="24" t="str">
        <f aca="false">IF(OR(E578="",E578="!!!",F578="NEW"),"",INDEX(N$2:N573,-1+SUMPRODUCT(MAX(ROW(E$2:E573)*(E578=E$2:E573)))))</f>
        <v/>
      </c>
      <c r="J578" s="25" t="str">
        <f aca="true">IF(OR(E578="",E578="!!!",F578="NEW"),"",COUNTBLANK(OFFSET(M$1,,,SUMPRODUCT(MAX(ROW(E$2:E574)*(E578=E$2:E574)))))-COUNTBLANK(OFFSET(M$1,,,SUMPRODUCT(MAX(ROW(Q$1:Q573)*(E578=Q$1:Q573))))))</f>
        <v/>
      </c>
      <c r="K578" s="25" t="str">
        <f aca="false">IF(OR(E578="",E578="!!!",F578="NEW"),"",INDEX(V$1:V573,SUMPRODUCT(MAX(ROW(Q$1:Q573)*(E578=Q$1:Q573)))))</f>
        <v/>
      </c>
      <c r="L578" s="26"/>
      <c r="M578" s="27"/>
      <c r="N578" s="29"/>
      <c r="O578" s="29"/>
      <c r="P578" s="29"/>
    </row>
    <row r="579" customFormat="false" ht="15" hidden="false" customHeight="false" outlineLevel="0" collapsed="false">
      <c r="A579" s="19" t="s">
        <v>256</v>
      </c>
      <c r="E579" s="20" t="str">
        <f aca="false">IF(P579="?OLD","!!!","")</f>
        <v/>
      </c>
      <c r="F579" s="21" t="str">
        <f aca="false">IF(OR(E579="",E579="!!!"),"",IF(NOT(ISNA(VLOOKUP(E579,Q$1:Q574,1,FALSE()))),"OLD",IF(AND(E579&lt;&gt;"",E579&lt;&gt;"!!!"),"NEW","")))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4" t="str">
        <f aca="false">IF(OR(E579="",E579="!!!",F579="NEW"),"",INDEX(N$2:N574,-1+SUMPRODUCT(MAX(ROW(E$2:E574)*(E579=E$2:E574)))))</f>
        <v/>
      </c>
      <c r="J579" s="25" t="str">
        <f aca="true">IF(OR(E579="",E579="!!!",F579="NEW"),"",COUNTBLANK(OFFSET(M$1,,,SUMPRODUCT(MAX(ROW(E$2:E575)*(E579=E$2:E575)))))-COUNTBLANK(OFFSET(M$1,,,SUMPRODUCT(MAX(ROW(Q$1:Q574)*(E579=Q$1:Q574))))))</f>
        <v/>
      </c>
      <c r="K579" s="25" t="str">
        <f aca="false">IF(OR(E579="",E579="!!!",F579="NEW"),"",INDEX(V$1:V574,SUMPRODUCT(MAX(ROW(Q$1:Q574)*(E579=Q$1:Q574)))))</f>
        <v/>
      </c>
      <c r="L579" s="26"/>
      <c r="M579" s="27"/>
    </row>
    <row r="580" customFormat="false" ht="15" hidden="false" customHeight="false" outlineLevel="0" collapsed="false">
      <c r="A580" s="19" t="s">
        <v>441</v>
      </c>
      <c r="B580" s="28" t="s">
        <v>258</v>
      </c>
      <c r="C580" s="28" t="s">
        <v>264</v>
      </c>
      <c r="D580" s="28" t="s">
        <v>253</v>
      </c>
      <c r="E580" s="20" t="s">
        <v>543</v>
      </c>
      <c r="F580" s="21" t="str">
        <f aca="false">IF(OR(E580="",E580="!!!"),"",IF(NOT(ISNA(VLOOKUP(E580,Q$1:Q575,1,FALSE()))),"OLD",IF(AND(E580&lt;&gt;"",E580&lt;&gt;"!!!"),"NEW","")))</f>
        <v>NEW</v>
      </c>
      <c r="G580" s="22" t="s">
        <v>296</v>
      </c>
      <c r="H580" s="23" t="str">
        <f aca="false">IF(J580&lt;&gt;1,"",IF(I580="SBJ","CB","?"))</f>
        <v/>
      </c>
      <c r="I580" s="24" t="str">
        <f aca="false">IF(OR(E580="",E580="!!!",F580="NEW"),"",INDEX(N$2:N575,-1+SUMPRODUCT(MAX(ROW(E$2:E575)*(E580=E$2:E575)))))</f>
        <v/>
      </c>
      <c r="J580" s="25" t="str">
        <f aca="true">IF(OR(E580="",E580="!!!",F580="NEW"),"",COUNTBLANK(OFFSET(M$1,,,SUMPRODUCT(MAX(ROW(E$2:E576)*(E580=E$2:E576)))))-COUNTBLANK(OFFSET(M$1,,,SUMPRODUCT(MAX(ROW(Q$1:Q575)*(E580=Q$1:Q575))))))</f>
        <v/>
      </c>
      <c r="K580" s="25" t="str">
        <f aca="false">IF(OR(E580="",E580="!!!",F580="NEW"),"",INDEX(V$1:V575,SUMPRODUCT(MAX(ROW(Q$1:Q575)*(E580=Q$1:Q575)))))</f>
        <v/>
      </c>
      <c r="L580" s="26"/>
      <c r="M580" s="27"/>
      <c r="N580" s="29"/>
      <c r="O580" s="29"/>
      <c r="P580" s="29"/>
    </row>
    <row r="581" customFormat="false" ht="15" hidden="false" customHeight="false" outlineLevel="0" collapsed="false">
      <c r="A581" s="19" t="s">
        <v>261</v>
      </c>
      <c r="E581" s="20" t="str">
        <f aca="false">IF(P581="?OLD","!!!","")</f>
        <v/>
      </c>
      <c r="F581" s="21" t="str">
        <f aca="false">IF(OR(E581="",E581="!!!"),"",IF(NOT(ISNA(VLOOKUP(E581,Q$1:Q576,1,FALSE()))),"OLD",IF(AND(E581&lt;&gt;"",E581&lt;&gt;"!!!"),"NEW","")))</f>
        <v/>
      </c>
      <c r="G581" s="22" t="str">
        <f aca="false">IF(OR(E581="",E581="!!!"),"",IF(OR(J581=0,AND(J581=1,K581=1),AND(J581=1,I581="SBJ"),AND(J581=1,I581=0)),"?IN_FOCUS",IF(J581&lt;=2,"?ACTIVATED",IF(J581&lt;&gt;"","?FAMILIAR",IF(F581="NEW",IF(ISNA(VLOOKUP(E581,#REF!,1,FALSE())),"?TYPE_IDENTIFIABLE","?REFERENTIAL"),"_")))))</f>
        <v/>
      </c>
      <c r="H581" s="23" t="str">
        <f aca="false">IF(J581&lt;&gt;1,"",IF(I581="SBJ","CB","?"))</f>
        <v/>
      </c>
      <c r="I581" s="24" t="str">
        <f aca="false">IF(OR(E581="",E581="!!!",F581="NEW"),"",INDEX(N$2:N576,-1+SUMPRODUCT(MAX(ROW(E$2:E576)*(E581=E$2:E576)))))</f>
        <v/>
      </c>
      <c r="J581" s="25" t="str">
        <f aca="true">IF(OR(E581="",E581="!!!",F581="NEW"),"",COUNTBLANK(OFFSET(M$1,,,SUMPRODUCT(MAX(ROW(E$2:E577)*(E581=E$2:E577)))))-COUNTBLANK(OFFSET(M$1,,,SUMPRODUCT(MAX(ROW(Q$1:Q576)*(E581=Q$1:Q576))))))</f>
        <v/>
      </c>
      <c r="K581" s="25" t="str">
        <f aca="false">IF(OR(E581="",E581="!!!",F581="NEW"),"",INDEX(V$1:V576,SUMPRODUCT(MAX(ROW(Q$1:Q576)*(E581=Q$1:Q576)))))</f>
        <v/>
      </c>
      <c r="L581" s="26"/>
      <c r="M581" s="27"/>
    </row>
    <row r="582" customFormat="false" ht="15" hidden="false" customHeight="false" outlineLevel="0" collapsed="false">
      <c r="A582" s="19" t="s">
        <v>555</v>
      </c>
      <c r="E582" s="20" t="str">
        <f aca="false">IF(P582="?OLD","!!!","")</f>
        <v/>
      </c>
      <c r="F582" s="21" t="str">
        <f aca="false">IF(OR(E582="",E582="!!!"),"",IF(NOT(ISNA(VLOOKUP(E582,Q$1:Q577,1,FALSE()))),"OLD",IF(AND(E582&lt;&gt;"",E582&lt;&gt;"!!!"),"NEW","")))</f>
        <v/>
      </c>
      <c r="G582" s="22" t="str">
        <f aca="false">IF(OR(E582="",E582="!!!"),"",IF(OR(J582=0,AND(J582=1,K582=1),AND(J582=1,I582="SBJ"),AND(J582=1,I582=0)),"?IN_FOCUS",IF(J582&lt;=2,"?ACTIVATED",IF(J582&lt;&gt;"","?FAMILIAR",IF(F582="NEW",IF(ISNA(VLOOKUP(E582,#REF!,1,FALSE())),"?TYPE_IDENTIFIABLE","?REFERENTIAL"),"_")))))</f>
        <v/>
      </c>
      <c r="H582" s="23" t="str">
        <f aca="false">IF(J582&lt;&gt;1,"",IF(I582="SBJ","CB","?"))</f>
        <v/>
      </c>
      <c r="I582" s="24" t="str">
        <f aca="false">IF(OR(E582="",E582="!!!",F582="NEW"),"",INDEX(N$2:N577,-1+SUMPRODUCT(MAX(ROW(E$2:E577)*(E582=E$2:E577)))))</f>
        <v/>
      </c>
      <c r="J582" s="25" t="str">
        <f aca="true">IF(OR(E582="",E582="!!!",F582="NEW"),"",COUNTBLANK(OFFSET(M$1,,,SUMPRODUCT(MAX(ROW(E$2:E578)*(E582=E$2:E578)))))-COUNTBLANK(OFFSET(M$1,,,SUMPRODUCT(MAX(ROW(Q$1:Q577)*(E582=Q$1:Q577))))))</f>
        <v/>
      </c>
      <c r="K582" s="25" t="str">
        <f aca="false">IF(OR(E582="",E582="!!!",F582="NEW"),"",INDEX(V$1:V577,SUMPRODUCT(MAX(ROW(Q$1:Q577)*(E582=Q$1:Q577)))))</f>
        <v/>
      </c>
      <c r="L582" s="26"/>
      <c r="M582" s="27"/>
    </row>
    <row r="583" customFormat="false" ht="15" hidden="false" customHeight="false" outlineLevel="0" collapsed="false">
      <c r="A583" s="19" t="s">
        <v>323</v>
      </c>
      <c r="E583" s="20" t="str">
        <f aca="false">IF(P583="?OLD","!!!","")</f>
        <v/>
      </c>
      <c r="F583" s="21" t="str">
        <f aca="false">IF(OR(E583="",E583="!!!"),"",IF(NOT(ISNA(VLOOKUP(E583,Q$1:Q578,1,FALSE()))),"OLD",IF(AND(E583&lt;&gt;"",E583&lt;&gt;"!!!"),"NEW","")))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IF(OR(E583="",E583="!!!",F583="NEW"),"",INDEX(N$2:N578,-1+SUMPRODUCT(MAX(ROW(E$2:E578)*(E583=E$2:E578)))))</f>
        <v/>
      </c>
      <c r="J583" s="25" t="str">
        <f aca="true">IF(OR(E583="",E583="!!!",F583="NEW"),"",COUNTBLANK(OFFSET(M$1,,,SUMPRODUCT(MAX(ROW(E$2:E579)*(E583=E$2:E579)))))-COUNTBLANK(OFFSET(M$1,,,SUMPRODUCT(MAX(ROW(Q$1:Q578)*(E583=Q$1:Q578))))))</f>
        <v/>
      </c>
      <c r="K583" s="25" t="str">
        <f aca="false">IF(OR(E583="",E583="!!!",F583="NEW"),"",INDEX(V$1:V578,SUMPRODUCT(MAX(ROW(Q$1:Q578)*(E583=Q$1:Q578)))))</f>
        <v/>
      </c>
      <c r="L583" s="26"/>
      <c r="M583" s="27"/>
    </row>
    <row r="584" customFormat="false" ht="15" hidden="false" customHeight="false" outlineLevel="0" collapsed="false">
      <c r="A584" s="19" t="s">
        <v>441</v>
      </c>
      <c r="B584" s="28" t="s">
        <v>324</v>
      </c>
      <c r="C584" s="28" t="s">
        <v>264</v>
      </c>
      <c r="D584" s="28" t="s">
        <v>253</v>
      </c>
      <c r="E584" s="20" t="s">
        <v>543</v>
      </c>
      <c r="F584" s="21" t="str">
        <f aca="false">IF(OR(E584="",E584="!!!"),"",IF(NOT(ISNA(VLOOKUP(E584,Q$1:Q579,1,FALSE()))),"OLD",IF(AND(E584&lt;&gt;"",E584&lt;&gt;"!!!"),"NEW","")))</f>
        <v>NEW</v>
      </c>
      <c r="G584" s="22" t="s">
        <v>296</v>
      </c>
      <c r="H584" s="23" t="str">
        <f aca="false">IF(J584&lt;&gt;1,"",IF(I584="SBJ","CB","?"))</f>
        <v/>
      </c>
      <c r="I584" s="24" t="str">
        <f aca="false">IF(OR(E584="",E584="!!!",F584="NEW"),"",INDEX(N$2:N579,-1+SUMPRODUCT(MAX(ROW(E$2:E579)*(E584=E$2:E579)))))</f>
        <v/>
      </c>
      <c r="J584" s="25" t="str">
        <f aca="true">IF(OR(E584="",E584="!!!",F584="NEW"),"",COUNTBLANK(OFFSET(M$1,,,SUMPRODUCT(MAX(ROW(E$2:E580)*(E584=E$2:E580)))))-COUNTBLANK(OFFSET(M$1,,,SUMPRODUCT(MAX(ROW(Q$1:Q579)*(E584=Q$1:Q579))))))</f>
        <v/>
      </c>
      <c r="K584" s="25" t="str">
        <f aca="false">IF(OR(E584="",E584="!!!",F584="NEW"),"",INDEX(V$1:V579,SUMPRODUCT(MAX(ROW(Q$1:Q579)*(E584=Q$1:Q579)))))</f>
        <v/>
      </c>
      <c r="L584" s="26"/>
      <c r="M584" s="27"/>
      <c r="N584" s="29"/>
      <c r="O584" s="29"/>
      <c r="P584" s="29"/>
    </row>
    <row r="585" customFormat="false" ht="15" hidden="false" customHeight="false" outlineLevel="0" collapsed="false">
      <c r="A585" s="19" t="s">
        <v>556</v>
      </c>
      <c r="B585" s="28" t="s">
        <v>251</v>
      </c>
      <c r="C585" s="28" t="s">
        <v>264</v>
      </c>
      <c r="D585" s="28" t="s">
        <v>253</v>
      </c>
      <c r="E585" s="20" t="s">
        <v>543</v>
      </c>
      <c r="F585" s="21" t="str">
        <f aca="false">IF(OR(E585="",E585="!!!"),"",IF(NOT(ISNA(VLOOKUP(E585,Q$1:Q580,1,FALSE()))),"OLD",IF(AND(E585&lt;&gt;"",E585&lt;&gt;"!!!"),"NEW","")))</f>
        <v>NEW</v>
      </c>
      <c r="G585" s="22" t="s">
        <v>296</v>
      </c>
      <c r="H585" s="23" t="str">
        <f aca="false">IF(J585&lt;&gt;1,"",IF(I585="SBJ","CB","?"))</f>
        <v/>
      </c>
      <c r="I585" s="24" t="str">
        <f aca="false">IF(OR(E585="",E585="!!!",F585="NEW"),"",INDEX(N$2:N580,-1+SUMPRODUCT(MAX(ROW(E$2:E580)*(E585=E$2:E580)))))</f>
        <v/>
      </c>
      <c r="J585" s="25" t="str">
        <f aca="true">IF(OR(E585="",E585="!!!",F585="NEW"),"",COUNTBLANK(OFFSET(M$1,,,SUMPRODUCT(MAX(ROW(E$2:E581)*(E585=E$2:E581)))))-COUNTBLANK(OFFSET(M$1,,,SUMPRODUCT(MAX(ROW(Q$1:Q580)*(E585=Q$1:Q580))))))</f>
        <v/>
      </c>
      <c r="K585" s="25" t="str">
        <f aca="false">IF(OR(E585="",E585="!!!",F585="NEW"),"",INDEX(V$1:V580,SUMPRODUCT(MAX(ROW(Q$1:Q580)*(E585=Q$1:Q580)))))</f>
        <v/>
      </c>
      <c r="L585" s="26"/>
      <c r="M585" s="27"/>
      <c r="N585" s="29"/>
      <c r="O585" s="29"/>
      <c r="P585" s="29"/>
    </row>
    <row r="586" customFormat="false" ht="15" hidden="false" customHeight="false" outlineLevel="0" collapsed="false">
      <c r="A586" s="19" t="s">
        <v>149</v>
      </c>
      <c r="E586" s="20" t="str">
        <f aca="false">IF(P586="?OLD","!!!","")</f>
        <v/>
      </c>
      <c r="F586" s="21" t="str">
        <f aca="false">IF(OR(E586="",E586="!!!"),"",IF(NOT(ISNA(VLOOKUP(E586,Q$1:Q581,1,FALSE()))),"OLD",IF(AND(E586&lt;&gt;"",E586&lt;&gt;"!!!"),"NEW","")))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4" t="str">
        <f aca="false">IF(OR(E586="",E586="!!!",F586="NEW"),"",INDEX(N$2:N581,-1+SUMPRODUCT(MAX(ROW(E$2:E581)*(E586=E$2:E581)))))</f>
        <v/>
      </c>
      <c r="J586" s="25" t="str">
        <f aca="true">IF(OR(E586="",E586="!!!",F586="NEW"),"",COUNTBLANK(OFFSET(M$1,,,SUMPRODUCT(MAX(ROW(E$2:E582)*(E586=E$2:E582)))))-COUNTBLANK(OFFSET(M$1,,,SUMPRODUCT(MAX(ROW(Q$1:Q581)*(E586=Q$1:Q581))))))</f>
        <v/>
      </c>
      <c r="K586" s="25" t="str">
        <f aca="false">IF(OR(E586="",E586="!!!",F586="NEW"),"",INDEX(V$1:V581,SUMPRODUCT(MAX(ROW(Q$1:Q581)*(E586=Q$1:Q581)))))</f>
        <v/>
      </c>
      <c r="L586" s="26"/>
      <c r="M586" s="27"/>
    </row>
    <row r="587" customFormat="false" ht="15" hidden="false" customHeight="false" outlineLevel="0" collapsed="false">
      <c r="A587" s="19" t="s">
        <v>261</v>
      </c>
      <c r="E587" s="20" t="str">
        <f aca="false">IF(P587="?OLD","!!!","")</f>
        <v/>
      </c>
      <c r="F587" s="21" t="str">
        <f aca="false">IF(OR(E587="",E587="!!!"),"",IF(NOT(ISNA(VLOOKUP(E587,Q$1:Q582,1,FALSE()))),"OLD",IF(AND(E587&lt;&gt;"",E587&lt;&gt;"!!!"),"NEW","")))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4" t="str">
        <f aca="false">IF(OR(E587="",E587="!!!",F587="NEW"),"",INDEX(N$2:N582,-1+SUMPRODUCT(MAX(ROW(E$2:E582)*(E587=E$2:E582)))))</f>
        <v/>
      </c>
      <c r="J587" s="25" t="str">
        <f aca="true">IF(OR(E587="",E587="!!!",F587="NEW"),"",COUNTBLANK(OFFSET(M$1,,,SUMPRODUCT(MAX(ROW(E$2:E583)*(E587=E$2:E583)))))-COUNTBLANK(OFFSET(M$1,,,SUMPRODUCT(MAX(ROW(Q$1:Q582)*(E587=Q$1:Q582))))))</f>
        <v/>
      </c>
      <c r="K587" s="25" t="str">
        <f aca="false">IF(OR(E587="",E587="!!!",F587="NEW"),"",INDEX(V$1:V582,SUMPRODUCT(MAX(ROW(Q$1:Q582)*(E587=Q$1:Q582)))))</f>
        <v/>
      </c>
      <c r="L587" s="26"/>
      <c r="M587" s="27"/>
    </row>
    <row r="588" customFormat="false" ht="15" hidden="false" customHeight="false" outlineLevel="0" collapsed="false">
      <c r="A588" s="19"/>
    </row>
    <row r="589" customFormat="false" ht="15" hidden="false" customHeight="false" outlineLevel="0" collapsed="false">
      <c r="A589" s="19" t="s">
        <v>557</v>
      </c>
    </row>
    <row r="590" customFormat="false" ht="15" hidden="false" customHeight="false" outlineLevel="0" collapsed="false">
      <c r="A590" s="19" t="s">
        <v>552</v>
      </c>
      <c r="B590" s="28" t="s">
        <v>263</v>
      </c>
      <c r="C590" s="28" t="s">
        <v>264</v>
      </c>
      <c r="D590" s="28" t="s">
        <v>253</v>
      </c>
      <c r="E590" s="20" t="s">
        <v>546</v>
      </c>
      <c r="F590" s="21" t="str">
        <f aca="false">IF(OR(E590="",E590="!!!"),"",IF(NOT(ISNA(VLOOKUP(E590,Q$1:Q583,1,FALSE()))),"OLD",IF(AND(E590&lt;&gt;"",E590&lt;&gt;"!!!"),"NEW","")))</f>
        <v>NEW</v>
      </c>
      <c r="G590" s="22" t="s">
        <v>296</v>
      </c>
      <c r="H590" s="23" t="str">
        <f aca="false">IF(J590&lt;&gt;1,"",IF(I590="SBJ","CB","?"))</f>
        <v/>
      </c>
      <c r="I590" s="24" t="str">
        <f aca="false">IF(OR(E590="",E590="!!!",F590="NEW"),"",INDEX(N$2:N583,-1+SUMPRODUCT(MAX(ROW(E$2:E583)*(E590=E$2:E583)))))</f>
        <v/>
      </c>
      <c r="J590" s="25" t="str">
        <f aca="true">IF(OR(E590="",E590="!!!",F590="NEW"),"",COUNTBLANK(OFFSET(M$1,,,SUMPRODUCT(MAX(ROW(E$2:E584)*(E590=E$2:E584)))))-COUNTBLANK(OFFSET(M$1,,,SUMPRODUCT(MAX(ROW(Q$1:Q583)*(E590=Q$1:Q583))))))</f>
        <v/>
      </c>
      <c r="K590" s="25" t="str">
        <f aca="false">IF(OR(E590="",E590="!!!",F590="NEW"),"",INDEX(V$1:V583,SUMPRODUCT(MAX(ROW(Q$1:Q583)*(E590=Q$1:Q583)))))</f>
        <v/>
      </c>
      <c r="L590" s="26"/>
      <c r="M590" s="27"/>
      <c r="N590" s="29"/>
      <c r="O590" s="29"/>
      <c r="P590" s="29"/>
    </row>
    <row r="591" customFormat="false" ht="15" hidden="false" customHeight="false" outlineLevel="0" collapsed="false">
      <c r="A591" s="19" t="s">
        <v>261</v>
      </c>
      <c r="E591" s="20" t="str">
        <f aca="false">IF(P591="?OLD","!!!","")</f>
        <v/>
      </c>
      <c r="F591" s="21" t="str">
        <f aca="false">IF(OR(E591="",E591="!!!"),"",IF(NOT(ISNA(VLOOKUP(E591,Q$1:Q584,1,FALSE()))),"OLD",IF(AND(E591&lt;&gt;"",E591&lt;&gt;"!!!"),"NEW","")))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IF(OR(E591="",E591="!!!",F591="NEW"),"",INDEX(N$2:N584,-1+SUMPRODUCT(MAX(ROW(E$2:E584)*(E591=E$2:E584)))))</f>
        <v/>
      </c>
      <c r="J591" s="25" t="str">
        <f aca="true">IF(OR(E591="",E591="!!!",F591="NEW"),"",COUNTBLANK(OFFSET(M$1,,,SUMPRODUCT(MAX(ROW(E$2:E585)*(E591=E$2:E585)))))-COUNTBLANK(OFFSET(M$1,,,SUMPRODUCT(MAX(ROW(Q$1:Q584)*(E591=Q$1:Q584))))))</f>
        <v/>
      </c>
      <c r="K591" s="25" t="str">
        <f aca="false">IF(OR(E591="",E591="!!!",F591="NEW"),"",INDEX(V$1:V584,SUMPRODUCT(MAX(ROW(Q$1:Q584)*(E591=Q$1:Q584)))))</f>
        <v/>
      </c>
      <c r="L591" s="26"/>
      <c r="M591" s="27"/>
    </row>
    <row r="592" customFormat="false" ht="15" hidden="false" customHeight="false" outlineLevel="0" collapsed="false">
      <c r="A592" s="19" t="s">
        <v>558</v>
      </c>
      <c r="E592" s="20" t="str">
        <f aca="false">IF(P592="?OLD","!!!","")</f>
        <v/>
      </c>
      <c r="F592" s="21" t="str">
        <f aca="false">IF(OR(E592="",E592="!!!"),"",IF(NOT(ISNA(VLOOKUP(E592,Q$1:Q585,1,FALSE()))),"OLD",IF(AND(E592&lt;&gt;"",E592&lt;&gt;"!!!"),"NEW","")))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IF(OR(E592="",E592="!!!",F592="NEW"),"",INDEX(N$2:N585,-1+SUMPRODUCT(MAX(ROW(E$2:E585)*(E592=E$2:E585)))))</f>
        <v/>
      </c>
      <c r="J592" s="25" t="str">
        <f aca="true">IF(OR(E592="",E592="!!!",F592="NEW"),"",COUNTBLANK(OFFSET(M$1,,,SUMPRODUCT(MAX(ROW(E$2:E586)*(E592=E$2:E586)))))-COUNTBLANK(OFFSET(M$1,,,SUMPRODUCT(MAX(ROW(Q$1:Q585)*(E592=Q$1:Q585))))))</f>
        <v/>
      </c>
      <c r="K592" s="25" t="str">
        <f aca="false">IF(OR(E592="",E592="!!!",F592="NEW"),"",INDEX(V$1:V585,SUMPRODUCT(MAX(ROW(Q$1:Q585)*(E592=Q$1:Q585)))))</f>
        <v/>
      </c>
      <c r="L592" s="26"/>
      <c r="M592" s="27"/>
    </row>
    <row r="593" customFormat="false" ht="15" hidden="false" customHeight="false" outlineLevel="0" collapsed="false">
      <c r="A593" s="19" t="s">
        <v>559</v>
      </c>
      <c r="E593" s="20" t="str">
        <f aca="false">IF(P593="?OLD","!!!","")</f>
        <v/>
      </c>
      <c r="F593" s="21" t="str">
        <f aca="false">IF(OR(E593="",E593="!!!"),"",IF(NOT(ISNA(VLOOKUP(E593,Q$1:Q586,1,FALSE()))),"OLD",IF(AND(E593&lt;&gt;"",E593&lt;&gt;"!!!"),"NEW","")))</f>
        <v/>
      </c>
      <c r="G593" s="22" t="str">
        <f aca="false">IF(OR(E593="",E593="!!!"),"",IF(OR(J593=0,AND(J593=1,K593=1),AND(J593=1,I593="SBJ"),AND(J593=1,I593=0)),"?IN_FOCUS",IF(J593&lt;=2,"?ACTIVATED",IF(J593&lt;&gt;"","?FAMILIAR",IF(F593="NEW",IF(ISNA(VLOOKUP(E593,#REF!,1,FALSE())),"?TYPE_IDENTIFIABLE","?REFERENTIAL"),"_")))))</f>
        <v/>
      </c>
      <c r="H593" s="23" t="str">
        <f aca="false">IF(J593&lt;&gt;1,"",IF(I593="SBJ","CB","?"))</f>
        <v/>
      </c>
      <c r="I593" s="24" t="str">
        <f aca="false">IF(OR(E593="",E593="!!!",F593="NEW"),"",INDEX(N$2:N586,-1+SUMPRODUCT(MAX(ROW(E$2:E586)*(E593=E$2:E586)))))</f>
        <v/>
      </c>
      <c r="J593" s="25" t="str">
        <f aca="true">IF(OR(E593="",E593="!!!",F593="NEW"),"",COUNTBLANK(OFFSET(M$1,,,SUMPRODUCT(MAX(ROW(E$2:E587)*(E593=E$2:E587)))))-COUNTBLANK(OFFSET(M$1,,,SUMPRODUCT(MAX(ROW(Q$1:Q586)*(E593=Q$1:Q586))))))</f>
        <v/>
      </c>
      <c r="K593" s="25" t="str">
        <f aca="false">IF(OR(E593="",E593="!!!",F593="NEW"),"",INDEX(V$1:V586,SUMPRODUCT(MAX(ROW(Q$1:Q586)*(E593=Q$1:Q586)))))</f>
        <v/>
      </c>
      <c r="L593" s="26"/>
      <c r="M593" s="27"/>
    </row>
    <row r="594" customFormat="false" ht="15" hidden="false" customHeight="false" outlineLevel="0" collapsed="false">
      <c r="A594" s="19" t="s">
        <v>432</v>
      </c>
      <c r="E594" s="20" t="str">
        <f aca="false">IF(P594="?OLD","!!!","")</f>
        <v/>
      </c>
      <c r="F594" s="21" t="str">
        <f aca="false">IF(OR(E594="",E594="!!!"),"",IF(NOT(ISNA(VLOOKUP(E594,Q$1:Q587,1,FALSE()))),"OLD",IF(AND(E594&lt;&gt;"",E594&lt;&gt;"!!!"),"NEW","")))</f>
        <v/>
      </c>
      <c r="G594" s="22" t="str">
        <f aca="false">IF(OR(E594="",E594="!!!"),"",IF(OR(J594=0,AND(J594=1,K594=1),AND(J594=1,I594="SBJ"),AND(J594=1,I594=0)),"?IN_FOCUS",IF(J594&lt;=2,"?ACTIVATED",IF(J594&lt;&gt;"","?FAMILIAR",IF(F594="NEW",IF(ISNA(VLOOKUP(E594,#REF!,1,FALSE())),"?TYPE_IDENTIFIABLE","?REFERENTIAL"),"_")))))</f>
        <v/>
      </c>
      <c r="H594" s="23" t="str">
        <f aca="false">IF(J594&lt;&gt;1,"",IF(I594="SBJ","CB","?"))</f>
        <v/>
      </c>
      <c r="I594" s="24" t="str">
        <f aca="false">IF(OR(E594="",E594="!!!",F594="NEW"),"",INDEX(N$2:N587,-1+SUMPRODUCT(MAX(ROW(E$2:E587)*(E594=E$2:E587)))))</f>
        <v/>
      </c>
      <c r="J594" s="25" t="str">
        <f aca="true">IF(OR(E594="",E594="!!!",F594="NEW"),"",COUNTBLANK(OFFSET(M$1,,,SUMPRODUCT(MAX(ROW(E$2:E588)*(E594=E$2:E588)))))-COUNTBLANK(OFFSET(M$1,,,SUMPRODUCT(MAX(ROW(Q$1:Q587)*(E594=Q$1:Q587))))))</f>
        <v/>
      </c>
      <c r="K594" s="25" t="str">
        <f aca="false">IF(OR(E594="",E594="!!!",F594="NEW"),"",INDEX(V$1:V587,SUMPRODUCT(MAX(ROW(Q$1:Q587)*(E594=Q$1:Q587)))))</f>
        <v/>
      </c>
      <c r="L594" s="26"/>
      <c r="M594" s="27"/>
    </row>
    <row r="595" customFormat="false" ht="15" hidden="false" customHeight="false" outlineLevel="0" collapsed="false">
      <c r="A595" s="19" t="s">
        <v>549</v>
      </c>
      <c r="E595" s="20" t="str">
        <f aca="false">IF(P595="?OLD","!!!","")</f>
        <v/>
      </c>
      <c r="F595" s="21" t="str">
        <f aca="false">IF(OR(E595="",E595="!!!"),"",IF(NOT(ISNA(VLOOKUP(E595,Q$1:Q588,1,FALSE()))),"OLD",IF(AND(E595&lt;&gt;"",E595&lt;&gt;"!!!"),"NEW","")))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IF(OR(E595="",E595="!!!",F595="NEW"),"",INDEX(N$2:N588,-1+SUMPRODUCT(MAX(ROW(E$2:E588)*(E595=E$2:E588)))))</f>
        <v/>
      </c>
      <c r="J595" s="25" t="str">
        <f aca="true">IF(OR(E595="",E595="!!!",F595="NEW"),"",COUNTBLANK(OFFSET(M$1,,,SUMPRODUCT(MAX(ROW(E$2:E589)*(E595=E$2:E589)))))-COUNTBLANK(OFFSET(M$1,,,SUMPRODUCT(MAX(ROW(Q$1:Q588)*(E595=Q$1:Q588))))))</f>
        <v/>
      </c>
      <c r="K595" s="25" t="str">
        <f aca="false">IF(OR(E595="",E595="!!!",F595="NEW"),"",INDEX(V$1:V588,SUMPRODUCT(MAX(ROW(Q$1:Q588)*(E595=Q$1:Q588)))))</f>
        <v/>
      </c>
      <c r="L595" s="26"/>
      <c r="M595" s="27"/>
    </row>
    <row r="596" customFormat="false" ht="15" hidden="false" customHeight="false" outlineLevel="0" collapsed="false">
      <c r="A596" s="19" t="s">
        <v>250</v>
      </c>
      <c r="E596" s="20" t="str">
        <f aca="false">IF(P596="?OLD","!!!","")</f>
        <v/>
      </c>
      <c r="F596" s="21" t="str">
        <f aca="false">IF(OR(E596="",E596="!!!"),"",IF(NOT(ISNA(VLOOKUP(E596,Q$1:Q589,1,FALSE()))),"OLD",IF(AND(E596&lt;&gt;"",E596&lt;&gt;"!!!"),"NEW","")))</f>
        <v/>
      </c>
      <c r="G596" s="22" t="str">
        <f aca="false">IF(OR(E596="",E596="!!!"),"",IF(OR(J596=0,AND(J596=1,K596=1),AND(J596=1,I596="SBJ"),AND(J596=1,I596=0)),"?IN_FOCUS",IF(J596&lt;=2,"?ACTIVATED",IF(J596&lt;&gt;"","?FAMILIAR",IF(F596="NEW",IF(ISNA(VLOOKUP(E596,#REF!,1,FALSE())),"?TYPE_IDENTIFIABLE","?REFERENTIAL"),"_")))))</f>
        <v/>
      </c>
      <c r="H596" s="23" t="str">
        <f aca="false">IF(J596&lt;&gt;1,"",IF(I596="SBJ","CB","?"))</f>
        <v/>
      </c>
      <c r="I596" s="24" t="str">
        <f aca="false">IF(OR(E596="",E596="!!!",F596="NEW"),"",INDEX(N$2:N589,-1+SUMPRODUCT(MAX(ROW(E$2:E589)*(E596=E$2:E589)))))</f>
        <v/>
      </c>
      <c r="J596" s="25" t="str">
        <f aca="true">IF(OR(E596="",E596="!!!",F596="NEW"),"",COUNTBLANK(OFFSET(M$1,,,SUMPRODUCT(MAX(ROW(E$2:E590)*(E596=E$2:E590)))))-COUNTBLANK(OFFSET(M$1,,,SUMPRODUCT(MAX(ROW(Q$1:Q589)*(E596=Q$1:Q589))))))</f>
        <v/>
      </c>
      <c r="K596" s="25" t="str">
        <f aca="false">IF(OR(E596="",E596="!!!",F596="NEW"),"",INDEX(V$1:V589,SUMPRODUCT(MAX(ROW(Q$1:Q589)*(E596=Q$1:Q589)))))</f>
        <v/>
      </c>
      <c r="L596" s="26"/>
      <c r="M596" s="27"/>
    </row>
    <row r="597" customFormat="false" ht="15" hidden="false" customHeight="false" outlineLevel="0" collapsed="false">
      <c r="A597" s="19" t="s">
        <v>560</v>
      </c>
      <c r="E597" s="20" t="str">
        <f aca="false">IF(P597="?OLD","!!!","")</f>
        <v/>
      </c>
      <c r="F597" s="21" t="str">
        <f aca="false">IF(OR(E597="",E597="!!!"),"",IF(NOT(ISNA(VLOOKUP(E597,Q$1:Q590,1,FALSE()))),"OLD",IF(AND(E597&lt;&gt;"",E597&lt;&gt;"!!!"),"NEW","")))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IF(OR(E597="",E597="!!!",F597="NEW"),"",INDEX(N$2:N590,-1+SUMPRODUCT(MAX(ROW(E$2:E590)*(E597=E$2:E590)))))</f>
        <v/>
      </c>
      <c r="J597" s="25" t="str">
        <f aca="true">IF(OR(E597="",E597="!!!",F597="NEW"),"",COUNTBLANK(OFFSET(M$1,,,SUMPRODUCT(MAX(ROW(E$2:E591)*(E597=E$2:E591)))))-COUNTBLANK(OFFSET(M$1,,,SUMPRODUCT(MAX(ROW(Q$1:Q590)*(E597=Q$1:Q590))))))</f>
        <v/>
      </c>
      <c r="K597" s="25" t="str">
        <f aca="false">IF(OR(E597="",E597="!!!",F597="NEW"),"",INDEX(V$1:V590,SUMPRODUCT(MAX(ROW(Q$1:Q590)*(E597=Q$1:Q590)))))</f>
        <v/>
      </c>
      <c r="L597" s="26"/>
      <c r="M597" s="27"/>
    </row>
    <row r="598" customFormat="false" ht="15" hidden="false" customHeight="false" outlineLevel="0" collapsed="false">
      <c r="A598" s="19" t="s">
        <v>561</v>
      </c>
      <c r="B598" s="28" t="s">
        <v>271</v>
      </c>
      <c r="C598" s="28" t="s">
        <v>314</v>
      </c>
      <c r="D598" s="28" t="s">
        <v>253</v>
      </c>
      <c r="E598" s="20" t="s">
        <v>562</v>
      </c>
      <c r="F598" s="21" t="str">
        <f aca="false">IF(OR(E598="",E598="!!!"),"",IF(NOT(ISNA(VLOOKUP(E598,Q$1:Q591,1,FALSE()))),"OLD",IF(AND(E598&lt;&gt;"",E598&lt;&gt;"!!!"),"NEW","")))</f>
        <v>NEW</v>
      </c>
      <c r="G598" s="22" t="s">
        <v>255</v>
      </c>
      <c r="H598" s="23" t="str">
        <f aca="false">IF(J598&lt;&gt;1,"",IF(I598="SBJ","CB","?"))</f>
        <v/>
      </c>
      <c r="I598" s="24" t="str">
        <f aca="false">IF(OR(E598="",E598="!!!",F598="NEW"),"",INDEX(N$2:N591,-1+SUMPRODUCT(MAX(ROW(E$2:E591)*(E598=E$2:E591)))))</f>
        <v/>
      </c>
      <c r="J598" s="25" t="str">
        <f aca="true">IF(OR(E598="",E598="!!!",F598="NEW"),"",COUNTBLANK(OFFSET(M$1,,,SUMPRODUCT(MAX(ROW(E$2:E592)*(E598=E$2:E592)))))-COUNTBLANK(OFFSET(M$1,,,SUMPRODUCT(MAX(ROW(Q$1:Q591)*(E598=Q$1:Q591))))))</f>
        <v/>
      </c>
      <c r="K598" s="25" t="str">
        <f aca="false">IF(OR(E598="",E598="!!!",F598="NEW"),"",INDEX(V$1:V591,SUMPRODUCT(MAX(ROW(Q$1:Q591)*(E598=Q$1:Q591)))))</f>
        <v/>
      </c>
      <c r="L598" s="26"/>
      <c r="M598" s="27"/>
      <c r="N598" s="29"/>
      <c r="O598" s="29"/>
      <c r="P598" s="29"/>
    </row>
    <row r="599" customFormat="false" ht="15" hidden="false" customHeight="false" outlineLevel="0" collapsed="false">
      <c r="A599" s="19" t="s">
        <v>294</v>
      </c>
      <c r="E599" s="20" t="str">
        <f aca="false">IF(P599="?OLD","!!!","")</f>
        <v/>
      </c>
      <c r="F599" s="21" t="str">
        <f aca="false">IF(OR(E599="",E599="!!!"),"",IF(NOT(ISNA(VLOOKUP(E599,Q$1:Q592,1,FALSE()))),"OLD",IF(AND(E599&lt;&gt;"",E599&lt;&gt;"!!!"),"NEW","")))</f>
        <v/>
      </c>
      <c r="G599" s="22" t="str">
        <f aca="false">IF(OR(E599="",E599="!!!"),"",IF(OR(J599=0,AND(J599=1,K599=1),AND(J599=1,I599="SBJ"),AND(J599=1,I599=0)),"?IN_FOCUS",IF(J599&lt;=2,"?ACTIVATED",IF(J599&lt;&gt;"","?FAMILIAR",IF(F599="NEW",IF(ISNA(VLOOKUP(E599,#REF!,1,FALSE())),"?TYPE_IDENTIFIABLE","?REFERENTIAL"),"_")))))</f>
        <v/>
      </c>
      <c r="H599" s="23" t="str">
        <f aca="false">IF(J599&lt;&gt;1,"",IF(I599="SBJ","CB","?"))</f>
        <v/>
      </c>
      <c r="I599" s="24" t="str">
        <f aca="false">IF(OR(E599="",E599="!!!",F599="NEW"),"",INDEX(N$2:N592,-1+SUMPRODUCT(MAX(ROW(E$2:E592)*(E599=E$2:E592)))))</f>
        <v/>
      </c>
      <c r="J599" s="25" t="str">
        <f aca="true">IF(OR(E599="",E599="!!!",F599="NEW"),"",COUNTBLANK(OFFSET(M$1,,,SUMPRODUCT(MAX(ROW(E$2:E593)*(E599=E$2:E593)))))-COUNTBLANK(OFFSET(M$1,,,SUMPRODUCT(MAX(ROW(Q$1:Q592)*(E599=Q$1:Q592))))))</f>
        <v/>
      </c>
      <c r="K599" s="25" t="str">
        <f aca="false">IF(OR(E599="",E599="!!!",F599="NEW"),"",INDEX(V$1:V592,SUMPRODUCT(MAX(ROW(Q$1:Q592)*(E599=Q$1:Q592)))))</f>
        <v/>
      </c>
      <c r="L599" s="26"/>
      <c r="M599" s="27"/>
    </row>
    <row r="600" customFormat="false" ht="15" hidden="false" customHeight="false" outlineLevel="0" collapsed="false">
      <c r="A600" s="19" t="s">
        <v>563</v>
      </c>
      <c r="B600" s="28" t="s">
        <v>306</v>
      </c>
      <c r="C600" s="28" t="s">
        <v>259</v>
      </c>
      <c r="E600" s="20" t="str">
        <f aca="false">IF(P600="?OLD","!!!","")</f>
        <v/>
      </c>
      <c r="F600" s="21" t="str">
        <f aca="false">IF(OR(E600="",E600="!!!"),"",IF(NOT(ISNA(VLOOKUP(E600,Q$1:Q593,1,FALSE()))),"OLD",IF(AND(E600&lt;&gt;"",E600&lt;&gt;"!!!"),"NEW","")))</f>
        <v/>
      </c>
      <c r="G600" s="22" t="str">
        <f aca="false">IF(OR(E600="",E600="!!!"),"",IF(OR(J600=0,AND(J600=1,K600=1),AND(J600=1,I600="SBJ"),AND(J600=1,I600=0)),"?IN_FOCUS",IF(J600&lt;=2,"?ACTIVATED",IF(J600&lt;&gt;"","?FAMILIAR",IF(F600="NEW",IF(ISNA(VLOOKUP(E600,#REF!,1,FALSE())),"?TYPE_IDENTIFIABLE","?REFERENTIAL"),"_")))))</f>
        <v/>
      </c>
      <c r="H600" s="23" t="str">
        <f aca="false">IF(J600&lt;&gt;1,"",IF(I600="SBJ","CB","?"))</f>
        <v/>
      </c>
      <c r="I600" s="24" t="str">
        <f aca="false">IF(OR(E600="",E600="!!!",F600="NEW"),"",INDEX(N$2:N593,-1+SUMPRODUCT(MAX(ROW(E$2:E593)*(E600=E$2:E593)))))</f>
        <v/>
      </c>
      <c r="J600" s="25" t="str">
        <f aca="true">IF(OR(E600="",E600="!!!",F600="NEW"),"",COUNTBLANK(OFFSET(M$1,,,SUMPRODUCT(MAX(ROW(E$2:E594)*(E600=E$2:E594)))))-COUNTBLANK(OFFSET(M$1,,,SUMPRODUCT(MAX(ROW(Q$1:Q593)*(E600=Q$1:Q593))))))</f>
        <v/>
      </c>
      <c r="K600" s="25" t="str">
        <f aca="false">IF(OR(E600="",E600="!!!",F600="NEW"),"",INDEX(V$1:V593,SUMPRODUCT(MAX(ROW(Q$1:Q593)*(E600=Q$1:Q593)))))</f>
        <v/>
      </c>
      <c r="L600" s="26"/>
      <c r="M600" s="27"/>
      <c r="N600" s="29"/>
      <c r="O600" s="29"/>
    </row>
    <row r="601" customFormat="false" ht="15" hidden="false" customHeight="false" outlineLevel="0" collapsed="false">
      <c r="A601" s="19" t="s">
        <v>256</v>
      </c>
      <c r="E601" s="20" t="str">
        <f aca="false">IF(P601="?OLD","!!!","")</f>
        <v/>
      </c>
      <c r="F601" s="21" t="str">
        <f aca="false">IF(OR(E601="",E601="!!!"),"",IF(NOT(ISNA(VLOOKUP(E601,Q$1:Q594,1,FALSE()))),"OLD",IF(AND(E601&lt;&gt;"",E601&lt;&gt;"!!!"),"NEW","")))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4" t="str">
        <f aca="false">IF(OR(E601="",E601="!!!",F601="NEW"),"",INDEX(N$2:N594,-1+SUMPRODUCT(MAX(ROW(E$2:E594)*(E601=E$2:E594)))))</f>
        <v/>
      </c>
      <c r="J601" s="25" t="str">
        <f aca="true">IF(OR(E601="",E601="!!!",F601="NEW"),"",COUNTBLANK(OFFSET(M$1,,,SUMPRODUCT(MAX(ROW(E$2:E595)*(E601=E$2:E595)))))-COUNTBLANK(OFFSET(M$1,,,SUMPRODUCT(MAX(ROW(Q$1:Q594)*(E601=Q$1:Q594))))))</f>
        <v/>
      </c>
      <c r="K601" s="25" t="str">
        <f aca="false">IF(OR(E601="",E601="!!!",F601="NEW"),"",INDEX(V$1:V594,SUMPRODUCT(MAX(ROW(Q$1:Q594)*(E601=Q$1:Q594)))))</f>
        <v/>
      </c>
      <c r="L601" s="26"/>
      <c r="M601" s="27"/>
    </row>
    <row r="602" customFormat="false" ht="15" hidden="false" customHeight="false" outlineLevel="0" collapsed="false">
      <c r="A602" s="19" t="s">
        <v>413</v>
      </c>
      <c r="B602" s="28" t="s">
        <v>306</v>
      </c>
      <c r="C602" s="28" t="s">
        <v>333</v>
      </c>
      <c r="D602" s="28" t="s">
        <v>253</v>
      </c>
      <c r="E602" s="20" t="s">
        <v>413</v>
      </c>
      <c r="F602" s="21" t="str">
        <f aca="false">IF(OR(E602="",E602="!!!"),"",IF(NOT(ISNA(VLOOKUP(E602,Q$1:Q595,1,FALSE()))),"OLD",IF(AND(E602&lt;&gt;"",E602&lt;&gt;"!!!"),"NEW","")))</f>
        <v>NEW</v>
      </c>
      <c r="G602" s="22" t="s">
        <v>296</v>
      </c>
      <c r="H602" s="23" t="str">
        <f aca="false">IF(J602&lt;&gt;1,"",IF(I602="SBJ","CB","?"))</f>
        <v/>
      </c>
      <c r="I602" s="24" t="str">
        <f aca="false">IF(OR(E602="",E602="!!!",F602="NEW"),"",INDEX(N$2:N595,-1+SUMPRODUCT(MAX(ROW(E$2:E595)*(E602=E$2:E595)))))</f>
        <v/>
      </c>
      <c r="J602" s="25" t="str">
        <f aca="true">IF(OR(E602="",E602="!!!",F602="NEW"),"",COUNTBLANK(OFFSET(M$1,,,SUMPRODUCT(MAX(ROW(E$2:E596)*(E602=E$2:E596)))))-COUNTBLANK(OFFSET(M$1,,,SUMPRODUCT(MAX(ROW(Q$1:Q595)*(E602=Q$1:Q595))))))</f>
        <v/>
      </c>
      <c r="K602" s="25" t="str">
        <f aca="false">IF(OR(E602="",E602="!!!",F602="NEW"),"",INDEX(V$1:V595,SUMPRODUCT(MAX(ROW(Q$1:Q595)*(E602=Q$1:Q595)))))</f>
        <v/>
      </c>
      <c r="L602" s="26"/>
      <c r="M602" s="27"/>
      <c r="N602" s="29"/>
      <c r="O602" s="29"/>
      <c r="P602" s="29"/>
    </row>
    <row r="603" customFormat="false" ht="15" hidden="false" customHeight="false" outlineLevel="0" collapsed="false">
      <c r="A603" s="19" t="s">
        <v>261</v>
      </c>
      <c r="E603" s="20" t="str">
        <f aca="false">IF(P603="?OLD","!!!","")</f>
        <v/>
      </c>
      <c r="F603" s="21" t="str">
        <f aca="false">IF(OR(E603="",E603="!!!"),"",IF(NOT(ISNA(VLOOKUP(E603,Q$1:Q596,1,FALSE()))),"OLD",IF(AND(E603&lt;&gt;"",E603&lt;&gt;"!!!"),"NEW","")))</f>
        <v/>
      </c>
      <c r="G603" s="22" t="str">
        <f aca="false">IF(OR(E603="",E603="!!!"),"",IF(OR(J603=0,AND(J603=1,K603=1),AND(J603=1,I603="SBJ"),AND(J603=1,I603=0)),"?IN_FOCUS",IF(J603&lt;=2,"?ACTIVATED",IF(J603&lt;&gt;"","?FAMILIAR",IF(F603="NEW",IF(ISNA(VLOOKUP(E603,#REF!,1,FALSE())),"?TYPE_IDENTIFIABLE","?REFERENTIAL"),"_")))))</f>
        <v/>
      </c>
      <c r="H603" s="23" t="str">
        <f aca="false">IF(J603&lt;&gt;1,"",IF(I603="SBJ","CB","?"))</f>
        <v/>
      </c>
      <c r="I603" s="24" t="str">
        <f aca="false">IF(OR(E603="",E603="!!!",F603="NEW"),"",INDEX(N$2:N596,-1+SUMPRODUCT(MAX(ROW(E$2:E596)*(E603=E$2:E596)))))</f>
        <v/>
      </c>
      <c r="J603" s="25" t="str">
        <f aca="true">IF(OR(E603="",E603="!!!",F603="NEW"),"",COUNTBLANK(OFFSET(M$1,,,SUMPRODUCT(MAX(ROW(E$2:E597)*(E603=E$2:E597)))))-COUNTBLANK(OFFSET(M$1,,,SUMPRODUCT(MAX(ROW(Q$1:Q596)*(E603=Q$1:Q596))))))</f>
        <v/>
      </c>
      <c r="K603" s="25" t="str">
        <f aca="false">IF(OR(E603="",E603="!!!",F603="NEW"),"",INDEX(V$1:V596,SUMPRODUCT(MAX(ROW(Q$1:Q596)*(E603=Q$1:Q596)))))</f>
        <v/>
      </c>
      <c r="L603" s="26"/>
      <c r="M603" s="27"/>
    </row>
    <row r="604" customFormat="false" ht="15" hidden="false" customHeight="false" outlineLevel="0" collapsed="false">
      <c r="A604" s="19" t="s">
        <v>441</v>
      </c>
      <c r="B604" s="28" t="s">
        <v>251</v>
      </c>
      <c r="C604" s="28" t="s">
        <v>264</v>
      </c>
      <c r="D604" s="28" t="s">
        <v>253</v>
      </c>
      <c r="E604" s="20" t="s">
        <v>543</v>
      </c>
      <c r="F604" s="21" t="str">
        <f aca="false">IF(OR(E604="",E604="!!!"),"",IF(NOT(ISNA(VLOOKUP(E604,Q$1:Q597,1,FALSE()))),"OLD",IF(AND(E604&lt;&gt;"",E604&lt;&gt;"!!!"),"NEW","")))</f>
        <v>NEW</v>
      </c>
      <c r="G604" s="22" t="s">
        <v>296</v>
      </c>
      <c r="H604" s="23" t="str">
        <f aca="false">IF(J604&lt;&gt;1,"",IF(I604="SBJ","CB","?"))</f>
        <v/>
      </c>
      <c r="I604" s="24" t="str">
        <f aca="false">IF(OR(E604="",E604="!!!",F604="NEW"),"",INDEX(N$2:N597,-1+SUMPRODUCT(MAX(ROW(E$2:E597)*(E604=E$2:E597)))))</f>
        <v/>
      </c>
      <c r="J604" s="25" t="str">
        <f aca="true">IF(OR(E604="",E604="!!!",F604="NEW"),"",COUNTBLANK(OFFSET(M$1,,,SUMPRODUCT(MAX(ROW(E$2:E598)*(E604=E$2:E598)))))-COUNTBLANK(OFFSET(M$1,,,SUMPRODUCT(MAX(ROW(Q$1:Q597)*(E604=Q$1:Q597))))))</f>
        <v/>
      </c>
      <c r="K604" s="25" t="str">
        <f aca="false">IF(OR(E604="",E604="!!!",F604="NEW"),"",INDEX(V$1:V597,SUMPRODUCT(MAX(ROW(Q$1:Q597)*(E604=Q$1:Q597)))))</f>
        <v/>
      </c>
      <c r="L604" s="26"/>
      <c r="M604" s="27"/>
      <c r="N604" s="29"/>
      <c r="O604" s="29"/>
      <c r="P604" s="29"/>
    </row>
    <row r="605" customFormat="false" ht="15" hidden="false" customHeight="false" outlineLevel="0" collapsed="false">
      <c r="A605" s="19" t="s">
        <v>564</v>
      </c>
      <c r="E605" s="20" t="str">
        <f aca="false">IF(P605="?OLD","!!!","")</f>
        <v/>
      </c>
      <c r="F605" s="21" t="str">
        <f aca="false">IF(OR(E605="",E605="!!!"),"",IF(NOT(ISNA(VLOOKUP(E605,Q$1:Q598,1,FALSE()))),"OLD",IF(AND(E605&lt;&gt;"",E605&lt;&gt;"!!!"),"NEW","")))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4" t="str">
        <f aca="false">IF(OR(E605="",E605="!!!",F605="NEW"),"",INDEX(N$2:N598,-1+SUMPRODUCT(MAX(ROW(E$2:E598)*(E605=E$2:E598)))))</f>
        <v/>
      </c>
      <c r="J605" s="25" t="str">
        <f aca="true">IF(OR(E605="",E605="!!!",F605="NEW"),"",COUNTBLANK(OFFSET(M$1,,,SUMPRODUCT(MAX(ROW(E$2:E599)*(E605=E$2:E599)))))-COUNTBLANK(OFFSET(M$1,,,SUMPRODUCT(MAX(ROW(Q$1:Q598)*(E605=Q$1:Q598))))))</f>
        <v/>
      </c>
      <c r="K605" s="25" t="str">
        <f aca="false">IF(OR(E605="",E605="!!!",F605="NEW"),"",INDEX(V$1:V598,SUMPRODUCT(MAX(ROW(Q$1:Q598)*(E605=Q$1:Q598)))))</f>
        <v/>
      </c>
      <c r="L605" s="26"/>
      <c r="M605" s="27"/>
    </row>
    <row r="606" customFormat="false" ht="15" hidden="false" customHeight="false" outlineLevel="0" collapsed="false">
      <c r="A606" s="19" t="s">
        <v>565</v>
      </c>
      <c r="E606" s="20" t="str">
        <f aca="false">IF(P606="?OLD","!!!","")</f>
        <v/>
      </c>
      <c r="F606" s="21" t="str">
        <f aca="false">IF(OR(E606="",E606="!!!"),"",IF(NOT(ISNA(VLOOKUP(E606,Q$1:Q599,1,FALSE()))),"OLD",IF(AND(E606&lt;&gt;"",E606&lt;&gt;"!!!"),"NEW","")))</f>
        <v/>
      </c>
      <c r="G606" s="22" t="str">
        <f aca="false">IF(OR(E606="",E606="!!!"),"",IF(OR(J606=0,AND(J606=1,K606=1),AND(J606=1,I606="SBJ"),AND(J606=1,I606=0)),"?IN_FOCUS",IF(J606&lt;=2,"?ACTIVATED",IF(J606&lt;&gt;"","?FAMILIAR",IF(F606="NEW",IF(ISNA(VLOOKUP(E606,#REF!,1,FALSE())),"?TYPE_IDENTIFIABLE","?REFERENTIAL"),"_")))))</f>
        <v/>
      </c>
      <c r="H606" s="23" t="str">
        <f aca="false">IF(J606&lt;&gt;1,"",IF(I606="SBJ","CB","?"))</f>
        <v/>
      </c>
      <c r="I606" s="24" t="str">
        <f aca="false">IF(OR(E606="",E606="!!!",F606="NEW"),"",INDEX(N$2:N599,-1+SUMPRODUCT(MAX(ROW(E$2:E599)*(E606=E$2:E599)))))</f>
        <v/>
      </c>
      <c r="J606" s="25" t="str">
        <f aca="true">IF(OR(E606="",E606="!!!",F606="NEW"),"",COUNTBLANK(OFFSET(M$1,,,SUMPRODUCT(MAX(ROW(E$2:E600)*(E606=E$2:E600)))))-COUNTBLANK(OFFSET(M$1,,,SUMPRODUCT(MAX(ROW(Q$1:Q599)*(E606=Q$1:Q599))))))</f>
        <v/>
      </c>
      <c r="K606" s="25" t="str">
        <f aca="false">IF(OR(E606="",E606="!!!",F606="NEW"),"",INDEX(V$1:V599,SUMPRODUCT(MAX(ROW(Q$1:Q599)*(E606=Q$1:Q599)))))</f>
        <v/>
      </c>
      <c r="L606" s="26"/>
      <c r="M606" s="27"/>
    </row>
    <row r="607" customFormat="false" ht="15" hidden="false" customHeight="false" outlineLevel="0" collapsed="false">
      <c r="A607" s="19" t="s">
        <v>549</v>
      </c>
      <c r="E607" s="20" t="str">
        <f aca="false">IF(P607="?OLD","!!!","")</f>
        <v/>
      </c>
      <c r="F607" s="21" t="str">
        <f aca="false">IF(OR(E607="",E607="!!!"),"",IF(NOT(ISNA(VLOOKUP(E607,Q$1:Q600,1,FALSE()))),"OLD",IF(AND(E607&lt;&gt;"",E607&lt;&gt;"!!!"),"NEW","")))</f>
        <v/>
      </c>
      <c r="G607" s="22" t="str">
        <f aca="false">IF(OR(E607="",E607="!!!"),"",IF(OR(J607=0,AND(J607=1,K607=1),AND(J607=1,I607="SBJ"),AND(J607=1,I607=0)),"?IN_FOCUS",IF(J607&lt;=2,"?ACTIVATED",IF(J607&lt;&gt;"","?FAMILIAR",IF(F607="NEW",IF(ISNA(VLOOKUP(E607,#REF!,1,FALSE())),"?TYPE_IDENTIFIABLE","?REFERENTIAL"),"_")))))</f>
        <v/>
      </c>
      <c r="H607" s="23" t="str">
        <f aca="false">IF(J607&lt;&gt;1,"",IF(I607="SBJ","CB","?"))</f>
        <v/>
      </c>
      <c r="I607" s="24" t="str">
        <f aca="false">IF(OR(E607="",E607="!!!",F607="NEW"),"",INDEX(N$2:N600,-1+SUMPRODUCT(MAX(ROW(E$2:E600)*(E607=E$2:E600)))))</f>
        <v/>
      </c>
      <c r="J607" s="25" t="str">
        <f aca="true">IF(OR(E607="",E607="!!!",F607="NEW"),"",COUNTBLANK(OFFSET(M$1,,,SUMPRODUCT(MAX(ROW(E$2:E601)*(E607=E$2:E601)))))-COUNTBLANK(OFFSET(M$1,,,SUMPRODUCT(MAX(ROW(Q$1:Q600)*(E607=Q$1:Q600))))))</f>
        <v/>
      </c>
      <c r="K607" s="25" t="str">
        <f aca="false">IF(OR(E607="",E607="!!!",F607="NEW"),"",INDEX(V$1:V600,SUMPRODUCT(MAX(ROW(Q$1:Q600)*(E607=Q$1:Q600)))))</f>
        <v/>
      </c>
      <c r="L607" s="26"/>
      <c r="M607" s="27"/>
    </row>
    <row r="608" customFormat="false" ht="15" hidden="false" customHeight="false" outlineLevel="0" collapsed="false">
      <c r="A608" s="19" t="s">
        <v>250</v>
      </c>
      <c r="E608" s="20" t="str">
        <f aca="false">IF(P608="?OLD","!!!","")</f>
        <v/>
      </c>
      <c r="F608" s="21" t="str">
        <f aca="false">IF(OR(E608="",E608="!!!"),"",IF(NOT(ISNA(VLOOKUP(E608,Q$1:Q601,1,FALSE()))),"OLD",IF(AND(E608&lt;&gt;"",E608&lt;&gt;"!!!"),"NEW","")))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4" t="str">
        <f aca="false">IF(OR(E608="",E608="!!!",F608="NEW"),"",INDEX(N$2:N601,-1+SUMPRODUCT(MAX(ROW(E$2:E601)*(E608=E$2:E601)))))</f>
        <v/>
      </c>
      <c r="J608" s="25" t="str">
        <f aca="true">IF(OR(E608="",E608="!!!",F608="NEW"),"",COUNTBLANK(OFFSET(M$1,,,SUMPRODUCT(MAX(ROW(E$2:E602)*(E608=E$2:E602)))))-COUNTBLANK(OFFSET(M$1,,,SUMPRODUCT(MAX(ROW(Q$1:Q601)*(E608=Q$1:Q601))))))</f>
        <v/>
      </c>
      <c r="K608" s="25" t="str">
        <f aca="false">IF(OR(E608="",E608="!!!",F608="NEW"),"",INDEX(V$1:V601,SUMPRODUCT(MAX(ROW(Q$1:Q601)*(E608=Q$1:Q601)))))</f>
        <v/>
      </c>
      <c r="L608" s="26"/>
      <c r="M608" s="27"/>
    </row>
    <row r="609" customFormat="false" ht="15" hidden="false" customHeight="false" outlineLevel="0" collapsed="false">
      <c r="A609" s="19" t="s">
        <v>566</v>
      </c>
      <c r="B609" s="28" t="s">
        <v>306</v>
      </c>
      <c r="C609" s="28" t="s">
        <v>252</v>
      </c>
      <c r="D609" s="28" t="s">
        <v>253</v>
      </c>
      <c r="E609" s="20" t="s">
        <v>567</v>
      </c>
      <c r="F609" s="21" t="str">
        <f aca="false">IF(OR(E609="",E609="!!!"),"",IF(NOT(ISNA(VLOOKUP(E609,Q$1:Q602,1,FALSE()))),"OLD",IF(AND(E609&lt;&gt;"",E609&lt;&gt;"!!!"),"NEW","")))</f>
        <v>NEW</v>
      </c>
      <c r="G609" s="22" t="s">
        <v>255</v>
      </c>
      <c r="H609" s="23" t="str">
        <f aca="false">IF(J609&lt;&gt;1,"",IF(I609="SBJ","CB","?"))</f>
        <v/>
      </c>
      <c r="I609" s="24" t="str">
        <f aca="false">IF(OR(E609="",E609="!!!",F609="NEW"),"",INDEX(N$2:N602,-1+SUMPRODUCT(MAX(ROW(E$2:E602)*(E609=E$2:E602)))))</f>
        <v/>
      </c>
      <c r="J609" s="25" t="str">
        <f aca="true">IF(OR(E609="",E609="!!!",F609="NEW"),"",COUNTBLANK(OFFSET(M$1,,,SUMPRODUCT(MAX(ROW(E$2:E603)*(E609=E$2:E603)))))-COUNTBLANK(OFFSET(M$1,,,SUMPRODUCT(MAX(ROW(Q$1:Q602)*(E609=Q$1:Q602))))))</f>
        <v/>
      </c>
      <c r="K609" s="25" t="str">
        <f aca="false">IF(OR(E609="",E609="!!!",F609="NEW"),"",INDEX(V$1:V602,SUMPRODUCT(MAX(ROW(Q$1:Q602)*(E609=Q$1:Q602)))))</f>
        <v/>
      </c>
      <c r="L609" s="26"/>
      <c r="M609" s="27"/>
      <c r="N609" s="29"/>
      <c r="O609" s="29"/>
      <c r="P609" s="29"/>
    </row>
    <row r="610" customFormat="false" ht="15" hidden="false" customHeight="false" outlineLevel="0" collapsed="false">
      <c r="A610" s="19" t="s">
        <v>256</v>
      </c>
      <c r="E610" s="20" t="str">
        <f aca="false">IF(P610="?OLD","!!!","")</f>
        <v/>
      </c>
      <c r="F610" s="21" t="str">
        <f aca="false">IF(OR(E610="",E610="!!!"),"",IF(NOT(ISNA(VLOOKUP(E610,Q$1:Q603,1,FALSE()))),"OLD",IF(AND(E610&lt;&gt;"",E610&lt;&gt;"!!!"),"NEW","")))</f>
        <v/>
      </c>
      <c r="G610" s="22" t="str">
        <f aca="false">IF(OR(E610="",E610="!!!"),"",IF(OR(J610=0,AND(J610=1,K610=1),AND(J610=1,I610="SBJ"),AND(J610=1,I610=0)),"?IN_FOCUS",IF(J610&lt;=2,"?ACTIVATED",IF(J610&lt;&gt;"","?FAMILIAR",IF(F610="NEW",IF(ISNA(VLOOKUP(E610,#REF!,1,FALSE())),"?TYPE_IDENTIFIABLE","?REFERENTIAL"),"_")))))</f>
        <v/>
      </c>
      <c r="H610" s="23" t="str">
        <f aca="false">IF(J610&lt;&gt;1,"",IF(I610="SBJ","CB","?"))</f>
        <v/>
      </c>
      <c r="I610" s="24" t="str">
        <f aca="false">IF(OR(E610="",E610="!!!",F610="NEW"),"",INDEX(N$2:N603,-1+SUMPRODUCT(MAX(ROW(E$2:E603)*(E610=E$2:E603)))))</f>
        <v/>
      </c>
      <c r="J610" s="25" t="str">
        <f aca="true">IF(OR(E610="",E610="!!!",F610="NEW"),"",COUNTBLANK(OFFSET(M$1,,,SUMPRODUCT(MAX(ROW(E$2:E604)*(E610=E$2:E604)))))-COUNTBLANK(OFFSET(M$1,,,SUMPRODUCT(MAX(ROW(Q$1:Q603)*(E610=Q$1:Q603))))))</f>
        <v/>
      </c>
      <c r="K610" s="25" t="str">
        <f aca="false">IF(OR(E610="",E610="!!!",F610="NEW"),"",INDEX(V$1:V603,SUMPRODUCT(MAX(ROW(Q$1:Q603)*(E610=Q$1:Q603)))))</f>
        <v/>
      </c>
      <c r="L610" s="26"/>
      <c r="M610" s="27"/>
    </row>
    <row r="611" customFormat="false" ht="15" hidden="false" customHeight="false" outlineLevel="0" collapsed="false">
      <c r="A611" s="19" t="s">
        <v>568</v>
      </c>
      <c r="E611" s="20" t="str">
        <f aca="false">IF(P611="?OLD","!!!","")</f>
        <v/>
      </c>
      <c r="F611" s="21" t="str">
        <f aca="false">IF(OR(E611="",E611="!!!"),"",IF(NOT(ISNA(VLOOKUP(E611,Q$1:Q604,1,FALSE()))),"OLD",IF(AND(E611&lt;&gt;"",E611&lt;&gt;"!!!"),"NEW","")))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IF(OR(E611="",E611="!!!",F611="NEW"),"",INDEX(N$2:N604,-1+SUMPRODUCT(MAX(ROW(E$2:E604)*(E611=E$2:E604)))))</f>
        <v/>
      </c>
      <c r="J611" s="25" t="str">
        <f aca="true">IF(OR(E611="",E611="!!!",F611="NEW"),"",COUNTBLANK(OFFSET(M$1,,,SUMPRODUCT(MAX(ROW(E$2:E605)*(E611=E$2:E605)))))-COUNTBLANK(OFFSET(M$1,,,SUMPRODUCT(MAX(ROW(Q$1:Q604)*(E611=Q$1:Q604))))))</f>
        <v/>
      </c>
      <c r="K611" s="25" t="str">
        <f aca="false">IF(OR(E611="",E611="!!!",F611="NEW"),"",INDEX(V$1:V604,SUMPRODUCT(MAX(ROW(Q$1:Q604)*(E611=Q$1:Q604)))))</f>
        <v/>
      </c>
      <c r="L611" s="26"/>
      <c r="M611" s="27"/>
    </row>
    <row r="612" customFormat="false" ht="15" hidden="false" customHeight="false" outlineLevel="0" collapsed="false">
      <c r="A612" s="19" t="s">
        <v>336</v>
      </c>
      <c r="B612" s="28" t="s">
        <v>258</v>
      </c>
      <c r="C612" s="28" t="s">
        <v>259</v>
      </c>
      <c r="E612" s="20" t="str">
        <f aca="false">IF(P612="?OLD","!!!","")</f>
        <v/>
      </c>
      <c r="F612" s="21" t="str">
        <f aca="false">IF(OR(E612="",E612="!!!"),"",IF(NOT(ISNA(VLOOKUP(E612,Q$1:Q605,1,FALSE()))),"OLD",IF(AND(E612&lt;&gt;"",E612&lt;&gt;"!!!"),"NEW","")))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4" t="str">
        <f aca="false">IF(OR(E612="",E612="!!!",F612="NEW"),"",INDEX(N$2:N605,-1+SUMPRODUCT(MAX(ROW(E$2:E605)*(E612=E$2:E605)))))</f>
        <v/>
      </c>
      <c r="J612" s="25" t="str">
        <f aca="true">IF(OR(E612="",E612="!!!",F612="NEW"),"",COUNTBLANK(OFFSET(M$1,,,SUMPRODUCT(MAX(ROW(E$2:E606)*(E612=E$2:E606)))))-COUNTBLANK(OFFSET(M$1,,,SUMPRODUCT(MAX(ROW(Q$1:Q605)*(E612=Q$1:Q605))))))</f>
        <v/>
      </c>
      <c r="K612" s="25" t="str">
        <f aca="false">IF(OR(E612="",E612="!!!",F612="NEW"),"",INDEX(V$1:V605,SUMPRODUCT(MAX(ROW(Q$1:Q605)*(E612=Q$1:Q605)))))</f>
        <v/>
      </c>
      <c r="L612" s="26"/>
      <c r="M612" s="27"/>
      <c r="N612" s="29"/>
      <c r="O612" s="29"/>
    </row>
    <row r="613" customFormat="false" ht="15" hidden="false" customHeight="false" outlineLevel="0" collapsed="false">
      <c r="A613" s="19" t="s">
        <v>261</v>
      </c>
      <c r="E613" s="20" t="str">
        <f aca="false">IF(P613="?OLD","!!!","")</f>
        <v/>
      </c>
      <c r="F613" s="21" t="str">
        <f aca="false">IF(OR(E613="",E613="!!!"),"",IF(NOT(ISNA(VLOOKUP(E613,Q$1:Q606,1,FALSE()))),"OLD",IF(AND(E613&lt;&gt;"",E613&lt;&gt;"!!!"),"NEW","")))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IF(OR(E613="",E613="!!!",F613="NEW"),"",INDEX(N$2:N606,-1+SUMPRODUCT(MAX(ROW(E$2:E606)*(E613=E$2:E606)))))</f>
        <v/>
      </c>
      <c r="J613" s="25" t="str">
        <f aca="true">IF(OR(E613="",E613="!!!",F613="NEW"),"",COUNTBLANK(OFFSET(M$1,,,SUMPRODUCT(MAX(ROW(E$2:E607)*(E613=E$2:E607)))))-COUNTBLANK(OFFSET(M$1,,,SUMPRODUCT(MAX(ROW(Q$1:Q606)*(E613=Q$1:Q606))))))</f>
        <v/>
      </c>
      <c r="K613" s="25" t="str">
        <f aca="false">IF(OR(E613="",E613="!!!",F613="NEW"),"",INDEX(V$1:V606,SUMPRODUCT(MAX(ROW(Q$1:Q606)*(E613=Q$1:Q606)))))</f>
        <v/>
      </c>
      <c r="L613" s="26"/>
      <c r="M613" s="27"/>
    </row>
    <row r="614" customFormat="false" ht="15" hidden="false" customHeight="false" outlineLevel="0" collapsed="false">
      <c r="A614" s="19" t="s">
        <v>569</v>
      </c>
      <c r="E614" s="20" t="str">
        <f aca="false">IF(P614="?OLD","!!!","")</f>
        <v/>
      </c>
      <c r="F614" s="21" t="str">
        <f aca="false">IF(OR(E614="",E614="!!!"),"",IF(NOT(ISNA(VLOOKUP(E614,Q$1:Q607,1,FALSE()))),"OLD",IF(AND(E614&lt;&gt;"",E614&lt;&gt;"!!!"),"NEW","")))</f>
        <v/>
      </c>
      <c r="G614" s="22" t="str">
        <f aca="false">IF(OR(E614="",E614="!!!"),"",IF(OR(J614=0,AND(J614=1,K614=1),AND(J614=1,I614="SBJ"),AND(J614=1,I614=0)),"?IN_FOCUS",IF(J614&lt;=2,"?ACTIVATED",IF(J614&lt;&gt;"","?FAMILIAR",IF(F614="NEW",IF(ISNA(VLOOKUP(E614,#REF!,1,FALSE())),"?TYPE_IDENTIFIABLE","?REFERENTIAL"),"_")))))</f>
        <v/>
      </c>
      <c r="H614" s="23" t="str">
        <f aca="false">IF(J614&lt;&gt;1,"",IF(I614="SBJ","CB","?"))</f>
        <v/>
      </c>
      <c r="I614" s="24" t="str">
        <f aca="false">IF(OR(E614="",E614="!!!",F614="NEW"),"",INDEX(N$2:N607,-1+SUMPRODUCT(MAX(ROW(E$2:E607)*(E614=E$2:E607)))))</f>
        <v/>
      </c>
      <c r="J614" s="25" t="str">
        <f aca="true">IF(OR(E614="",E614="!!!",F614="NEW"),"",COUNTBLANK(OFFSET(M$1,,,SUMPRODUCT(MAX(ROW(E$2:E608)*(E614=E$2:E608)))))-COUNTBLANK(OFFSET(M$1,,,SUMPRODUCT(MAX(ROW(Q$1:Q607)*(E614=Q$1:Q607))))))</f>
        <v/>
      </c>
      <c r="K614" s="25" t="str">
        <f aca="false">IF(OR(E614="",E614="!!!",F614="NEW"),"",INDEX(V$1:V607,SUMPRODUCT(MAX(ROW(Q$1:Q607)*(E614=Q$1:Q607)))))</f>
        <v/>
      </c>
      <c r="L614" s="26"/>
      <c r="M614" s="27"/>
    </row>
    <row r="615" customFormat="false" ht="15" hidden="false" customHeight="false" outlineLevel="0" collapsed="false">
      <c r="A615" s="19" t="s">
        <v>294</v>
      </c>
      <c r="E615" s="20" t="str">
        <f aca="false">IF(P615="?OLD","!!!","")</f>
        <v/>
      </c>
      <c r="F615" s="21" t="str">
        <f aca="false">IF(OR(E615="",E615="!!!"),"",IF(NOT(ISNA(VLOOKUP(E615,Q$1:Q608,1,FALSE()))),"OLD",IF(AND(E615&lt;&gt;"",E615&lt;&gt;"!!!"),"NEW","")))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4" t="str">
        <f aca="false">IF(OR(E615="",E615="!!!",F615="NEW"),"",INDEX(N$2:N608,-1+SUMPRODUCT(MAX(ROW(E$2:E608)*(E615=E$2:E608)))))</f>
        <v/>
      </c>
      <c r="J615" s="25" t="str">
        <f aca="true">IF(OR(E615="",E615="!!!",F615="NEW"),"",COUNTBLANK(OFFSET(M$1,,,SUMPRODUCT(MAX(ROW(E$2:E609)*(E615=E$2:E609)))))-COUNTBLANK(OFFSET(M$1,,,SUMPRODUCT(MAX(ROW(Q$1:Q608)*(E615=Q$1:Q608))))))</f>
        <v/>
      </c>
      <c r="K615" s="25" t="str">
        <f aca="false">IF(OR(E615="",E615="!!!",F615="NEW"),"",INDEX(V$1:V608,SUMPRODUCT(MAX(ROW(Q$1:Q608)*(E615=Q$1:Q608)))))</f>
        <v/>
      </c>
      <c r="L615" s="26"/>
      <c r="M615" s="27"/>
    </row>
    <row r="616" customFormat="false" ht="15" hidden="false" customHeight="false" outlineLevel="0" collapsed="false">
      <c r="A616" s="19" t="s">
        <v>570</v>
      </c>
      <c r="E616" s="20" t="str">
        <f aca="false">IF(P616="?OLD","!!!","")</f>
        <v/>
      </c>
      <c r="F616" s="21" t="str">
        <f aca="false">IF(OR(E616="",E616="!!!"),"",IF(NOT(ISNA(VLOOKUP(E616,Q$1:Q609,1,FALSE()))),"OLD",IF(AND(E616&lt;&gt;"",E616&lt;&gt;"!!!"),"NEW","")))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IF(OR(E616="",E616="!!!",F616="NEW"),"",INDEX(N$2:N609,-1+SUMPRODUCT(MAX(ROW(E$2:E609)*(E616=E$2:E609)))))</f>
        <v/>
      </c>
      <c r="J616" s="25" t="str">
        <f aca="true">IF(OR(E616="",E616="!!!",F616="NEW"),"",COUNTBLANK(OFFSET(M$1,,,SUMPRODUCT(MAX(ROW(E$2:E610)*(E616=E$2:E610)))))-COUNTBLANK(OFFSET(M$1,,,SUMPRODUCT(MAX(ROW(Q$1:Q609)*(E616=Q$1:Q609))))))</f>
        <v/>
      </c>
      <c r="K616" s="25" t="str">
        <f aca="false">IF(OR(E616="",E616="!!!",F616="NEW"),"",INDEX(V$1:V609,SUMPRODUCT(MAX(ROW(Q$1:Q609)*(E616=Q$1:Q609)))))</f>
        <v/>
      </c>
      <c r="L616" s="26"/>
      <c r="M616" s="27"/>
    </row>
    <row r="617" customFormat="false" ht="15" hidden="false" customHeight="false" outlineLevel="0" collapsed="false">
      <c r="A617" s="19" t="s">
        <v>517</v>
      </c>
      <c r="E617" s="20" t="str">
        <f aca="false">IF(P617="?OLD","!!!","")</f>
        <v/>
      </c>
      <c r="F617" s="21" t="str">
        <f aca="false">IF(OR(E617="",E617="!!!"),"",IF(NOT(ISNA(VLOOKUP(E617,Q$1:Q610,1,FALSE()))),"OLD",IF(AND(E617&lt;&gt;"",E617&lt;&gt;"!!!"),"NEW","")))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IF(OR(E617="",E617="!!!",F617="NEW"),"",INDEX(N$2:N610,-1+SUMPRODUCT(MAX(ROW(E$2:E610)*(E617=E$2:E610)))))</f>
        <v/>
      </c>
      <c r="J617" s="25" t="str">
        <f aca="true">IF(OR(E617="",E617="!!!",F617="NEW"),"",COUNTBLANK(OFFSET(M$1,,,SUMPRODUCT(MAX(ROW(E$2:E611)*(E617=E$2:E611)))))-COUNTBLANK(OFFSET(M$1,,,SUMPRODUCT(MAX(ROW(Q$1:Q610)*(E617=Q$1:Q610))))))</f>
        <v/>
      </c>
      <c r="K617" s="25" t="str">
        <f aca="false">IF(OR(E617="",E617="!!!",F617="NEW"),"",INDEX(V$1:V610,SUMPRODUCT(MAX(ROW(Q$1:Q610)*(E617=Q$1:Q610)))))</f>
        <v/>
      </c>
      <c r="L617" s="26"/>
      <c r="M617" s="27"/>
    </row>
    <row r="618" customFormat="false" ht="15" hidden="false" customHeight="false" outlineLevel="0" collapsed="false">
      <c r="A618" s="19"/>
    </row>
    <row r="619" customFormat="false" ht="15" hidden="false" customHeight="false" outlineLevel="0" collapsed="false">
      <c r="A619" s="19" t="s">
        <v>571</v>
      </c>
    </row>
    <row r="620" customFormat="false" ht="15" hidden="false" customHeight="false" outlineLevel="0" collapsed="false">
      <c r="A620" s="19" t="s">
        <v>572</v>
      </c>
      <c r="E620" s="20" t="str">
        <f aca="false">IF(P620="?OLD","!!!","")</f>
        <v/>
      </c>
      <c r="F620" s="21" t="str">
        <f aca="false">IF(OR(E620="",E620="!!!"),"",IF(NOT(ISNA(VLOOKUP(E620,Q$1:Q611,1,FALSE()))),"OLD",IF(AND(E620&lt;&gt;"",E620&lt;&gt;"!!!"),"NEW","")))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IF(OR(E620="",E620="!!!",F620="NEW"),"",INDEX(N$2:N611,-1+SUMPRODUCT(MAX(ROW(E$2:E611)*(E620=E$2:E611)))))</f>
        <v/>
      </c>
      <c r="J620" s="25" t="str">
        <f aca="true">IF(OR(E620="",E620="!!!",F620="NEW"),"",COUNTBLANK(OFFSET(M$1,,,SUMPRODUCT(MAX(ROW(E$2:E612)*(E620=E$2:E612)))))-COUNTBLANK(OFFSET(M$1,,,SUMPRODUCT(MAX(ROW(Q$1:Q611)*(E620=Q$1:Q611))))))</f>
        <v/>
      </c>
      <c r="K620" s="25" t="str">
        <f aca="false">IF(OR(E620="",E620="!!!",F620="NEW"),"",INDEX(V$1:V611,SUMPRODUCT(MAX(ROW(Q$1:Q611)*(E620=Q$1:Q611)))))</f>
        <v/>
      </c>
      <c r="L620" s="26"/>
      <c r="M620" s="27"/>
      <c r="N620" s="29"/>
    </row>
    <row r="621" customFormat="false" ht="15" hidden="false" customHeight="false" outlineLevel="0" collapsed="false">
      <c r="A621" s="19" t="s">
        <v>413</v>
      </c>
      <c r="B621" s="28" t="s">
        <v>263</v>
      </c>
      <c r="C621" s="28" t="s">
        <v>333</v>
      </c>
      <c r="D621" s="28" t="s">
        <v>253</v>
      </c>
      <c r="E621" s="20" t="s">
        <v>413</v>
      </c>
      <c r="F621" s="21" t="str">
        <f aca="false">IF(OR(E621="",E621="!!!"),"",IF(NOT(ISNA(VLOOKUP(E621,Q$1:Q612,1,FALSE()))),"OLD",IF(AND(E621&lt;&gt;"",E621&lt;&gt;"!!!"),"NEW","")))</f>
        <v>NEW</v>
      </c>
      <c r="G621" s="22" t="s">
        <v>296</v>
      </c>
      <c r="H621" s="23" t="str">
        <f aca="false">IF(J621&lt;&gt;1,"",IF(I621="SBJ","CB","?"))</f>
        <v/>
      </c>
      <c r="I621" s="24" t="str">
        <f aca="false">IF(OR(E621="",E621="!!!",F621="NEW"),"",INDEX(N$2:N612,-1+SUMPRODUCT(MAX(ROW(E$2:E612)*(E621=E$2:E612)))))</f>
        <v/>
      </c>
      <c r="J621" s="25" t="str">
        <f aca="true">IF(OR(E621="",E621="!!!",F621="NEW"),"",COUNTBLANK(OFFSET(M$1,,,SUMPRODUCT(MAX(ROW(E$2:E613)*(E621=E$2:E613)))))-COUNTBLANK(OFFSET(M$1,,,SUMPRODUCT(MAX(ROW(Q$1:Q612)*(E621=Q$1:Q612))))))</f>
        <v/>
      </c>
      <c r="K621" s="25" t="str">
        <f aca="false">IF(OR(E621="",E621="!!!",F621="NEW"),"",INDEX(V$1:V612,SUMPRODUCT(MAX(ROW(Q$1:Q612)*(E621=Q$1:Q612)))))</f>
        <v/>
      </c>
      <c r="L621" s="26"/>
      <c r="M621" s="27"/>
      <c r="N621" s="29"/>
      <c r="O621" s="29"/>
      <c r="P621" s="29"/>
    </row>
    <row r="622" customFormat="false" ht="15" hidden="false" customHeight="false" outlineLevel="0" collapsed="false">
      <c r="A622" s="19" t="s">
        <v>573</v>
      </c>
      <c r="E622" s="20" t="str">
        <f aca="false">IF(P622="?OLD","!!!","")</f>
        <v/>
      </c>
      <c r="F622" s="21" t="str">
        <f aca="false">IF(OR(E622="",E622="!!!"),"",IF(NOT(ISNA(VLOOKUP(E622,Q$1:Q613,1,FALSE()))),"OLD",IF(AND(E622&lt;&gt;"",E622&lt;&gt;"!!!"),"NEW","")))</f>
        <v/>
      </c>
      <c r="G622" s="22" t="str">
        <f aca="false">IF(OR(E622="",E622="!!!"),"",IF(OR(J622=0,AND(J622=1,K622=1),AND(J622=1,I622="SBJ"),AND(J622=1,I622=0)),"?IN_FOCUS",IF(J622&lt;=2,"?ACTIVATED",IF(J622&lt;&gt;"","?FAMILIAR",IF(F622="NEW",IF(ISNA(VLOOKUP(E622,#REF!,1,FALSE())),"?TYPE_IDENTIFIABLE","?REFERENTIAL"),"_")))))</f>
        <v/>
      </c>
      <c r="H622" s="23" t="str">
        <f aca="false">IF(J622&lt;&gt;1,"",IF(I622="SBJ","CB","?"))</f>
        <v/>
      </c>
      <c r="I622" s="24" t="str">
        <f aca="false">IF(OR(E622="",E622="!!!",F622="NEW"),"",INDEX(N$2:N613,-1+SUMPRODUCT(MAX(ROW(E$2:E613)*(E622=E$2:E613)))))</f>
        <v/>
      </c>
      <c r="J622" s="25" t="str">
        <f aca="true">IF(OR(E622="",E622="!!!",F622="NEW"),"",COUNTBLANK(OFFSET(M$1,,,SUMPRODUCT(MAX(ROW(E$2:E614)*(E622=E$2:E614)))))-COUNTBLANK(OFFSET(M$1,,,SUMPRODUCT(MAX(ROW(Q$1:Q613)*(E622=Q$1:Q613))))))</f>
        <v/>
      </c>
      <c r="K622" s="25" t="str">
        <f aca="false">IF(OR(E622="",E622="!!!",F622="NEW"),"",INDEX(V$1:V613,SUMPRODUCT(MAX(ROW(Q$1:Q613)*(E622=Q$1:Q613)))))</f>
        <v/>
      </c>
      <c r="L622" s="26"/>
      <c r="M622" s="27"/>
    </row>
    <row r="623" customFormat="false" ht="15" hidden="false" customHeight="false" outlineLevel="0" collapsed="false">
      <c r="A623" s="19" t="s">
        <v>432</v>
      </c>
      <c r="E623" s="20" t="str">
        <f aca="false">IF(P623="?OLD","!!!","")</f>
        <v/>
      </c>
      <c r="F623" s="21" t="str">
        <f aca="false">IF(OR(E623="",E623="!!!"),"",IF(NOT(ISNA(VLOOKUP(E623,Q$1:Q614,1,FALSE()))),"OLD",IF(AND(E623&lt;&gt;"",E623&lt;&gt;"!!!"),"NEW","")))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4" t="str">
        <f aca="false">IF(OR(E623="",E623="!!!",F623="NEW"),"",INDEX(N$2:N614,-1+SUMPRODUCT(MAX(ROW(E$2:E614)*(E623=E$2:E614)))))</f>
        <v/>
      </c>
      <c r="J623" s="25" t="str">
        <f aca="true">IF(OR(E623="",E623="!!!",F623="NEW"),"",COUNTBLANK(OFFSET(M$1,,,SUMPRODUCT(MAX(ROW(E$2:E615)*(E623=E$2:E615)))))-COUNTBLANK(OFFSET(M$1,,,SUMPRODUCT(MAX(ROW(Q$1:Q614)*(E623=Q$1:Q614))))))</f>
        <v/>
      </c>
      <c r="K623" s="25" t="str">
        <f aca="false">IF(OR(E623="",E623="!!!",F623="NEW"),"",INDEX(V$1:V614,SUMPRODUCT(MAX(ROW(Q$1:Q614)*(E623=Q$1:Q614)))))</f>
        <v/>
      </c>
      <c r="L623" s="26"/>
      <c r="M623" s="27"/>
    </row>
    <row r="624" customFormat="false" ht="15" hidden="false" customHeight="false" outlineLevel="0" collapsed="false">
      <c r="A624" s="19" t="s">
        <v>261</v>
      </c>
      <c r="E624" s="20" t="str">
        <f aca="false">IF(P624="?OLD","!!!","")</f>
        <v/>
      </c>
      <c r="F624" s="21" t="str">
        <f aca="false">IF(OR(E624="",E624="!!!"),"",IF(NOT(ISNA(VLOOKUP(E624,Q$1:Q615,1,FALSE()))),"OLD",IF(AND(E624&lt;&gt;"",E624&lt;&gt;"!!!"),"NEW","")))</f>
        <v/>
      </c>
      <c r="G624" s="22" t="str">
        <f aca="false">IF(OR(E624="",E624="!!!"),"",IF(OR(J624=0,AND(J624=1,K624=1),AND(J624=1,I624="SBJ"),AND(J624=1,I624=0)),"?IN_FOCUS",IF(J624&lt;=2,"?ACTIVATED",IF(J624&lt;&gt;"","?FAMILIAR",IF(F624="NEW",IF(ISNA(VLOOKUP(E624,#REF!,1,FALSE())),"?TYPE_IDENTIFIABLE","?REFERENTIAL"),"_")))))</f>
        <v/>
      </c>
      <c r="H624" s="23" t="str">
        <f aca="false">IF(J624&lt;&gt;1,"",IF(I624="SBJ","CB","?"))</f>
        <v/>
      </c>
      <c r="I624" s="24" t="str">
        <f aca="false">IF(OR(E624="",E624="!!!",F624="NEW"),"",INDEX(N$2:N615,-1+SUMPRODUCT(MAX(ROW(E$2:E615)*(E624=E$2:E615)))))</f>
        <v/>
      </c>
      <c r="J624" s="25" t="str">
        <f aca="true">IF(OR(E624="",E624="!!!",F624="NEW"),"",COUNTBLANK(OFFSET(M$1,,,SUMPRODUCT(MAX(ROW(E$2:E616)*(E624=E$2:E616)))))-COUNTBLANK(OFFSET(M$1,,,SUMPRODUCT(MAX(ROW(Q$1:Q615)*(E624=Q$1:Q615))))))</f>
        <v/>
      </c>
      <c r="K624" s="25" t="str">
        <f aca="false">IF(OR(E624="",E624="!!!",F624="NEW"),"",INDEX(V$1:V615,SUMPRODUCT(MAX(ROW(Q$1:Q615)*(E624=Q$1:Q615)))))</f>
        <v/>
      </c>
      <c r="L624" s="26"/>
      <c r="M624" s="27"/>
    </row>
    <row r="625" customFormat="false" ht="15" hidden="false" customHeight="false" outlineLevel="0" collapsed="false">
      <c r="A625" s="19" t="s">
        <v>574</v>
      </c>
      <c r="E625" s="20" t="str">
        <f aca="false">IF(P625="?OLD","!!!","")</f>
        <v/>
      </c>
      <c r="F625" s="21" t="str">
        <f aca="false">IF(OR(E625="",E625="!!!"),"",IF(NOT(ISNA(VLOOKUP(E625,Q$1:Q616,1,FALSE()))),"OLD",IF(AND(E625&lt;&gt;"",E625&lt;&gt;"!!!"),"NEW","")))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4" t="str">
        <f aca="false">IF(OR(E625="",E625="!!!",F625="NEW"),"",INDEX(N$2:N616,-1+SUMPRODUCT(MAX(ROW(E$2:E616)*(E625=E$2:E616)))))</f>
        <v/>
      </c>
      <c r="J625" s="25" t="str">
        <f aca="true">IF(OR(E625="",E625="!!!",F625="NEW"),"",COUNTBLANK(OFFSET(M$1,,,SUMPRODUCT(MAX(ROW(E$2:E617)*(E625=E$2:E617)))))-COUNTBLANK(OFFSET(M$1,,,SUMPRODUCT(MAX(ROW(Q$1:Q616)*(E625=Q$1:Q616))))))</f>
        <v/>
      </c>
      <c r="K625" s="25" t="str">
        <f aca="false">IF(OR(E625="",E625="!!!",F625="NEW"),"",INDEX(V$1:V616,SUMPRODUCT(MAX(ROW(Q$1:Q616)*(E625=Q$1:Q616)))))</f>
        <v/>
      </c>
      <c r="L625" s="26"/>
      <c r="M625" s="27"/>
    </row>
    <row r="626" customFormat="false" ht="15" hidden="false" customHeight="false" outlineLevel="0" collapsed="false">
      <c r="A626" s="19" t="s">
        <v>575</v>
      </c>
      <c r="E626" s="20" t="str">
        <f aca="false">IF(P626="?OLD","!!!","")</f>
        <v/>
      </c>
      <c r="F626" s="21" t="str">
        <f aca="false">IF(OR(E626="",E626="!!!"),"",IF(NOT(ISNA(VLOOKUP(E626,Q$1:Q617,1,FALSE()))),"OLD",IF(AND(E626&lt;&gt;"",E626&lt;&gt;"!!!"),"NEW","")))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4" t="str">
        <f aca="false">IF(OR(E626="",E626="!!!",F626="NEW"),"",INDEX(N$2:N617,-1+SUMPRODUCT(MAX(ROW(E$2:E617)*(E626=E$2:E617)))))</f>
        <v/>
      </c>
      <c r="J626" s="25" t="str">
        <f aca="true">IF(OR(E626="",E626="!!!",F626="NEW"),"",COUNTBLANK(OFFSET(M$1,,,SUMPRODUCT(MAX(ROW(E$2:E618)*(E626=E$2:E618)))))-COUNTBLANK(OFFSET(M$1,,,SUMPRODUCT(MAX(ROW(Q$1:Q617)*(E626=Q$1:Q617))))))</f>
        <v/>
      </c>
      <c r="K626" s="25" t="str">
        <f aca="false">IF(OR(E626="",E626="!!!",F626="NEW"),"",INDEX(V$1:V617,SUMPRODUCT(MAX(ROW(Q$1:Q617)*(E626=Q$1:Q617)))))</f>
        <v/>
      </c>
      <c r="L626" s="26"/>
      <c r="M626" s="27"/>
    </row>
    <row r="627" customFormat="false" ht="15" hidden="false" customHeight="false" outlineLevel="0" collapsed="false">
      <c r="A627" s="19" t="s">
        <v>552</v>
      </c>
      <c r="B627" s="28" t="s">
        <v>286</v>
      </c>
      <c r="C627" s="28" t="s">
        <v>264</v>
      </c>
      <c r="D627" s="28" t="s">
        <v>253</v>
      </c>
      <c r="E627" s="20" t="s">
        <v>546</v>
      </c>
      <c r="F627" s="21" t="str">
        <f aca="false">IF(OR(E627="",E627="!!!"),"",IF(NOT(ISNA(VLOOKUP(E627,Q$1:Q618,1,FALSE()))),"OLD",IF(AND(E627&lt;&gt;"",E627&lt;&gt;"!!!"),"NEW","")))</f>
        <v>NEW</v>
      </c>
      <c r="G627" s="22" t="s">
        <v>296</v>
      </c>
      <c r="H627" s="23" t="str">
        <f aca="false">IF(J627&lt;&gt;1,"",IF(I627="SBJ","CB","?"))</f>
        <v/>
      </c>
      <c r="I627" s="24" t="str">
        <f aca="false">IF(OR(E627="",E627="!!!",F627="NEW"),"",INDEX(N$2:N618,-1+SUMPRODUCT(MAX(ROW(E$2:E618)*(E627=E$2:E618)))))</f>
        <v/>
      </c>
      <c r="J627" s="25" t="str">
        <f aca="true">IF(OR(E627="",E627="!!!",F627="NEW"),"",COUNTBLANK(OFFSET(M$1,,,SUMPRODUCT(MAX(ROW(E$2:E619)*(E627=E$2:E619)))))-COUNTBLANK(OFFSET(M$1,,,SUMPRODUCT(MAX(ROW(Q$1:Q618)*(E627=Q$1:Q618))))))</f>
        <v/>
      </c>
      <c r="K627" s="25" t="str">
        <f aca="false">IF(OR(E627="",E627="!!!",F627="NEW"),"",INDEX(V$1:V618,SUMPRODUCT(MAX(ROW(Q$1:Q618)*(E627=Q$1:Q618)))))</f>
        <v/>
      </c>
      <c r="L627" s="26"/>
      <c r="M627" s="27"/>
      <c r="N627" s="29"/>
      <c r="O627" s="29"/>
      <c r="P627" s="29"/>
    </row>
    <row r="628" customFormat="false" ht="15" hidden="false" customHeight="false" outlineLevel="0" collapsed="false">
      <c r="A628" s="19" t="s">
        <v>280</v>
      </c>
      <c r="E628" s="20" t="str">
        <f aca="false">IF(P628="?OLD","!!!","")</f>
        <v/>
      </c>
      <c r="F628" s="21" t="str">
        <f aca="false">IF(OR(E628="",E628="!!!"),"",IF(NOT(ISNA(VLOOKUP(E628,Q$1:Q619,1,FALSE()))),"OLD",IF(AND(E628&lt;&gt;"",E628&lt;&gt;"!!!"),"NEW","")))</f>
        <v/>
      </c>
      <c r="G628" s="22" t="str">
        <f aca="false">IF(OR(E628="",E628="!!!"),"",IF(OR(J628=0,AND(J628=1,K628=1),AND(J628=1,I628="SBJ"),AND(J628=1,I628=0)),"?IN_FOCUS",IF(J628&lt;=2,"?ACTIVATED",IF(J628&lt;&gt;"","?FAMILIAR",IF(F628="NEW",IF(ISNA(VLOOKUP(E628,#REF!,1,FALSE())),"?TYPE_IDENTIFIABLE","?REFERENTIAL"),"_")))))</f>
        <v/>
      </c>
      <c r="H628" s="23" t="str">
        <f aca="false">IF(J628&lt;&gt;1,"",IF(I628="SBJ","CB","?"))</f>
        <v/>
      </c>
      <c r="I628" s="24" t="str">
        <f aca="false">IF(OR(E628="",E628="!!!",F628="NEW"),"",INDEX(N$2:N619,-1+SUMPRODUCT(MAX(ROW(E$2:E619)*(E628=E$2:E619)))))</f>
        <v/>
      </c>
      <c r="J628" s="25" t="str">
        <f aca="true">IF(OR(E628="",E628="!!!",F628="NEW"),"",COUNTBLANK(OFFSET(M$1,,,SUMPRODUCT(MAX(ROW(E$2:E620)*(E628=E$2:E620)))))-COUNTBLANK(OFFSET(M$1,,,SUMPRODUCT(MAX(ROW(Q$1:Q619)*(E628=Q$1:Q619))))))</f>
        <v/>
      </c>
      <c r="K628" s="25" t="str">
        <f aca="false">IF(OR(E628="",E628="!!!",F628="NEW"),"",INDEX(V$1:V619,SUMPRODUCT(MAX(ROW(Q$1:Q619)*(E628=Q$1:Q619)))))</f>
        <v/>
      </c>
      <c r="L628" s="26"/>
      <c r="M628" s="27"/>
    </row>
    <row r="629" customFormat="false" ht="15" hidden="false" customHeight="false" outlineLevel="0" collapsed="false">
      <c r="A629" s="19" t="s">
        <v>250</v>
      </c>
      <c r="E629" s="20" t="str">
        <f aca="false">IF(P629="?OLD","!!!","")</f>
        <v/>
      </c>
      <c r="F629" s="21" t="str">
        <f aca="false">IF(OR(E629="",E629="!!!"),"",IF(NOT(ISNA(VLOOKUP(E629,Q$1:Q620,1,FALSE()))),"OLD",IF(AND(E629&lt;&gt;"",E629&lt;&gt;"!!!"),"NEW","")))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4" t="str">
        <f aca="false">IF(OR(E629="",E629="!!!",F629="NEW"),"",INDEX(N$2:N620,-1+SUMPRODUCT(MAX(ROW(E$2:E620)*(E629=E$2:E620)))))</f>
        <v/>
      </c>
      <c r="J629" s="25" t="str">
        <f aca="true">IF(OR(E629="",E629="!!!",F629="NEW"),"",COUNTBLANK(OFFSET(M$1,,,SUMPRODUCT(MAX(ROW(E$2:E621)*(E629=E$2:E621)))))-COUNTBLANK(OFFSET(M$1,,,SUMPRODUCT(MAX(ROW(Q$1:Q620)*(E629=Q$1:Q620))))))</f>
        <v/>
      </c>
      <c r="K629" s="25" t="str">
        <f aca="false">IF(OR(E629="",E629="!!!",F629="NEW"),"",INDEX(V$1:V620,SUMPRODUCT(MAX(ROW(Q$1:Q620)*(E629=Q$1:Q620)))))</f>
        <v/>
      </c>
      <c r="L629" s="26"/>
      <c r="M629" s="27"/>
    </row>
    <row r="630" customFormat="false" ht="15" hidden="false" customHeight="false" outlineLevel="0" collapsed="false">
      <c r="A630" s="19" t="s">
        <v>576</v>
      </c>
      <c r="B630" s="28" t="s">
        <v>306</v>
      </c>
      <c r="C630" s="28" t="s">
        <v>252</v>
      </c>
      <c r="D630" s="28" t="s">
        <v>253</v>
      </c>
      <c r="E630" s="20" t="s">
        <v>577</v>
      </c>
      <c r="F630" s="21" t="str">
        <f aca="false">IF(OR(E630="",E630="!!!"),"",IF(NOT(ISNA(VLOOKUP(E630,Q$1:Q621,1,FALSE()))),"OLD",IF(AND(E630&lt;&gt;"",E630&lt;&gt;"!!!"),"NEW","")))</f>
        <v>NEW</v>
      </c>
      <c r="G630" s="22" t="s">
        <v>255</v>
      </c>
      <c r="H630" s="23" t="str">
        <f aca="false">IF(J630&lt;&gt;1,"",IF(I630="SBJ","CB","?"))</f>
        <v/>
      </c>
      <c r="I630" s="24" t="str">
        <f aca="false">IF(OR(E630="",E630="!!!",F630="NEW"),"",INDEX(N$2:N621,-1+SUMPRODUCT(MAX(ROW(E$2:E621)*(E630=E$2:E621)))))</f>
        <v/>
      </c>
      <c r="J630" s="25" t="str">
        <f aca="true">IF(OR(E630="",E630="!!!",F630="NEW"),"",COUNTBLANK(OFFSET(M$1,,,SUMPRODUCT(MAX(ROW(E$2:E622)*(E630=E$2:E622)))))-COUNTBLANK(OFFSET(M$1,,,SUMPRODUCT(MAX(ROW(Q$1:Q621)*(E630=Q$1:Q621))))))</f>
        <v/>
      </c>
      <c r="K630" s="25" t="str">
        <f aca="false">IF(OR(E630="",E630="!!!",F630="NEW"),"",INDEX(V$1:V621,SUMPRODUCT(MAX(ROW(Q$1:Q621)*(E630=Q$1:Q621)))))</f>
        <v/>
      </c>
      <c r="L630" s="26"/>
      <c r="M630" s="27"/>
      <c r="N630" s="29"/>
      <c r="O630" s="29"/>
      <c r="P630" s="29"/>
    </row>
    <row r="631" customFormat="false" ht="15" hidden="false" customHeight="false" outlineLevel="0" collapsed="false">
      <c r="A631" s="19" t="s">
        <v>256</v>
      </c>
      <c r="E631" s="20" t="str">
        <f aca="false">IF(P631="?OLD","!!!","")</f>
        <v/>
      </c>
      <c r="F631" s="21" t="str">
        <f aca="false">IF(OR(E631="",E631="!!!"),"",IF(NOT(ISNA(VLOOKUP(E631,Q$1:Q622,1,FALSE()))),"OLD",IF(AND(E631&lt;&gt;"",E631&lt;&gt;"!!!"),"NEW","")))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IF(OR(E631="",E631="!!!",F631="NEW"),"",INDEX(N$2:N622,-1+SUMPRODUCT(MAX(ROW(E$2:E622)*(E631=E$2:E622)))))</f>
        <v/>
      </c>
      <c r="J631" s="25" t="str">
        <f aca="true">IF(OR(E631="",E631="!!!",F631="NEW"),"",COUNTBLANK(OFFSET(M$1,,,SUMPRODUCT(MAX(ROW(E$2:E623)*(E631=E$2:E623)))))-COUNTBLANK(OFFSET(M$1,,,SUMPRODUCT(MAX(ROW(Q$1:Q622)*(E631=Q$1:Q622))))))</f>
        <v/>
      </c>
      <c r="K631" s="25" t="str">
        <f aca="false">IF(OR(E631="",E631="!!!",F631="NEW"),"",INDEX(V$1:V622,SUMPRODUCT(MAX(ROW(Q$1:Q622)*(E631=Q$1:Q622)))))</f>
        <v/>
      </c>
      <c r="L631" s="26"/>
      <c r="M631" s="27"/>
    </row>
    <row r="632" customFormat="false" ht="15" hidden="false" customHeight="false" outlineLevel="0" collapsed="false">
      <c r="A632" s="19" t="s">
        <v>578</v>
      </c>
      <c r="B632" s="28" t="s">
        <v>258</v>
      </c>
      <c r="C632" s="28" t="s">
        <v>259</v>
      </c>
      <c r="E632" s="20" t="str">
        <f aca="false">IF(P632="?OLD","!!!","")</f>
        <v/>
      </c>
      <c r="F632" s="21" t="str">
        <f aca="false">IF(OR(E632="",E632="!!!"),"",IF(NOT(ISNA(VLOOKUP(E632,Q$1:Q623,1,FALSE()))),"OLD",IF(AND(E632&lt;&gt;"",E632&lt;&gt;"!!!"),"NEW","")))</f>
        <v/>
      </c>
      <c r="G632" s="22" t="str">
        <f aca="false">IF(OR(E632="",E632="!!!"),"",IF(OR(J632=0,AND(J632=1,K632=1),AND(J632=1,I632="SBJ"),AND(J632=1,I632=0)),"?IN_FOCUS",IF(J632&lt;=2,"?ACTIVATED",IF(J632&lt;&gt;"","?FAMILIAR",IF(F632="NEW",IF(ISNA(VLOOKUP(E632,#REF!,1,FALSE())),"?TYPE_IDENTIFIABLE","?REFERENTIAL"),"_")))))</f>
        <v/>
      </c>
      <c r="H632" s="23" t="str">
        <f aca="false">IF(J632&lt;&gt;1,"",IF(I632="SBJ","CB","?"))</f>
        <v/>
      </c>
      <c r="I632" s="24" t="str">
        <f aca="false">IF(OR(E632="",E632="!!!",F632="NEW"),"",INDEX(N$2:N623,-1+SUMPRODUCT(MAX(ROW(E$2:E623)*(E632=E$2:E623)))))</f>
        <v/>
      </c>
      <c r="J632" s="25" t="str">
        <f aca="true">IF(OR(E632="",E632="!!!",F632="NEW"),"",COUNTBLANK(OFFSET(M$1,,,SUMPRODUCT(MAX(ROW(E$2:E624)*(E632=E$2:E624)))))-COUNTBLANK(OFFSET(M$1,,,SUMPRODUCT(MAX(ROW(Q$1:Q623)*(E632=Q$1:Q623))))))</f>
        <v/>
      </c>
      <c r="K632" s="25" t="str">
        <f aca="false">IF(OR(E632="",E632="!!!",F632="NEW"),"",INDEX(V$1:V623,SUMPRODUCT(MAX(ROW(Q$1:Q623)*(E632=Q$1:Q623)))))</f>
        <v/>
      </c>
      <c r="L632" s="26"/>
      <c r="M632" s="27"/>
      <c r="N632" s="29"/>
      <c r="O632" s="29"/>
    </row>
    <row r="633" customFormat="false" ht="15" hidden="false" customHeight="false" outlineLevel="0" collapsed="false">
      <c r="A633" s="19" t="s">
        <v>261</v>
      </c>
      <c r="E633" s="20" t="str">
        <f aca="false">IF(P633="?OLD","!!!","")</f>
        <v/>
      </c>
      <c r="F633" s="21" t="str">
        <f aca="false">IF(OR(E633="",E633="!!!"),"",IF(NOT(ISNA(VLOOKUP(E633,Q$1:Q624,1,FALSE()))),"OLD",IF(AND(E633&lt;&gt;"",E633&lt;&gt;"!!!"),"NEW","")))</f>
        <v/>
      </c>
      <c r="G633" s="22" t="str">
        <f aca="false">IF(OR(E633="",E633="!!!"),"",IF(OR(J633=0,AND(J633=1,K633=1),AND(J633=1,I633="SBJ"),AND(J633=1,I633=0)),"?IN_FOCUS",IF(J633&lt;=2,"?ACTIVATED",IF(J633&lt;&gt;"","?FAMILIAR",IF(F633="NEW",IF(ISNA(VLOOKUP(E633,#REF!,1,FALSE())),"?TYPE_IDENTIFIABLE","?REFERENTIAL"),"_")))))</f>
        <v/>
      </c>
      <c r="H633" s="23" t="str">
        <f aca="false">IF(J633&lt;&gt;1,"",IF(I633="SBJ","CB","?"))</f>
        <v/>
      </c>
      <c r="I633" s="24" t="str">
        <f aca="false">IF(OR(E633="",E633="!!!",F633="NEW"),"",INDEX(N$2:N624,-1+SUMPRODUCT(MAX(ROW(E$2:E624)*(E633=E$2:E624)))))</f>
        <v/>
      </c>
      <c r="J633" s="25" t="str">
        <f aca="true">IF(OR(E633="",E633="!!!",F633="NEW"),"",COUNTBLANK(OFFSET(M$1,,,SUMPRODUCT(MAX(ROW(E$2:E625)*(E633=E$2:E625)))))-COUNTBLANK(OFFSET(M$1,,,SUMPRODUCT(MAX(ROW(Q$1:Q624)*(E633=Q$1:Q624))))))</f>
        <v/>
      </c>
      <c r="K633" s="25" t="str">
        <f aca="false">IF(OR(E633="",E633="!!!",F633="NEW"),"",INDEX(V$1:V624,SUMPRODUCT(MAX(ROW(Q$1:Q624)*(E633=Q$1:Q624)))))</f>
        <v/>
      </c>
      <c r="L633" s="26"/>
      <c r="M633" s="27"/>
    </row>
    <row r="634" customFormat="false" ht="15" hidden="false" customHeight="false" outlineLevel="0" collapsed="false">
      <c r="A634" s="19" t="s">
        <v>352</v>
      </c>
      <c r="E634" s="20" t="str">
        <f aca="false">IF(P634="?OLD","!!!","")</f>
        <v/>
      </c>
      <c r="F634" s="21" t="str">
        <f aca="false">IF(OR(E634="",E634="!!!"),"",IF(NOT(ISNA(VLOOKUP(E634,Q$1:Q625,1,FALSE()))),"OLD",IF(AND(E634&lt;&gt;"",E634&lt;&gt;"!!!"),"NEW","")))</f>
        <v/>
      </c>
      <c r="G634" s="22" t="str">
        <f aca="false">IF(OR(E634="",E634="!!!"),"",IF(OR(J634=0,AND(J634=1,K634=1),AND(J634=1,I634="SBJ"),AND(J634=1,I634=0)),"?IN_FOCUS",IF(J634&lt;=2,"?ACTIVATED",IF(J634&lt;&gt;"","?FAMILIAR",IF(F634="NEW",IF(ISNA(VLOOKUP(E634,#REF!,1,FALSE())),"?TYPE_IDENTIFIABLE","?REFERENTIAL"),"_")))))</f>
        <v/>
      </c>
      <c r="H634" s="23" t="str">
        <f aca="false">IF(J634&lt;&gt;1,"",IF(I634="SBJ","CB","?"))</f>
        <v/>
      </c>
      <c r="I634" s="24" t="str">
        <f aca="false">IF(OR(E634="",E634="!!!",F634="NEW"),"",INDEX(N$2:N625,-1+SUMPRODUCT(MAX(ROW(E$2:E625)*(E634=E$2:E625)))))</f>
        <v/>
      </c>
      <c r="J634" s="25" t="str">
        <f aca="true">IF(OR(E634="",E634="!!!",F634="NEW"),"",COUNTBLANK(OFFSET(M$1,,,SUMPRODUCT(MAX(ROW(E$2:E626)*(E634=E$2:E626)))))-COUNTBLANK(OFFSET(M$1,,,SUMPRODUCT(MAX(ROW(Q$1:Q625)*(E634=Q$1:Q625))))))</f>
        <v/>
      </c>
      <c r="K634" s="25" t="str">
        <f aca="false">IF(OR(E634="",E634="!!!",F634="NEW"),"",INDEX(V$1:V625,SUMPRODUCT(MAX(ROW(Q$1:Q625)*(E634=Q$1:Q625)))))</f>
        <v/>
      </c>
      <c r="L634" s="26"/>
      <c r="M634" s="27"/>
    </row>
    <row r="635" customFormat="false" ht="15" hidden="false" customHeight="false" outlineLevel="0" collapsed="false">
      <c r="A635" s="19" t="s">
        <v>295</v>
      </c>
      <c r="E635" s="20" t="str">
        <f aca="false">IF(P635="?OLD","!!!","")</f>
        <v/>
      </c>
      <c r="F635" s="21" t="str">
        <f aca="false">IF(OR(E635="",E635="!!!"),"",IF(NOT(ISNA(VLOOKUP(E635,Q$1:Q626,1,FALSE()))),"OLD",IF(AND(E635&lt;&gt;"",E635&lt;&gt;"!!!"),"NEW","")))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4" t="str">
        <f aca="false">IF(OR(E635="",E635="!!!",F635="NEW"),"",INDEX(N$2:N626,-1+SUMPRODUCT(MAX(ROW(E$2:E626)*(E635=E$2:E626)))))</f>
        <v/>
      </c>
      <c r="J635" s="25" t="str">
        <f aca="true">IF(OR(E635="",E635="!!!",F635="NEW"),"",COUNTBLANK(OFFSET(M$1,,,SUMPRODUCT(MAX(ROW(E$2:E627)*(E635=E$2:E627)))))-COUNTBLANK(OFFSET(M$1,,,SUMPRODUCT(MAX(ROW(Q$1:Q626)*(E635=Q$1:Q626))))))</f>
        <v/>
      </c>
      <c r="K635" s="25" t="str">
        <f aca="false">IF(OR(E635="",E635="!!!",F635="NEW"),"",INDEX(V$1:V626,SUMPRODUCT(MAX(ROW(Q$1:Q626)*(E635=Q$1:Q626)))))</f>
        <v/>
      </c>
      <c r="L635" s="26"/>
      <c r="M635" s="27"/>
    </row>
    <row r="636" customFormat="false" ht="15" hidden="false" customHeight="false" outlineLevel="0" collapsed="false">
      <c r="A636" s="19" t="s">
        <v>346</v>
      </c>
      <c r="E636" s="20" t="str">
        <f aca="false">IF(P636="?OLD","!!!","")</f>
        <v/>
      </c>
      <c r="F636" s="21" t="str">
        <f aca="false">IF(OR(E636="",E636="!!!"),"",IF(NOT(ISNA(VLOOKUP(E636,Q$1:Q627,1,FALSE()))),"OLD",IF(AND(E636&lt;&gt;"",E636&lt;&gt;"!!!"),"NEW","")))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IF(OR(E636="",E636="!!!",F636="NEW"),"",INDEX(N$2:N627,-1+SUMPRODUCT(MAX(ROW(E$2:E627)*(E636=E$2:E627)))))</f>
        <v/>
      </c>
      <c r="J636" s="25" t="str">
        <f aca="true">IF(OR(E636="",E636="!!!",F636="NEW"),"",COUNTBLANK(OFFSET(M$1,,,SUMPRODUCT(MAX(ROW(E$2:E628)*(E636=E$2:E628)))))-COUNTBLANK(OFFSET(M$1,,,SUMPRODUCT(MAX(ROW(Q$1:Q627)*(E636=Q$1:Q627))))))</f>
        <v/>
      </c>
      <c r="K636" s="25" t="str">
        <f aca="false">IF(OR(E636="",E636="!!!",F636="NEW"),"",INDEX(V$1:V627,SUMPRODUCT(MAX(ROW(Q$1:Q627)*(E636=Q$1:Q627)))))</f>
        <v/>
      </c>
      <c r="L636" s="26"/>
      <c r="M636" s="27"/>
    </row>
    <row r="637" customFormat="false" ht="15" hidden="false" customHeight="false" outlineLevel="0" collapsed="false">
      <c r="A637" s="19" t="s">
        <v>579</v>
      </c>
      <c r="E637" s="20" t="str">
        <f aca="false">IF(P637="?OLD","!!!","")</f>
        <v/>
      </c>
      <c r="F637" s="21" t="str">
        <f aca="false">IF(OR(E637="",E637="!!!"),"",IF(NOT(ISNA(VLOOKUP(E637,Q$1:Q628,1,FALSE()))),"OLD",IF(AND(E637&lt;&gt;"",E637&lt;&gt;"!!!"),"NEW","")))</f>
        <v/>
      </c>
      <c r="G637" s="22" t="str">
        <f aca="false">IF(OR(E637="",E637="!!!"),"",IF(OR(J637=0,AND(J637=1,K637=1),AND(J637=1,I637="SBJ"),AND(J637=1,I637=0)),"?IN_FOCUS",IF(J637&lt;=2,"?ACTIVATED",IF(J637&lt;&gt;"","?FAMILIAR",IF(F637="NEW",IF(ISNA(VLOOKUP(E637,#REF!,1,FALSE())),"?TYPE_IDENTIFIABLE","?REFERENTIAL"),"_")))))</f>
        <v/>
      </c>
      <c r="H637" s="23" t="str">
        <f aca="false">IF(J637&lt;&gt;1,"",IF(I637="SBJ","CB","?"))</f>
        <v/>
      </c>
      <c r="I637" s="24" t="str">
        <f aca="false">IF(OR(E637="",E637="!!!",F637="NEW"),"",INDEX(N$2:N628,-1+SUMPRODUCT(MAX(ROW(E$2:E628)*(E637=E$2:E628)))))</f>
        <v/>
      </c>
      <c r="J637" s="25" t="str">
        <f aca="true">IF(OR(E637="",E637="!!!",F637="NEW"),"",COUNTBLANK(OFFSET(M$1,,,SUMPRODUCT(MAX(ROW(E$2:E629)*(E637=E$2:E629)))))-COUNTBLANK(OFFSET(M$1,,,SUMPRODUCT(MAX(ROW(Q$1:Q628)*(E637=Q$1:Q628))))))</f>
        <v/>
      </c>
      <c r="K637" s="25" t="str">
        <f aca="false">IF(OR(E637="",E637="!!!",F637="NEW"),"",INDEX(V$1:V628,SUMPRODUCT(MAX(ROW(Q$1:Q628)*(E637=Q$1:Q628)))))</f>
        <v/>
      </c>
      <c r="L637" s="26"/>
      <c r="M637" s="27"/>
    </row>
    <row r="638" customFormat="false" ht="15" hidden="false" customHeight="false" outlineLevel="0" collapsed="false">
      <c r="A638" s="19" t="s">
        <v>580</v>
      </c>
      <c r="E638" s="20" t="str">
        <f aca="false">IF(P638="?OLD","!!!","")</f>
        <v/>
      </c>
      <c r="F638" s="21" t="str">
        <f aca="false">IF(OR(E638="",E638="!!!"),"",IF(NOT(ISNA(VLOOKUP(E638,Q$1:Q629,1,FALSE()))),"OLD",IF(AND(E638&lt;&gt;"",E638&lt;&gt;"!!!"),"NEW","")))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IF(OR(E638="",E638="!!!",F638="NEW"),"",INDEX(N$2:N629,-1+SUMPRODUCT(MAX(ROW(E$2:E629)*(E638=E$2:E629)))))</f>
        <v/>
      </c>
      <c r="J638" s="25" t="str">
        <f aca="true">IF(OR(E638="",E638="!!!",F638="NEW"),"",COUNTBLANK(OFFSET(M$1,,,SUMPRODUCT(MAX(ROW(E$2:E630)*(E638=E$2:E630)))))-COUNTBLANK(OFFSET(M$1,,,SUMPRODUCT(MAX(ROW(Q$1:Q629)*(E638=Q$1:Q629))))))</f>
        <v/>
      </c>
      <c r="K638" s="25" t="str">
        <f aca="false">IF(OR(E638="",E638="!!!",F638="NEW"),"",INDEX(V$1:V629,SUMPRODUCT(MAX(ROW(Q$1:Q629)*(E638=Q$1:Q629)))))</f>
        <v/>
      </c>
      <c r="L638" s="26"/>
      <c r="M638" s="27"/>
    </row>
    <row r="639" customFormat="false" ht="15" hidden="false" customHeight="false" outlineLevel="0" collapsed="false">
      <c r="A639" s="19" t="s">
        <v>482</v>
      </c>
      <c r="E639" s="20" t="str">
        <f aca="false">IF(P639="?OLD","!!!","")</f>
        <v/>
      </c>
      <c r="F639" s="21" t="str">
        <f aca="false">IF(OR(E639="",E639="!!!"),"",IF(NOT(ISNA(VLOOKUP(E639,Q$1:Q630,1,FALSE()))),"OLD",IF(AND(E639&lt;&gt;"",E639&lt;&gt;"!!!"),"NEW","")))</f>
        <v/>
      </c>
      <c r="G639" s="22" t="str">
        <f aca="false">IF(OR(E639="",E639="!!!"),"",IF(OR(J639=0,AND(J639=1,K639=1),AND(J639=1,I639="SBJ"),AND(J639=1,I639=0)),"?IN_FOCUS",IF(J639&lt;=2,"?ACTIVATED",IF(J639&lt;&gt;"","?FAMILIAR",IF(F639="NEW",IF(ISNA(VLOOKUP(E639,#REF!,1,FALSE())),"?TYPE_IDENTIFIABLE","?REFERENTIAL"),"_")))))</f>
        <v/>
      </c>
      <c r="H639" s="23" t="str">
        <f aca="false">IF(J639&lt;&gt;1,"",IF(I639="SBJ","CB","?"))</f>
        <v/>
      </c>
      <c r="I639" s="24" t="str">
        <f aca="false">IF(OR(E639="",E639="!!!",F639="NEW"),"",INDEX(N$2:N630,-1+SUMPRODUCT(MAX(ROW(E$2:E630)*(E639=E$2:E630)))))</f>
        <v/>
      </c>
      <c r="J639" s="25" t="str">
        <f aca="true">IF(OR(E639="",E639="!!!",F639="NEW"),"",COUNTBLANK(OFFSET(M$1,,,SUMPRODUCT(MAX(ROW(E$2:E631)*(E639=E$2:E631)))))-COUNTBLANK(OFFSET(M$1,,,SUMPRODUCT(MAX(ROW(Q$1:Q630)*(E639=Q$1:Q630))))))</f>
        <v/>
      </c>
      <c r="K639" s="25" t="str">
        <f aca="false">IF(OR(E639="",E639="!!!",F639="NEW"),"",INDEX(V$1:V630,SUMPRODUCT(MAX(ROW(Q$1:Q630)*(E639=Q$1:Q630)))))</f>
        <v/>
      </c>
      <c r="L639" s="26"/>
      <c r="M639" s="27"/>
    </row>
    <row r="640" customFormat="false" ht="15" hidden="false" customHeight="false" outlineLevel="0" collapsed="false">
      <c r="A640" s="19" t="s">
        <v>581</v>
      </c>
      <c r="B640" s="28" t="s">
        <v>324</v>
      </c>
      <c r="C640" s="28" t="s">
        <v>264</v>
      </c>
      <c r="D640" s="28" t="s">
        <v>253</v>
      </c>
      <c r="E640" s="20" t="s">
        <v>546</v>
      </c>
      <c r="F640" s="21" t="str">
        <f aca="false">IF(OR(E640="",E640="!!!"),"",IF(NOT(ISNA(VLOOKUP(E640,Q$1:Q631,1,FALSE()))),"OLD",IF(AND(E640&lt;&gt;"",E640&lt;&gt;"!!!"),"NEW","")))</f>
        <v>NEW</v>
      </c>
      <c r="G640" s="22" t="s">
        <v>296</v>
      </c>
      <c r="H640" s="23" t="str">
        <f aca="false">IF(J640&lt;&gt;1,"",IF(I640="SBJ","CB","?"))</f>
        <v/>
      </c>
      <c r="I640" s="24" t="str">
        <f aca="false">IF(OR(E640="",E640="!!!",F640="NEW"),"",INDEX(N$2:N631,-1+SUMPRODUCT(MAX(ROW(E$2:E631)*(E640=E$2:E631)))))</f>
        <v/>
      </c>
      <c r="J640" s="25" t="str">
        <f aca="true">IF(OR(E640="",E640="!!!",F640="NEW"),"",COUNTBLANK(OFFSET(M$1,,,SUMPRODUCT(MAX(ROW(E$2:E632)*(E640=E$2:E632)))))-COUNTBLANK(OFFSET(M$1,,,SUMPRODUCT(MAX(ROW(Q$1:Q631)*(E640=Q$1:Q631))))))</f>
        <v/>
      </c>
      <c r="K640" s="25" t="str">
        <f aca="false">IF(OR(E640="",E640="!!!",F640="NEW"),"",INDEX(V$1:V631,SUMPRODUCT(MAX(ROW(Q$1:Q631)*(E640=Q$1:Q631)))))</f>
        <v/>
      </c>
      <c r="L640" s="26"/>
      <c r="M640" s="27"/>
      <c r="N640" s="29"/>
      <c r="O640" s="29"/>
      <c r="P640" s="29"/>
    </row>
    <row r="641" customFormat="false" ht="15" hidden="false" customHeight="false" outlineLevel="0" collapsed="false">
      <c r="A641" s="19" t="s">
        <v>582</v>
      </c>
      <c r="E641" s="20" t="str">
        <f aca="false">IF(P641="?OLD","!!!","")</f>
        <v/>
      </c>
      <c r="F641" s="21" t="str">
        <f aca="false">IF(OR(E641="",E641="!!!"),"",IF(NOT(ISNA(VLOOKUP(E641,Q$1:Q632,1,FALSE()))),"OLD",IF(AND(E641&lt;&gt;"",E641&lt;&gt;"!!!"),"NEW","")))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IF(OR(E641="",E641="!!!",F641="NEW"),"",INDEX(N$2:N632,-1+SUMPRODUCT(MAX(ROW(E$2:E632)*(E641=E$2:E632)))))</f>
        <v/>
      </c>
      <c r="J641" s="25" t="str">
        <f aca="true">IF(OR(E641="",E641="!!!",F641="NEW"),"",COUNTBLANK(OFFSET(M$1,,,SUMPRODUCT(MAX(ROW(E$2:E633)*(E641=E$2:E633)))))-COUNTBLANK(OFFSET(M$1,,,SUMPRODUCT(MAX(ROW(Q$1:Q632)*(E641=Q$1:Q632))))))</f>
        <v/>
      </c>
      <c r="K641" s="25" t="str">
        <f aca="false">IF(OR(E641="",E641="!!!",F641="NEW"),"",INDEX(V$1:V632,SUMPRODUCT(MAX(ROW(Q$1:Q632)*(E641=Q$1:Q632)))))</f>
        <v/>
      </c>
      <c r="L641" s="26"/>
      <c r="M641" s="27"/>
    </row>
    <row r="642" customFormat="false" ht="15" hidden="false" customHeight="false" outlineLevel="0" collapsed="false">
      <c r="A642" s="19" t="s">
        <v>31</v>
      </c>
      <c r="E642" s="20" t="str">
        <f aca="false">IF(P642="?OLD","!!!","")</f>
        <v/>
      </c>
      <c r="F642" s="21" t="str">
        <f aca="false">IF(OR(E642="",E642="!!!"),"",IF(NOT(ISNA(VLOOKUP(E642,Q$1:Q633,1,FALSE()))),"OLD",IF(AND(E642&lt;&gt;"",E642&lt;&gt;"!!!"),"NEW","")))</f>
        <v/>
      </c>
      <c r="G642" s="22" t="str">
        <f aca="false">IF(OR(E642="",E642="!!!"),"",IF(OR(J642=0,AND(J642=1,K642=1),AND(J642=1,I642="SBJ"),AND(J642=1,I642=0)),"?IN_FOCUS",IF(J642&lt;=2,"?ACTIVATED",IF(J642&lt;&gt;"","?FAMILIAR",IF(F642="NEW",IF(ISNA(VLOOKUP(E642,#REF!,1,FALSE())),"?TYPE_IDENTIFIABLE","?REFERENTIAL"),"_")))))</f>
        <v/>
      </c>
      <c r="H642" s="23" t="str">
        <f aca="false">IF(J642&lt;&gt;1,"",IF(I642="SBJ","CB","?"))</f>
        <v/>
      </c>
      <c r="I642" s="24" t="str">
        <f aca="false">IF(OR(E642="",E642="!!!",F642="NEW"),"",INDEX(N$2:N633,-1+SUMPRODUCT(MAX(ROW(E$2:E633)*(E642=E$2:E633)))))</f>
        <v/>
      </c>
      <c r="J642" s="25" t="str">
        <f aca="true">IF(OR(E642="",E642="!!!",F642="NEW"),"",COUNTBLANK(OFFSET(M$1,,,SUMPRODUCT(MAX(ROW(E$2:E634)*(E642=E$2:E634)))))-COUNTBLANK(OFFSET(M$1,,,SUMPRODUCT(MAX(ROW(Q$1:Q633)*(E642=Q$1:Q633))))))</f>
        <v/>
      </c>
      <c r="K642" s="25" t="str">
        <f aca="false">IF(OR(E642="",E642="!!!",F642="NEW"),"",INDEX(V$1:V633,SUMPRODUCT(MAX(ROW(Q$1:Q633)*(E642=Q$1:Q633)))))</f>
        <v/>
      </c>
      <c r="L642" s="26"/>
      <c r="M642" s="27"/>
    </row>
    <row r="643" customFormat="false" ht="15" hidden="false" customHeight="false" outlineLevel="0" collapsed="false">
      <c r="A643" s="19" t="s">
        <v>583</v>
      </c>
      <c r="E643" s="20" t="str">
        <f aca="false">IF(P643="?OLD","!!!","")</f>
        <v/>
      </c>
      <c r="F643" s="21" t="str">
        <f aca="false">IF(OR(E643="",E643="!!!"),"",IF(NOT(ISNA(VLOOKUP(E643,Q$1:Q634,1,FALSE()))),"OLD",IF(AND(E643&lt;&gt;"",E643&lt;&gt;"!!!"),"NEW","")))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4" t="str">
        <f aca="false">IF(OR(E643="",E643="!!!",F643="NEW"),"",INDEX(N$2:N634,-1+SUMPRODUCT(MAX(ROW(E$2:E634)*(E643=E$2:E634)))))</f>
        <v/>
      </c>
      <c r="J643" s="25" t="str">
        <f aca="true">IF(OR(E643="",E643="!!!",F643="NEW"),"",COUNTBLANK(OFFSET(M$1,,,SUMPRODUCT(MAX(ROW(E$2:E635)*(E643=E$2:E635)))))-COUNTBLANK(OFFSET(M$1,,,SUMPRODUCT(MAX(ROW(Q$1:Q634)*(E643=Q$1:Q634))))))</f>
        <v/>
      </c>
      <c r="K643" s="25" t="str">
        <f aca="false">IF(OR(E643="",E643="!!!",F643="NEW"),"",INDEX(V$1:V634,SUMPRODUCT(MAX(ROW(Q$1:Q634)*(E643=Q$1:Q634)))))</f>
        <v/>
      </c>
      <c r="L643" s="26"/>
      <c r="M643" s="27"/>
    </row>
    <row r="644" customFormat="false" ht="15" hidden="false" customHeight="false" outlineLevel="0" collapsed="false">
      <c r="A644" s="19" t="s">
        <v>549</v>
      </c>
      <c r="E644" s="20" t="str">
        <f aca="false">IF(P644="?OLD","!!!","")</f>
        <v/>
      </c>
      <c r="F644" s="21" t="str">
        <f aca="false">IF(OR(E644="",E644="!!!"),"",IF(NOT(ISNA(VLOOKUP(E644,Q$1:Q635,1,FALSE()))),"OLD",IF(AND(E644&lt;&gt;"",E644&lt;&gt;"!!!"),"NEW","")))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IF(OR(E644="",E644="!!!",F644="NEW"),"",INDEX(N$2:N635,-1+SUMPRODUCT(MAX(ROW(E$2:E635)*(E644=E$2:E635)))))</f>
        <v/>
      </c>
      <c r="J644" s="25" t="str">
        <f aca="true">IF(OR(E644="",E644="!!!",F644="NEW"),"",COUNTBLANK(OFFSET(M$1,,,SUMPRODUCT(MAX(ROW(E$2:E636)*(E644=E$2:E636)))))-COUNTBLANK(OFFSET(M$1,,,SUMPRODUCT(MAX(ROW(Q$1:Q635)*(E644=Q$1:Q635))))))</f>
        <v/>
      </c>
      <c r="K644" s="25" t="str">
        <f aca="false">IF(OR(E644="",E644="!!!",F644="NEW"),"",INDEX(V$1:V635,SUMPRODUCT(MAX(ROW(Q$1:Q635)*(E644=Q$1:Q635)))))</f>
        <v/>
      </c>
      <c r="L644" s="26"/>
      <c r="M644" s="27"/>
    </row>
    <row r="645" customFormat="false" ht="15" hidden="false" customHeight="false" outlineLevel="0" collapsed="false">
      <c r="A645" s="19" t="s">
        <v>295</v>
      </c>
      <c r="B645" s="28" t="s">
        <v>258</v>
      </c>
      <c r="C645" s="28" t="s">
        <v>264</v>
      </c>
      <c r="D645" s="28" t="s">
        <v>253</v>
      </c>
      <c r="E645" s="20" t="s">
        <v>584</v>
      </c>
      <c r="F645" s="21" t="str">
        <f aca="false">IF(OR(E645="",E645="!!!"),"",IF(NOT(ISNA(VLOOKUP(E645,Q$1:Q636,1,FALSE()))),"OLD",IF(AND(E645&lt;&gt;"",E645&lt;&gt;"!!!"),"NEW","")))</f>
        <v>NEW</v>
      </c>
      <c r="G645" s="22" t="s">
        <v>255</v>
      </c>
      <c r="H645" s="23" t="str">
        <f aca="false">IF(J645&lt;&gt;1,"",IF(I645="SBJ","CB","?"))</f>
        <v/>
      </c>
      <c r="I645" s="24" t="str">
        <f aca="false">IF(OR(E645="",E645="!!!",F645="NEW"),"",INDEX(N$2:N636,-1+SUMPRODUCT(MAX(ROW(E$2:E636)*(E645=E$2:E636)))))</f>
        <v/>
      </c>
      <c r="J645" s="25" t="str">
        <f aca="true">IF(OR(E645="",E645="!!!",F645="NEW"),"",COUNTBLANK(OFFSET(M$1,,,SUMPRODUCT(MAX(ROW(E$2:E637)*(E645=E$2:E637)))))-COUNTBLANK(OFFSET(M$1,,,SUMPRODUCT(MAX(ROW(Q$1:Q636)*(E645=Q$1:Q636))))))</f>
        <v/>
      </c>
      <c r="K645" s="25" t="str">
        <f aca="false">IF(OR(E645="",E645="!!!",F645="NEW"),"",INDEX(V$1:V636,SUMPRODUCT(MAX(ROW(Q$1:Q636)*(E645=Q$1:Q636)))))</f>
        <v/>
      </c>
      <c r="L645" s="26"/>
      <c r="M645" s="27"/>
      <c r="N645" s="29"/>
      <c r="O645" s="29"/>
      <c r="P645" s="29"/>
    </row>
    <row r="646" customFormat="false" ht="15" hidden="false" customHeight="false" outlineLevel="0" collapsed="false">
      <c r="A646" s="19" t="s">
        <v>275</v>
      </c>
      <c r="E646" s="20" t="str">
        <f aca="false">IF(P646="?OLD","!!!","")</f>
        <v/>
      </c>
      <c r="F646" s="21" t="str">
        <f aca="false">IF(OR(E646="",E646="!!!"),"",IF(NOT(ISNA(VLOOKUP(E646,Q$1:Q637,1,FALSE()))),"OLD",IF(AND(E646&lt;&gt;"",E646&lt;&gt;"!!!"),"NEW","")))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4" t="str">
        <f aca="false">IF(OR(E646="",E646="!!!",F646="NEW"),"",INDEX(N$2:N637,-1+SUMPRODUCT(MAX(ROW(E$2:E637)*(E646=E$2:E637)))))</f>
        <v/>
      </c>
      <c r="J646" s="25" t="str">
        <f aca="true">IF(OR(E646="",E646="!!!",F646="NEW"),"",COUNTBLANK(OFFSET(M$1,,,SUMPRODUCT(MAX(ROW(E$2:E638)*(E646=E$2:E638)))))-COUNTBLANK(OFFSET(M$1,,,SUMPRODUCT(MAX(ROW(Q$1:Q637)*(E646=Q$1:Q637))))))</f>
        <v/>
      </c>
      <c r="K646" s="25" t="str">
        <f aca="false">IF(OR(E646="",E646="!!!",F646="NEW"),"",INDEX(V$1:V637,SUMPRODUCT(MAX(ROW(Q$1:Q637)*(E646=Q$1:Q637)))))</f>
        <v/>
      </c>
      <c r="L646" s="26"/>
      <c r="M646" s="27"/>
    </row>
    <row r="647" customFormat="false" ht="15" hidden="false" customHeight="false" outlineLevel="0" collapsed="false">
      <c r="A647" s="19"/>
      <c r="E647" s="20" t="str">
        <f aca="false">IF(P647="?OLD","!!!","")</f>
        <v/>
      </c>
      <c r="F647" s="21" t="str">
        <f aca="false">IF(OR(E647="",E647="!!!"),"",IF(NOT(ISNA(VLOOKUP(E647,Q$1:Q638,1,FALSE()))),"OLD",IF(AND(E647&lt;&gt;"",E647&lt;&gt;"!!!"),"NEW","")))</f>
        <v/>
      </c>
      <c r="G647" s="22" t="str">
        <f aca="false">IF(OR(E647="",E647="!!!"),"",IF(OR(J647=0,AND(J647=1,K647=1),AND(J647=1,I647="SBJ"),AND(J647=1,I647=0)),"?IN_FOCUS",IF(J647&lt;=2,"?ACTIVATED",IF(J647&lt;&gt;"","?FAMILIAR",IF(F647="NEW",IF(ISNA(VLOOKUP(E647,#REF!,1,FALSE())),"?TYPE_IDENTIFIABLE","?REFERENTIAL"),"_")))))</f>
        <v/>
      </c>
      <c r="H647" s="23" t="str">
        <f aca="false">IF(J647&lt;&gt;1,"",IF(I647="SBJ","CB","?"))</f>
        <v/>
      </c>
      <c r="I647" s="24" t="str">
        <f aca="false">IF(OR(E647="",E647="!!!",F647="NEW"),"",INDEX(N$2:N638,-1+SUMPRODUCT(MAX(ROW(E$2:E638)*(E647=E$2:E638)))))</f>
        <v/>
      </c>
      <c r="J647" s="25" t="str">
        <f aca="true">IF(OR(E647="",E647="!!!",F647="NEW"),"",COUNTBLANK(OFFSET(M$1,,,SUMPRODUCT(MAX(ROW(E$2:E639)*(E647=E$2:E639)))))-COUNTBLANK(OFFSET(M$1,,,SUMPRODUCT(MAX(ROW(Q$1:Q638)*(E647=Q$1:Q638))))))</f>
        <v/>
      </c>
      <c r="K647" s="25" t="str">
        <f aca="false">IF(OR(E647="",E647="!!!",F647="NEW"),"",INDEX(V$1:V638,SUMPRODUCT(MAX(ROW(Q$1:Q638)*(E647=Q$1:Q638)))))</f>
        <v/>
      </c>
      <c r="L647" s="26"/>
    </row>
    <row r="648" customFormat="false" ht="15" hidden="false" customHeight="false" outlineLevel="0" collapsed="false">
      <c r="A648" s="19" t="s">
        <v>585</v>
      </c>
      <c r="E648" s="20" t="str">
        <f aca="false">IF(P648="?OLD","!!!","")</f>
        <v/>
      </c>
      <c r="F648" s="21" t="str">
        <f aca="false">IF(OR(E648="",E648="!!!"),"",IF(NOT(ISNA(VLOOKUP(E648,Q$1:Q639,1,FALSE()))),"OLD",IF(AND(E648&lt;&gt;"",E648&lt;&gt;"!!!"),"NEW","")))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4" t="str">
        <f aca="false">IF(OR(E648="",E648="!!!",F648="NEW"),"",INDEX(N$2:N639,-1+SUMPRODUCT(MAX(ROW(E$2:E639)*(E648=E$2:E639)))))</f>
        <v/>
      </c>
      <c r="J648" s="25" t="str">
        <f aca="true">IF(OR(E648="",E648="!!!",F648="NEW"),"",COUNTBLANK(OFFSET(M$1,,,SUMPRODUCT(MAX(ROW(E$2:E640)*(E648=E$2:E640)))))-COUNTBLANK(OFFSET(M$1,,,SUMPRODUCT(MAX(ROW(Q$1:Q639)*(E648=Q$1:Q639))))))</f>
        <v/>
      </c>
      <c r="K648" s="25" t="str">
        <f aca="false">IF(OR(E648="",E648="!!!",F648="NEW"),"",INDEX(V$1:V639,SUMPRODUCT(MAX(ROW(Q$1:Q639)*(E648=Q$1:Q639)))))</f>
        <v/>
      </c>
      <c r="L648" s="26"/>
      <c r="M648" s="27"/>
    </row>
    <row r="649" customFormat="false" ht="15" hidden="false" customHeight="false" outlineLevel="0" collapsed="false">
      <c r="A649" s="19" t="s">
        <v>456</v>
      </c>
      <c r="E649" s="20" t="str">
        <f aca="false">IF(P649="?OLD","!!!","")</f>
        <v/>
      </c>
      <c r="F649" s="21" t="str">
        <f aca="false">IF(OR(E649="",E649="!!!"),"",IF(NOT(ISNA(VLOOKUP(E649,Q$1:Q640,1,FALSE()))),"OLD",IF(AND(E649&lt;&gt;"",E649&lt;&gt;"!!!"),"NEW","")))</f>
        <v/>
      </c>
      <c r="G649" s="22" t="str">
        <f aca="false">IF(OR(E649="",E649="!!!"),"",IF(OR(J649=0,AND(J649=1,K649=1),AND(J649=1,I649="SBJ"),AND(J649=1,I649=0)),"?IN_FOCUS",IF(J649&lt;=2,"?ACTIVATED",IF(J649&lt;&gt;"","?FAMILIAR",IF(F649="NEW",IF(ISNA(VLOOKUP(E649,#REF!,1,FALSE())),"?TYPE_IDENTIFIABLE","?REFERENTIAL"),"_")))))</f>
        <v/>
      </c>
      <c r="H649" s="23" t="str">
        <f aca="false">IF(J649&lt;&gt;1,"",IF(I649="SBJ","CB","?"))</f>
        <v/>
      </c>
      <c r="I649" s="24" t="str">
        <f aca="false">IF(OR(E649="",E649="!!!",F649="NEW"),"",INDEX(N$2:N640,-1+SUMPRODUCT(MAX(ROW(E$2:E640)*(E649=E$2:E640)))))</f>
        <v/>
      </c>
      <c r="J649" s="25" t="str">
        <f aca="true">IF(OR(E649="",E649="!!!",F649="NEW"),"",COUNTBLANK(OFFSET(M$1,,,SUMPRODUCT(MAX(ROW(E$2:E641)*(E649=E$2:E641)))))-COUNTBLANK(OFFSET(M$1,,,SUMPRODUCT(MAX(ROW(Q$1:Q640)*(E649=Q$1:Q640))))))</f>
        <v/>
      </c>
      <c r="K649" s="25" t="str">
        <f aca="false">IF(OR(E649="",E649="!!!",F649="NEW"),"",INDEX(V$1:V640,SUMPRODUCT(MAX(ROW(Q$1:Q640)*(E649=Q$1:Q640)))))</f>
        <v/>
      </c>
      <c r="L649" s="26"/>
      <c r="M649" s="27"/>
    </row>
    <row r="650" customFormat="false" ht="15" hidden="false" customHeight="false" outlineLevel="0" collapsed="false">
      <c r="A650" s="19" t="s">
        <v>586</v>
      </c>
      <c r="B650" s="28" t="s">
        <v>271</v>
      </c>
      <c r="C650" s="28" t="s">
        <v>333</v>
      </c>
      <c r="D650" s="28" t="s">
        <v>253</v>
      </c>
      <c r="E650" s="20" t="s">
        <v>586</v>
      </c>
      <c r="F650" s="21" t="str">
        <f aca="false">IF(OR(E650="",E650="!!!"),"",IF(NOT(ISNA(VLOOKUP(E650,Q$1:Q641,1,FALSE()))),"OLD",IF(AND(E650&lt;&gt;"",E650&lt;&gt;"!!!"),"NEW","")))</f>
        <v>NEW</v>
      </c>
      <c r="G650" s="22" t="s">
        <v>283</v>
      </c>
      <c r="H650" s="23" t="str">
        <f aca="false">IF(J650&lt;&gt;1,"",IF(I650="SBJ","CB","?"))</f>
        <v/>
      </c>
      <c r="I650" s="24" t="str">
        <f aca="false">IF(OR(E650="",E650="!!!",F650="NEW"),"",INDEX(N$2:N641,-1+SUMPRODUCT(MAX(ROW(E$2:E641)*(E650=E$2:E641)))))</f>
        <v/>
      </c>
      <c r="J650" s="25" t="str">
        <f aca="true">IF(OR(E650="",E650="!!!",F650="NEW"),"",COUNTBLANK(OFFSET(M$1,,,SUMPRODUCT(MAX(ROW(E$2:E642)*(E650=E$2:E642)))))-COUNTBLANK(OFFSET(M$1,,,SUMPRODUCT(MAX(ROW(Q$1:Q641)*(E650=Q$1:Q641))))))</f>
        <v/>
      </c>
      <c r="K650" s="25" t="str">
        <f aca="false">IF(OR(E650="",E650="!!!",F650="NEW"),"",INDEX(V$1:V641,SUMPRODUCT(MAX(ROW(Q$1:Q641)*(E650=Q$1:Q641)))))</f>
        <v/>
      </c>
      <c r="L650" s="26"/>
      <c r="M650" s="27"/>
      <c r="N650" s="29"/>
      <c r="O650" s="29"/>
      <c r="P650" s="29"/>
    </row>
    <row r="651" customFormat="false" ht="15" hidden="false" customHeight="false" outlineLevel="0" collapsed="false">
      <c r="A651" s="19" t="s">
        <v>481</v>
      </c>
      <c r="E651" s="20" t="str">
        <f aca="false">IF(P651="?OLD","!!!","")</f>
        <v/>
      </c>
      <c r="F651" s="21" t="str">
        <f aca="false">IF(OR(E651="",E651="!!!"),"",IF(NOT(ISNA(VLOOKUP(E651,Q$1:Q642,1,FALSE()))),"OLD",IF(AND(E651&lt;&gt;"",E651&lt;&gt;"!!!"),"NEW","")))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4" t="str">
        <f aca="false">IF(OR(E651="",E651="!!!",F651="NEW"),"",INDEX(N$2:N642,-1+SUMPRODUCT(MAX(ROW(E$2:E642)*(E651=E$2:E642)))))</f>
        <v/>
      </c>
      <c r="J651" s="25" t="str">
        <f aca="true">IF(OR(E651="",E651="!!!",F651="NEW"),"",COUNTBLANK(OFFSET(M$1,,,SUMPRODUCT(MAX(ROW(E$2:E643)*(E651=E$2:E643)))))-COUNTBLANK(OFFSET(M$1,,,SUMPRODUCT(MAX(ROW(Q$1:Q642)*(E651=Q$1:Q642))))))</f>
        <v/>
      </c>
      <c r="K651" s="25" t="str">
        <f aca="false">IF(OR(E651="",E651="!!!",F651="NEW"),"",INDEX(V$1:V642,SUMPRODUCT(MAX(ROW(Q$1:Q642)*(E651=Q$1:Q642)))))</f>
        <v/>
      </c>
      <c r="L651" s="26"/>
      <c r="M651" s="27"/>
    </row>
    <row r="652" customFormat="false" ht="15" hidden="false" customHeight="false" outlineLevel="0" collapsed="false">
      <c r="A652" s="19" t="s">
        <v>587</v>
      </c>
      <c r="E652" s="20" t="str">
        <f aca="false">IF(P652="?OLD","!!!","")</f>
        <v/>
      </c>
      <c r="F652" s="21" t="str">
        <f aca="false">IF(OR(E652="",E652="!!!"),"",IF(NOT(ISNA(VLOOKUP(E652,Q$1:Q643,1,FALSE()))),"OLD",IF(AND(E652&lt;&gt;"",E652&lt;&gt;"!!!"),"NEW","")))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IF(OR(E652="",E652="!!!",F652="NEW"),"",INDEX(N$2:N643,-1+SUMPRODUCT(MAX(ROW(E$2:E643)*(E652=E$2:E643)))))</f>
        <v/>
      </c>
      <c r="J652" s="25" t="str">
        <f aca="true">IF(OR(E652="",E652="!!!",F652="NEW"),"",COUNTBLANK(OFFSET(M$1,,,SUMPRODUCT(MAX(ROW(E$2:E644)*(E652=E$2:E644)))))-COUNTBLANK(OFFSET(M$1,,,SUMPRODUCT(MAX(ROW(Q$1:Q643)*(E652=Q$1:Q643))))))</f>
        <v/>
      </c>
      <c r="K652" s="25" t="str">
        <f aca="false">IF(OR(E652="",E652="!!!",F652="NEW"),"",INDEX(V$1:V643,SUMPRODUCT(MAX(ROW(Q$1:Q643)*(E652=Q$1:Q643)))))</f>
        <v/>
      </c>
      <c r="L652" s="26"/>
      <c r="M652" s="27"/>
    </row>
    <row r="653" customFormat="false" ht="15" hidden="false" customHeight="false" outlineLevel="0" collapsed="false">
      <c r="A653" s="19" t="s">
        <v>552</v>
      </c>
      <c r="B653" s="28" t="s">
        <v>258</v>
      </c>
      <c r="C653" s="28" t="s">
        <v>264</v>
      </c>
      <c r="D653" s="28" t="s">
        <v>253</v>
      </c>
      <c r="E653" s="20" t="s">
        <v>546</v>
      </c>
      <c r="F653" s="21" t="str">
        <f aca="false">IF(OR(E653="",E653="!!!"),"",IF(NOT(ISNA(VLOOKUP(E653,Q$1:Q644,1,FALSE()))),"OLD",IF(AND(E653&lt;&gt;"",E653&lt;&gt;"!!!"),"NEW","")))</f>
        <v>NEW</v>
      </c>
      <c r="G653" s="22" t="s">
        <v>266</v>
      </c>
      <c r="H653" s="23" t="s">
        <v>588</v>
      </c>
      <c r="I653" s="24" t="str">
        <f aca="false">IF(OR(E653="",E653="!!!",F653="NEW"),"",INDEX(N$2:N644,-1+SUMPRODUCT(MAX(ROW(E$2:E644)*(E653=E$2:E644)))))</f>
        <v/>
      </c>
      <c r="J653" s="25" t="str">
        <f aca="true">IF(OR(E653="",E653="!!!",F653="NEW"),"",COUNTBLANK(OFFSET(M$1,,,SUMPRODUCT(MAX(ROW(E$2:E645)*(E653=E$2:E645)))))-COUNTBLANK(OFFSET(M$1,,,SUMPRODUCT(MAX(ROW(Q$1:Q644)*(E653=Q$1:Q644))))))</f>
        <v/>
      </c>
      <c r="K653" s="25" t="str">
        <f aca="false">IF(OR(E653="",E653="!!!",F653="NEW"),"",INDEX(V$1:V644,SUMPRODUCT(MAX(ROW(Q$1:Q644)*(E653=Q$1:Q644)))))</f>
        <v/>
      </c>
      <c r="L653" s="26"/>
      <c r="M653" s="27"/>
      <c r="N653" s="29"/>
      <c r="O653" s="29"/>
      <c r="P653" s="29"/>
    </row>
    <row r="654" customFormat="false" ht="15" hidden="false" customHeight="false" outlineLevel="0" collapsed="false">
      <c r="A654" s="19" t="s">
        <v>261</v>
      </c>
      <c r="E654" s="20" t="str">
        <f aca="false">IF(P654="?OLD","!!!","")</f>
        <v/>
      </c>
      <c r="F654" s="21" t="str">
        <f aca="false">IF(OR(E654="",E654="!!!"),"",IF(NOT(ISNA(VLOOKUP(E654,Q$1:Q645,1,FALSE()))),"OLD",IF(AND(E654&lt;&gt;"",E654&lt;&gt;"!!!"),"NEW","")))</f>
        <v/>
      </c>
      <c r="G654" s="22" t="str">
        <f aca="false">IF(OR(E654="",E654="!!!"),"",IF(OR(J654=0,AND(J654=1,K654=1),AND(J654=1,I654="SBJ"),AND(J654=1,I654=0)),"?IN_FOCUS",IF(J654&lt;=2,"?ACTIVATED",IF(J654&lt;&gt;"","?FAMILIAR",IF(F654="NEW",IF(ISNA(VLOOKUP(E654,#REF!,1,FALSE())),"?TYPE_IDENTIFIABLE","?REFERENTIAL"),"_")))))</f>
        <v/>
      </c>
      <c r="H654" s="23" t="str">
        <f aca="false">IF(J654&lt;&gt;1,"",IF(I654="SBJ","CB","?"))</f>
        <v/>
      </c>
      <c r="I654" s="24" t="str">
        <f aca="false">IF(OR(E654="",E654="!!!",F654="NEW"),"",INDEX(N$2:N645,-1+SUMPRODUCT(MAX(ROW(E$2:E645)*(E654=E$2:E645)))))</f>
        <v/>
      </c>
      <c r="J654" s="25" t="str">
        <f aca="true">IF(OR(E654="",E654="!!!",F654="NEW"),"",COUNTBLANK(OFFSET(M$1,,,SUMPRODUCT(MAX(ROW(E$2:E646)*(E654=E$2:E646)))))-COUNTBLANK(OFFSET(M$1,,,SUMPRODUCT(MAX(ROW(Q$1:Q645)*(E654=Q$1:Q645))))))</f>
        <v/>
      </c>
      <c r="K654" s="25" t="str">
        <f aca="false">IF(OR(E654="",E654="!!!",F654="NEW"),"",INDEX(V$1:V645,SUMPRODUCT(MAX(ROW(Q$1:Q645)*(E654=Q$1:Q645)))))</f>
        <v/>
      </c>
      <c r="L654" s="26"/>
      <c r="M654" s="27"/>
    </row>
    <row r="655" customFormat="false" ht="15" hidden="false" customHeight="false" outlineLevel="0" collapsed="false">
      <c r="A655" s="19" t="s">
        <v>589</v>
      </c>
      <c r="B655" s="28" t="s">
        <v>324</v>
      </c>
      <c r="C655" s="28" t="s">
        <v>264</v>
      </c>
      <c r="D655" s="28" t="s">
        <v>253</v>
      </c>
      <c r="E655" s="20" t="s">
        <v>586</v>
      </c>
      <c r="F655" s="21" t="str">
        <f aca="false">IF(OR(E655="",E655="!!!"),"",IF(NOT(ISNA(VLOOKUP(E655,Q$1:Q646,1,FALSE()))),"OLD",IF(AND(E655&lt;&gt;"",E655&lt;&gt;"!!!"),"NEW","")))</f>
        <v>NEW</v>
      </c>
      <c r="G655" s="22" t="s">
        <v>296</v>
      </c>
      <c r="H655" s="23" t="str">
        <f aca="false">IF(J655&lt;&gt;1,"",IF(I655="SBJ","CB","?"))</f>
        <v/>
      </c>
      <c r="I655" s="24" t="str">
        <f aca="false">IF(OR(E655="",E655="!!!",F655="NEW"),"",INDEX(N$2:N646,-1+SUMPRODUCT(MAX(ROW(E$2:E646)*(E655=E$2:E646)))))</f>
        <v/>
      </c>
      <c r="J655" s="25" t="str">
        <f aca="true">IF(OR(E655="",E655="!!!",F655="NEW"),"",COUNTBLANK(OFFSET(M$1,,,SUMPRODUCT(MAX(ROW(E$2:E647)*(E655=E$2:E647)))))-COUNTBLANK(OFFSET(M$1,,,SUMPRODUCT(MAX(ROW(Q$1:Q646)*(E655=Q$1:Q646))))))</f>
        <v/>
      </c>
      <c r="K655" s="25" t="str">
        <f aca="false">IF(OR(E655="",E655="!!!",F655="NEW"),"",INDEX(V$1:V646,SUMPRODUCT(MAX(ROW(Q$1:Q646)*(E655=Q$1:Q646)))))</f>
        <v/>
      </c>
      <c r="L655" s="26"/>
      <c r="M655" s="27"/>
      <c r="N655" s="29"/>
      <c r="O655" s="29"/>
      <c r="P655" s="29"/>
    </row>
    <row r="656" customFormat="false" ht="15" hidden="false" customHeight="false" outlineLevel="0" collapsed="false">
      <c r="A656" s="19" t="s">
        <v>590</v>
      </c>
      <c r="E656" s="20" t="str">
        <f aca="false">IF(P656="?OLD","!!!","")</f>
        <v/>
      </c>
      <c r="F656" s="21" t="str">
        <f aca="false">IF(OR(E656="",E656="!!!"),"",IF(NOT(ISNA(VLOOKUP(E656,Q$1:Q647,1,FALSE()))),"OLD",IF(AND(E656&lt;&gt;"",E656&lt;&gt;"!!!"),"NEW","")))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IF(OR(E656="",E656="!!!",F656="NEW"),"",INDEX(N$2:N647,-1+SUMPRODUCT(MAX(ROW(E$2:E647)*(E656=E$2:E647)))))</f>
        <v/>
      </c>
      <c r="J656" s="25" t="str">
        <f aca="true">IF(OR(E656="",E656="!!!",F656="NEW"),"",COUNTBLANK(OFFSET(M$1,,,SUMPRODUCT(MAX(ROW(E$2:E648)*(E656=E$2:E648)))))-COUNTBLANK(OFFSET(M$1,,,SUMPRODUCT(MAX(ROW(Q$1:Q647)*(E656=Q$1:Q647))))))</f>
        <v/>
      </c>
      <c r="K656" s="25" t="str">
        <f aca="false">IF(OR(E656="",E656="!!!",F656="NEW"),"",INDEX(V$1:V647,SUMPRODUCT(MAX(ROW(Q$1:Q647)*(E656=Q$1:Q647)))))</f>
        <v/>
      </c>
      <c r="L656" s="26"/>
      <c r="M656" s="27"/>
    </row>
    <row r="657" customFormat="false" ht="15" hidden="false" customHeight="false" outlineLevel="0" collapsed="false">
      <c r="A657" s="19" t="s">
        <v>250</v>
      </c>
      <c r="E657" s="20" t="str">
        <f aca="false">IF(P657="?OLD","!!!","")</f>
        <v/>
      </c>
      <c r="F657" s="21" t="str">
        <f aca="false">IF(OR(E657="",E657="!!!"),"",IF(NOT(ISNA(VLOOKUP(E657,Q$1:Q648,1,FALSE()))),"OLD",IF(AND(E657&lt;&gt;"",E657&lt;&gt;"!!!"),"NEW","")))</f>
        <v/>
      </c>
      <c r="G657" s="22" t="str">
        <f aca="false">IF(OR(E657="",E657="!!!"),"",IF(OR(J657=0,AND(J657=1,K657=1),AND(J657=1,I657="SBJ"),AND(J657=1,I657=0)),"?IN_FOCUS",IF(J657&lt;=2,"?ACTIVATED",IF(J657&lt;&gt;"","?FAMILIAR",IF(F657="NEW",IF(ISNA(VLOOKUP(E657,#REF!,1,FALSE())),"?TYPE_IDENTIFIABLE","?REFERENTIAL"),"_")))))</f>
        <v/>
      </c>
      <c r="H657" s="23" t="str">
        <f aca="false">IF(J657&lt;&gt;1,"",IF(I657="SBJ","CB","?"))</f>
        <v/>
      </c>
      <c r="I657" s="24" t="str">
        <f aca="false">IF(OR(E657="",E657="!!!",F657="NEW"),"",INDEX(N$2:N648,-1+SUMPRODUCT(MAX(ROW(E$2:E648)*(E657=E$2:E648)))))</f>
        <v/>
      </c>
      <c r="J657" s="25" t="str">
        <f aca="true">IF(OR(E657="",E657="!!!",F657="NEW"),"",COUNTBLANK(OFFSET(M$1,,,SUMPRODUCT(MAX(ROW(E$2:E649)*(E657=E$2:E649)))))-COUNTBLANK(OFFSET(M$1,,,SUMPRODUCT(MAX(ROW(Q$1:Q648)*(E657=Q$1:Q648))))))</f>
        <v/>
      </c>
      <c r="K657" s="25" t="str">
        <f aca="false">IF(OR(E657="",E657="!!!",F657="NEW"),"",INDEX(V$1:V648,SUMPRODUCT(MAX(ROW(Q$1:Q648)*(E657=Q$1:Q648)))))</f>
        <v/>
      </c>
      <c r="L657" s="26"/>
      <c r="M657" s="27"/>
    </row>
    <row r="658" customFormat="false" ht="15" hidden="false" customHeight="false" outlineLevel="0" collapsed="false">
      <c r="A658" s="19" t="s">
        <v>534</v>
      </c>
      <c r="B658" s="28" t="s">
        <v>326</v>
      </c>
      <c r="C658" s="28" t="s">
        <v>333</v>
      </c>
      <c r="D658" s="28" t="s">
        <v>253</v>
      </c>
      <c r="E658" s="20" t="s">
        <v>413</v>
      </c>
      <c r="F658" s="21" t="str">
        <f aca="false">IF(OR(E658="",E658="!!!"),"",IF(NOT(ISNA(VLOOKUP(E658,Q$1:Q649,1,FALSE()))),"OLD",IF(AND(E658&lt;&gt;"",E658&lt;&gt;"!!!"),"NEW","")))</f>
        <v>NEW</v>
      </c>
      <c r="G658" s="22" t="s">
        <v>266</v>
      </c>
      <c r="H658" s="23"/>
      <c r="I658" s="24" t="str">
        <f aca="false">IF(OR(E658="",E658="!!!",F658="NEW"),"",INDEX(N$2:N649,-1+SUMPRODUCT(MAX(ROW(E$2:E649)*(E658=E$2:E649)))))</f>
        <v/>
      </c>
      <c r="J658" s="25" t="str">
        <f aca="true">IF(OR(E658="",E658="!!!",F658="NEW"),"",COUNTBLANK(OFFSET(M$1,,,SUMPRODUCT(MAX(ROW(E$2:E650)*(E658=E$2:E650)))))-COUNTBLANK(OFFSET(M$1,,,SUMPRODUCT(MAX(ROW(Q$1:Q649)*(E658=Q$1:Q649))))))</f>
        <v/>
      </c>
      <c r="K658" s="25" t="str">
        <f aca="false">IF(OR(E658="",E658="!!!",F658="NEW"),"",INDEX(V$1:V649,SUMPRODUCT(MAX(ROW(Q$1:Q649)*(E658=Q$1:Q649)))))</f>
        <v/>
      </c>
      <c r="L658" s="26"/>
      <c r="M658" s="27"/>
      <c r="N658" s="29"/>
      <c r="O658" s="29"/>
      <c r="P658" s="29"/>
    </row>
    <row r="659" customFormat="false" ht="15" hidden="false" customHeight="false" outlineLevel="0" collapsed="false">
      <c r="A659" s="19" t="s">
        <v>591</v>
      </c>
      <c r="E659" s="20" t="str">
        <f aca="false">IF(P659="?OLD","!!!","")</f>
        <v/>
      </c>
      <c r="F659" s="21" t="str">
        <f aca="false">IF(OR(E659="",E659="!!!"),"",IF(NOT(ISNA(VLOOKUP(E659,Q$1:Q650,1,FALSE()))),"OLD",IF(AND(E659&lt;&gt;"",E659&lt;&gt;"!!!"),"NEW","")))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IF(OR(E659="",E659="!!!",F659="NEW"),"",INDEX(N$2:N650,-1+SUMPRODUCT(MAX(ROW(E$2:E650)*(E659=E$2:E650)))))</f>
        <v/>
      </c>
      <c r="J659" s="25" t="str">
        <f aca="true">IF(OR(E659="",E659="!!!",F659="NEW"),"",COUNTBLANK(OFFSET(M$1,,,SUMPRODUCT(MAX(ROW(E$2:E651)*(E659=E$2:E651)))))-COUNTBLANK(OFFSET(M$1,,,SUMPRODUCT(MAX(ROW(Q$1:Q650)*(E659=Q$1:Q650))))))</f>
        <v/>
      </c>
      <c r="K659" s="25" t="str">
        <f aca="false">IF(OR(E659="",E659="!!!",F659="NEW"),"",INDEX(V$1:V650,SUMPRODUCT(MAX(ROW(Q$1:Q650)*(E659=Q$1:Q650)))))</f>
        <v/>
      </c>
      <c r="L659" s="26"/>
      <c r="M659" s="27"/>
    </row>
    <row r="660" customFormat="false" ht="15" hidden="false" customHeight="false" outlineLevel="0" collapsed="false">
      <c r="A660" s="19" t="s">
        <v>530</v>
      </c>
      <c r="E660" s="20" t="str">
        <f aca="false">IF(P660="?OLD","!!!","")</f>
        <v/>
      </c>
      <c r="F660" s="21" t="str">
        <f aca="false">IF(OR(E660="",E660="!!!"),"",IF(NOT(ISNA(VLOOKUP(E660,Q$1:Q651,1,FALSE()))),"OLD",IF(AND(E660&lt;&gt;"",E660&lt;&gt;"!!!"),"NEW","")))</f>
        <v/>
      </c>
      <c r="G660" s="22" t="str">
        <f aca="false">IF(OR(E660="",E660="!!!"),"",IF(OR(J660=0,AND(J660=1,K660=1),AND(J660=1,I660="SBJ"),AND(J660=1,I660=0)),"?IN_FOCUS",IF(J660&lt;=2,"?ACTIVATED",IF(J660&lt;&gt;"","?FAMILIAR",IF(F660="NEW",IF(ISNA(VLOOKUP(E660,#REF!,1,FALSE())),"?TYPE_IDENTIFIABLE","?REFERENTIAL"),"_")))))</f>
        <v/>
      </c>
      <c r="H660" s="23" t="str">
        <f aca="false">IF(J660&lt;&gt;1,"",IF(I660="SBJ","CB","?"))</f>
        <v/>
      </c>
      <c r="I660" s="24" t="str">
        <f aca="false">IF(OR(E660="",E660="!!!",F660="NEW"),"",INDEX(N$2:N651,-1+SUMPRODUCT(MAX(ROW(E$2:E651)*(E660=E$2:E651)))))</f>
        <v/>
      </c>
      <c r="J660" s="25" t="str">
        <f aca="true">IF(OR(E660="",E660="!!!",F660="NEW"),"",COUNTBLANK(OFFSET(M$1,,,SUMPRODUCT(MAX(ROW(E$2:E652)*(E660=E$2:E652)))))-COUNTBLANK(OFFSET(M$1,,,SUMPRODUCT(MAX(ROW(Q$1:Q651)*(E660=Q$1:Q651))))))</f>
        <v/>
      </c>
      <c r="K660" s="25" t="str">
        <f aca="false">IF(OR(E660="",E660="!!!",F660="NEW"),"",INDEX(V$1:V651,SUMPRODUCT(MAX(ROW(Q$1:Q651)*(E660=Q$1:Q651)))))</f>
        <v/>
      </c>
      <c r="L660" s="26"/>
      <c r="M660" s="27"/>
    </row>
    <row r="661" customFormat="false" ht="15" hidden="false" customHeight="false" outlineLevel="0" collapsed="false">
      <c r="A661" s="19" t="s">
        <v>452</v>
      </c>
      <c r="B661" s="28" t="s">
        <v>293</v>
      </c>
      <c r="C661" s="28" t="s">
        <v>358</v>
      </c>
      <c r="D661" s="28" t="s">
        <v>253</v>
      </c>
      <c r="E661" s="20" t="s">
        <v>586</v>
      </c>
      <c r="F661" s="21" t="str">
        <f aca="false">IF(OR(E661="",E661="!!!"),"",IF(NOT(ISNA(VLOOKUP(E661,Q$1:Q652,1,FALSE()))),"OLD",IF(AND(E661&lt;&gt;"",E661&lt;&gt;"!!!"),"NEW","")))</f>
        <v>NEW</v>
      </c>
      <c r="G661" s="22" t="s">
        <v>296</v>
      </c>
      <c r="H661" s="23" t="str">
        <f aca="false">IF(J661&lt;&gt;1,"",IF(I661="SBJ","CB","?"))</f>
        <v/>
      </c>
      <c r="I661" s="24" t="str">
        <f aca="false">IF(OR(E661="",E661="!!!",F661="NEW"),"",INDEX(N$2:N652,-1+SUMPRODUCT(MAX(ROW(E$2:E652)*(E661=E$2:E652)))))</f>
        <v/>
      </c>
      <c r="J661" s="25" t="str">
        <f aca="true">IF(OR(E661="",E661="!!!",F661="NEW"),"",COUNTBLANK(OFFSET(M$1,,,SUMPRODUCT(MAX(ROW(E$2:E653)*(E661=E$2:E653)))))-COUNTBLANK(OFFSET(M$1,,,SUMPRODUCT(MAX(ROW(Q$1:Q652)*(E661=Q$1:Q652))))))</f>
        <v/>
      </c>
      <c r="K661" s="25" t="str">
        <f aca="false">IF(OR(E661="",E661="!!!",F661="NEW"),"",INDEX(V$1:V652,SUMPRODUCT(MAX(ROW(Q$1:Q652)*(E661=Q$1:Q652)))))</f>
        <v/>
      </c>
      <c r="L661" s="26"/>
      <c r="M661" s="27"/>
      <c r="N661" s="29"/>
      <c r="O661" s="29"/>
      <c r="P661" s="29"/>
    </row>
    <row r="662" customFormat="false" ht="15" hidden="false" customHeight="false" outlineLevel="0" collapsed="false">
      <c r="A662" s="19" t="s">
        <v>592</v>
      </c>
      <c r="B662" s="28" t="s">
        <v>258</v>
      </c>
      <c r="C662" s="28" t="s">
        <v>314</v>
      </c>
      <c r="D662" s="28" t="s">
        <v>253</v>
      </c>
      <c r="E662" s="20" t="s">
        <v>593</v>
      </c>
      <c r="F662" s="21" t="str">
        <f aca="false">IF(OR(E662="",E662="!!!"),"",IF(NOT(ISNA(VLOOKUP(E662,Q$1:Q653,1,FALSE()))),"OLD",IF(AND(E662&lt;&gt;"",E662&lt;&gt;"!!!"),"NEW","")))</f>
        <v>NEW</v>
      </c>
      <c r="G662" s="22" t="s">
        <v>255</v>
      </c>
      <c r="H662" s="23" t="str">
        <f aca="false">IF(J662&lt;&gt;1,"",IF(I662="SBJ","CB","?"))</f>
        <v/>
      </c>
      <c r="I662" s="24" t="str">
        <f aca="false">IF(OR(E662="",E662="!!!",F662="NEW"),"",INDEX(N$2:N653,-1+SUMPRODUCT(MAX(ROW(E$2:E653)*(E662=E$2:E653)))))</f>
        <v/>
      </c>
      <c r="J662" s="25" t="str">
        <f aca="true">IF(OR(E662="",E662="!!!",F662="NEW"),"",COUNTBLANK(OFFSET(M$1,,,SUMPRODUCT(MAX(ROW(E$2:E654)*(E662=E$2:E654)))))-COUNTBLANK(OFFSET(M$1,,,SUMPRODUCT(MAX(ROW(Q$1:Q653)*(E662=Q$1:Q653))))))</f>
        <v/>
      </c>
      <c r="K662" s="25" t="str">
        <f aca="false">IF(OR(E662="",E662="!!!",F662="NEW"),"",INDEX(V$1:V653,SUMPRODUCT(MAX(ROW(Q$1:Q653)*(E662=Q$1:Q653)))))</f>
        <v/>
      </c>
      <c r="L662" s="26"/>
      <c r="M662" s="27"/>
      <c r="N662" s="29"/>
      <c r="O662" s="29"/>
      <c r="P662" s="29"/>
    </row>
    <row r="663" customFormat="false" ht="15" hidden="false" customHeight="false" outlineLevel="0" collapsed="false">
      <c r="A663" s="19" t="s">
        <v>261</v>
      </c>
      <c r="E663" s="20" t="str">
        <f aca="false">IF(P663="?OLD","!!!","")</f>
        <v/>
      </c>
      <c r="F663" s="21" t="str">
        <f aca="false">IF(OR(E663="",E663="!!!"),"",IF(NOT(ISNA(VLOOKUP(E663,Q$1:Q654,1,FALSE()))),"OLD",IF(AND(E663&lt;&gt;"",E663&lt;&gt;"!!!"),"NEW","")))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IF(OR(E663="",E663="!!!",F663="NEW"),"",INDEX(N$2:N654,-1+SUMPRODUCT(MAX(ROW(E$2:E654)*(E663=E$2:E654)))))</f>
        <v/>
      </c>
      <c r="J663" s="25" t="str">
        <f aca="true">IF(OR(E663="",E663="!!!",F663="NEW"),"",COUNTBLANK(OFFSET(M$1,,,SUMPRODUCT(MAX(ROW(E$2:E655)*(E663=E$2:E655)))))-COUNTBLANK(OFFSET(M$1,,,SUMPRODUCT(MAX(ROW(Q$1:Q654)*(E663=Q$1:Q654))))))</f>
        <v/>
      </c>
      <c r="K663" s="25" t="str">
        <f aca="false">IF(OR(E663="",E663="!!!",F663="NEW"),"",INDEX(V$1:V654,SUMPRODUCT(MAX(ROW(Q$1:Q654)*(E663=Q$1:Q654)))))</f>
        <v/>
      </c>
      <c r="L663" s="26"/>
      <c r="M663" s="27"/>
    </row>
    <row r="664" customFormat="false" ht="15" hidden="false" customHeight="false" outlineLevel="0" collapsed="false">
      <c r="A664" s="19" t="s">
        <v>456</v>
      </c>
      <c r="E664" s="20" t="str">
        <f aca="false">IF(P664="?OLD","!!!","")</f>
        <v/>
      </c>
      <c r="F664" s="21" t="str">
        <f aca="false">IF(OR(E664="",E664="!!!"),"",IF(NOT(ISNA(VLOOKUP(E664,Q$1:Q655,1,FALSE()))),"OLD",IF(AND(E664&lt;&gt;"",E664&lt;&gt;"!!!"),"NEW","")))</f>
        <v/>
      </c>
      <c r="G664" s="22" t="str">
        <f aca="false">IF(OR(E664="",E664="!!!"),"",IF(OR(J664=0,AND(J664=1,K664=1),AND(J664=1,I664="SBJ"),AND(J664=1,I664=0)),"?IN_FOCUS",IF(J664&lt;=2,"?ACTIVATED",IF(J664&lt;&gt;"","?FAMILIAR",IF(F664="NEW",IF(ISNA(VLOOKUP(E664,#REF!,1,FALSE())),"?TYPE_IDENTIFIABLE","?REFERENTIAL"),"_")))))</f>
        <v/>
      </c>
      <c r="H664" s="23" t="str">
        <f aca="false">IF(J664&lt;&gt;1,"",IF(I664="SBJ","CB","?"))</f>
        <v/>
      </c>
      <c r="I664" s="24" t="str">
        <f aca="false">IF(OR(E664="",E664="!!!",F664="NEW"),"",INDEX(N$2:N655,-1+SUMPRODUCT(MAX(ROW(E$2:E655)*(E664=E$2:E655)))))</f>
        <v/>
      </c>
      <c r="J664" s="25" t="str">
        <f aca="true">IF(OR(E664="",E664="!!!",F664="NEW"),"",COUNTBLANK(OFFSET(M$1,,,SUMPRODUCT(MAX(ROW(E$2:E656)*(E664=E$2:E656)))))-COUNTBLANK(OFFSET(M$1,,,SUMPRODUCT(MAX(ROW(Q$1:Q655)*(E664=Q$1:Q655))))))</f>
        <v/>
      </c>
      <c r="K664" s="25" t="str">
        <f aca="false">IF(OR(E664="",E664="!!!",F664="NEW"),"",INDEX(V$1:V655,SUMPRODUCT(MAX(ROW(Q$1:Q655)*(E664=Q$1:Q655)))))</f>
        <v/>
      </c>
      <c r="L664" s="26"/>
      <c r="M664" s="27"/>
    </row>
    <row r="665" customFormat="false" ht="15" hidden="false" customHeight="false" outlineLevel="0" collapsed="false">
      <c r="A665" s="19" t="s">
        <v>581</v>
      </c>
      <c r="B665" s="28" t="s">
        <v>324</v>
      </c>
      <c r="C665" s="28" t="s">
        <v>264</v>
      </c>
      <c r="D665" s="28" t="s">
        <v>253</v>
      </c>
      <c r="E665" s="20" t="s">
        <v>413</v>
      </c>
      <c r="F665" s="21" t="str">
        <f aca="false">IF(OR(E665="",E665="!!!"),"",IF(NOT(ISNA(VLOOKUP(E665,Q$1:Q656,1,FALSE()))),"OLD",IF(AND(E665&lt;&gt;"",E665&lt;&gt;"!!!"),"NEW","")))</f>
        <v>NEW</v>
      </c>
      <c r="G665" s="22" t="s">
        <v>296</v>
      </c>
      <c r="H665" s="23" t="str">
        <f aca="false">IF(J665&lt;&gt;1,"",IF(I665="SBJ","CB","?"))</f>
        <v/>
      </c>
      <c r="I665" s="24" t="str">
        <f aca="false">IF(OR(E665="",E665="!!!",F665="NEW"),"",INDEX(N$2:N656,-1+SUMPRODUCT(MAX(ROW(E$2:E656)*(E665=E$2:E656)))))</f>
        <v/>
      </c>
      <c r="J665" s="25" t="str">
        <f aca="true">IF(OR(E665="",E665="!!!",F665="NEW"),"",COUNTBLANK(OFFSET(M$1,,,SUMPRODUCT(MAX(ROW(E$2:E657)*(E665=E$2:E657)))))-COUNTBLANK(OFFSET(M$1,,,SUMPRODUCT(MAX(ROW(Q$1:Q656)*(E665=Q$1:Q656))))))</f>
        <v/>
      </c>
      <c r="K665" s="25" t="str">
        <f aca="false">IF(OR(E665="",E665="!!!",F665="NEW"),"",INDEX(V$1:V656,SUMPRODUCT(MAX(ROW(Q$1:Q656)*(E665=Q$1:Q656)))))</f>
        <v/>
      </c>
      <c r="L665" s="26"/>
      <c r="M665" s="27"/>
      <c r="N665" s="29"/>
      <c r="O665" s="29"/>
      <c r="P665" s="29"/>
    </row>
    <row r="666" customFormat="false" ht="15" hidden="false" customHeight="false" outlineLevel="0" collapsed="false">
      <c r="A666" s="19" t="s">
        <v>460</v>
      </c>
      <c r="E666" s="20" t="str">
        <f aca="false">IF(P666="?OLD","!!!","")</f>
        <v/>
      </c>
      <c r="F666" s="21" t="str">
        <f aca="false">IF(OR(E666="",E666="!!!"),"",IF(NOT(ISNA(VLOOKUP(E666,Q$1:Q657,1,FALSE()))),"OLD",IF(AND(E666&lt;&gt;"",E666&lt;&gt;"!!!"),"NEW","")))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IF(OR(E666="",E666="!!!",F666="NEW"),"",INDEX(N$2:N657,-1+SUMPRODUCT(MAX(ROW(E$2:E657)*(E666=E$2:E657)))))</f>
        <v/>
      </c>
      <c r="J666" s="25" t="str">
        <f aca="true">IF(OR(E666="",E666="!!!",F666="NEW"),"",COUNTBLANK(OFFSET(M$1,,,SUMPRODUCT(MAX(ROW(E$2:E658)*(E666=E$2:E658)))))-COUNTBLANK(OFFSET(M$1,,,SUMPRODUCT(MAX(ROW(Q$1:Q657)*(E666=Q$1:Q657))))))</f>
        <v/>
      </c>
      <c r="K666" s="25" t="str">
        <f aca="false">IF(OR(E666="",E666="!!!",F666="NEW"),"",INDEX(V$1:V657,SUMPRODUCT(MAX(ROW(Q$1:Q657)*(E666=Q$1:Q657)))))</f>
        <v/>
      </c>
      <c r="L666" s="26"/>
      <c r="M666" s="27"/>
    </row>
    <row r="667" customFormat="false" ht="15" hidden="false" customHeight="false" outlineLevel="0" collapsed="false">
      <c r="A667" s="19" t="s">
        <v>312</v>
      </c>
      <c r="E667" s="20" t="str">
        <f aca="false">IF(P667="?OLD","!!!","")</f>
        <v/>
      </c>
      <c r="F667" s="21" t="str">
        <f aca="false">IF(OR(E667="",E667="!!!"),"",IF(NOT(ISNA(VLOOKUP(E667,Q$1:Q658,1,FALSE()))),"OLD",IF(AND(E667&lt;&gt;"",E667&lt;&gt;"!!!"),"NEW","")))</f>
        <v/>
      </c>
      <c r="G667" s="22" t="str">
        <f aca="false">IF(OR(E667="",E667="!!!"),"",IF(OR(J667=0,AND(J667=1,K667=1),AND(J667=1,I667="SBJ"),AND(J667=1,I667=0)),"?IN_FOCUS",IF(J667&lt;=2,"?ACTIVATED",IF(J667&lt;&gt;"","?FAMILIAR",IF(F667="NEW",IF(ISNA(VLOOKUP(E667,#REF!,1,FALSE())),"?TYPE_IDENTIFIABLE","?REFERENTIAL"),"_")))))</f>
        <v/>
      </c>
      <c r="H667" s="23" t="str">
        <f aca="false">IF(J667&lt;&gt;1,"",IF(I667="SBJ","CB","?"))</f>
        <v/>
      </c>
      <c r="I667" s="24" t="str">
        <f aca="false">IF(OR(E667="",E667="!!!",F667="NEW"),"",INDEX(N$2:N658,-1+SUMPRODUCT(MAX(ROW(E$2:E658)*(E667=E$2:E658)))))</f>
        <v/>
      </c>
      <c r="J667" s="25" t="str">
        <f aca="true">IF(OR(E667="",E667="!!!",F667="NEW"),"",COUNTBLANK(OFFSET(M$1,,,SUMPRODUCT(MAX(ROW(E$2:E659)*(E667=E$2:E659)))))-COUNTBLANK(OFFSET(M$1,,,SUMPRODUCT(MAX(ROW(Q$1:Q658)*(E667=Q$1:Q658))))))</f>
        <v/>
      </c>
      <c r="K667" s="25" t="str">
        <f aca="false">IF(OR(E667="",E667="!!!",F667="NEW"),"",INDEX(V$1:V658,SUMPRODUCT(MAX(ROW(Q$1:Q658)*(E667=Q$1:Q658)))))</f>
        <v/>
      </c>
      <c r="L667" s="26"/>
      <c r="M667" s="27"/>
    </row>
    <row r="668" customFormat="false" ht="15" hidden="false" customHeight="false" outlineLevel="0" collapsed="false">
      <c r="A668" s="19" t="s">
        <v>452</v>
      </c>
      <c r="B668" s="28" t="s">
        <v>258</v>
      </c>
      <c r="C668" s="28" t="s">
        <v>358</v>
      </c>
      <c r="D668" s="28" t="s">
        <v>253</v>
      </c>
      <c r="E668" s="20" t="s">
        <v>586</v>
      </c>
      <c r="F668" s="21" t="str">
        <f aca="false">IF(OR(E668="",E668="!!!"),"",IF(NOT(ISNA(VLOOKUP(E668,Q$1:Q659,1,FALSE()))),"OLD",IF(AND(E668&lt;&gt;"",E668&lt;&gt;"!!!"),"NEW","")))</f>
        <v>NEW</v>
      </c>
      <c r="G668" s="22" t="s">
        <v>296</v>
      </c>
      <c r="H668" s="23" t="str">
        <f aca="false">IF(J668&lt;&gt;1,"",IF(I668="SBJ","CB","?"))</f>
        <v/>
      </c>
      <c r="I668" s="24" t="str">
        <f aca="false">IF(OR(E668="",E668="!!!",F668="NEW"),"",INDEX(N$2:N659,-1+SUMPRODUCT(MAX(ROW(E$2:E659)*(E668=E$2:E659)))))</f>
        <v/>
      </c>
      <c r="J668" s="25" t="str">
        <f aca="true">IF(OR(E668="",E668="!!!",F668="NEW"),"",COUNTBLANK(OFFSET(M$1,,,SUMPRODUCT(MAX(ROW(E$2:E660)*(E668=E$2:E660)))))-COUNTBLANK(OFFSET(M$1,,,SUMPRODUCT(MAX(ROW(Q$1:Q659)*(E668=Q$1:Q659))))))</f>
        <v/>
      </c>
      <c r="K668" s="25" t="str">
        <f aca="false">IF(OR(E668="",E668="!!!",F668="NEW"),"",INDEX(V$1:V659,SUMPRODUCT(MAX(ROW(Q$1:Q659)*(E668=Q$1:Q659)))))</f>
        <v/>
      </c>
      <c r="L668" s="26"/>
      <c r="M668" s="27"/>
      <c r="N668" s="29"/>
      <c r="O668" s="29"/>
      <c r="P668" s="29"/>
    </row>
    <row r="669" customFormat="false" ht="15" hidden="false" customHeight="false" outlineLevel="0" collapsed="false">
      <c r="A669" s="19" t="s">
        <v>594</v>
      </c>
      <c r="E669" s="20" t="str">
        <f aca="false">IF(P669="?OLD","!!!","")</f>
        <v/>
      </c>
      <c r="F669" s="21" t="str">
        <f aca="false">IF(OR(E669="",E669="!!!"),"",IF(NOT(ISNA(VLOOKUP(E669,Q$1:Q660,1,FALSE()))),"OLD",IF(AND(E669&lt;&gt;"",E669&lt;&gt;"!!!"),"NEW","")))</f>
        <v/>
      </c>
      <c r="G669" s="22" t="str">
        <f aca="false">IF(OR(E669="",E669="!!!"),"",IF(OR(J669=0,AND(J669=1,K669=1),AND(J669=1,I669="SBJ"),AND(J669=1,I669=0)),"?IN_FOCUS",IF(J669&lt;=2,"?ACTIVATED",IF(J669&lt;&gt;"","?FAMILIAR",IF(F669="NEW",IF(ISNA(VLOOKUP(E669,#REF!,1,FALSE())),"?TYPE_IDENTIFIABLE","?REFERENTIAL"),"_")))))</f>
        <v/>
      </c>
      <c r="H669" s="23" t="str">
        <f aca="false">IF(J669&lt;&gt;1,"",IF(I669="SBJ","CB","?"))</f>
        <v/>
      </c>
      <c r="I669" s="24" t="str">
        <f aca="false">IF(OR(E669="",E669="!!!",F669="NEW"),"",INDEX(N$2:N660,-1+SUMPRODUCT(MAX(ROW(E$2:E660)*(E669=E$2:E660)))))</f>
        <v/>
      </c>
      <c r="J669" s="25" t="str">
        <f aca="true">IF(OR(E669="",E669="!!!",F669="NEW"),"",COUNTBLANK(OFFSET(M$1,,,SUMPRODUCT(MAX(ROW(E$2:E661)*(E669=E$2:E661)))))-COUNTBLANK(OFFSET(M$1,,,SUMPRODUCT(MAX(ROW(Q$1:Q660)*(E669=Q$1:Q660))))))</f>
        <v/>
      </c>
      <c r="K669" s="25" t="str">
        <f aca="false">IF(OR(E669="",E669="!!!",F669="NEW"),"",INDEX(V$1:V660,SUMPRODUCT(MAX(ROW(Q$1:Q660)*(E669=Q$1:Q660)))))</f>
        <v/>
      </c>
      <c r="L669" s="26"/>
      <c r="M669" s="27"/>
    </row>
    <row r="670" customFormat="false" ht="15" hidden="false" customHeight="false" outlineLevel="0" collapsed="false">
      <c r="A670" s="19" t="s">
        <v>566</v>
      </c>
      <c r="B670" s="28" t="s">
        <v>306</v>
      </c>
      <c r="C670" s="28" t="s">
        <v>314</v>
      </c>
      <c r="D670" s="28" t="s">
        <v>253</v>
      </c>
      <c r="E670" s="20" t="s">
        <v>595</v>
      </c>
      <c r="F670" s="21" t="str">
        <f aca="false">IF(OR(E670="",E670="!!!"),"",IF(NOT(ISNA(VLOOKUP(E670,Q$1:Q661,1,FALSE()))),"OLD",IF(AND(E670&lt;&gt;"",E670&lt;&gt;"!!!"),"NEW","")))</f>
        <v>NEW</v>
      </c>
      <c r="G670" s="22" t="s">
        <v>255</v>
      </c>
      <c r="H670" s="23" t="str">
        <f aca="false">IF(J670&lt;&gt;1,"",IF(I670="SBJ","CB","?"))</f>
        <v/>
      </c>
      <c r="I670" s="24" t="str">
        <f aca="false">IF(OR(E670="",E670="!!!",F670="NEW"),"",INDEX(N$2:N661,-1+SUMPRODUCT(MAX(ROW(E$2:E661)*(E670=E$2:E661)))))</f>
        <v/>
      </c>
      <c r="J670" s="25" t="str">
        <f aca="true">IF(OR(E670="",E670="!!!",F670="NEW"),"",COUNTBLANK(OFFSET(M$1,,,SUMPRODUCT(MAX(ROW(E$2:E662)*(E670=E$2:E662)))))-COUNTBLANK(OFFSET(M$1,,,SUMPRODUCT(MAX(ROW(Q$1:Q661)*(E670=Q$1:Q661))))))</f>
        <v/>
      </c>
      <c r="K670" s="25" t="str">
        <f aca="false">IF(OR(E670="",E670="!!!",F670="NEW"),"",INDEX(V$1:V661,SUMPRODUCT(MAX(ROW(Q$1:Q661)*(E670=Q$1:Q661)))))</f>
        <v/>
      </c>
      <c r="L670" s="26"/>
      <c r="M670" s="27"/>
      <c r="N670" s="29"/>
      <c r="O670" s="29"/>
      <c r="P670" s="29"/>
    </row>
    <row r="671" customFormat="false" ht="15" hidden="false" customHeight="false" outlineLevel="0" collapsed="false">
      <c r="A671" s="19" t="s">
        <v>261</v>
      </c>
      <c r="E671" s="20" t="str">
        <f aca="false">IF(P671="?OLD","!!!","")</f>
        <v/>
      </c>
      <c r="F671" s="21" t="str">
        <f aca="false">IF(OR(E671="",E671="!!!"),"",IF(NOT(ISNA(VLOOKUP(E671,Q$1:Q662,1,FALSE()))),"OLD",IF(AND(E671&lt;&gt;"",E671&lt;&gt;"!!!"),"NEW","")))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4" t="str">
        <f aca="false">IF(OR(E671="",E671="!!!",F671="NEW"),"",INDEX(N$2:N662,-1+SUMPRODUCT(MAX(ROW(E$2:E662)*(E671=E$2:E662)))))</f>
        <v/>
      </c>
      <c r="J671" s="25" t="str">
        <f aca="true">IF(OR(E671="",E671="!!!",F671="NEW"),"",COUNTBLANK(OFFSET(M$1,,,SUMPRODUCT(MAX(ROW(E$2:E663)*(E671=E$2:E663)))))-COUNTBLANK(OFFSET(M$1,,,SUMPRODUCT(MAX(ROW(Q$1:Q662)*(E671=Q$1:Q662))))))</f>
        <v/>
      </c>
      <c r="K671" s="25" t="str">
        <f aca="false">IF(OR(E671="",E671="!!!",F671="NEW"),"",INDEX(V$1:V662,SUMPRODUCT(MAX(ROW(Q$1:Q662)*(E671=Q$1:Q662)))))</f>
        <v/>
      </c>
      <c r="L671" s="26"/>
      <c r="M671" s="27"/>
    </row>
    <row r="672" customFormat="false" ht="15" hidden="false" customHeight="false" outlineLevel="0" collapsed="false">
      <c r="A672" s="19" t="s">
        <v>482</v>
      </c>
      <c r="E672" s="20" t="str">
        <f aca="false">IF(P672="?OLD","!!!","")</f>
        <v/>
      </c>
      <c r="F672" s="21" t="str">
        <f aca="false">IF(OR(E672="",E672="!!!"),"",IF(NOT(ISNA(VLOOKUP(E672,Q$1:Q663,1,FALSE()))),"OLD",IF(AND(E672&lt;&gt;"",E672&lt;&gt;"!!!"),"NEW","")))</f>
        <v/>
      </c>
      <c r="G672" s="22" t="str">
        <f aca="false">IF(OR(E672="",E672="!!!"),"",IF(OR(J672=0,AND(J672=1,K672=1),AND(J672=1,I672="SBJ"),AND(J672=1,I672=0)),"?IN_FOCUS",IF(J672&lt;=2,"?ACTIVATED",IF(J672&lt;&gt;"","?FAMILIAR",IF(F672="NEW",IF(ISNA(VLOOKUP(E672,#REF!,1,FALSE())),"?TYPE_IDENTIFIABLE","?REFERENTIAL"),"_")))))</f>
        <v/>
      </c>
      <c r="H672" s="23" t="str">
        <f aca="false">IF(J672&lt;&gt;1,"",IF(I672="SBJ","CB","?"))</f>
        <v/>
      </c>
      <c r="I672" s="24" t="str">
        <f aca="false">IF(OR(E672="",E672="!!!",F672="NEW"),"",INDEX(N$2:N663,-1+SUMPRODUCT(MAX(ROW(E$2:E663)*(E672=E$2:E663)))))</f>
        <v/>
      </c>
      <c r="J672" s="25" t="str">
        <f aca="true">IF(OR(E672="",E672="!!!",F672="NEW"),"",COUNTBLANK(OFFSET(M$1,,,SUMPRODUCT(MAX(ROW(E$2:E664)*(E672=E$2:E664)))))-COUNTBLANK(OFFSET(M$1,,,SUMPRODUCT(MAX(ROW(Q$1:Q663)*(E672=Q$1:Q663))))))</f>
        <v/>
      </c>
      <c r="K672" s="25" t="str">
        <f aca="false">IF(OR(E672="",E672="!!!",F672="NEW"),"",INDEX(V$1:V663,SUMPRODUCT(MAX(ROW(Q$1:Q663)*(E672=Q$1:Q663)))))</f>
        <v/>
      </c>
      <c r="L672" s="26"/>
      <c r="M672" s="27"/>
    </row>
    <row r="673" customFormat="false" ht="15" hidden="false" customHeight="false" outlineLevel="0" collapsed="false">
      <c r="A673" s="19" t="s">
        <v>483</v>
      </c>
      <c r="B673" s="28" t="s">
        <v>251</v>
      </c>
      <c r="C673" s="28" t="s">
        <v>264</v>
      </c>
      <c r="D673" s="28" t="s">
        <v>253</v>
      </c>
      <c r="E673" s="20" t="s">
        <v>586</v>
      </c>
      <c r="F673" s="21" t="str">
        <f aca="false">IF(OR(E673="",E673="!!!"),"",IF(NOT(ISNA(VLOOKUP(E673,Q$1:Q664,1,FALSE()))),"OLD",IF(AND(E673&lt;&gt;"",E673&lt;&gt;"!!!"),"NEW","")))</f>
        <v>NEW</v>
      </c>
      <c r="G673" s="22" t="s">
        <v>296</v>
      </c>
      <c r="H673" s="23" t="str">
        <f aca="false">IF(J673&lt;&gt;1,"",IF(I673="SBJ","CB","?"))</f>
        <v/>
      </c>
      <c r="I673" s="24" t="str">
        <f aca="false">IF(OR(E673="",E673="!!!",F673="NEW"),"",INDEX(N$2:N664,-1+SUMPRODUCT(MAX(ROW(E$2:E664)*(E673=E$2:E664)))))</f>
        <v/>
      </c>
      <c r="J673" s="25" t="str">
        <f aca="true">IF(OR(E673="",E673="!!!",F673="NEW"),"",COUNTBLANK(OFFSET(M$1,,,SUMPRODUCT(MAX(ROW(E$2:E665)*(E673=E$2:E665)))))-COUNTBLANK(OFFSET(M$1,,,SUMPRODUCT(MAX(ROW(Q$1:Q664)*(E673=Q$1:Q664))))))</f>
        <v/>
      </c>
      <c r="K673" s="25" t="str">
        <f aca="false">IF(OR(E673="",E673="!!!",F673="NEW"),"",INDEX(V$1:V664,SUMPRODUCT(MAX(ROW(Q$1:Q664)*(E673=Q$1:Q664)))))</f>
        <v/>
      </c>
      <c r="L673" s="26"/>
      <c r="M673" s="27"/>
      <c r="N673" s="29"/>
      <c r="O673" s="29"/>
      <c r="P673" s="29"/>
    </row>
    <row r="674" customFormat="false" ht="15" hidden="false" customHeight="false" outlineLevel="0" collapsed="false">
      <c r="A674" s="19" t="s">
        <v>582</v>
      </c>
      <c r="E674" s="20" t="str">
        <f aca="false">IF(P674="?OLD","!!!","")</f>
        <v/>
      </c>
      <c r="F674" s="21" t="str">
        <f aca="false">IF(OR(E674="",E674="!!!"),"",IF(NOT(ISNA(VLOOKUP(E674,Q$1:Q665,1,FALSE()))),"OLD",IF(AND(E674&lt;&gt;"",E674&lt;&gt;"!!!"),"NEW","")))</f>
        <v/>
      </c>
      <c r="G674" s="22" t="str">
        <f aca="false">IF(OR(E674="",E674="!!!"),"",IF(OR(J674=0,AND(J674=1,K674=1),AND(J674=1,I674="SBJ"),AND(J674=1,I674=0)),"?IN_FOCUS",IF(J674&lt;=2,"?ACTIVATED",IF(J674&lt;&gt;"","?FAMILIAR",IF(F674="NEW",IF(ISNA(VLOOKUP(E674,#REF!,1,FALSE())),"?TYPE_IDENTIFIABLE","?REFERENTIAL"),"_")))))</f>
        <v/>
      </c>
      <c r="H674" s="23" t="str">
        <f aca="false">IF(J674&lt;&gt;1,"",IF(I674="SBJ","CB","?"))</f>
        <v/>
      </c>
      <c r="I674" s="24" t="str">
        <f aca="false">IF(OR(E674="",E674="!!!",F674="NEW"),"",INDEX(N$2:N665,-1+SUMPRODUCT(MAX(ROW(E$2:E665)*(E674=E$2:E665)))))</f>
        <v/>
      </c>
      <c r="J674" s="25" t="str">
        <f aca="true">IF(OR(E674="",E674="!!!",F674="NEW"),"",COUNTBLANK(OFFSET(M$1,,,SUMPRODUCT(MAX(ROW(E$2:E666)*(E674=E$2:E666)))))-COUNTBLANK(OFFSET(M$1,,,SUMPRODUCT(MAX(ROW(Q$1:Q665)*(E674=Q$1:Q665))))))</f>
        <v/>
      </c>
      <c r="K674" s="25" t="str">
        <f aca="false">IF(OR(E674="",E674="!!!",F674="NEW"),"",INDEX(V$1:V665,SUMPRODUCT(MAX(ROW(Q$1:Q665)*(E674=Q$1:Q665)))))</f>
        <v/>
      </c>
      <c r="L674" s="26"/>
      <c r="M674" s="27"/>
    </row>
    <row r="675" customFormat="false" ht="15" hidden="false" customHeight="false" outlineLevel="0" collapsed="false">
      <c r="A675" s="19" t="s">
        <v>579</v>
      </c>
      <c r="E675" s="20" t="str">
        <f aca="false">IF(P675="?OLD","!!!","")</f>
        <v/>
      </c>
      <c r="F675" s="21" t="str">
        <f aca="false">IF(OR(E675="",E675="!!!"),"",IF(NOT(ISNA(VLOOKUP(E675,Q$1:Q666,1,FALSE()))),"OLD",IF(AND(E675&lt;&gt;"",E675&lt;&gt;"!!!"),"NEW","")))</f>
        <v/>
      </c>
      <c r="G675" s="22" t="str">
        <f aca="false">IF(OR(E675="",E675="!!!"),"",IF(OR(J675=0,AND(J675=1,K675=1),AND(J675=1,I675="SBJ"),AND(J675=1,I675=0)),"?IN_FOCUS",IF(J675&lt;=2,"?ACTIVATED",IF(J675&lt;&gt;"","?FAMILIAR",IF(F675="NEW",IF(ISNA(VLOOKUP(E675,#REF!,1,FALSE())),"?TYPE_IDENTIFIABLE","?REFERENTIAL"),"_")))))</f>
        <v/>
      </c>
      <c r="H675" s="23" t="str">
        <f aca="false">IF(J675&lt;&gt;1,"",IF(I675="SBJ","CB","?"))</f>
        <v/>
      </c>
      <c r="I675" s="24" t="str">
        <f aca="false">IF(OR(E675="",E675="!!!",F675="NEW"),"",INDEX(N$2:N666,-1+SUMPRODUCT(MAX(ROW(E$2:E666)*(E675=E$2:E666)))))</f>
        <v/>
      </c>
      <c r="J675" s="25" t="str">
        <f aca="true">IF(OR(E675="",E675="!!!",F675="NEW"),"",COUNTBLANK(OFFSET(M$1,,,SUMPRODUCT(MAX(ROW(E$2:E667)*(E675=E$2:E667)))))-COUNTBLANK(OFFSET(M$1,,,SUMPRODUCT(MAX(ROW(Q$1:Q666)*(E675=Q$1:Q666))))))</f>
        <v/>
      </c>
      <c r="K675" s="25" t="str">
        <f aca="false">IF(OR(E675="",E675="!!!",F675="NEW"),"",INDEX(V$1:V666,SUMPRODUCT(MAX(ROW(Q$1:Q666)*(E675=Q$1:Q666)))))</f>
        <v/>
      </c>
      <c r="L675" s="26"/>
      <c r="M675" s="27"/>
    </row>
    <row r="676" customFormat="false" ht="15" hidden="false" customHeight="false" outlineLevel="0" collapsed="false">
      <c r="A676" s="19" t="s">
        <v>31</v>
      </c>
      <c r="E676" s="20" t="str">
        <f aca="false">IF(P676="?OLD","!!!","")</f>
        <v/>
      </c>
      <c r="F676" s="21" t="str">
        <f aca="false">IF(OR(E676="",E676="!!!"),"",IF(NOT(ISNA(VLOOKUP(E676,Q$1:Q667,1,FALSE()))),"OLD",IF(AND(E676&lt;&gt;"",E676&lt;&gt;"!!!"),"NEW","")))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IF(OR(E676="",E676="!!!",F676="NEW"),"",INDEX(N$2:N667,-1+SUMPRODUCT(MAX(ROW(E$2:E667)*(E676=E$2:E667)))))</f>
        <v/>
      </c>
      <c r="J676" s="25" t="str">
        <f aca="true">IF(OR(E676="",E676="!!!",F676="NEW"),"",COUNTBLANK(OFFSET(M$1,,,SUMPRODUCT(MAX(ROW(E$2:E668)*(E676=E$2:E668)))))-COUNTBLANK(OFFSET(M$1,,,SUMPRODUCT(MAX(ROW(Q$1:Q667)*(E676=Q$1:Q667))))))</f>
        <v/>
      </c>
      <c r="K676" s="25" t="str">
        <f aca="false">IF(OR(E676="",E676="!!!",F676="NEW"),"",INDEX(V$1:V667,SUMPRODUCT(MAX(ROW(Q$1:Q667)*(E676=Q$1:Q667)))))</f>
        <v/>
      </c>
      <c r="L676" s="26"/>
      <c r="M676" s="27"/>
    </row>
    <row r="677" customFormat="false" ht="15" hidden="false" customHeight="false" outlineLevel="0" collapsed="false">
      <c r="A677" s="19" t="s">
        <v>596</v>
      </c>
      <c r="E677" s="20" t="str">
        <f aca="false">IF(P677="?OLD","!!!","")</f>
        <v/>
      </c>
      <c r="F677" s="21" t="str">
        <f aca="false">IF(OR(E677="",E677="!!!"),"",IF(NOT(ISNA(VLOOKUP(E677,Q$1:Q668,1,FALSE()))),"OLD",IF(AND(E677&lt;&gt;"",E677&lt;&gt;"!!!"),"NEW","")))</f>
        <v/>
      </c>
      <c r="G677" s="22" t="str">
        <f aca="false">IF(OR(E677="",E677="!!!"),"",IF(OR(J677=0,AND(J677=1,K677=1),AND(J677=1,I677="SBJ"),AND(J677=1,I677=0)),"?IN_FOCUS",IF(J677&lt;=2,"?ACTIVATED",IF(J677&lt;&gt;"","?FAMILIAR",IF(F677="NEW",IF(ISNA(VLOOKUP(E677,#REF!,1,FALSE())),"?TYPE_IDENTIFIABLE","?REFERENTIAL"),"_")))))</f>
        <v/>
      </c>
      <c r="H677" s="23" t="str">
        <f aca="false">IF(J677&lt;&gt;1,"",IF(I677="SBJ","CB","?"))</f>
        <v/>
      </c>
      <c r="I677" s="24" t="str">
        <f aca="false">IF(OR(E677="",E677="!!!",F677="NEW"),"",INDEX(N$2:N668,-1+SUMPRODUCT(MAX(ROW(E$2:E668)*(E677=E$2:E668)))))</f>
        <v/>
      </c>
      <c r="J677" s="25" t="str">
        <f aca="true">IF(OR(E677="",E677="!!!",F677="NEW"),"",COUNTBLANK(OFFSET(M$1,,,SUMPRODUCT(MAX(ROW(E$2:E669)*(E677=E$2:E669)))))-COUNTBLANK(OFFSET(M$1,,,SUMPRODUCT(MAX(ROW(Q$1:Q668)*(E677=Q$1:Q668))))))</f>
        <v/>
      </c>
      <c r="K677" s="25" t="str">
        <f aca="false">IF(OR(E677="",E677="!!!",F677="NEW"),"",INDEX(V$1:V668,SUMPRODUCT(MAX(ROW(Q$1:Q668)*(E677=Q$1:Q668)))))</f>
        <v/>
      </c>
      <c r="L677" s="26"/>
      <c r="M677" s="27"/>
    </row>
    <row r="678" customFormat="false" ht="15" hidden="false" customHeight="false" outlineLevel="0" collapsed="false">
      <c r="A678" s="19" t="s">
        <v>275</v>
      </c>
      <c r="E678" s="20" t="str">
        <f aca="false">IF(P678="?OLD","!!!","")</f>
        <v/>
      </c>
      <c r="F678" s="21" t="str">
        <f aca="false">IF(OR(E678="",E678="!!!"),"",IF(NOT(ISNA(VLOOKUP(E678,Q$1:Q669,1,FALSE()))),"OLD",IF(AND(E678&lt;&gt;"",E678&lt;&gt;"!!!"),"NEW","")))</f>
        <v/>
      </c>
      <c r="G678" s="22" t="str">
        <f aca="false">IF(OR(E678="",E678="!!!"),"",IF(OR(J678=0,AND(J678=1,K678=1),AND(J678=1,I678="SBJ"),AND(J678=1,I678=0)),"?IN_FOCUS",IF(J678&lt;=2,"?ACTIVATED",IF(J678&lt;&gt;"","?FAMILIAR",IF(F678="NEW",IF(ISNA(VLOOKUP(E678,#REF!,1,FALSE())),"?TYPE_IDENTIFIABLE","?REFERENTIAL"),"_")))))</f>
        <v/>
      </c>
      <c r="H678" s="23" t="str">
        <f aca="false">IF(J678&lt;&gt;1,"",IF(I678="SBJ","CB","?"))</f>
        <v/>
      </c>
      <c r="I678" s="24" t="str">
        <f aca="false">IF(OR(E678="",E678="!!!",F678="NEW"),"",INDEX(N$2:N669,-1+SUMPRODUCT(MAX(ROW(E$2:E669)*(E678=E$2:E669)))))</f>
        <v/>
      </c>
      <c r="J678" s="25" t="str">
        <f aca="true">IF(OR(E678="",E678="!!!",F678="NEW"),"",COUNTBLANK(OFFSET(M$1,,,SUMPRODUCT(MAX(ROW(E$2:E670)*(E678=E$2:E670)))))-COUNTBLANK(OFFSET(M$1,,,SUMPRODUCT(MAX(ROW(Q$1:Q669)*(E678=Q$1:Q669))))))</f>
        <v/>
      </c>
      <c r="K678" s="25" t="str">
        <f aca="false">IF(OR(E678="",E678="!!!",F678="NEW"),"",INDEX(V$1:V669,SUMPRODUCT(MAX(ROW(Q$1:Q669)*(E678=Q$1:Q669)))))</f>
        <v/>
      </c>
      <c r="L678" s="26"/>
      <c r="M678" s="27"/>
    </row>
    <row r="679" customFormat="false" ht="15" hidden="false" customHeight="false" outlineLevel="0" collapsed="false">
      <c r="A679" s="19"/>
      <c r="E679" s="20" t="str">
        <f aca="false">IF(P679="?OLD","!!!","")</f>
        <v/>
      </c>
      <c r="F679" s="21" t="str">
        <f aca="false">IF(OR(E679="",E679="!!!"),"",IF(NOT(ISNA(VLOOKUP(E679,Q$1:Q670,1,FALSE()))),"OLD",IF(AND(E679&lt;&gt;"",E679&lt;&gt;"!!!"),"NEW","")))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IF(OR(E679="",E679="!!!",F679="NEW"),"",INDEX(N$2:N670,-1+SUMPRODUCT(MAX(ROW(E$2:E670)*(E679=E$2:E670)))))</f>
        <v/>
      </c>
      <c r="J679" s="25" t="str">
        <f aca="true">IF(OR(E679="",E679="!!!",F679="NEW"),"",COUNTBLANK(OFFSET(M$1,,,SUMPRODUCT(MAX(ROW(E$2:E671)*(E679=E$2:E671)))))-COUNTBLANK(OFFSET(M$1,,,SUMPRODUCT(MAX(ROW(Q$1:Q670)*(E679=Q$1:Q670))))))</f>
        <v/>
      </c>
      <c r="K679" s="25" t="str">
        <f aca="false">IF(OR(E679="",E679="!!!",F679="NEW"),"",INDEX(V$1:V670,SUMPRODUCT(MAX(ROW(Q$1:Q670)*(E679=Q$1:Q670)))))</f>
        <v/>
      </c>
      <c r="L679" s="26"/>
    </row>
    <row r="680" customFormat="false" ht="15" hidden="false" customHeight="false" outlineLevel="0" collapsed="false">
      <c r="A680" s="19" t="s">
        <v>597</v>
      </c>
      <c r="E680" s="20" t="str">
        <f aca="false">IF(P680="?OLD","!!!","")</f>
        <v/>
      </c>
      <c r="F680" s="21" t="str">
        <f aca="false">IF(OR(E680="",E680="!!!"),"",IF(NOT(ISNA(VLOOKUP(E680,Q$1:Q671,1,FALSE()))),"OLD",IF(AND(E680&lt;&gt;"",E680&lt;&gt;"!!!"),"NEW","")))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4" t="str">
        <f aca="false">IF(OR(E680="",E680="!!!",F680="NEW"),"",INDEX(N$2:N671,-1+SUMPRODUCT(MAX(ROW(E$2:E671)*(E680=E$2:E671)))))</f>
        <v/>
      </c>
      <c r="J680" s="25" t="str">
        <f aca="true">IF(OR(E680="",E680="!!!",F680="NEW"),"",COUNTBLANK(OFFSET(M$1,,,SUMPRODUCT(MAX(ROW(E$2:E672)*(E680=E$2:E672)))))-COUNTBLANK(OFFSET(M$1,,,SUMPRODUCT(MAX(ROW(Q$1:Q671)*(E680=Q$1:Q671))))))</f>
        <v/>
      </c>
      <c r="K680" s="25" t="str">
        <f aca="false">IF(OR(E680="",E680="!!!",F680="NEW"),"",INDEX(V$1:V671,SUMPRODUCT(MAX(ROW(Q$1:Q671)*(E680=Q$1:Q671)))))</f>
        <v/>
      </c>
      <c r="L680" s="26"/>
      <c r="M680" s="27"/>
    </row>
    <row r="681" customFormat="false" ht="15" hidden="false" customHeight="false" outlineLevel="0" collapsed="false">
      <c r="A681" s="19" t="s">
        <v>598</v>
      </c>
      <c r="E681" s="20" t="str">
        <f aca="false">IF(P681="?OLD","!!!","")</f>
        <v/>
      </c>
      <c r="F681" s="21" t="str">
        <f aca="false">IF(OR(E681="",E681="!!!"),"",IF(NOT(ISNA(VLOOKUP(E681,Q$1:Q672,1,FALSE()))),"OLD",IF(AND(E681&lt;&gt;"",E681&lt;&gt;"!!!"),"NEW","")))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IF(OR(E681="",E681="!!!",F681="NEW"),"",INDEX(N$2:N672,-1+SUMPRODUCT(MAX(ROW(E$2:E672)*(E681=E$2:E672)))))</f>
        <v/>
      </c>
      <c r="J681" s="25" t="str">
        <f aca="true">IF(OR(E681="",E681="!!!",F681="NEW"),"",COUNTBLANK(OFFSET(M$1,,,SUMPRODUCT(MAX(ROW(E$2:E673)*(E681=E$2:E673)))))-COUNTBLANK(OFFSET(M$1,,,SUMPRODUCT(MAX(ROW(Q$1:Q672)*(E681=Q$1:Q672))))))</f>
        <v/>
      </c>
      <c r="K681" s="25" t="str">
        <f aca="false">IF(OR(E681="",E681="!!!",F681="NEW"),"",INDEX(V$1:V672,SUMPRODUCT(MAX(ROW(Q$1:Q672)*(E681=Q$1:Q672)))))</f>
        <v/>
      </c>
      <c r="L681" s="26"/>
      <c r="M681" s="27"/>
    </row>
    <row r="682" customFormat="false" ht="15" hidden="false" customHeight="false" outlineLevel="0" collapsed="false">
      <c r="A682" s="19" t="s">
        <v>452</v>
      </c>
      <c r="B682" s="28" t="s">
        <v>306</v>
      </c>
      <c r="C682" s="28" t="s">
        <v>358</v>
      </c>
      <c r="D682" s="28" t="s">
        <v>253</v>
      </c>
      <c r="E682" s="20" t="s">
        <v>586</v>
      </c>
      <c r="F682" s="21" t="str">
        <f aca="false">IF(OR(E682="",E682="!!!"),"",IF(NOT(ISNA(VLOOKUP(E682,Q$1:Q673,1,FALSE()))),"OLD",IF(AND(E682&lt;&gt;"",E682&lt;&gt;"!!!"),"NEW","")))</f>
        <v>NEW</v>
      </c>
      <c r="G682" s="22" t="s">
        <v>266</v>
      </c>
      <c r="H682" s="23" t="s">
        <v>243</v>
      </c>
      <c r="I682" s="24" t="str">
        <f aca="false">IF(OR(E682="",E682="!!!",F682="NEW"),"",INDEX(N$2:N673,-1+SUMPRODUCT(MAX(ROW(E$2:E673)*(E682=E$2:E673)))))</f>
        <v/>
      </c>
      <c r="J682" s="25" t="str">
        <f aca="true">IF(OR(E682="",E682="!!!",F682="NEW"),"",COUNTBLANK(OFFSET(M$1,,,SUMPRODUCT(MAX(ROW(E$2:E674)*(E682=E$2:E674)))))-COUNTBLANK(OFFSET(M$1,,,SUMPRODUCT(MAX(ROW(Q$1:Q673)*(E682=Q$1:Q673))))))</f>
        <v/>
      </c>
      <c r="K682" s="25" t="str">
        <f aca="false">IF(OR(E682="",E682="!!!",F682="NEW"),"",INDEX(V$1:V673,SUMPRODUCT(MAX(ROW(Q$1:Q673)*(E682=Q$1:Q673)))))</f>
        <v/>
      </c>
      <c r="L682" s="26"/>
      <c r="M682" s="27"/>
      <c r="N682" s="29"/>
      <c r="O682" s="29"/>
      <c r="P682" s="29"/>
    </row>
    <row r="683" customFormat="false" ht="15" hidden="false" customHeight="false" outlineLevel="0" collapsed="false">
      <c r="A683" s="19" t="s">
        <v>599</v>
      </c>
      <c r="B683" s="28" t="s">
        <v>263</v>
      </c>
      <c r="C683" s="28" t="s">
        <v>314</v>
      </c>
      <c r="D683" s="28" t="s">
        <v>253</v>
      </c>
      <c r="E683" s="20" t="s">
        <v>600</v>
      </c>
      <c r="F683" s="21" t="str">
        <f aca="false">IF(OR(E683="",E683="!!!"),"",IF(NOT(ISNA(VLOOKUP(E683,Q$1:Q674,1,FALSE()))),"OLD",IF(AND(E683&lt;&gt;"",E683&lt;&gt;"!!!"),"NEW","")))</f>
        <v>NEW</v>
      </c>
      <c r="G683" s="22" t="s">
        <v>255</v>
      </c>
      <c r="H683" s="23" t="str">
        <f aca="false">IF(J683&lt;&gt;1,"",IF(I683="SBJ","CB","?"))</f>
        <v/>
      </c>
      <c r="I683" s="24" t="str">
        <f aca="false">IF(OR(E683="",E683="!!!",F683="NEW"),"",INDEX(N$2:N674,-1+SUMPRODUCT(MAX(ROW(E$2:E674)*(E683=E$2:E674)))))</f>
        <v/>
      </c>
      <c r="J683" s="25" t="str">
        <f aca="true">IF(OR(E683="",E683="!!!",F683="NEW"),"",COUNTBLANK(OFFSET(M$1,,,SUMPRODUCT(MAX(ROW(E$2:E675)*(E683=E$2:E675)))))-COUNTBLANK(OFFSET(M$1,,,SUMPRODUCT(MAX(ROW(Q$1:Q674)*(E683=Q$1:Q674))))))</f>
        <v/>
      </c>
      <c r="K683" s="25" t="str">
        <f aca="false">IF(OR(E683="",E683="!!!",F683="NEW"),"",INDEX(V$1:V674,SUMPRODUCT(MAX(ROW(Q$1:Q674)*(E683=Q$1:Q674)))))</f>
        <v/>
      </c>
      <c r="L683" s="26"/>
      <c r="M683" s="27"/>
      <c r="N683" s="29"/>
      <c r="O683" s="29"/>
      <c r="P683" s="29"/>
    </row>
    <row r="684" customFormat="false" ht="15" hidden="false" customHeight="false" outlineLevel="0" collapsed="false">
      <c r="A684" s="19" t="s">
        <v>346</v>
      </c>
      <c r="E684" s="20" t="str">
        <f aca="false">IF(P684="?OLD","!!!","")</f>
        <v/>
      </c>
      <c r="F684" s="21" t="str">
        <f aca="false">IF(OR(E684="",E684="!!!"),"",IF(NOT(ISNA(VLOOKUP(E684,Q$1:Q675,1,FALSE()))),"OLD",IF(AND(E684&lt;&gt;"",E684&lt;&gt;"!!!"),"NEW","")))</f>
        <v/>
      </c>
      <c r="G684" s="22" t="str">
        <f aca="false">IF(OR(E684="",E684="!!!"),"",IF(OR(J684=0,AND(J684=1,K684=1),AND(J684=1,I684="SBJ"),AND(J684=1,I684=0)),"?IN_FOCUS",IF(J684&lt;=2,"?ACTIVATED",IF(J684&lt;&gt;"","?FAMILIAR",IF(F684="NEW",IF(ISNA(VLOOKUP(E684,#REF!,1,FALSE())),"?TYPE_IDENTIFIABLE","?REFERENTIAL"),"_")))))</f>
        <v/>
      </c>
      <c r="H684" s="23" t="str">
        <f aca="false">IF(J684&lt;&gt;1,"",IF(I684="SBJ","CB","?"))</f>
        <v/>
      </c>
      <c r="I684" s="24" t="str">
        <f aca="false">IF(OR(E684="",E684="!!!",F684="NEW"),"",INDEX(N$2:N675,-1+SUMPRODUCT(MAX(ROW(E$2:E675)*(E684=E$2:E675)))))</f>
        <v/>
      </c>
      <c r="J684" s="25" t="str">
        <f aca="true">IF(OR(E684="",E684="!!!",F684="NEW"),"",COUNTBLANK(OFFSET(M$1,,,SUMPRODUCT(MAX(ROW(E$2:E676)*(E684=E$2:E676)))))-COUNTBLANK(OFFSET(M$1,,,SUMPRODUCT(MAX(ROW(Q$1:Q675)*(E684=Q$1:Q675))))))</f>
        <v/>
      </c>
      <c r="K684" s="25" t="str">
        <f aca="false">IF(OR(E684="",E684="!!!",F684="NEW"),"",INDEX(V$1:V675,SUMPRODUCT(MAX(ROW(Q$1:Q675)*(E684=Q$1:Q675)))))</f>
        <v/>
      </c>
      <c r="L684" s="26"/>
      <c r="M684" s="27"/>
    </row>
    <row r="685" customFormat="false" ht="15" hidden="false" customHeight="false" outlineLevel="0" collapsed="false">
      <c r="A685" s="19" t="s">
        <v>601</v>
      </c>
      <c r="E685" s="20" t="str">
        <f aca="false">IF(P685="?OLD","!!!","")</f>
        <v/>
      </c>
      <c r="F685" s="21" t="str">
        <f aca="false">IF(OR(E685="",E685="!!!"),"",IF(NOT(ISNA(VLOOKUP(E685,Q$1:Q676,1,FALSE()))),"OLD",IF(AND(E685&lt;&gt;"",E685&lt;&gt;"!!!"),"NEW","")))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4" t="str">
        <f aca="false">IF(OR(E685="",E685="!!!",F685="NEW"),"",INDEX(N$2:N676,-1+SUMPRODUCT(MAX(ROW(E$2:E676)*(E685=E$2:E676)))))</f>
        <v/>
      </c>
      <c r="J685" s="25" t="str">
        <f aca="true">IF(OR(E685="",E685="!!!",F685="NEW"),"",COUNTBLANK(OFFSET(M$1,,,SUMPRODUCT(MAX(ROW(E$2:E677)*(E685=E$2:E677)))))-COUNTBLANK(OFFSET(M$1,,,SUMPRODUCT(MAX(ROW(Q$1:Q676)*(E685=Q$1:Q676))))))</f>
        <v/>
      </c>
      <c r="K685" s="25" t="str">
        <f aca="false">IF(OR(E685="",E685="!!!",F685="NEW"),"",INDEX(V$1:V676,SUMPRODUCT(MAX(ROW(Q$1:Q676)*(E685=Q$1:Q676)))))</f>
        <v/>
      </c>
      <c r="L685" s="26"/>
      <c r="M685" s="27"/>
    </row>
    <row r="686" customFormat="false" ht="15" hidden="false" customHeight="false" outlineLevel="0" collapsed="false">
      <c r="A686" s="19" t="s">
        <v>261</v>
      </c>
      <c r="E686" s="20" t="str">
        <f aca="false">IF(P686="?OLD","!!!","")</f>
        <v/>
      </c>
      <c r="F686" s="21" t="str">
        <f aca="false">IF(OR(E686="",E686="!!!"),"",IF(NOT(ISNA(VLOOKUP(E686,Q$1:Q677,1,FALSE()))),"OLD",IF(AND(E686&lt;&gt;"",E686&lt;&gt;"!!!"),"NEW","")))</f>
        <v/>
      </c>
      <c r="G686" s="22" t="str">
        <f aca="false">IF(OR(E686="",E686="!!!"),"",IF(OR(J686=0,AND(J686=1,K686=1),AND(J686=1,I686="SBJ"),AND(J686=1,I686=0)),"?IN_FOCUS",IF(J686&lt;=2,"?ACTIVATED",IF(J686&lt;&gt;"","?FAMILIAR",IF(F686="NEW",IF(ISNA(VLOOKUP(E686,#REF!,1,FALSE())),"?TYPE_IDENTIFIABLE","?REFERENTIAL"),"_")))))</f>
        <v/>
      </c>
      <c r="H686" s="23" t="str">
        <f aca="false">IF(J686&lt;&gt;1,"",IF(I686="SBJ","CB","?"))</f>
        <v/>
      </c>
      <c r="I686" s="24" t="str">
        <f aca="false">IF(OR(E686="",E686="!!!",F686="NEW"),"",INDEX(N$2:N677,-1+SUMPRODUCT(MAX(ROW(E$2:E677)*(E686=E$2:E677)))))</f>
        <v/>
      </c>
      <c r="J686" s="25" t="str">
        <f aca="true">IF(OR(E686="",E686="!!!",F686="NEW"),"",COUNTBLANK(OFFSET(M$1,,,SUMPRODUCT(MAX(ROW(E$2:E678)*(E686=E$2:E678)))))-COUNTBLANK(OFFSET(M$1,,,SUMPRODUCT(MAX(ROW(Q$1:Q677)*(E686=Q$1:Q677))))))</f>
        <v/>
      </c>
      <c r="K686" s="25" t="str">
        <f aca="false">IF(OR(E686="",E686="!!!",F686="NEW"),"",INDEX(V$1:V677,SUMPRODUCT(MAX(ROW(Q$1:Q677)*(E686=Q$1:Q677)))))</f>
        <v/>
      </c>
      <c r="L686" s="26"/>
      <c r="M686" s="27"/>
    </row>
    <row r="687" customFormat="false" ht="15" hidden="false" customHeight="false" outlineLevel="0" collapsed="false">
      <c r="A687" s="19" t="s">
        <v>294</v>
      </c>
      <c r="E687" s="20" t="str">
        <f aca="false">IF(P687="?OLD","!!!","")</f>
        <v/>
      </c>
      <c r="F687" s="21" t="str">
        <f aca="false">IF(OR(E687="",E687="!!!"),"",IF(NOT(ISNA(VLOOKUP(E687,Q$1:Q678,1,FALSE()))),"OLD",IF(AND(E687&lt;&gt;"",E687&lt;&gt;"!!!"),"NEW","")))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4" t="str">
        <f aca="false">IF(OR(E687="",E687="!!!",F687="NEW"),"",INDEX(N$2:N678,-1+SUMPRODUCT(MAX(ROW(E$2:E678)*(E687=E$2:E678)))))</f>
        <v/>
      </c>
      <c r="J687" s="25" t="str">
        <f aca="true">IF(OR(E687="",E687="!!!",F687="NEW"),"",COUNTBLANK(OFFSET(M$1,,,SUMPRODUCT(MAX(ROW(E$2:E679)*(E687=E$2:E679)))))-COUNTBLANK(OFFSET(M$1,,,SUMPRODUCT(MAX(ROW(Q$1:Q678)*(E687=Q$1:Q678))))))</f>
        <v/>
      </c>
      <c r="K687" s="25" t="str">
        <f aca="false">IF(OR(E687="",E687="!!!",F687="NEW"),"",INDEX(V$1:V678,SUMPRODUCT(MAX(ROW(Q$1:Q678)*(E687=Q$1:Q678)))))</f>
        <v/>
      </c>
      <c r="L687" s="26"/>
      <c r="M687" s="27"/>
    </row>
    <row r="688" customFormat="false" ht="15" hidden="false" customHeight="false" outlineLevel="0" collapsed="false">
      <c r="A688" s="19" t="s">
        <v>452</v>
      </c>
      <c r="B688" s="28" t="s">
        <v>258</v>
      </c>
      <c r="C688" s="28" t="s">
        <v>358</v>
      </c>
      <c r="D688" s="28" t="s">
        <v>253</v>
      </c>
      <c r="E688" s="20" t="s">
        <v>586</v>
      </c>
      <c r="F688" s="21" t="str">
        <f aca="false">IF(OR(E688="",E688="!!!"),"",IF(NOT(ISNA(VLOOKUP(E688,Q$1:Q679,1,FALSE()))),"OLD",IF(AND(E688&lt;&gt;"",E688&lt;&gt;"!!!"),"NEW","")))</f>
        <v>NEW</v>
      </c>
      <c r="G688" s="22" t="s">
        <v>296</v>
      </c>
      <c r="H688" s="23" t="str">
        <f aca="false">IF(J688&lt;&gt;1,"",IF(I688="SBJ","CB","?"))</f>
        <v/>
      </c>
      <c r="I688" s="24" t="str">
        <f aca="false">IF(OR(E688="",E688="!!!",F688="NEW"),"",INDEX(N$2:N679,-1+SUMPRODUCT(MAX(ROW(E$2:E679)*(E688=E$2:E679)))))</f>
        <v/>
      </c>
      <c r="J688" s="25" t="str">
        <f aca="true">IF(OR(E688="",E688="!!!",F688="NEW"),"",COUNTBLANK(OFFSET(M$1,,,SUMPRODUCT(MAX(ROW(E$2:E680)*(E688=E$2:E680)))))-COUNTBLANK(OFFSET(M$1,,,SUMPRODUCT(MAX(ROW(Q$1:Q679)*(E688=Q$1:Q679))))))</f>
        <v/>
      </c>
      <c r="K688" s="25" t="str">
        <f aca="false">IF(OR(E688="",E688="!!!",F688="NEW"),"",INDEX(V$1:V679,SUMPRODUCT(MAX(ROW(Q$1:Q679)*(E688=Q$1:Q679)))))</f>
        <v/>
      </c>
      <c r="L688" s="26"/>
      <c r="M688" s="27"/>
      <c r="N688" s="29"/>
      <c r="O688" s="29"/>
      <c r="P688" s="29"/>
    </row>
    <row r="689" customFormat="false" ht="15" hidden="false" customHeight="false" outlineLevel="0" collapsed="false">
      <c r="A689" s="19" t="s">
        <v>602</v>
      </c>
      <c r="B689" s="28" t="s">
        <v>251</v>
      </c>
      <c r="C689" s="28" t="s">
        <v>314</v>
      </c>
      <c r="D689" s="28" t="s">
        <v>253</v>
      </c>
      <c r="E689" s="20" t="s">
        <v>603</v>
      </c>
      <c r="F689" s="21" t="str">
        <f aca="false">IF(OR(E689="",E689="!!!"),"",IF(NOT(ISNA(VLOOKUP(E689,Q$1:Q680,1,FALSE()))),"OLD",IF(AND(E689&lt;&gt;"",E689&lt;&gt;"!!!"),"NEW","")))</f>
        <v>NEW</v>
      </c>
      <c r="G689" s="22" t="s">
        <v>255</v>
      </c>
      <c r="H689" s="23" t="str">
        <f aca="false">IF(J689&lt;&gt;1,"",IF(I689="SBJ","CB","?"))</f>
        <v/>
      </c>
      <c r="I689" s="24" t="str">
        <f aca="false">IF(OR(E689="",E689="!!!",F689="NEW"),"",INDEX(N$2:N680,-1+SUMPRODUCT(MAX(ROW(E$2:E680)*(E689=E$2:E680)))))</f>
        <v/>
      </c>
      <c r="J689" s="25" t="str">
        <f aca="true">IF(OR(E689="",E689="!!!",F689="NEW"),"",COUNTBLANK(OFFSET(M$1,,,SUMPRODUCT(MAX(ROW(E$2:E681)*(E689=E$2:E681)))))-COUNTBLANK(OFFSET(M$1,,,SUMPRODUCT(MAX(ROW(Q$1:Q680)*(E689=Q$1:Q680))))))</f>
        <v/>
      </c>
      <c r="K689" s="25" t="str">
        <f aca="false">IF(OR(E689="",E689="!!!",F689="NEW"),"",INDEX(V$1:V680,SUMPRODUCT(MAX(ROW(Q$1:Q680)*(E689=Q$1:Q680)))))</f>
        <v/>
      </c>
      <c r="L689" s="26"/>
      <c r="M689" s="27"/>
      <c r="N689" s="29"/>
      <c r="O689" s="29"/>
      <c r="P689" s="29"/>
    </row>
    <row r="690" customFormat="false" ht="15" hidden="false" customHeight="false" outlineLevel="0" collapsed="false">
      <c r="A690" s="19" t="s">
        <v>604</v>
      </c>
      <c r="E690" s="20" t="str">
        <f aca="false">IF(P690="?OLD","!!!","")</f>
        <v/>
      </c>
      <c r="F690" s="21" t="str">
        <f aca="false">IF(OR(E690="",E690="!!!"),"",IF(NOT(ISNA(VLOOKUP(E690,Q$1:Q681,1,FALSE()))),"OLD",IF(AND(E690&lt;&gt;"",E690&lt;&gt;"!!!"),"NEW","")))</f>
        <v/>
      </c>
      <c r="G690" s="22" t="str">
        <f aca="false">IF(OR(E690="",E690="!!!"),"",IF(OR(J690=0,AND(J690=1,K690=1),AND(J690=1,I690="SBJ"),AND(J690=1,I690=0)),"?IN_FOCUS",IF(J690&lt;=2,"?ACTIVATED",IF(J690&lt;&gt;"","?FAMILIAR",IF(F690="NEW",IF(ISNA(VLOOKUP(E690,#REF!,1,FALSE())),"?TYPE_IDENTIFIABLE","?REFERENTIAL"),"_")))))</f>
        <v/>
      </c>
      <c r="H690" s="23" t="str">
        <f aca="false">IF(J690&lt;&gt;1,"",IF(I690="SBJ","CB","?"))</f>
        <v/>
      </c>
      <c r="I690" s="24" t="str">
        <f aca="false">IF(OR(E690="",E690="!!!",F690="NEW"),"",INDEX(N$2:N681,-1+SUMPRODUCT(MAX(ROW(E$2:E681)*(E690=E$2:E681)))))</f>
        <v/>
      </c>
      <c r="J690" s="25" t="str">
        <f aca="true">IF(OR(E690="",E690="!!!",F690="NEW"),"",COUNTBLANK(OFFSET(M$1,,,SUMPRODUCT(MAX(ROW(E$2:E682)*(E690=E$2:E682)))))-COUNTBLANK(OFFSET(M$1,,,SUMPRODUCT(MAX(ROW(Q$1:Q681)*(E690=Q$1:Q681))))))</f>
        <v/>
      </c>
      <c r="K690" s="25" t="str">
        <f aca="false">IF(OR(E690="",E690="!!!",F690="NEW"),"",INDEX(V$1:V681,SUMPRODUCT(MAX(ROW(Q$1:Q681)*(E690=Q$1:Q681)))))</f>
        <v/>
      </c>
      <c r="L690" s="26"/>
      <c r="M690" s="27"/>
    </row>
    <row r="691" customFormat="false" ht="15" hidden="false" customHeight="false" outlineLevel="0" collapsed="false">
      <c r="A691" s="19" t="s">
        <v>275</v>
      </c>
      <c r="E691" s="20" t="str">
        <f aca="false">IF(P691="?OLD","!!!","")</f>
        <v/>
      </c>
      <c r="F691" s="21" t="str">
        <f aca="false">IF(OR(E691="",E691="!!!"),"",IF(NOT(ISNA(VLOOKUP(E691,Q$1:Q682,1,FALSE()))),"OLD",IF(AND(E691&lt;&gt;"",E691&lt;&gt;"!!!"),"NEW","")))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IF(OR(E691="",E691="!!!",F691="NEW"),"",INDEX(N$2:N682,-1+SUMPRODUCT(MAX(ROW(E$2:E682)*(E691=E$2:E682)))))</f>
        <v/>
      </c>
      <c r="J691" s="25" t="str">
        <f aca="true">IF(OR(E691="",E691="!!!",F691="NEW"),"",COUNTBLANK(OFFSET(M$1,,,SUMPRODUCT(MAX(ROW(E$2:E683)*(E691=E$2:E683)))))-COUNTBLANK(OFFSET(M$1,,,SUMPRODUCT(MAX(ROW(Q$1:Q682)*(E691=Q$1:Q682))))))</f>
        <v/>
      </c>
      <c r="K691" s="25" t="str">
        <f aca="false">IF(OR(E691="",E691="!!!",F691="NEW"),"",INDEX(V$1:V682,SUMPRODUCT(MAX(ROW(Q$1:Q682)*(E691=Q$1:Q682)))))</f>
        <v/>
      </c>
      <c r="L691" s="26"/>
      <c r="M691" s="27"/>
    </row>
    <row r="692" customFormat="false" ht="15" hidden="false" customHeight="false" outlineLevel="0" collapsed="false">
      <c r="A692" s="19"/>
      <c r="E692" s="20" t="str">
        <f aca="false">IF(P692="?OLD","!!!","")</f>
        <v/>
      </c>
      <c r="F692" s="21" t="str">
        <f aca="false">IF(OR(E692="",E692="!!!"),"",IF(NOT(ISNA(VLOOKUP(E692,Q$1:Q683,1,FALSE()))),"OLD",IF(AND(E692&lt;&gt;"",E692&lt;&gt;"!!!"),"NEW","")))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4" t="str">
        <f aca="false">IF(OR(E692="",E692="!!!",F692="NEW"),"",INDEX(N$2:N683,-1+SUMPRODUCT(MAX(ROW(E$2:E683)*(E692=E$2:E683)))))</f>
        <v/>
      </c>
      <c r="J692" s="25" t="str">
        <f aca="true">IF(OR(E692="",E692="!!!",F692="NEW"),"",COUNTBLANK(OFFSET(M$1,,,SUMPRODUCT(MAX(ROW(E$2:E684)*(E692=E$2:E684)))))-COUNTBLANK(OFFSET(M$1,,,SUMPRODUCT(MAX(ROW(Q$1:Q683)*(E692=Q$1:Q683))))))</f>
        <v/>
      </c>
      <c r="K692" s="25" t="str">
        <f aca="false">IF(OR(E692="",E692="!!!",F692="NEW"),"",INDEX(V$1:V683,SUMPRODUCT(MAX(ROW(Q$1:Q683)*(E692=Q$1:Q683)))))</f>
        <v/>
      </c>
      <c r="L692" s="26"/>
    </row>
    <row r="693" customFormat="false" ht="15" hidden="false" customHeight="false" outlineLevel="0" collapsed="false">
      <c r="A693" s="19" t="s">
        <v>605</v>
      </c>
      <c r="E693" s="20" t="str">
        <f aca="false">IF(P693="?OLD","!!!","")</f>
        <v/>
      </c>
      <c r="F693" s="21" t="str">
        <f aca="false">IF(OR(E693="",E693="!!!"),"",IF(NOT(ISNA(VLOOKUP(E693,Q$1:Q684,1,FALSE()))),"OLD",IF(AND(E693&lt;&gt;"",E693&lt;&gt;"!!!"),"NEW","")))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4" t="str">
        <f aca="false">IF(OR(E693="",E693="!!!",F693="NEW"),"",INDEX(N$2:N684,-1+SUMPRODUCT(MAX(ROW(E$2:E684)*(E693=E$2:E684)))))</f>
        <v/>
      </c>
      <c r="J693" s="25" t="str">
        <f aca="true">IF(OR(E693="",E693="!!!",F693="NEW"),"",COUNTBLANK(OFFSET(M$1,,,SUMPRODUCT(MAX(ROW(E$2:E685)*(E693=E$2:E685)))))-COUNTBLANK(OFFSET(M$1,,,SUMPRODUCT(MAX(ROW(Q$1:Q684)*(E693=Q$1:Q684))))))</f>
        <v/>
      </c>
      <c r="K693" s="25" t="str">
        <f aca="false">IF(OR(E693="",E693="!!!",F693="NEW"),"",INDEX(V$1:V684,SUMPRODUCT(MAX(ROW(Q$1:Q684)*(E693=Q$1:Q684)))))</f>
        <v/>
      </c>
      <c r="L693" s="26"/>
      <c r="M693" s="27"/>
    </row>
    <row r="694" customFormat="false" ht="15" hidden="false" customHeight="false" outlineLevel="0" collapsed="false">
      <c r="A694" s="19" t="s">
        <v>606</v>
      </c>
      <c r="E694" s="20" t="str">
        <f aca="false">IF(P694="?OLD","!!!","")</f>
        <v/>
      </c>
      <c r="F694" s="21" t="str">
        <f aca="false">IF(OR(E694="",E694="!!!"),"",IF(NOT(ISNA(VLOOKUP(E694,Q$1:Q685,1,FALSE()))),"OLD",IF(AND(E694&lt;&gt;"",E694&lt;&gt;"!!!"),"NEW","")))</f>
        <v/>
      </c>
      <c r="G694" s="22" t="str">
        <f aca="false">IF(OR(E694="",E694="!!!"),"",IF(OR(J694=0,AND(J694=1,K694=1),AND(J694=1,I694="SBJ"),AND(J694=1,I694=0)),"?IN_FOCUS",IF(J694&lt;=2,"?ACTIVATED",IF(J694&lt;&gt;"","?FAMILIAR",IF(F694="NEW",IF(ISNA(VLOOKUP(E694,#REF!,1,FALSE())),"?TYPE_IDENTIFIABLE","?REFERENTIAL"),"_")))))</f>
        <v/>
      </c>
      <c r="H694" s="23" t="str">
        <f aca="false">IF(J694&lt;&gt;1,"",IF(I694="SBJ","CB","?"))</f>
        <v/>
      </c>
      <c r="I694" s="24" t="str">
        <f aca="false">IF(OR(E694="",E694="!!!",F694="NEW"),"",INDEX(N$2:N685,-1+SUMPRODUCT(MAX(ROW(E$2:E685)*(E694=E$2:E685)))))</f>
        <v/>
      </c>
      <c r="J694" s="25" t="str">
        <f aca="true">IF(OR(E694="",E694="!!!",F694="NEW"),"",COUNTBLANK(OFFSET(M$1,,,SUMPRODUCT(MAX(ROW(E$2:E686)*(E694=E$2:E686)))))-COUNTBLANK(OFFSET(M$1,,,SUMPRODUCT(MAX(ROW(Q$1:Q685)*(E694=Q$1:Q685))))))</f>
        <v/>
      </c>
      <c r="K694" s="25" t="str">
        <f aca="false">IF(OR(E694="",E694="!!!",F694="NEW"),"",INDEX(V$1:V685,SUMPRODUCT(MAX(ROW(Q$1:Q685)*(E694=Q$1:Q685)))))</f>
        <v/>
      </c>
      <c r="L694" s="26"/>
      <c r="M694" s="27"/>
    </row>
    <row r="695" customFormat="false" ht="15" hidden="false" customHeight="false" outlineLevel="0" collapsed="false">
      <c r="A695" s="19" t="s">
        <v>452</v>
      </c>
      <c r="B695" s="28" t="s">
        <v>306</v>
      </c>
      <c r="C695" s="28" t="s">
        <v>358</v>
      </c>
      <c r="D695" s="28" t="s">
        <v>253</v>
      </c>
      <c r="E695" s="20" t="s">
        <v>586</v>
      </c>
      <c r="F695" s="21" t="str">
        <f aca="false">IF(OR(E695="",E695="!!!"),"",IF(NOT(ISNA(VLOOKUP(E695,Q$1:Q686,1,FALSE()))),"OLD",IF(AND(E695&lt;&gt;"",E695&lt;&gt;"!!!"),"NEW","")))</f>
        <v>NEW</v>
      </c>
      <c r="G695" s="22" t="s">
        <v>266</v>
      </c>
      <c r="H695" s="23" t="s">
        <v>243</v>
      </c>
      <c r="I695" s="24" t="str">
        <f aca="false">IF(OR(E695="",E695="!!!",F695="NEW"),"",INDEX(N$2:N686,-1+SUMPRODUCT(MAX(ROW(E$2:E686)*(E695=E$2:E686)))))</f>
        <v/>
      </c>
      <c r="J695" s="25" t="str">
        <f aca="true">IF(OR(E695="",E695="!!!",F695="NEW"),"",COUNTBLANK(OFFSET(M$1,,,SUMPRODUCT(MAX(ROW(E$2:E687)*(E695=E$2:E687)))))-COUNTBLANK(OFFSET(M$1,,,SUMPRODUCT(MAX(ROW(Q$1:Q686)*(E695=Q$1:Q686))))))</f>
        <v/>
      </c>
      <c r="K695" s="25" t="str">
        <f aca="false">IF(OR(E695="",E695="!!!",F695="NEW"),"",INDEX(V$1:V686,SUMPRODUCT(MAX(ROW(Q$1:Q686)*(E695=Q$1:Q686)))))</f>
        <v/>
      </c>
      <c r="L695" s="26"/>
      <c r="M695" s="27"/>
      <c r="N695" s="29"/>
      <c r="O695" s="29"/>
      <c r="P695" s="29"/>
    </row>
    <row r="696" customFormat="false" ht="15" hidden="false" customHeight="false" outlineLevel="0" collapsed="false">
      <c r="A696" s="19" t="s">
        <v>484</v>
      </c>
      <c r="B696" s="28" t="s">
        <v>380</v>
      </c>
      <c r="C696" s="28" t="s">
        <v>314</v>
      </c>
      <c r="D696" s="28" t="s">
        <v>253</v>
      </c>
      <c r="E696" s="20" t="s">
        <v>607</v>
      </c>
      <c r="F696" s="21" t="str">
        <f aca="false">IF(OR(E696="",E696="!!!"),"",IF(NOT(ISNA(VLOOKUP(E696,Q$1:Q687,1,FALSE()))),"OLD",IF(AND(E696&lt;&gt;"",E696&lt;&gt;"!!!"),"NEW","")))</f>
        <v>NEW</v>
      </c>
      <c r="G696" s="22" t="s">
        <v>255</v>
      </c>
      <c r="H696" s="23" t="str">
        <f aca="false">IF(J696&lt;&gt;1,"",IF(I696="SBJ","CB","?"))</f>
        <v/>
      </c>
      <c r="I696" s="24" t="str">
        <f aca="false">IF(OR(E696="",E696="!!!",F696="NEW"),"",INDEX(N$2:N687,-1+SUMPRODUCT(MAX(ROW(E$2:E687)*(E696=E$2:E687)))))</f>
        <v/>
      </c>
      <c r="J696" s="25" t="str">
        <f aca="true">IF(OR(E696="",E696="!!!",F696="NEW"),"",COUNTBLANK(OFFSET(M$1,,,SUMPRODUCT(MAX(ROW(E$2:E688)*(E696=E$2:E688)))))-COUNTBLANK(OFFSET(M$1,,,SUMPRODUCT(MAX(ROW(Q$1:Q687)*(E696=Q$1:Q687))))))</f>
        <v/>
      </c>
      <c r="K696" s="25" t="str">
        <f aca="false">IF(OR(E696="",E696="!!!",F696="NEW"),"",INDEX(V$1:V687,SUMPRODUCT(MAX(ROW(Q$1:Q687)*(E696=Q$1:Q687)))))</f>
        <v/>
      </c>
      <c r="L696" s="26"/>
      <c r="M696" s="27"/>
      <c r="N696" s="29"/>
      <c r="O696" s="29"/>
      <c r="P696" s="29"/>
    </row>
    <row r="697" customFormat="false" ht="15" hidden="false" customHeight="false" outlineLevel="0" collapsed="false">
      <c r="A697" s="19" t="s">
        <v>608</v>
      </c>
      <c r="E697" s="20" t="str">
        <f aca="false">IF(P697="?OLD","!!!","")</f>
        <v/>
      </c>
      <c r="F697" s="21" t="str">
        <f aca="false">IF(OR(E697="",E697="!!!"),"",IF(NOT(ISNA(VLOOKUP(E697,Q$1:Q688,1,FALSE()))),"OLD",IF(AND(E697&lt;&gt;"",E697&lt;&gt;"!!!"),"NEW","")))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IF(OR(E697="",E697="!!!",F697="NEW"),"",INDEX(N$2:N688,-1+SUMPRODUCT(MAX(ROW(E$2:E688)*(E697=E$2:E688)))))</f>
        <v/>
      </c>
      <c r="J697" s="25" t="str">
        <f aca="true">IF(OR(E697="",E697="!!!",F697="NEW"),"",COUNTBLANK(OFFSET(M$1,,,SUMPRODUCT(MAX(ROW(E$2:E689)*(E697=E$2:E689)))))-COUNTBLANK(OFFSET(M$1,,,SUMPRODUCT(MAX(ROW(Q$1:Q688)*(E697=Q$1:Q688))))))</f>
        <v/>
      </c>
      <c r="K697" s="25" t="str">
        <f aca="false">IF(OR(E697="",E697="!!!",F697="NEW"),"",INDEX(V$1:V688,SUMPRODUCT(MAX(ROW(Q$1:Q688)*(E697=Q$1:Q688)))))</f>
        <v/>
      </c>
      <c r="L697" s="26"/>
      <c r="M697" s="27"/>
    </row>
    <row r="698" customFormat="false" ht="15" hidden="false" customHeight="false" outlineLevel="0" collapsed="false">
      <c r="A698" s="19" t="s">
        <v>477</v>
      </c>
      <c r="E698" s="20" t="str">
        <f aca="false">IF(P698="?OLD","!!!","")</f>
        <v/>
      </c>
      <c r="F698" s="21" t="str">
        <f aca="false">IF(OR(E698="",E698="!!!"),"",IF(NOT(ISNA(VLOOKUP(E698,Q$1:Q689,1,FALSE()))),"OLD",IF(AND(E698&lt;&gt;"",E698&lt;&gt;"!!!"),"NEW","")))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4" t="str">
        <f aca="false">IF(OR(E698="",E698="!!!",F698="NEW"),"",INDEX(N$2:N689,-1+SUMPRODUCT(MAX(ROW(E$2:E689)*(E698=E$2:E689)))))</f>
        <v/>
      </c>
      <c r="J698" s="25" t="str">
        <f aca="true">IF(OR(E698="",E698="!!!",F698="NEW"),"",COUNTBLANK(OFFSET(M$1,,,SUMPRODUCT(MAX(ROW(E$2:E690)*(E698=E$2:E690)))))-COUNTBLANK(OFFSET(M$1,,,SUMPRODUCT(MAX(ROW(Q$1:Q689)*(E698=Q$1:Q689))))))</f>
        <v/>
      </c>
      <c r="K698" s="25" t="str">
        <f aca="false">IF(OR(E698="",E698="!!!",F698="NEW"),"",INDEX(V$1:V689,SUMPRODUCT(MAX(ROW(Q$1:Q689)*(E698=Q$1:Q689)))))</f>
        <v/>
      </c>
      <c r="L698" s="26"/>
      <c r="M698" s="27"/>
    </row>
    <row r="699" customFormat="false" ht="15" hidden="false" customHeight="false" outlineLevel="0" collapsed="false">
      <c r="A699" s="19" t="s">
        <v>444</v>
      </c>
      <c r="E699" s="20" t="str">
        <f aca="false">IF(P699="?OLD","!!!","")</f>
        <v/>
      </c>
      <c r="F699" s="21" t="str">
        <f aca="false">IF(OR(E699="",E699="!!!"),"",IF(NOT(ISNA(VLOOKUP(E699,Q$1:Q690,1,FALSE()))),"OLD",IF(AND(E699&lt;&gt;"",E699&lt;&gt;"!!!"),"NEW","")))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4" t="str">
        <f aca="false">IF(OR(E699="",E699="!!!",F699="NEW"),"",INDEX(N$2:N690,-1+SUMPRODUCT(MAX(ROW(E$2:E690)*(E699=E$2:E690)))))</f>
        <v/>
      </c>
      <c r="J699" s="25" t="str">
        <f aca="true">IF(OR(E699="",E699="!!!",F699="NEW"),"",COUNTBLANK(OFFSET(M$1,,,SUMPRODUCT(MAX(ROW(E$2:E691)*(E699=E$2:E691)))))-COUNTBLANK(OFFSET(M$1,,,SUMPRODUCT(MAX(ROW(Q$1:Q690)*(E699=Q$1:Q690))))))</f>
        <v/>
      </c>
      <c r="K699" s="25" t="str">
        <f aca="false">IF(OR(E699="",E699="!!!",F699="NEW"),"",INDEX(V$1:V690,SUMPRODUCT(MAX(ROW(Q$1:Q690)*(E699=Q$1:Q690)))))</f>
        <v/>
      </c>
      <c r="L699" s="26"/>
      <c r="M699" s="27"/>
    </row>
    <row r="700" customFormat="false" ht="15" hidden="false" customHeight="false" outlineLevel="0" collapsed="false">
      <c r="A700" s="19" t="s">
        <v>273</v>
      </c>
      <c r="E700" s="20" t="str">
        <f aca="false">IF(P700="?OLD","!!!","")</f>
        <v/>
      </c>
      <c r="F700" s="21" t="str">
        <f aca="false">IF(OR(E700="",E700="!!!"),"",IF(NOT(ISNA(VLOOKUP(E700,Q$1:Q691,1,FALSE()))),"OLD",IF(AND(E700&lt;&gt;"",E700&lt;&gt;"!!!"),"NEW","")))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4" t="str">
        <f aca="false">IF(OR(E700="",E700="!!!",F700="NEW"),"",INDEX(N$2:N691,-1+SUMPRODUCT(MAX(ROW(E$2:E691)*(E700=E$2:E691)))))</f>
        <v/>
      </c>
      <c r="J700" s="25" t="str">
        <f aca="true">IF(OR(E700="",E700="!!!",F700="NEW"),"",COUNTBLANK(OFFSET(M$1,,,SUMPRODUCT(MAX(ROW(E$2:E692)*(E700=E$2:E692)))))-COUNTBLANK(OFFSET(M$1,,,SUMPRODUCT(MAX(ROW(Q$1:Q691)*(E700=Q$1:Q691))))))</f>
        <v/>
      </c>
      <c r="K700" s="25" t="str">
        <f aca="false">IF(OR(E700="",E700="!!!",F700="NEW"),"",INDEX(V$1:V691,SUMPRODUCT(MAX(ROW(Q$1:Q691)*(E700=Q$1:Q691)))))</f>
        <v/>
      </c>
      <c r="L700" s="26"/>
      <c r="M700" s="27"/>
    </row>
    <row r="701" customFormat="false" ht="15" hidden="false" customHeight="false" outlineLevel="0" collapsed="false">
      <c r="A701" s="19" t="s">
        <v>609</v>
      </c>
      <c r="B701" s="28" t="s">
        <v>306</v>
      </c>
      <c r="C701" s="28" t="s">
        <v>259</v>
      </c>
      <c r="E701" s="20" t="str">
        <f aca="false">IF(P701="?OLD","!!!","")</f>
        <v/>
      </c>
      <c r="F701" s="21" t="str">
        <f aca="false">IF(OR(E701="",E701="!!!"),"",IF(NOT(ISNA(VLOOKUP(E701,Q$1:Q692,1,FALSE()))),"OLD",IF(AND(E701&lt;&gt;"",E701&lt;&gt;"!!!"),"NEW","")))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IF(OR(E701="",E701="!!!",F701="NEW"),"",INDEX(N$2:N692,-1+SUMPRODUCT(MAX(ROW(E$2:E692)*(E701=E$2:E692)))))</f>
        <v/>
      </c>
      <c r="J701" s="25" t="str">
        <f aca="true">IF(OR(E701="",E701="!!!",F701="NEW"),"",COUNTBLANK(OFFSET(M$1,,,SUMPRODUCT(MAX(ROW(E$2:E693)*(E701=E$2:E693)))))-COUNTBLANK(OFFSET(M$1,,,SUMPRODUCT(MAX(ROW(Q$1:Q692)*(E701=Q$1:Q692))))))</f>
        <v/>
      </c>
      <c r="K701" s="25" t="str">
        <f aca="false">IF(OR(E701="",E701="!!!",F701="NEW"),"",INDEX(V$1:V692,SUMPRODUCT(MAX(ROW(Q$1:Q692)*(E701=Q$1:Q692)))))</f>
        <v/>
      </c>
      <c r="L701" s="26"/>
      <c r="M701" s="27"/>
      <c r="N701" s="29"/>
      <c r="O701" s="29"/>
    </row>
    <row r="702" customFormat="false" ht="15" hidden="false" customHeight="false" outlineLevel="0" collapsed="false">
      <c r="A702" s="19" t="s">
        <v>517</v>
      </c>
      <c r="E702" s="20" t="str">
        <f aca="false">IF(P702="?OLD","!!!","")</f>
        <v/>
      </c>
      <c r="F702" s="21" t="str">
        <f aca="false">IF(OR(E702="",E702="!!!"),"",IF(NOT(ISNA(VLOOKUP(E702,Q$1:Q693,1,FALSE()))),"OLD",IF(AND(E702&lt;&gt;"",E702&lt;&gt;"!!!"),"NEW","")))</f>
        <v/>
      </c>
      <c r="G702" s="22" t="str">
        <f aca="false">IF(OR(E702="",E702="!!!"),"",IF(OR(J702=0,AND(J702=1,K702=1),AND(J702=1,I702="SBJ"),AND(J702=1,I702=0)),"?IN_FOCUS",IF(J702&lt;=2,"?ACTIVATED",IF(J702&lt;&gt;"","?FAMILIAR",IF(F702="NEW",IF(ISNA(VLOOKUP(E702,#REF!,1,FALSE())),"?TYPE_IDENTIFIABLE","?REFERENTIAL"),"_")))))</f>
        <v/>
      </c>
      <c r="H702" s="23" t="str">
        <f aca="false">IF(J702&lt;&gt;1,"",IF(I702="SBJ","CB","?"))</f>
        <v/>
      </c>
      <c r="I702" s="24" t="str">
        <f aca="false">IF(OR(E702="",E702="!!!",F702="NEW"),"",INDEX(N$2:N693,-1+SUMPRODUCT(MAX(ROW(E$2:E693)*(E702=E$2:E693)))))</f>
        <v/>
      </c>
      <c r="J702" s="25" t="str">
        <f aca="true">IF(OR(E702="",E702="!!!",F702="NEW"),"",COUNTBLANK(OFFSET(M$1,,,SUMPRODUCT(MAX(ROW(E$2:E694)*(E702=E$2:E694)))))-COUNTBLANK(OFFSET(M$1,,,SUMPRODUCT(MAX(ROW(Q$1:Q693)*(E702=Q$1:Q693))))))</f>
        <v/>
      </c>
      <c r="K702" s="25" t="str">
        <f aca="false">IF(OR(E702="",E702="!!!",F702="NEW"),"",INDEX(V$1:V693,SUMPRODUCT(MAX(ROW(Q$1:Q693)*(E702=Q$1:Q693)))))</f>
        <v/>
      </c>
      <c r="L702" s="26"/>
      <c r="M702" s="27"/>
    </row>
    <row r="703" customFormat="false" ht="15" hidden="false" customHeight="false" outlineLevel="0" collapsed="false">
      <c r="A703" s="19"/>
    </row>
    <row r="704" customFormat="false" ht="15" hidden="false" customHeight="false" outlineLevel="0" collapsed="false">
      <c r="A704" s="19" t="s">
        <v>610</v>
      </c>
    </row>
    <row r="705" customFormat="false" ht="15" hidden="false" customHeight="false" outlineLevel="0" collapsed="false">
      <c r="A705" s="19" t="s">
        <v>352</v>
      </c>
      <c r="E705" s="20" t="str">
        <f aca="false">IF(P705="?OLD","!!!","")</f>
        <v/>
      </c>
      <c r="F705" s="21" t="str">
        <f aca="false">IF(OR(E705="",E705="!!!"),"",IF(NOT(ISNA(VLOOKUP(E705,Q$1:Q694,1,FALSE()))),"OLD",IF(AND(E705&lt;&gt;"",E705&lt;&gt;"!!!"),"NEW","")))</f>
        <v/>
      </c>
      <c r="G705" s="22" t="str">
        <f aca="false">IF(OR(E705="",E705="!!!"),"",IF(OR(J705=0,AND(J705=1,K705=1),AND(J705=1,I705="SBJ"),AND(J705=1,I705=0)),"?IN_FOCUS",IF(J705&lt;=2,"?ACTIVATED",IF(J705&lt;&gt;"","?FAMILIAR",IF(F705="NEW",IF(ISNA(VLOOKUP(E705,#REF!,1,FALSE())),"?TYPE_IDENTIFIABLE","?REFERENTIAL"),"_")))))</f>
        <v/>
      </c>
      <c r="H705" s="23" t="str">
        <f aca="false">IF(J705&lt;&gt;1,"",IF(I705="SBJ","CB","?"))</f>
        <v/>
      </c>
      <c r="I705" s="24" t="str">
        <f aca="false">IF(OR(E705="",E705="!!!",F705="NEW"),"",INDEX(N$2:N694,-1+SUMPRODUCT(MAX(ROW(E$2:E694)*(E705=E$2:E694)))))</f>
        <v/>
      </c>
      <c r="J705" s="25" t="str">
        <f aca="true">IF(OR(E705="",E705="!!!",F705="NEW"),"",COUNTBLANK(OFFSET(M$1,,,SUMPRODUCT(MAX(ROW(E$2:E695)*(E705=E$2:E695)))))-COUNTBLANK(OFFSET(M$1,,,SUMPRODUCT(MAX(ROW(Q$1:Q694)*(E705=Q$1:Q694))))))</f>
        <v/>
      </c>
      <c r="K705" s="25" t="str">
        <f aca="false">IF(OR(E705="",E705="!!!",F705="NEW"),"",INDEX(V$1:V694,SUMPRODUCT(MAX(ROW(Q$1:Q694)*(E705=Q$1:Q694)))))</f>
        <v/>
      </c>
      <c r="L705" s="26"/>
      <c r="M705" s="27"/>
    </row>
    <row r="706" customFormat="false" ht="15" hidden="false" customHeight="false" outlineLevel="0" collapsed="false">
      <c r="A706" s="19" t="s">
        <v>441</v>
      </c>
      <c r="B706" s="28" t="s">
        <v>251</v>
      </c>
      <c r="C706" s="28" t="s">
        <v>264</v>
      </c>
      <c r="D706" s="28" t="s">
        <v>253</v>
      </c>
      <c r="E706" s="20" t="s">
        <v>413</v>
      </c>
      <c r="F706" s="21" t="str">
        <f aca="false">IF(OR(E706="",E706="!!!"),"",IF(NOT(ISNA(VLOOKUP(E706,Q$1:Q695,1,FALSE()))),"OLD",IF(AND(E706&lt;&gt;"",E706&lt;&gt;"!!!"),"NEW","")))</f>
        <v>NEW</v>
      </c>
      <c r="G706" s="22" t="s">
        <v>266</v>
      </c>
      <c r="H706" s="23" t="str">
        <f aca="false">IF(J706&lt;&gt;1,"",IF(I706="SBJ","CB","?"))</f>
        <v/>
      </c>
      <c r="I706" s="24" t="str">
        <f aca="false">IF(OR(E706="",E706="!!!",F706="NEW"),"",INDEX(N$2:N695,-1+SUMPRODUCT(MAX(ROW(E$2:E695)*(E706=E$2:E695)))))</f>
        <v/>
      </c>
      <c r="J706" s="25" t="str">
        <f aca="true">IF(OR(E706="",E706="!!!",F706="NEW"),"",COUNTBLANK(OFFSET(M$1,,,SUMPRODUCT(MAX(ROW(E$2:E696)*(E706=E$2:E696)))))-COUNTBLANK(OFFSET(M$1,,,SUMPRODUCT(MAX(ROW(Q$1:Q695)*(E706=Q$1:Q695))))))</f>
        <v/>
      </c>
      <c r="K706" s="25" t="str">
        <f aca="false">IF(OR(E706="",E706="!!!",F706="NEW"),"",INDEX(V$1:V695,SUMPRODUCT(MAX(ROW(Q$1:Q695)*(E706=Q$1:Q695)))))</f>
        <v/>
      </c>
      <c r="L706" s="26"/>
      <c r="M706" s="27"/>
      <c r="N706" s="29"/>
      <c r="O706" s="29"/>
      <c r="P706" s="29"/>
    </row>
    <row r="707" customFormat="false" ht="15" hidden="false" customHeight="false" outlineLevel="0" collapsed="false">
      <c r="A707" s="19" t="s">
        <v>477</v>
      </c>
      <c r="E707" s="20" t="str">
        <f aca="false">IF(P707="?OLD","!!!","")</f>
        <v/>
      </c>
      <c r="F707" s="21" t="str">
        <f aca="false">IF(OR(E707="",E707="!!!"),"",IF(NOT(ISNA(VLOOKUP(E707,Q$1:Q696,1,FALSE()))),"OLD",IF(AND(E707&lt;&gt;"",E707&lt;&gt;"!!!"),"NEW","")))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4" t="str">
        <f aca="false">IF(OR(E707="",E707="!!!",F707="NEW"),"",INDEX(N$2:N696,-1+SUMPRODUCT(MAX(ROW(E$2:E696)*(E707=E$2:E696)))))</f>
        <v/>
      </c>
      <c r="J707" s="25" t="str">
        <f aca="true">IF(OR(E707="",E707="!!!",F707="NEW"),"",COUNTBLANK(OFFSET(M$1,,,SUMPRODUCT(MAX(ROW(E$2:E697)*(E707=E$2:E697)))))-COUNTBLANK(OFFSET(M$1,,,SUMPRODUCT(MAX(ROW(Q$1:Q696)*(E707=Q$1:Q696))))))</f>
        <v/>
      </c>
      <c r="K707" s="25" t="str">
        <f aca="false">IF(OR(E707="",E707="!!!",F707="NEW"),"",INDEX(V$1:V696,SUMPRODUCT(MAX(ROW(Q$1:Q696)*(E707=Q$1:Q696)))))</f>
        <v/>
      </c>
      <c r="L707" s="26"/>
      <c r="M707" s="27"/>
    </row>
    <row r="708" customFormat="false" ht="15" hidden="false" customHeight="false" outlineLevel="0" collapsed="false">
      <c r="A708" s="19" t="s">
        <v>579</v>
      </c>
      <c r="E708" s="20" t="str">
        <f aca="false">IF(P708="?OLD","!!!","")</f>
        <v/>
      </c>
      <c r="F708" s="21" t="str">
        <f aca="false">IF(OR(E708="",E708="!!!"),"",IF(NOT(ISNA(VLOOKUP(E708,Q$1:Q697,1,FALSE()))),"OLD",IF(AND(E708&lt;&gt;"",E708&lt;&gt;"!!!"),"NEW","")))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IF(OR(E708="",E708="!!!",F708="NEW"),"",INDEX(N$2:N697,-1+SUMPRODUCT(MAX(ROW(E$2:E697)*(E708=E$2:E697)))))</f>
        <v/>
      </c>
      <c r="J708" s="25" t="str">
        <f aca="true">IF(OR(E708="",E708="!!!",F708="NEW"),"",COUNTBLANK(OFFSET(M$1,,,SUMPRODUCT(MAX(ROW(E$2:E698)*(E708=E$2:E698)))))-COUNTBLANK(OFFSET(M$1,,,SUMPRODUCT(MAX(ROW(Q$1:Q697)*(E708=Q$1:Q697))))))</f>
        <v/>
      </c>
      <c r="K708" s="25" t="str">
        <f aca="false">IF(OR(E708="",E708="!!!",F708="NEW"),"",INDEX(V$1:V697,SUMPRODUCT(MAX(ROW(Q$1:Q697)*(E708=Q$1:Q697)))))</f>
        <v/>
      </c>
      <c r="L708" s="26"/>
      <c r="M708" s="27"/>
    </row>
    <row r="709" customFormat="false" ht="15" hidden="false" customHeight="false" outlineLevel="0" collapsed="false">
      <c r="A709" s="19" t="s">
        <v>611</v>
      </c>
      <c r="E709" s="20" t="str">
        <f aca="false">IF(P709="?OLD","!!!","")</f>
        <v/>
      </c>
      <c r="F709" s="21" t="str">
        <f aca="false">IF(OR(E709="",E709="!!!"),"",IF(NOT(ISNA(VLOOKUP(E709,Q$1:Q698,1,FALSE()))),"OLD",IF(AND(E709&lt;&gt;"",E709&lt;&gt;"!!!"),"NEW","")))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IF(OR(E709="",E709="!!!",F709="NEW"),"",INDEX(N$2:N698,-1+SUMPRODUCT(MAX(ROW(E$2:E698)*(E709=E$2:E698)))))</f>
        <v/>
      </c>
      <c r="J709" s="25" t="str">
        <f aca="true">IF(OR(E709="",E709="!!!",F709="NEW"),"",COUNTBLANK(OFFSET(M$1,,,SUMPRODUCT(MAX(ROW(E$2:E699)*(E709=E$2:E699)))))-COUNTBLANK(OFFSET(M$1,,,SUMPRODUCT(MAX(ROW(Q$1:Q698)*(E709=Q$1:Q698))))))</f>
        <v/>
      </c>
      <c r="K709" s="25" t="str">
        <f aca="false">IF(OR(E709="",E709="!!!",F709="NEW"),"",INDEX(V$1:V698,SUMPRODUCT(MAX(ROW(Q$1:Q698)*(E709=Q$1:Q698)))))</f>
        <v/>
      </c>
      <c r="L709" s="26"/>
      <c r="M709" s="27"/>
    </row>
    <row r="710" customFormat="false" ht="15" hidden="false" customHeight="false" outlineLevel="0" collapsed="false">
      <c r="A710" s="19" t="s">
        <v>452</v>
      </c>
      <c r="B710" s="28" t="s">
        <v>258</v>
      </c>
      <c r="C710" s="28" t="s">
        <v>358</v>
      </c>
      <c r="D710" s="28" t="s">
        <v>253</v>
      </c>
      <c r="E710" s="20" t="s">
        <v>586</v>
      </c>
      <c r="F710" s="21" t="str">
        <f aca="false">IF(OR(E710="",E710="!!!"),"",IF(NOT(ISNA(VLOOKUP(E710,Q$1:Q699,1,FALSE()))),"OLD",IF(AND(E710&lt;&gt;"",E710&lt;&gt;"!!!"),"NEW","")))</f>
        <v>NEW</v>
      </c>
      <c r="G710" s="22" t="s">
        <v>296</v>
      </c>
      <c r="H710" s="23" t="str">
        <f aca="false">IF(J710&lt;&gt;1,"",IF(I710="SBJ","CB","?"))</f>
        <v/>
      </c>
      <c r="I710" s="24" t="str">
        <f aca="false">IF(OR(E710="",E710="!!!",F710="NEW"),"",INDEX(N$2:N699,-1+SUMPRODUCT(MAX(ROW(E$2:E699)*(E710=E$2:E699)))))</f>
        <v/>
      </c>
      <c r="J710" s="25" t="str">
        <f aca="true">IF(OR(E710="",E710="!!!",F710="NEW"),"",COUNTBLANK(OFFSET(M$1,,,SUMPRODUCT(MAX(ROW(E$2:E700)*(E710=E$2:E700)))))-COUNTBLANK(OFFSET(M$1,,,SUMPRODUCT(MAX(ROW(Q$1:Q699)*(E710=Q$1:Q699))))))</f>
        <v/>
      </c>
      <c r="K710" s="25" t="str">
        <f aca="false">IF(OR(E710="",E710="!!!",F710="NEW"),"",INDEX(V$1:V699,SUMPRODUCT(MAX(ROW(Q$1:Q699)*(E710=Q$1:Q699)))))</f>
        <v/>
      </c>
      <c r="L710" s="26"/>
      <c r="M710" s="27"/>
      <c r="N710" s="29"/>
      <c r="O710" s="29"/>
      <c r="P710" s="29"/>
    </row>
    <row r="711" customFormat="false" ht="15" hidden="false" customHeight="false" outlineLevel="0" collapsed="false">
      <c r="A711" s="19" t="s">
        <v>612</v>
      </c>
      <c r="B711" s="28" t="s">
        <v>286</v>
      </c>
      <c r="C711" s="28" t="s">
        <v>314</v>
      </c>
      <c r="D711" s="28" t="s">
        <v>253</v>
      </c>
      <c r="E711" s="20" t="s">
        <v>613</v>
      </c>
      <c r="F711" s="21" t="str">
        <f aca="false">IF(OR(E711="",E711="!!!"),"",IF(NOT(ISNA(VLOOKUP(E711,Q$1:Q700,1,FALSE()))),"OLD",IF(AND(E711&lt;&gt;"",E711&lt;&gt;"!!!"),"NEW","")))</f>
        <v>NEW</v>
      </c>
      <c r="G711" s="22" t="s">
        <v>255</v>
      </c>
      <c r="H711" s="23" t="str">
        <f aca="false">IF(J711&lt;&gt;1,"",IF(I711="SBJ","CB","?"))</f>
        <v/>
      </c>
      <c r="I711" s="24" t="str">
        <f aca="false">IF(OR(E711="",E711="!!!",F711="NEW"),"",INDEX(N$2:N700,-1+SUMPRODUCT(MAX(ROW(E$2:E700)*(E711=E$2:E700)))))</f>
        <v/>
      </c>
      <c r="J711" s="25" t="str">
        <f aca="true">IF(OR(E711="",E711="!!!",F711="NEW"),"",COUNTBLANK(OFFSET(M$1,,,SUMPRODUCT(MAX(ROW(E$2:E701)*(E711=E$2:E701)))))-COUNTBLANK(OFFSET(M$1,,,SUMPRODUCT(MAX(ROW(Q$1:Q700)*(E711=Q$1:Q700))))))</f>
        <v/>
      </c>
      <c r="K711" s="25" t="str">
        <f aca="false">IF(OR(E711="",E711="!!!",F711="NEW"),"",INDEX(V$1:V700,SUMPRODUCT(MAX(ROW(Q$1:Q700)*(E711=Q$1:Q700)))))</f>
        <v/>
      </c>
      <c r="L711" s="26"/>
      <c r="M711" s="27"/>
      <c r="N711" s="29"/>
      <c r="O711" s="29"/>
      <c r="P711" s="29"/>
    </row>
    <row r="712" customFormat="false" ht="15" hidden="false" customHeight="false" outlineLevel="0" collapsed="false">
      <c r="A712" s="19" t="s">
        <v>273</v>
      </c>
      <c r="E712" s="20" t="str">
        <f aca="false">IF(P712="?OLD","!!!","")</f>
        <v/>
      </c>
      <c r="F712" s="21" t="str">
        <f aca="false">IF(OR(E712="",E712="!!!"),"",IF(NOT(ISNA(VLOOKUP(E712,Q$1:Q701,1,FALSE()))),"OLD",IF(AND(E712&lt;&gt;"",E712&lt;&gt;"!!!"),"NEW","")))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4" t="str">
        <f aca="false">IF(OR(E712="",E712="!!!",F712="NEW"),"",INDEX(N$2:N701,-1+SUMPRODUCT(MAX(ROW(E$2:E701)*(E712=E$2:E701)))))</f>
        <v/>
      </c>
      <c r="J712" s="25" t="str">
        <f aca="true">IF(OR(E712="",E712="!!!",F712="NEW"),"",COUNTBLANK(OFFSET(M$1,,,SUMPRODUCT(MAX(ROW(E$2:E702)*(E712=E$2:E702)))))-COUNTBLANK(OFFSET(M$1,,,SUMPRODUCT(MAX(ROW(Q$1:Q701)*(E712=Q$1:Q701))))))</f>
        <v/>
      </c>
      <c r="K712" s="25" t="str">
        <f aca="false">IF(OR(E712="",E712="!!!",F712="NEW"),"",INDEX(V$1:V701,SUMPRODUCT(MAX(ROW(Q$1:Q701)*(E712=Q$1:Q701)))))</f>
        <v/>
      </c>
      <c r="L712" s="26"/>
      <c r="M712" s="27"/>
    </row>
    <row r="713" customFormat="false" ht="15" hidden="false" customHeight="false" outlineLevel="0" collapsed="false">
      <c r="A713" s="19" t="s">
        <v>614</v>
      </c>
      <c r="B713" s="28" t="s">
        <v>306</v>
      </c>
      <c r="C713" s="28" t="s">
        <v>333</v>
      </c>
      <c r="D713" s="28" t="s">
        <v>253</v>
      </c>
      <c r="E713" s="20" t="s">
        <v>614</v>
      </c>
      <c r="F713" s="21" t="str">
        <f aca="false">IF(OR(E713="",E713="!!!"),"",IF(NOT(ISNA(VLOOKUP(E713,Q$1:Q702,1,FALSE()))),"OLD",IF(AND(E713&lt;&gt;"",E713&lt;&gt;"!!!"),"NEW","")))</f>
        <v>NEW</v>
      </c>
      <c r="G713" s="22" t="s">
        <v>255</v>
      </c>
      <c r="H713" s="23" t="str">
        <f aca="false">IF(J713&lt;&gt;1,"",IF(I713="SBJ","CB","?"))</f>
        <v/>
      </c>
      <c r="I713" s="24" t="str">
        <f aca="false">IF(OR(E713="",E713="!!!",F713="NEW"),"",INDEX(N$2:N702,-1+SUMPRODUCT(MAX(ROW(E$2:E702)*(E713=E$2:E702)))))</f>
        <v/>
      </c>
      <c r="J713" s="25" t="str">
        <f aca="true">IF(OR(E713="",E713="!!!",F713="NEW"),"",COUNTBLANK(OFFSET(M$1,,,SUMPRODUCT(MAX(ROW(E$2:E703)*(E713=E$2:E703)))))-COUNTBLANK(OFFSET(M$1,,,SUMPRODUCT(MAX(ROW(Q$1:Q702)*(E713=Q$1:Q702))))))</f>
        <v/>
      </c>
      <c r="K713" s="25" t="str">
        <f aca="false">IF(OR(E713="",E713="!!!",F713="NEW"),"",INDEX(V$1:V702,SUMPRODUCT(MAX(ROW(Q$1:Q702)*(E713=Q$1:Q702)))))</f>
        <v/>
      </c>
      <c r="L713" s="26"/>
      <c r="M713" s="27"/>
      <c r="N713" s="29"/>
      <c r="O713" s="29"/>
      <c r="P713" s="29"/>
    </row>
    <row r="714" customFormat="false" ht="15" hidden="false" customHeight="false" outlineLevel="0" collapsed="false">
      <c r="A714" s="19" t="s">
        <v>261</v>
      </c>
      <c r="E714" s="20" t="str">
        <f aca="false">IF(P714="?OLD","!!!","")</f>
        <v/>
      </c>
      <c r="F714" s="21" t="str">
        <f aca="false">IF(OR(E714="",E714="!!!"),"",IF(NOT(ISNA(VLOOKUP(E714,Q$1:Q703,1,FALSE()))),"OLD",IF(AND(E714&lt;&gt;"",E714&lt;&gt;"!!!"),"NEW","")))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4" t="str">
        <f aca="false">IF(OR(E714="",E714="!!!",F714="NEW"),"",INDEX(N$2:N703,-1+SUMPRODUCT(MAX(ROW(E$2:E703)*(E714=E$2:E703)))))</f>
        <v/>
      </c>
      <c r="J714" s="25" t="str">
        <f aca="true">IF(OR(E714="",E714="!!!",F714="NEW"),"",COUNTBLANK(OFFSET(M$1,,,SUMPRODUCT(MAX(ROW(E$2:E704)*(E714=E$2:E704)))))-COUNTBLANK(OFFSET(M$1,,,SUMPRODUCT(MAX(ROW(Q$1:Q703)*(E714=Q$1:Q703))))))</f>
        <v/>
      </c>
      <c r="K714" s="25" t="str">
        <f aca="false">IF(OR(E714="",E714="!!!",F714="NEW"),"",INDEX(V$1:V703,SUMPRODUCT(MAX(ROW(Q$1:Q703)*(E714=Q$1:Q703)))))</f>
        <v/>
      </c>
      <c r="L714" s="26"/>
      <c r="M714" s="27"/>
    </row>
    <row r="715" customFormat="false" ht="15" hidden="false" customHeight="false" outlineLevel="0" collapsed="false">
      <c r="A715" s="19" t="s">
        <v>615</v>
      </c>
      <c r="E715" s="20" t="str">
        <f aca="false">IF(P715="?OLD","!!!","")</f>
        <v/>
      </c>
      <c r="F715" s="21" t="str">
        <f aca="false">IF(OR(E715="",E715="!!!"),"",IF(NOT(ISNA(VLOOKUP(E715,Q$1:Q704,1,FALSE()))),"OLD",IF(AND(E715&lt;&gt;"",E715&lt;&gt;"!!!"),"NEW","")))</f>
        <v/>
      </c>
      <c r="G715" s="22" t="str">
        <f aca="false">IF(OR(E715="",E715="!!!"),"",IF(OR(J715=0,AND(J715=1,K715=1),AND(J715=1,I715="SBJ"),AND(J715=1,I715=0)),"?IN_FOCUS",IF(J715&lt;=2,"?ACTIVATED",IF(J715&lt;&gt;"","?FAMILIAR",IF(F715="NEW",IF(ISNA(VLOOKUP(E715,#REF!,1,FALSE())),"?TYPE_IDENTIFIABLE","?REFERENTIAL"),"_")))))</f>
        <v/>
      </c>
      <c r="H715" s="23" t="str">
        <f aca="false">IF(J715&lt;&gt;1,"",IF(I715="SBJ","CB","?"))</f>
        <v/>
      </c>
      <c r="I715" s="24" t="str">
        <f aca="false">IF(OR(E715="",E715="!!!",F715="NEW"),"",INDEX(N$2:N704,-1+SUMPRODUCT(MAX(ROW(E$2:E704)*(E715=E$2:E704)))))</f>
        <v/>
      </c>
      <c r="J715" s="25" t="str">
        <f aca="true">IF(OR(E715="",E715="!!!",F715="NEW"),"",COUNTBLANK(OFFSET(M$1,,,SUMPRODUCT(MAX(ROW(E$2:E705)*(E715=E$2:E705)))))-COUNTBLANK(OFFSET(M$1,,,SUMPRODUCT(MAX(ROW(Q$1:Q704)*(E715=Q$1:Q704))))))</f>
        <v/>
      </c>
      <c r="K715" s="25" t="str">
        <f aca="false">IF(OR(E715="",E715="!!!",F715="NEW"),"",INDEX(V$1:V704,SUMPRODUCT(MAX(ROW(Q$1:Q704)*(E715=Q$1:Q704)))))</f>
        <v/>
      </c>
      <c r="L715" s="26"/>
      <c r="M715" s="27"/>
    </row>
    <row r="716" customFormat="false" ht="15" hidden="false" customHeight="false" outlineLevel="0" collapsed="false">
      <c r="A716" s="19" t="s">
        <v>477</v>
      </c>
      <c r="E716" s="20" t="str">
        <f aca="false">IF(P716="?OLD","!!!","")</f>
        <v/>
      </c>
      <c r="F716" s="21" t="str">
        <f aca="false">IF(OR(E716="",E716="!!!"),"",IF(NOT(ISNA(VLOOKUP(E716,Q$1:Q705,1,FALSE()))),"OLD",IF(AND(E716&lt;&gt;"",E716&lt;&gt;"!!!"),"NEW","")))</f>
        <v/>
      </c>
      <c r="G716" s="22" t="str">
        <f aca="false">IF(OR(E716="",E716="!!!"),"",IF(OR(J716=0,AND(J716=1,K716=1),AND(J716=1,I716="SBJ"),AND(J716=1,I716=0)),"?IN_FOCUS",IF(J716&lt;=2,"?ACTIVATED",IF(J716&lt;&gt;"","?FAMILIAR",IF(F716="NEW",IF(ISNA(VLOOKUP(E716,#REF!,1,FALSE())),"?TYPE_IDENTIFIABLE","?REFERENTIAL"),"_")))))</f>
        <v/>
      </c>
      <c r="H716" s="23" t="str">
        <f aca="false">IF(J716&lt;&gt;1,"",IF(I716="SBJ","CB","?"))</f>
        <v/>
      </c>
      <c r="I716" s="24" t="str">
        <f aca="false">IF(OR(E716="",E716="!!!",F716="NEW"),"",INDEX(N$2:N705,-1+SUMPRODUCT(MAX(ROW(E$2:E705)*(E716=E$2:E705)))))</f>
        <v/>
      </c>
      <c r="J716" s="25" t="str">
        <f aca="true">IF(OR(E716="",E716="!!!",F716="NEW"),"",COUNTBLANK(OFFSET(M$1,,,SUMPRODUCT(MAX(ROW(E$2:E706)*(E716=E$2:E706)))))-COUNTBLANK(OFFSET(M$1,,,SUMPRODUCT(MAX(ROW(Q$1:Q705)*(E716=Q$1:Q705))))))</f>
        <v/>
      </c>
      <c r="K716" s="25" t="str">
        <f aca="false">IF(OR(E716="",E716="!!!",F716="NEW"),"",INDEX(V$1:V705,SUMPRODUCT(MAX(ROW(Q$1:Q705)*(E716=Q$1:Q705)))))</f>
        <v/>
      </c>
      <c r="L716" s="26"/>
      <c r="M716" s="27"/>
    </row>
    <row r="717" customFormat="false" ht="15" hidden="false" customHeight="false" outlineLevel="0" collapsed="false">
      <c r="A717" s="19" t="s">
        <v>441</v>
      </c>
      <c r="B717" s="28" t="s">
        <v>263</v>
      </c>
      <c r="C717" s="28" t="s">
        <v>264</v>
      </c>
      <c r="D717" s="28" t="s">
        <v>253</v>
      </c>
      <c r="E717" s="20" t="s">
        <v>413</v>
      </c>
      <c r="F717" s="21" t="str">
        <f aca="false">IF(OR(E717="",E717="!!!"),"",IF(NOT(ISNA(VLOOKUP(E717,Q$1:Q706,1,FALSE()))),"OLD",IF(AND(E717&lt;&gt;"",E717&lt;&gt;"!!!"),"NEW","")))</f>
        <v>NEW</v>
      </c>
      <c r="G717" s="22" t="s">
        <v>296</v>
      </c>
      <c r="H717" s="23" t="str">
        <f aca="false">IF(J717&lt;&gt;1,"",IF(I717="SBJ","CB","?"))</f>
        <v/>
      </c>
      <c r="I717" s="24" t="str">
        <f aca="false">IF(OR(E717="",E717="!!!",F717="NEW"),"",INDEX(N$2:N706,-1+SUMPRODUCT(MAX(ROW(E$2:E706)*(E717=E$2:E706)))))</f>
        <v/>
      </c>
      <c r="J717" s="25" t="str">
        <f aca="true">IF(OR(E717="",E717="!!!",F717="NEW"),"",COUNTBLANK(OFFSET(M$1,,,SUMPRODUCT(MAX(ROW(E$2:E707)*(E717=E$2:E707)))))-COUNTBLANK(OFFSET(M$1,,,SUMPRODUCT(MAX(ROW(Q$1:Q706)*(E717=Q$1:Q706))))))</f>
        <v/>
      </c>
      <c r="K717" s="25" t="str">
        <f aca="false">IF(OR(E717="",E717="!!!",F717="NEW"),"",INDEX(V$1:V706,SUMPRODUCT(MAX(ROW(Q$1:Q706)*(E717=Q$1:Q706)))))</f>
        <v/>
      </c>
      <c r="L717" s="26"/>
      <c r="M717" s="27"/>
      <c r="N717" s="29"/>
      <c r="O717" s="29"/>
      <c r="P717" s="29"/>
    </row>
    <row r="718" customFormat="false" ht="15" hidden="false" customHeight="false" outlineLevel="0" collapsed="false">
      <c r="A718" s="19" t="s">
        <v>141</v>
      </c>
      <c r="E718" s="20" t="str">
        <f aca="false">IF(P718="?OLD","!!!","")</f>
        <v/>
      </c>
      <c r="F718" s="21" t="str">
        <f aca="false">IF(OR(E718="",E718="!!!"),"",IF(NOT(ISNA(VLOOKUP(E718,Q$1:Q707,1,FALSE()))),"OLD",IF(AND(E718&lt;&gt;"",E718&lt;&gt;"!!!"),"NEW","")))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IF(OR(E718="",E718="!!!",F718="NEW"),"",INDEX(N$2:N707,-1+SUMPRODUCT(MAX(ROW(E$2:E707)*(E718=E$2:E707)))))</f>
        <v/>
      </c>
      <c r="J718" s="25" t="str">
        <f aca="true">IF(OR(E718="",E718="!!!",F718="NEW"),"",COUNTBLANK(OFFSET(M$1,,,SUMPRODUCT(MAX(ROW(E$2:E708)*(E718=E$2:E708)))))-COUNTBLANK(OFFSET(M$1,,,SUMPRODUCT(MAX(ROW(Q$1:Q707)*(E718=Q$1:Q707))))))</f>
        <v/>
      </c>
      <c r="K718" s="25" t="str">
        <f aca="false">IF(OR(E718="",E718="!!!",F718="NEW"),"",INDEX(V$1:V707,SUMPRODUCT(MAX(ROW(Q$1:Q707)*(E718=Q$1:Q707)))))</f>
        <v/>
      </c>
      <c r="L718" s="26"/>
      <c r="M718" s="27"/>
    </row>
    <row r="719" customFormat="false" ht="15" hidden="false" customHeight="false" outlineLevel="0" collapsed="false">
      <c r="A719" s="19" t="s">
        <v>489</v>
      </c>
      <c r="B719" s="28" t="s">
        <v>306</v>
      </c>
      <c r="C719" s="28" t="s">
        <v>358</v>
      </c>
      <c r="D719" s="28" t="s">
        <v>253</v>
      </c>
      <c r="E719" s="20" t="s">
        <v>413</v>
      </c>
      <c r="F719" s="21" t="str">
        <f aca="false">IF(OR(E719="",E719="!!!"),"",IF(NOT(ISNA(VLOOKUP(E719,Q$1:Q708,1,FALSE()))),"OLD",IF(AND(E719&lt;&gt;"",E719&lt;&gt;"!!!"),"NEW","")))</f>
        <v>NEW</v>
      </c>
      <c r="G719" s="22" t="s">
        <v>296</v>
      </c>
      <c r="H719" s="23" t="str">
        <f aca="false">IF(J719&lt;&gt;1,"",IF(I719="SBJ","CB","?"))</f>
        <v/>
      </c>
      <c r="I719" s="24" t="str">
        <f aca="false">IF(OR(E719="",E719="!!!",F719="NEW"),"",INDEX(N$2:N708,-1+SUMPRODUCT(MAX(ROW(E$2:E708)*(E719=E$2:E708)))))</f>
        <v/>
      </c>
      <c r="J719" s="25" t="str">
        <f aca="true">IF(OR(E719="",E719="!!!",F719="NEW"),"",COUNTBLANK(OFFSET(M$1,,,SUMPRODUCT(MAX(ROW(E$2:E709)*(E719=E$2:E709)))))-COUNTBLANK(OFFSET(M$1,,,SUMPRODUCT(MAX(ROW(Q$1:Q708)*(E719=Q$1:Q708))))))</f>
        <v/>
      </c>
      <c r="K719" s="25" t="str">
        <f aca="false">IF(OR(E719="",E719="!!!",F719="NEW"),"",INDEX(V$1:V708,SUMPRODUCT(MAX(ROW(Q$1:Q708)*(E719=Q$1:Q708)))))</f>
        <v/>
      </c>
      <c r="L719" s="26"/>
      <c r="M719" s="27"/>
      <c r="N719" s="29"/>
      <c r="O719" s="29"/>
      <c r="P719" s="29"/>
    </row>
    <row r="720" customFormat="false" ht="15" hidden="false" customHeight="false" outlineLevel="0" collapsed="false">
      <c r="A720" s="19" t="s">
        <v>318</v>
      </c>
      <c r="B720" s="28" t="s">
        <v>380</v>
      </c>
      <c r="C720" s="28" t="s">
        <v>314</v>
      </c>
      <c r="D720" s="28" t="s">
        <v>253</v>
      </c>
      <c r="E720" s="20" t="s">
        <v>320</v>
      </c>
      <c r="F720" s="21" t="str">
        <f aca="false">IF(OR(E720="",E720="!!!"),"",IF(NOT(ISNA(VLOOKUP(E720,Q$1:Q709,1,FALSE()))),"OLD",IF(AND(E720&lt;&gt;"",E720&lt;&gt;"!!!"),"NEW","")))</f>
        <v>NEW</v>
      </c>
      <c r="G720" s="22" t="s">
        <v>283</v>
      </c>
      <c r="H720" s="23" t="str">
        <f aca="false">IF(J720&lt;&gt;1,"",IF(I720="SBJ","CB","?"))</f>
        <v/>
      </c>
      <c r="I720" s="24" t="str">
        <f aca="false">IF(OR(E720="",E720="!!!",F720="NEW"),"",INDEX(N$2:N709,-1+SUMPRODUCT(MAX(ROW(E$2:E709)*(E720=E$2:E709)))))</f>
        <v/>
      </c>
      <c r="J720" s="25" t="str">
        <f aca="true">IF(OR(E720="",E720="!!!",F720="NEW"),"",COUNTBLANK(OFFSET(M$1,,,SUMPRODUCT(MAX(ROW(E$2:E710)*(E720=E$2:E710)))))-COUNTBLANK(OFFSET(M$1,,,SUMPRODUCT(MAX(ROW(Q$1:Q709)*(E720=Q$1:Q709))))))</f>
        <v/>
      </c>
      <c r="K720" s="25" t="str">
        <f aca="false">IF(OR(E720="",E720="!!!",F720="NEW"),"",INDEX(V$1:V709,SUMPRODUCT(MAX(ROW(Q$1:Q709)*(E720=Q$1:Q709)))))</f>
        <v/>
      </c>
      <c r="L720" s="26"/>
      <c r="M720" s="27"/>
      <c r="N720" s="29"/>
      <c r="O720" s="29"/>
      <c r="P720" s="29"/>
    </row>
    <row r="721" customFormat="false" ht="15" hidden="false" customHeight="false" outlineLevel="0" collapsed="false">
      <c r="A721" s="19"/>
      <c r="E721" s="20" t="str">
        <f aca="false">IF(P721="?OLD","!!!","")</f>
        <v/>
      </c>
      <c r="F721" s="21" t="str">
        <f aca="false">IF(OR(E721="",E721="!!!"),"",IF(NOT(ISNA(VLOOKUP(E721,Q$1:Q710,1,FALSE()))),"OLD",IF(AND(E721&lt;&gt;"",E721&lt;&gt;"!!!"),"NEW","")))</f>
        <v/>
      </c>
      <c r="G721" s="22" t="str">
        <f aca="false">IF(OR(E721="",E721="!!!"),"",IF(OR(J721=0,AND(J721=1,K721=1),AND(J721=1,I721="SBJ"),AND(J721=1,I721=0)),"?IN_FOCUS",IF(J721&lt;=2,"?ACTIVATED",IF(J721&lt;&gt;"","?FAMILIAR",IF(F721="NEW",IF(ISNA(VLOOKUP(E721,#REF!,1,FALSE())),"?TYPE_IDENTIFIABLE","?REFERENTIAL"),"_")))))</f>
        <v/>
      </c>
      <c r="H721" s="23" t="str">
        <f aca="false">IF(J721&lt;&gt;1,"",IF(I721="SBJ","CB","?"))</f>
        <v/>
      </c>
      <c r="I721" s="24" t="str">
        <f aca="false">IF(OR(E721="",E721="!!!",F721="NEW"),"",INDEX(N$2:N710,-1+SUMPRODUCT(MAX(ROW(E$2:E710)*(E721=E$2:E710)))))</f>
        <v/>
      </c>
      <c r="J721" s="25" t="str">
        <f aca="true">IF(OR(E721="",E721="!!!",F721="NEW"),"",COUNTBLANK(OFFSET(M$1,,,SUMPRODUCT(MAX(ROW(E$2:E711)*(E721=E$2:E711)))))-COUNTBLANK(OFFSET(M$1,,,SUMPRODUCT(MAX(ROW(Q$1:Q710)*(E721=Q$1:Q710))))))</f>
        <v/>
      </c>
      <c r="K721" s="25" t="str">
        <f aca="false">IF(OR(E721="",E721="!!!",F721="NEW"),"",INDEX(V$1:V710,SUMPRODUCT(MAX(ROW(Q$1:Q710)*(E721=Q$1:Q710)))))</f>
        <v/>
      </c>
      <c r="L721" s="26"/>
    </row>
    <row r="722" customFormat="false" ht="15" hidden="false" customHeight="false" outlineLevel="0" collapsed="false">
      <c r="A722" s="19" t="s">
        <v>616</v>
      </c>
      <c r="E722" s="20" t="str">
        <f aca="false">IF(P722="?OLD","!!!","")</f>
        <v/>
      </c>
      <c r="F722" s="21" t="str">
        <f aca="false">IF(OR(E722="",E722="!!!"),"",IF(NOT(ISNA(VLOOKUP(E722,Q$1:Q711,1,FALSE()))),"OLD",IF(AND(E722&lt;&gt;"",E722&lt;&gt;"!!!"),"NEW","")))</f>
        <v/>
      </c>
      <c r="G722" s="22" t="str">
        <f aca="false">IF(OR(E722="",E722="!!!"),"",IF(OR(J722=0,AND(J722=1,K722=1),AND(J722=1,I722="SBJ"),AND(J722=1,I722=0)),"?IN_FOCUS",IF(J722&lt;=2,"?ACTIVATED",IF(J722&lt;&gt;"","?FAMILIAR",IF(F722="NEW",IF(ISNA(VLOOKUP(E722,#REF!,1,FALSE())),"?TYPE_IDENTIFIABLE","?REFERENTIAL"),"_")))))</f>
        <v/>
      </c>
      <c r="H722" s="23" t="str">
        <f aca="false">IF(J722&lt;&gt;1,"",IF(I722="SBJ","CB","?"))</f>
        <v/>
      </c>
      <c r="I722" s="24" t="str">
        <f aca="false">IF(OR(E722="",E722="!!!",F722="NEW"),"",INDEX(N$2:N711,-1+SUMPRODUCT(MAX(ROW(E$2:E711)*(E722=E$2:E711)))))</f>
        <v/>
      </c>
      <c r="J722" s="25" t="str">
        <f aca="true">IF(OR(E722="",E722="!!!",F722="NEW"),"",COUNTBLANK(OFFSET(M$1,,,SUMPRODUCT(MAX(ROW(E$2:E712)*(E722=E$2:E712)))))-COUNTBLANK(OFFSET(M$1,,,SUMPRODUCT(MAX(ROW(Q$1:Q711)*(E722=Q$1:Q711))))))</f>
        <v/>
      </c>
      <c r="K722" s="25" t="str">
        <f aca="false">IF(OR(E722="",E722="!!!",F722="NEW"),"",INDEX(V$1:V711,SUMPRODUCT(MAX(ROW(Q$1:Q711)*(E722=Q$1:Q711)))))</f>
        <v/>
      </c>
      <c r="L722" s="26"/>
      <c r="M722" s="27"/>
    </row>
    <row r="723" customFormat="false" ht="15" hidden="false" customHeight="false" outlineLevel="0" collapsed="false">
      <c r="A723" s="19" t="s">
        <v>617</v>
      </c>
      <c r="B723" s="28" t="s">
        <v>271</v>
      </c>
      <c r="C723" s="28" t="s">
        <v>354</v>
      </c>
      <c r="E723" s="20" t="str">
        <f aca="false">IF(P723="?OLD","!!!","")</f>
        <v/>
      </c>
      <c r="F723" s="21" t="str">
        <f aca="false">IF(OR(E723="",E723="!!!"),"",IF(NOT(ISNA(VLOOKUP(E723,Q$1:Q712,1,FALSE()))),"OLD",IF(AND(E723&lt;&gt;"",E723&lt;&gt;"!!!"),"NEW","")))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IF(OR(E723="",E723="!!!",F723="NEW"),"",INDEX(N$2:N712,-1+SUMPRODUCT(MAX(ROW(E$2:E712)*(E723=E$2:E712)))))</f>
        <v/>
      </c>
      <c r="J723" s="25" t="str">
        <f aca="true">IF(OR(E723="",E723="!!!",F723="NEW"),"",COUNTBLANK(OFFSET(M$1,,,SUMPRODUCT(MAX(ROW(E$2:E713)*(E723=E$2:E713)))))-COUNTBLANK(OFFSET(M$1,,,SUMPRODUCT(MAX(ROW(Q$1:Q712)*(E723=Q$1:Q712))))))</f>
        <v/>
      </c>
      <c r="K723" s="25" t="str">
        <f aca="false">IF(OR(E723="",E723="!!!",F723="NEW"),"",INDEX(V$1:V712,SUMPRODUCT(MAX(ROW(Q$1:Q712)*(E723=Q$1:Q712)))))</f>
        <v/>
      </c>
      <c r="L723" s="26"/>
      <c r="M723" s="27"/>
      <c r="N723" s="29"/>
      <c r="O723" s="29"/>
    </row>
    <row r="724" customFormat="false" ht="15" hidden="false" customHeight="false" outlineLevel="0" collapsed="false">
      <c r="A724" s="19" t="s">
        <v>309</v>
      </c>
      <c r="E724" s="20" t="str">
        <f aca="false">IF(P724="?OLD","!!!","")</f>
        <v/>
      </c>
      <c r="F724" s="21" t="str">
        <f aca="false">IF(OR(E724="",E724="!!!"),"",IF(NOT(ISNA(VLOOKUP(E724,Q$1:Q713,1,FALSE()))),"OLD",IF(AND(E724&lt;&gt;"",E724&lt;&gt;"!!!"),"NEW","")))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IF(OR(E724="",E724="!!!",F724="NEW"),"",INDEX(N$2:N713,-1+SUMPRODUCT(MAX(ROW(E$2:E713)*(E724=E$2:E713)))))</f>
        <v/>
      </c>
      <c r="J724" s="25" t="str">
        <f aca="true">IF(OR(E724="",E724="!!!",F724="NEW"),"",COUNTBLANK(OFFSET(M$1,,,SUMPRODUCT(MAX(ROW(E$2:E714)*(E724=E$2:E714)))))-COUNTBLANK(OFFSET(M$1,,,SUMPRODUCT(MAX(ROW(Q$1:Q713)*(E724=Q$1:Q713))))))</f>
        <v/>
      </c>
      <c r="K724" s="25" t="str">
        <f aca="false">IF(OR(E724="",E724="!!!",F724="NEW"),"",INDEX(V$1:V713,SUMPRODUCT(MAX(ROW(Q$1:Q713)*(E724=Q$1:Q713)))))</f>
        <v/>
      </c>
      <c r="L724" s="26"/>
      <c r="M724" s="27"/>
    </row>
    <row r="725" customFormat="false" ht="15" hidden="false" customHeight="false" outlineLevel="0" collapsed="false">
      <c r="A725" s="19" t="s">
        <v>87</v>
      </c>
      <c r="E725" s="20" t="str">
        <f aca="false">IF(P725="?OLD","!!!","")</f>
        <v/>
      </c>
      <c r="F725" s="21" t="str">
        <f aca="false">IF(OR(E725="",E725="!!!"),"",IF(NOT(ISNA(VLOOKUP(E725,Q$1:Q714,1,FALSE()))),"OLD",IF(AND(E725&lt;&gt;"",E725&lt;&gt;"!!!"),"NEW","")))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IF(OR(E725="",E725="!!!",F725="NEW"),"",INDEX(N$2:N714,-1+SUMPRODUCT(MAX(ROW(E$2:E714)*(E725=E$2:E714)))))</f>
        <v/>
      </c>
      <c r="J725" s="25" t="str">
        <f aca="true">IF(OR(E725="",E725="!!!",F725="NEW"),"",COUNTBLANK(OFFSET(M$1,,,SUMPRODUCT(MAX(ROW(E$2:E715)*(E725=E$2:E715)))))-COUNTBLANK(OFFSET(M$1,,,SUMPRODUCT(MAX(ROW(Q$1:Q714)*(E725=Q$1:Q714))))))</f>
        <v/>
      </c>
      <c r="K725" s="25" t="str">
        <f aca="false">IF(OR(E725="",E725="!!!",F725="NEW"),"",INDEX(V$1:V714,SUMPRODUCT(MAX(ROW(Q$1:Q714)*(E725=Q$1:Q714)))))</f>
        <v/>
      </c>
      <c r="L725" s="26"/>
      <c r="M725" s="27"/>
    </row>
    <row r="726" customFormat="false" ht="15" hidden="false" customHeight="false" outlineLevel="0" collapsed="false">
      <c r="A726" s="19" t="s">
        <v>618</v>
      </c>
      <c r="B726" s="28" t="s">
        <v>286</v>
      </c>
      <c r="C726" s="28" t="s">
        <v>259</v>
      </c>
      <c r="E726" s="20" t="str">
        <f aca="false">IF(P726="?OLD","!!!","")</f>
        <v/>
      </c>
      <c r="F726" s="21" t="str">
        <f aca="false">IF(OR(E726="",E726="!!!"),"",IF(NOT(ISNA(VLOOKUP(E726,Q$1:Q715,1,FALSE()))),"OLD",IF(AND(E726&lt;&gt;"",E726&lt;&gt;"!!!"),"NEW","")))</f>
        <v/>
      </c>
      <c r="G726" s="22" t="str">
        <f aca="false">IF(OR(E726="",E726="!!!"),"",IF(OR(J726=0,AND(J726=1,K726=1),AND(J726=1,I726="SBJ"),AND(J726=1,I726=0)),"?IN_FOCUS",IF(J726&lt;=2,"?ACTIVATED",IF(J726&lt;&gt;"","?FAMILIAR",IF(F726="NEW",IF(ISNA(VLOOKUP(E726,#REF!,1,FALSE())),"?TYPE_IDENTIFIABLE","?REFERENTIAL"),"_")))))</f>
        <v/>
      </c>
      <c r="H726" s="23" t="str">
        <f aca="false">IF(J726&lt;&gt;1,"",IF(I726="SBJ","CB","?"))</f>
        <v/>
      </c>
      <c r="I726" s="24" t="str">
        <f aca="false">IF(OR(E726="",E726="!!!",F726="NEW"),"",INDEX(N$2:N715,-1+SUMPRODUCT(MAX(ROW(E$2:E715)*(E726=E$2:E715)))))</f>
        <v/>
      </c>
      <c r="J726" s="25" t="str">
        <f aca="true">IF(OR(E726="",E726="!!!",F726="NEW"),"",COUNTBLANK(OFFSET(M$1,,,SUMPRODUCT(MAX(ROW(E$2:E716)*(E726=E$2:E716)))))-COUNTBLANK(OFFSET(M$1,,,SUMPRODUCT(MAX(ROW(Q$1:Q715)*(E726=Q$1:Q715))))))</f>
        <v/>
      </c>
      <c r="K726" s="25" t="str">
        <f aca="false">IF(OR(E726="",E726="!!!",F726="NEW"),"",INDEX(V$1:V715,SUMPRODUCT(MAX(ROW(Q$1:Q715)*(E726=Q$1:Q715)))))</f>
        <v/>
      </c>
      <c r="L726" s="26"/>
      <c r="M726" s="27"/>
      <c r="N726" s="29"/>
      <c r="O726" s="29"/>
    </row>
    <row r="727" customFormat="false" ht="15" hidden="false" customHeight="false" outlineLevel="0" collapsed="false">
      <c r="A727" s="19" t="s">
        <v>275</v>
      </c>
      <c r="E727" s="20" t="str">
        <f aca="false">IF(P727="?OLD","!!!","")</f>
        <v/>
      </c>
      <c r="F727" s="21" t="str">
        <f aca="false">IF(OR(E727="",E727="!!!"),"",IF(NOT(ISNA(VLOOKUP(E727,Q$1:Q716,1,FALSE()))),"OLD",IF(AND(E727&lt;&gt;"",E727&lt;&gt;"!!!"),"NEW","")))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4" t="str">
        <f aca="false">IF(OR(E727="",E727="!!!",F727="NEW"),"",INDEX(N$2:N716,-1+SUMPRODUCT(MAX(ROW(E$2:E716)*(E727=E$2:E716)))))</f>
        <v/>
      </c>
      <c r="J727" s="25" t="str">
        <f aca="true">IF(OR(E727="",E727="!!!",F727="NEW"),"",COUNTBLANK(OFFSET(M$1,,,SUMPRODUCT(MAX(ROW(E$2:E717)*(E727=E$2:E717)))))-COUNTBLANK(OFFSET(M$1,,,SUMPRODUCT(MAX(ROW(Q$1:Q716)*(E727=Q$1:Q716))))))</f>
        <v/>
      </c>
      <c r="K727" s="25" t="str">
        <f aca="false">IF(OR(E727="",E727="!!!",F727="NEW"),"",INDEX(V$1:V716,SUMPRODUCT(MAX(ROW(Q$1:Q716)*(E727=Q$1:Q716)))))</f>
        <v/>
      </c>
      <c r="L727" s="26"/>
      <c r="M727" s="27"/>
    </row>
    <row r="728" customFormat="false" ht="15" hidden="false" customHeight="false" outlineLevel="0" collapsed="false">
      <c r="A728" s="19"/>
      <c r="E728" s="20" t="str">
        <f aca="false">IF(P728="?OLD","!!!","")</f>
        <v/>
      </c>
      <c r="F728" s="21" t="str">
        <f aca="false">IF(OR(E728="",E728="!!!"),"",IF(NOT(ISNA(VLOOKUP(E728,Q$1:Q717,1,FALSE()))),"OLD",IF(AND(E728&lt;&gt;"",E728&lt;&gt;"!!!"),"NEW","")))</f>
        <v/>
      </c>
      <c r="G728" s="22" t="str">
        <f aca="false">IF(OR(E728="",E728="!!!"),"",IF(OR(J728=0,AND(J728=1,K728=1),AND(J728=1,I728="SBJ"),AND(J728=1,I728=0)),"?IN_FOCUS",IF(J728&lt;=2,"?ACTIVATED",IF(J728&lt;&gt;"","?FAMILIAR",IF(F728="NEW",IF(ISNA(VLOOKUP(E728,#REF!,1,FALSE())),"?TYPE_IDENTIFIABLE","?REFERENTIAL"),"_")))))</f>
        <v/>
      </c>
      <c r="H728" s="23" t="str">
        <f aca="false">IF(J728&lt;&gt;1,"",IF(I728="SBJ","CB","?"))</f>
        <v/>
      </c>
      <c r="I728" s="24" t="str">
        <f aca="false">IF(OR(E728="",E728="!!!",F728="NEW"),"",INDEX(N$2:N717,-1+SUMPRODUCT(MAX(ROW(E$2:E717)*(E728=E$2:E717)))))</f>
        <v/>
      </c>
      <c r="J728" s="25" t="str">
        <f aca="true">IF(OR(E728="",E728="!!!",F728="NEW"),"",COUNTBLANK(OFFSET(M$1,,,SUMPRODUCT(MAX(ROW(E$2:E718)*(E728=E$2:E718)))))-COUNTBLANK(OFFSET(M$1,,,SUMPRODUCT(MAX(ROW(Q$1:Q717)*(E728=Q$1:Q717))))))</f>
        <v/>
      </c>
      <c r="K728" s="25" t="str">
        <f aca="false">IF(OR(E728="",E728="!!!",F728="NEW"),"",INDEX(V$1:V717,SUMPRODUCT(MAX(ROW(Q$1:Q717)*(E728=Q$1:Q717)))))</f>
        <v/>
      </c>
      <c r="L728" s="26"/>
    </row>
    <row r="729" customFormat="false" ht="15" hidden="false" customHeight="false" outlineLevel="0" collapsed="false">
      <c r="A729" s="19" t="s">
        <v>619</v>
      </c>
      <c r="E729" s="20" t="str">
        <f aca="false">IF(P729="?OLD","!!!","")</f>
        <v/>
      </c>
      <c r="F729" s="21" t="str">
        <f aca="false">IF(OR(E729="",E729="!!!"),"",IF(NOT(ISNA(VLOOKUP(E729,Q$1:Q718,1,FALSE()))),"OLD",IF(AND(E729&lt;&gt;"",E729&lt;&gt;"!!!"),"NEW","")))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4" t="str">
        <f aca="false">IF(OR(E729="",E729="!!!",F729="NEW"),"",INDEX(N$2:N718,-1+SUMPRODUCT(MAX(ROW(E$2:E718)*(E729=E$2:E718)))))</f>
        <v/>
      </c>
      <c r="J729" s="25" t="str">
        <f aca="true">IF(OR(E729="",E729="!!!",F729="NEW"),"",COUNTBLANK(OFFSET(M$1,,,SUMPRODUCT(MAX(ROW(E$2:E719)*(E729=E$2:E719)))))-COUNTBLANK(OFFSET(M$1,,,SUMPRODUCT(MAX(ROW(Q$1:Q718)*(E729=Q$1:Q718))))))</f>
        <v/>
      </c>
      <c r="K729" s="25" t="str">
        <f aca="false">IF(OR(E729="",E729="!!!",F729="NEW"),"",INDEX(V$1:V718,SUMPRODUCT(MAX(ROW(Q$1:Q718)*(E729=Q$1:Q718)))))</f>
        <v/>
      </c>
      <c r="L729" s="26"/>
      <c r="M729" s="27"/>
    </row>
    <row r="730" customFormat="false" ht="15" hidden="false" customHeight="false" outlineLevel="0" collapsed="false">
      <c r="A730" s="19" t="s">
        <v>439</v>
      </c>
      <c r="B730" s="28" t="s">
        <v>263</v>
      </c>
      <c r="C730" s="28" t="s">
        <v>264</v>
      </c>
      <c r="D730" s="28" t="s">
        <v>253</v>
      </c>
      <c r="E730" s="20" t="s">
        <v>413</v>
      </c>
      <c r="F730" s="21" t="str">
        <f aca="false">IF(OR(E730="",E730="!!!"),"",IF(NOT(ISNA(VLOOKUP(E730,Q$1:Q719,1,FALSE()))),"OLD",IF(AND(E730&lt;&gt;"",E730&lt;&gt;"!!!"),"NEW","")))</f>
        <v>NEW</v>
      </c>
      <c r="G730" s="22" t="s">
        <v>266</v>
      </c>
      <c r="H730" s="23" t="str">
        <f aca="false">IF(J730&lt;&gt;1,"",IF(I730="SBJ","CB","?"))</f>
        <v/>
      </c>
      <c r="I730" s="24" t="str">
        <f aca="false">IF(OR(E730="",E730="!!!",F730="NEW"),"",INDEX(N$2:N719,-1+SUMPRODUCT(MAX(ROW(E$2:E719)*(E730=E$2:E719)))))</f>
        <v/>
      </c>
      <c r="J730" s="25" t="str">
        <f aca="true">IF(OR(E730="",E730="!!!",F730="NEW"),"",COUNTBLANK(OFFSET(M$1,,,SUMPRODUCT(MAX(ROW(E$2:E720)*(E730=E$2:E720)))))-COUNTBLANK(OFFSET(M$1,,,SUMPRODUCT(MAX(ROW(Q$1:Q719)*(E730=Q$1:Q719))))))</f>
        <v/>
      </c>
      <c r="K730" s="25" t="str">
        <f aca="false">IF(OR(E730="",E730="!!!",F730="NEW"),"",INDEX(V$1:V719,SUMPRODUCT(MAX(ROW(Q$1:Q719)*(E730=Q$1:Q719)))))</f>
        <v/>
      </c>
      <c r="L730" s="26"/>
      <c r="M730" s="27"/>
      <c r="N730" s="29"/>
      <c r="O730" s="29"/>
      <c r="P730" s="29"/>
    </row>
    <row r="731" customFormat="false" ht="15" hidden="false" customHeight="false" outlineLevel="0" collapsed="false">
      <c r="A731" s="19" t="s">
        <v>620</v>
      </c>
      <c r="E731" s="20" t="str">
        <f aca="false">IF(P731="?OLD","!!!","")</f>
        <v/>
      </c>
      <c r="F731" s="21" t="str">
        <f aca="false">IF(OR(E731="",E731="!!!"),"",IF(NOT(ISNA(VLOOKUP(E731,Q$1:Q720,1,FALSE()))),"OLD",IF(AND(E731&lt;&gt;"",E731&lt;&gt;"!!!"),"NEW","")))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IF(OR(E731="",E731="!!!",F731="NEW"),"",INDEX(N$2:N720,-1+SUMPRODUCT(MAX(ROW(E$2:E720)*(E731=E$2:E720)))))</f>
        <v/>
      </c>
      <c r="J731" s="25" t="str">
        <f aca="true">IF(OR(E731="",E731="!!!",F731="NEW"),"",COUNTBLANK(OFFSET(M$1,,,SUMPRODUCT(MAX(ROW(E$2:E721)*(E731=E$2:E721)))))-COUNTBLANK(OFFSET(M$1,,,SUMPRODUCT(MAX(ROW(Q$1:Q720)*(E731=Q$1:Q720))))))</f>
        <v/>
      </c>
      <c r="K731" s="25" t="str">
        <f aca="false">IF(OR(E731="",E731="!!!",F731="NEW"),"",INDEX(V$1:V720,SUMPRODUCT(MAX(ROW(Q$1:Q720)*(E731=Q$1:Q720)))))</f>
        <v/>
      </c>
      <c r="L731" s="26"/>
      <c r="M731" s="27"/>
    </row>
    <row r="732" customFormat="false" ht="15" hidden="false" customHeight="false" outlineLevel="0" collapsed="false">
      <c r="A732" s="19" t="s">
        <v>449</v>
      </c>
      <c r="E732" s="20" t="str">
        <f aca="false">IF(P732="?OLD","!!!","")</f>
        <v/>
      </c>
      <c r="F732" s="21" t="str">
        <f aca="false">IF(OR(E732="",E732="!!!"),"",IF(NOT(ISNA(VLOOKUP(E732,Q$1:Q721,1,FALSE()))),"OLD",IF(AND(E732&lt;&gt;"",E732&lt;&gt;"!!!"),"NEW","")))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4" t="str">
        <f aca="false">IF(OR(E732="",E732="!!!",F732="NEW"),"",INDEX(N$2:N721,-1+SUMPRODUCT(MAX(ROW(E$2:E721)*(E732=E$2:E721)))))</f>
        <v/>
      </c>
      <c r="J732" s="25" t="str">
        <f aca="true">IF(OR(E732="",E732="!!!",F732="NEW"),"",COUNTBLANK(OFFSET(M$1,,,SUMPRODUCT(MAX(ROW(E$2:E722)*(E732=E$2:E722)))))-COUNTBLANK(OFFSET(M$1,,,SUMPRODUCT(MAX(ROW(Q$1:Q721)*(E732=Q$1:Q721))))))</f>
        <v/>
      </c>
      <c r="K732" s="25" t="str">
        <f aca="false">IF(OR(E732="",E732="!!!",F732="NEW"),"",INDEX(V$1:V721,SUMPRODUCT(MAX(ROW(Q$1:Q721)*(E732=Q$1:Q721)))))</f>
        <v/>
      </c>
      <c r="L732" s="26"/>
      <c r="M732" s="27"/>
    </row>
    <row r="733" customFormat="false" ht="15" hidden="false" customHeight="false" outlineLevel="0" collapsed="false">
      <c r="A733" s="19" t="s">
        <v>309</v>
      </c>
      <c r="E733" s="20" t="str">
        <f aca="false">IF(P733="?OLD","!!!","")</f>
        <v/>
      </c>
      <c r="F733" s="21" t="str">
        <f aca="false">IF(OR(E733="",E733="!!!"),"",IF(NOT(ISNA(VLOOKUP(E733,Q$1:Q722,1,FALSE()))),"OLD",IF(AND(E733&lt;&gt;"",E733&lt;&gt;"!!!"),"NEW","")))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4" t="str">
        <f aca="false">IF(OR(E733="",E733="!!!",F733="NEW"),"",INDEX(N$2:N722,-1+SUMPRODUCT(MAX(ROW(E$2:E722)*(E733=E$2:E722)))))</f>
        <v/>
      </c>
      <c r="J733" s="25" t="str">
        <f aca="true">IF(OR(E733="",E733="!!!",F733="NEW"),"",COUNTBLANK(OFFSET(M$1,,,SUMPRODUCT(MAX(ROW(E$2:E723)*(E733=E$2:E723)))))-COUNTBLANK(OFFSET(M$1,,,SUMPRODUCT(MAX(ROW(Q$1:Q722)*(E733=Q$1:Q722))))))</f>
        <v/>
      </c>
      <c r="K733" s="25" t="str">
        <f aca="false">IF(OR(E733="",E733="!!!",F733="NEW"),"",INDEX(V$1:V722,SUMPRODUCT(MAX(ROW(Q$1:Q722)*(E733=Q$1:Q722)))))</f>
        <v/>
      </c>
      <c r="L733" s="26"/>
      <c r="M733" s="27"/>
    </row>
    <row r="734" customFormat="false" ht="15" hidden="false" customHeight="false" outlineLevel="0" collapsed="false">
      <c r="A734" s="19" t="s">
        <v>621</v>
      </c>
      <c r="B734" s="28" t="s">
        <v>271</v>
      </c>
      <c r="C734" s="28" t="s">
        <v>264</v>
      </c>
      <c r="D734" s="28" t="s">
        <v>253</v>
      </c>
      <c r="E734" s="20" t="s">
        <v>586</v>
      </c>
      <c r="F734" s="21" t="str">
        <f aca="false">IF(OR(E734="",E734="!!!"),"",IF(NOT(ISNA(VLOOKUP(E734,Q$1:Q723,1,FALSE()))),"OLD",IF(AND(E734&lt;&gt;"",E734&lt;&gt;"!!!"),"NEW","")))</f>
        <v>NEW</v>
      </c>
      <c r="G734" s="22" t="s">
        <v>266</v>
      </c>
      <c r="H734" s="23" t="str">
        <f aca="false">IF(J734&lt;&gt;1,"",IF(I734="SBJ","CB","?"))</f>
        <v/>
      </c>
      <c r="I734" s="24" t="str">
        <f aca="false">IF(OR(E734="",E734="!!!",F734="NEW"),"",INDEX(N$2:N723,-1+SUMPRODUCT(MAX(ROW(E$2:E723)*(E734=E$2:E723)))))</f>
        <v/>
      </c>
      <c r="J734" s="25" t="str">
        <f aca="true">IF(OR(E734="",E734="!!!",F734="NEW"),"",COUNTBLANK(OFFSET(M$1,,,SUMPRODUCT(MAX(ROW(E$2:E724)*(E734=E$2:E724)))))-COUNTBLANK(OFFSET(M$1,,,SUMPRODUCT(MAX(ROW(Q$1:Q723)*(E734=Q$1:Q723))))))</f>
        <v/>
      </c>
      <c r="K734" s="25" t="str">
        <f aca="false">IF(OR(E734="",E734="!!!",F734="NEW"),"",INDEX(V$1:V723,SUMPRODUCT(MAX(ROW(Q$1:Q723)*(E734=Q$1:Q723)))))</f>
        <v/>
      </c>
      <c r="L734" s="26"/>
      <c r="M734" s="27"/>
      <c r="N734" s="29"/>
      <c r="O734" s="29"/>
      <c r="P734" s="29"/>
    </row>
    <row r="735" customFormat="false" ht="15" hidden="false" customHeight="false" outlineLevel="0" collapsed="false">
      <c r="A735" s="19" t="s">
        <v>250</v>
      </c>
      <c r="E735" s="20" t="str">
        <f aca="false">IF(P735="?OLD","!!!","")</f>
        <v/>
      </c>
      <c r="F735" s="21" t="str">
        <f aca="false">IF(OR(E735="",E735="!!!"),"",IF(NOT(ISNA(VLOOKUP(E735,Q$1:Q724,1,FALSE()))),"OLD",IF(AND(E735&lt;&gt;"",E735&lt;&gt;"!!!"),"NEW","")))</f>
        <v/>
      </c>
      <c r="G735" s="22" t="str">
        <f aca="false">IF(OR(E735="",E735="!!!"),"",IF(OR(J735=0,AND(J735=1,K735=1),AND(J735=1,I735="SBJ"),AND(J735=1,I735=0)),"?IN_FOCUS",IF(J735&lt;=2,"?ACTIVATED",IF(J735&lt;&gt;"","?FAMILIAR",IF(F735="NEW",IF(ISNA(VLOOKUP(E735,#REF!,1,FALSE())),"?TYPE_IDENTIFIABLE","?REFERENTIAL"),"_")))))</f>
        <v/>
      </c>
      <c r="H735" s="23" t="str">
        <f aca="false">IF(J735&lt;&gt;1,"",IF(I735="SBJ","CB","?"))</f>
        <v/>
      </c>
      <c r="I735" s="24" t="str">
        <f aca="false">IF(OR(E735="",E735="!!!",F735="NEW"),"",INDEX(N$2:N724,-1+SUMPRODUCT(MAX(ROW(E$2:E724)*(E735=E$2:E724)))))</f>
        <v/>
      </c>
      <c r="J735" s="25" t="str">
        <f aca="true">IF(OR(E735="",E735="!!!",F735="NEW"),"",COUNTBLANK(OFFSET(M$1,,,SUMPRODUCT(MAX(ROW(E$2:E725)*(E735=E$2:E725)))))-COUNTBLANK(OFFSET(M$1,,,SUMPRODUCT(MAX(ROW(Q$1:Q724)*(E735=Q$1:Q724))))))</f>
        <v/>
      </c>
      <c r="K735" s="25" t="str">
        <f aca="false">IF(OR(E735="",E735="!!!",F735="NEW"),"",INDEX(V$1:V724,SUMPRODUCT(MAX(ROW(Q$1:Q724)*(E735=Q$1:Q724)))))</f>
        <v/>
      </c>
      <c r="L735" s="26"/>
      <c r="M735" s="27"/>
    </row>
    <row r="736" customFormat="false" ht="15" hidden="false" customHeight="false" outlineLevel="0" collapsed="false">
      <c r="A736" s="19" t="s">
        <v>622</v>
      </c>
      <c r="B736" s="28" t="s">
        <v>380</v>
      </c>
      <c r="C736" s="28" t="s">
        <v>252</v>
      </c>
      <c r="D736" s="28" t="s">
        <v>253</v>
      </c>
      <c r="E736" s="20" t="s">
        <v>623</v>
      </c>
      <c r="F736" s="21" t="str">
        <f aca="false">IF(OR(E736="",E736="!!!"),"",IF(NOT(ISNA(VLOOKUP(E736,Q$1:Q725,1,FALSE()))),"OLD",IF(AND(E736&lt;&gt;"",E736&lt;&gt;"!!!"),"NEW","")))</f>
        <v>NEW</v>
      </c>
      <c r="G736" s="22" t="s">
        <v>255</v>
      </c>
      <c r="H736" s="23" t="str">
        <f aca="false">IF(J736&lt;&gt;1,"",IF(I736="SBJ","CB","?"))</f>
        <v/>
      </c>
      <c r="I736" s="24" t="str">
        <f aca="false">IF(OR(E736="",E736="!!!",F736="NEW"),"",INDEX(N$2:N725,-1+SUMPRODUCT(MAX(ROW(E$2:E725)*(E736=E$2:E725)))))</f>
        <v/>
      </c>
      <c r="J736" s="25" t="str">
        <f aca="true">IF(OR(E736="",E736="!!!",F736="NEW"),"",COUNTBLANK(OFFSET(M$1,,,SUMPRODUCT(MAX(ROW(E$2:E726)*(E736=E$2:E726)))))-COUNTBLANK(OFFSET(M$1,,,SUMPRODUCT(MAX(ROW(Q$1:Q725)*(E736=Q$1:Q725))))))</f>
        <v/>
      </c>
      <c r="K736" s="25" t="str">
        <f aca="false">IF(OR(E736="",E736="!!!",F736="NEW"),"",INDEX(V$1:V725,SUMPRODUCT(MAX(ROW(Q$1:Q725)*(E736=Q$1:Q725)))))</f>
        <v/>
      </c>
      <c r="L736" s="26"/>
      <c r="M736" s="27"/>
      <c r="N736" s="29"/>
      <c r="O736" s="29"/>
      <c r="P736" s="29"/>
    </row>
    <row r="737" customFormat="false" ht="15" hidden="false" customHeight="false" outlineLevel="0" collapsed="false">
      <c r="A737" s="19" t="s">
        <v>256</v>
      </c>
      <c r="E737" s="20" t="str">
        <f aca="false">IF(P737="?OLD","!!!","")</f>
        <v/>
      </c>
      <c r="F737" s="21" t="str">
        <f aca="false">IF(OR(E737="",E737="!!!"),"",IF(NOT(ISNA(VLOOKUP(E737,Q$1:Q726,1,FALSE()))),"OLD",IF(AND(E737&lt;&gt;"",E737&lt;&gt;"!!!"),"NEW","")))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4" t="str">
        <f aca="false">IF(OR(E737="",E737="!!!",F737="NEW"),"",INDEX(N$2:N726,-1+SUMPRODUCT(MAX(ROW(E$2:E726)*(E737=E$2:E726)))))</f>
        <v/>
      </c>
      <c r="J737" s="25" t="str">
        <f aca="true">IF(OR(E737="",E737="!!!",F737="NEW"),"",COUNTBLANK(OFFSET(M$1,,,SUMPRODUCT(MAX(ROW(E$2:E727)*(E737=E$2:E727)))))-COUNTBLANK(OFFSET(M$1,,,SUMPRODUCT(MAX(ROW(Q$1:Q726)*(E737=Q$1:Q726))))))</f>
        <v/>
      </c>
      <c r="K737" s="25" t="str">
        <f aca="false">IF(OR(E737="",E737="!!!",F737="NEW"),"",INDEX(V$1:V726,SUMPRODUCT(MAX(ROW(Q$1:Q726)*(E737=Q$1:Q726)))))</f>
        <v/>
      </c>
      <c r="L737" s="26"/>
      <c r="M737" s="27"/>
    </row>
    <row r="738" customFormat="false" ht="15" hidden="false" customHeight="false" outlineLevel="0" collapsed="false">
      <c r="A738" s="19" t="s">
        <v>624</v>
      </c>
      <c r="B738" s="28" t="s">
        <v>306</v>
      </c>
      <c r="C738" s="28" t="s">
        <v>259</v>
      </c>
      <c r="E738" s="20" t="str">
        <f aca="false">IF(P738="?OLD","!!!","")</f>
        <v/>
      </c>
      <c r="F738" s="21" t="str">
        <f aca="false">IF(OR(E738="",E738="!!!"),"",IF(NOT(ISNA(VLOOKUP(E738,Q$1:Q727,1,FALSE()))),"OLD",IF(AND(E738&lt;&gt;"",E738&lt;&gt;"!!!"),"NEW","")))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IF(OR(E738="",E738="!!!",F738="NEW"),"",INDEX(N$2:N727,-1+SUMPRODUCT(MAX(ROW(E$2:E727)*(E738=E$2:E727)))))</f>
        <v/>
      </c>
      <c r="J738" s="25" t="str">
        <f aca="true">IF(OR(E738="",E738="!!!",F738="NEW"),"",COUNTBLANK(OFFSET(M$1,,,SUMPRODUCT(MAX(ROW(E$2:E728)*(E738=E$2:E728)))))-COUNTBLANK(OFFSET(M$1,,,SUMPRODUCT(MAX(ROW(Q$1:Q727)*(E738=Q$1:Q727))))))</f>
        <v/>
      </c>
      <c r="K738" s="25" t="str">
        <f aca="false">IF(OR(E738="",E738="!!!",F738="NEW"),"",INDEX(V$1:V727,SUMPRODUCT(MAX(ROW(Q$1:Q727)*(E738=Q$1:Q727)))))</f>
        <v/>
      </c>
      <c r="L738" s="26"/>
      <c r="M738" s="27"/>
      <c r="N738" s="29"/>
      <c r="O738" s="29"/>
    </row>
    <row r="739" customFormat="false" ht="15" hidden="false" customHeight="false" outlineLevel="0" collapsed="false">
      <c r="A739" s="19" t="s">
        <v>275</v>
      </c>
      <c r="E739" s="20" t="str">
        <f aca="false">IF(P739="?OLD","!!!","")</f>
        <v/>
      </c>
      <c r="F739" s="21" t="str">
        <f aca="false">IF(OR(E739="",E739="!!!"),"",IF(NOT(ISNA(VLOOKUP(E739,Q$1:Q728,1,FALSE()))),"OLD",IF(AND(E739&lt;&gt;"",E739&lt;&gt;"!!!"),"NEW","")))</f>
        <v/>
      </c>
      <c r="G739" s="22" t="str">
        <f aca="false">IF(OR(E739="",E739="!!!"),"",IF(OR(J739=0,AND(J739=1,K739=1),AND(J739=1,I739="SBJ"),AND(J739=1,I739=0)),"?IN_FOCUS",IF(J739&lt;=2,"?ACTIVATED",IF(J739&lt;&gt;"","?FAMILIAR",IF(F739="NEW",IF(ISNA(VLOOKUP(E739,#REF!,1,FALSE())),"?TYPE_IDENTIFIABLE","?REFERENTIAL"),"_")))))</f>
        <v/>
      </c>
      <c r="H739" s="23" t="str">
        <f aca="false">IF(J739&lt;&gt;1,"",IF(I739="SBJ","CB","?"))</f>
        <v/>
      </c>
      <c r="I739" s="24" t="str">
        <f aca="false">IF(OR(E739="",E739="!!!",F739="NEW"),"",INDEX(N$2:N728,-1+SUMPRODUCT(MAX(ROW(E$2:E728)*(E739=E$2:E728)))))</f>
        <v/>
      </c>
      <c r="J739" s="25" t="str">
        <f aca="true">IF(OR(E739="",E739="!!!",F739="NEW"),"",COUNTBLANK(OFFSET(M$1,,,SUMPRODUCT(MAX(ROW(E$2:E729)*(E739=E$2:E729)))))-COUNTBLANK(OFFSET(M$1,,,SUMPRODUCT(MAX(ROW(Q$1:Q728)*(E739=Q$1:Q728))))))</f>
        <v/>
      </c>
      <c r="K739" s="25" t="str">
        <f aca="false">IF(OR(E739="",E739="!!!",F739="NEW"),"",INDEX(V$1:V728,SUMPRODUCT(MAX(ROW(Q$1:Q728)*(E739=Q$1:Q728)))))</f>
        <v/>
      </c>
      <c r="L739" s="26"/>
      <c r="M739" s="27"/>
    </row>
    <row r="740" customFormat="false" ht="15" hidden="false" customHeight="false" outlineLevel="0" collapsed="false">
      <c r="A740" s="19"/>
      <c r="E740" s="20" t="str">
        <f aca="false">IF(P740="?OLD","!!!","")</f>
        <v/>
      </c>
      <c r="F740" s="21" t="str">
        <f aca="false">IF(OR(E740="",E740="!!!"),"",IF(NOT(ISNA(VLOOKUP(E740,Q$1:Q729,1,FALSE()))),"OLD",IF(AND(E740&lt;&gt;"",E740&lt;&gt;"!!!"),"NEW","")))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4" t="str">
        <f aca="false">IF(OR(E740="",E740="!!!",F740="NEW"),"",INDEX(N$2:N729,-1+SUMPRODUCT(MAX(ROW(E$2:E729)*(E740=E$2:E729)))))</f>
        <v/>
      </c>
      <c r="J740" s="25" t="str">
        <f aca="true">IF(OR(E740="",E740="!!!",F740="NEW"),"",COUNTBLANK(OFFSET(M$1,,,SUMPRODUCT(MAX(ROW(E$2:E730)*(E740=E$2:E730)))))-COUNTBLANK(OFFSET(M$1,,,SUMPRODUCT(MAX(ROW(Q$1:Q729)*(E740=Q$1:Q729))))))</f>
        <v/>
      </c>
      <c r="K740" s="25" t="str">
        <f aca="false">IF(OR(E740="",E740="!!!",F740="NEW"),"",INDEX(V$1:V729,SUMPRODUCT(MAX(ROW(Q$1:Q729)*(E740=Q$1:Q729)))))</f>
        <v/>
      </c>
      <c r="L740" s="26"/>
    </row>
    <row r="741" customFormat="false" ht="15" hidden="false" customHeight="false" outlineLevel="0" collapsed="false">
      <c r="A741" s="19" t="s">
        <v>625</v>
      </c>
      <c r="E741" s="20" t="str">
        <f aca="false">IF(P741="?OLD","!!!","")</f>
        <v/>
      </c>
      <c r="F741" s="21" t="str">
        <f aca="false">IF(OR(E741="",E741="!!!"),"",IF(NOT(ISNA(VLOOKUP(E741,Q$1:Q730,1,FALSE()))),"OLD",IF(AND(E741&lt;&gt;"",E741&lt;&gt;"!!!"),"NEW","")))</f>
        <v/>
      </c>
      <c r="G741" s="22" t="str">
        <f aca="false">IF(OR(E741="",E741="!!!"),"",IF(OR(J741=0,AND(J741=1,K741=1),AND(J741=1,I741="SBJ"),AND(J741=1,I741=0)),"?IN_FOCUS",IF(J741&lt;=2,"?ACTIVATED",IF(J741&lt;&gt;"","?FAMILIAR",IF(F741="NEW",IF(ISNA(VLOOKUP(E741,#REF!,1,FALSE())),"?TYPE_IDENTIFIABLE","?REFERENTIAL"),"_")))))</f>
        <v/>
      </c>
      <c r="H741" s="23" t="str">
        <f aca="false">IF(J741&lt;&gt;1,"",IF(I741="SBJ","CB","?"))</f>
        <v/>
      </c>
      <c r="I741" s="24" t="str">
        <f aca="false">IF(OR(E741="",E741="!!!",F741="NEW"),"",INDEX(N$2:N730,-1+SUMPRODUCT(MAX(ROW(E$2:E730)*(E741=E$2:E730)))))</f>
        <v/>
      </c>
      <c r="J741" s="25" t="str">
        <f aca="true">IF(OR(E741="",E741="!!!",F741="NEW"),"",COUNTBLANK(OFFSET(M$1,,,SUMPRODUCT(MAX(ROW(E$2:E731)*(E741=E$2:E731)))))-COUNTBLANK(OFFSET(M$1,,,SUMPRODUCT(MAX(ROW(Q$1:Q730)*(E741=Q$1:Q730))))))</f>
        <v/>
      </c>
      <c r="K741" s="25" t="str">
        <f aca="false">IF(OR(E741="",E741="!!!",F741="NEW"),"",INDEX(V$1:V730,SUMPRODUCT(MAX(ROW(Q$1:Q730)*(E741=Q$1:Q730)))))</f>
        <v/>
      </c>
      <c r="L741" s="26"/>
      <c r="M741" s="27"/>
    </row>
    <row r="742" customFormat="false" ht="15" hidden="false" customHeight="false" outlineLevel="0" collapsed="false">
      <c r="A742" s="19" t="s">
        <v>439</v>
      </c>
      <c r="B742" s="28" t="s">
        <v>263</v>
      </c>
      <c r="C742" s="28" t="s">
        <v>264</v>
      </c>
      <c r="D742" s="28" t="s">
        <v>253</v>
      </c>
      <c r="E742" s="20" t="s">
        <v>413</v>
      </c>
      <c r="F742" s="21" t="str">
        <f aca="false">IF(OR(E742="",E742="!!!"),"",IF(NOT(ISNA(VLOOKUP(E742,Q$1:Q731,1,FALSE()))),"OLD",IF(AND(E742&lt;&gt;"",E742&lt;&gt;"!!!"),"NEW","")))</f>
        <v>NEW</v>
      </c>
      <c r="G742" s="22" t="s">
        <v>296</v>
      </c>
      <c r="H742" s="23" t="str">
        <f aca="false">IF(J742&lt;&gt;1,"",IF(I742="SBJ","CB","?"))</f>
        <v/>
      </c>
      <c r="I742" s="24" t="str">
        <f aca="false">IF(OR(E742="",E742="!!!",F742="NEW"),"",INDEX(N$2:N731,-1+SUMPRODUCT(MAX(ROW(E$2:E731)*(E742=E$2:E731)))))</f>
        <v/>
      </c>
      <c r="J742" s="25" t="str">
        <f aca="true">IF(OR(E742="",E742="!!!",F742="NEW"),"",COUNTBLANK(OFFSET(M$1,,,SUMPRODUCT(MAX(ROW(E$2:E732)*(E742=E$2:E732)))))-COUNTBLANK(OFFSET(M$1,,,SUMPRODUCT(MAX(ROW(Q$1:Q731)*(E742=Q$1:Q731))))))</f>
        <v/>
      </c>
      <c r="K742" s="25" t="str">
        <f aca="false">IF(OR(E742="",E742="!!!",F742="NEW"),"",INDEX(V$1:V731,SUMPRODUCT(MAX(ROW(Q$1:Q731)*(E742=Q$1:Q731)))))</f>
        <v/>
      </c>
      <c r="L742" s="26"/>
      <c r="M742" s="27"/>
      <c r="N742" s="29"/>
      <c r="O742" s="29"/>
      <c r="P742" s="29"/>
    </row>
    <row r="743" customFormat="false" ht="15" hidden="false" customHeight="false" outlineLevel="0" collapsed="false">
      <c r="A743" s="19" t="s">
        <v>477</v>
      </c>
      <c r="E743" s="20" t="str">
        <f aca="false">IF(P743="?OLD","!!!","")</f>
        <v/>
      </c>
      <c r="F743" s="21" t="str">
        <f aca="false">IF(OR(E743="",E743="!!!"),"",IF(NOT(ISNA(VLOOKUP(E743,Q$1:Q732,1,FALSE()))),"OLD",IF(AND(E743&lt;&gt;"",E743&lt;&gt;"!!!"),"NEW","")))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4" t="str">
        <f aca="false">IF(OR(E743="",E743="!!!",F743="NEW"),"",INDEX(N$2:N732,-1+SUMPRODUCT(MAX(ROW(E$2:E732)*(E743=E$2:E732)))))</f>
        <v/>
      </c>
      <c r="J743" s="25" t="str">
        <f aca="true">IF(OR(E743="",E743="!!!",F743="NEW"),"",COUNTBLANK(OFFSET(M$1,,,SUMPRODUCT(MAX(ROW(E$2:E733)*(E743=E$2:E733)))))-COUNTBLANK(OFFSET(M$1,,,SUMPRODUCT(MAX(ROW(Q$1:Q732)*(E743=Q$1:Q732))))))</f>
        <v/>
      </c>
      <c r="K743" s="25" t="str">
        <f aca="false">IF(OR(E743="",E743="!!!",F743="NEW"),"",INDEX(V$1:V732,SUMPRODUCT(MAX(ROW(Q$1:Q732)*(E743=Q$1:Q732)))))</f>
        <v/>
      </c>
      <c r="L743" s="26"/>
      <c r="M743" s="27"/>
    </row>
    <row r="744" customFormat="false" ht="15" hidden="false" customHeight="false" outlineLevel="0" collapsed="false">
      <c r="A744" s="19" t="s">
        <v>153</v>
      </c>
      <c r="E744" s="20" t="str">
        <f aca="false">IF(P744="?OLD","!!!","")</f>
        <v/>
      </c>
      <c r="F744" s="21" t="str">
        <f aca="false">IF(OR(E744="",E744="!!!"),"",IF(NOT(ISNA(VLOOKUP(E744,Q$1:Q733,1,FALSE()))),"OLD",IF(AND(E744&lt;&gt;"",E744&lt;&gt;"!!!"),"NEW","")))</f>
        <v/>
      </c>
      <c r="G744" s="22" t="str">
        <f aca="false">IF(OR(E744="",E744="!!!"),"",IF(OR(J744=0,AND(J744=1,K744=1),AND(J744=1,I744="SBJ"),AND(J744=1,I744=0)),"?IN_FOCUS",IF(J744&lt;=2,"?ACTIVATED",IF(J744&lt;&gt;"","?FAMILIAR",IF(F744="NEW",IF(ISNA(VLOOKUP(E744,#REF!,1,FALSE())),"?TYPE_IDENTIFIABLE","?REFERENTIAL"),"_")))))</f>
        <v/>
      </c>
      <c r="H744" s="23"/>
      <c r="I744" s="24" t="str">
        <f aca="false">IF(OR(E744="",E744="!!!",F744="NEW"),"",INDEX(N$2:N733,-1+SUMPRODUCT(MAX(ROW(E$2:E733)*(E744=E$2:E733)))))</f>
        <v/>
      </c>
      <c r="J744" s="25" t="str">
        <f aca="true">IF(OR(E744="",E744="!!!",F744="NEW"),"",COUNTBLANK(OFFSET(M$1,,,SUMPRODUCT(MAX(ROW(E$2:E734)*(E744=E$2:E734)))))-COUNTBLANK(OFFSET(M$1,,,SUMPRODUCT(MAX(ROW(Q$1:Q733)*(E744=Q$1:Q733))))))</f>
        <v/>
      </c>
      <c r="K744" s="25" t="str">
        <f aca="false">IF(OR(E744="",E744="!!!",F744="NEW"),"",INDEX(V$1:V733,SUMPRODUCT(MAX(ROW(Q$1:Q733)*(E744=Q$1:Q733)))))</f>
        <v/>
      </c>
      <c r="L744" s="26"/>
      <c r="M744" s="27"/>
    </row>
    <row r="745" customFormat="false" ht="15" hidden="false" customHeight="false" outlineLevel="0" collapsed="false">
      <c r="A745" s="19" t="s">
        <v>621</v>
      </c>
      <c r="B745" s="28" t="s">
        <v>380</v>
      </c>
      <c r="C745" s="28" t="s">
        <v>264</v>
      </c>
      <c r="D745" s="28" t="s">
        <v>253</v>
      </c>
      <c r="E745" s="20" t="s">
        <v>586</v>
      </c>
      <c r="F745" s="21" t="str">
        <f aca="false">IF(OR(E745="",E745="!!!"),"",IF(NOT(ISNA(VLOOKUP(E745,Q$1:Q734,1,FALSE()))),"OLD",IF(AND(E745&lt;&gt;"",E745&lt;&gt;"!!!"),"NEW","")))</f>
        <v>NEW</v>
      </c>
      <c r="G745" s="22" t="s">
        <v>266</v>
      </c>
      <c r="H745" s="23"/>
      <c r="I745" s="24" t="str">
        <f aca="false">IF(OR(E745="",E745="!!!",F745="NEW"),"",INDEX(N$2:N734,-1+SUMPRODUCT(MAX(ROW(E$2:E734)*(E745=E$2:E734)))))</f>
        <v/>
      </c>
      <c r="J745" s="25" t="str">
        <f aca="true">IF(OR(E745="",E745="!!!",F745="NEW"),"",COUNTBLANK(OFFSET(M$1,,,SUMPRODUCT(MAX(ROW(E$2:E735)*(E745=E$2:E735)))))-COUNTBLANK(OFFSET(M$1,,,SUMPRODUCT(MAX(ROW(Q$1:Q734)*(E745=Q$1:Q734))))))</f>
        <v/>
      </c>
      <c r="K745" s="25" t="str">
        <f aca="false">IF(OR(E745="",E745="!!!",F745="NEW"),"",INDEX(V$1:V734,SUMPRODUCT(MAX(ROW(Q$1:Q734)*(E745=Q$1:Q734)))))</f>
        <v/>
      </c>
      <c r="L745" s="26"/>
      <c r="M745" s="27"/>
      <c r="N745" s="29"/>
      <c r="O745" s="29"/>
      <c r="P745" s="29"/>
    </row>
    <row r="746" customFormat="false" ht="15" hidden="false" customHeight="false" outlineLevel="0" collapsed="false">
      <c r="A746" s="19" t="s">
        <v>626</v>
      </c>
      <c r="E746" s="20" t="str">
        <f aca="false">IF(P746="?OLD","!!!","")</f>
        <v/>
      </c>
      <c r="F746" s="21" t="str">
        <f aca="false">IF(OR(E746="",E746="!!!"),"",IF(NOT(ISNA(VLOOKUP(E746,Q$1:Q735,1,FALSE()))),"OLD",IF(AND(E746&lt;&gt;"",E746&lt;&gt;"!!!"),"NEW","")))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IF(OR(E746="",E746="!!!",F746="NEW"),"",INDEX(N$2:N735,-1+SUMPRODUCT(MAX(ROW(E$2:E735)*(E746=E$2:E735)))))</f>
        <v/>
      </c>
      <c r="J746" s="25" t="str">
        <f aca="true">IF(OR(E746="",E746="!!!",F746="NEW"),"",COUNTBLANK(OFFSET(M$1,,,SUMPRODUCT(MAX(ROW(E$2:E736)*(E746=E$2:E736)))))-COUNTBLANK(OFFSET(M$1,,,SUMPRODUCT(MAX(ROW(Q$1:Q735)*(E746=Q$1:Q735))))))</f>
        <v/>
      </c>
      <c r="K746" s="25" t="str">
        <f aca="false">IF(OR(E746="",E746="!!!",F746="NEW"),"",INDEX(V$1:V735,SUMPRODUCT(MAX(ROW(Q$1:Q735)*(E746=Q$1:Q735)))))</f>
        <v/>
      </c>
      <c r="L746" s="26"/>
      <c r="M746" s="27"/>
    </row>
    <row r="747" customFormat="false" ht="15" hidden="false" customHeight="false" outlineLevel="0" collapsed="false">
      <c r="A747" s="19" t="s">
        <v>256</v>
      </c>
      <c r="E747" s="20" t="str">
        <f aca="false">IF(P747="?OLD","!!!","")</f>
        <v/>
      </c>
      <c r="F747" s="21" t="str">
        <f aca="false">IF(OR(E747="",E747="!!!"),"",IF(NOT(ISNA(VLOOKUP(E747,Q$1:Q736,1,FALSE()))),"OLD",IF(AND(E747&lt;&gt;"",E747&lt;&gt;"!!!"),"NEW","")))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4" t="str">
        <f aca="false">IF(OR(E747="",E747="!!!",F747="NEW"),"",INDEX(N$2:N736,-1+SUMPRODUCT(MAX(ROW(E$2:E736)*(E747=E$2:E736)))))</f>
        <v/>
      </c>
      <c r="J747" s="25" t="str">
        <f aca="true">IF(OR(E747="",E747="!!!",F747="NEW"),"",COUNTBLANK(OFFSET(M$1,,,SUMPRODUCT(MAX(ROW(E$2:E737)*(E747=E$2:E737)))))-COUNTBLANK(OFFSET(M$1,,,SUMPRODUCT(MAX(ROW(Q$1:Q736)*(E747=Q$1:Q736))))))</f>
        <v/>
      </c>
      <c r="K747" s="25" t="str">
        <f aca="false">IF(OR(E747="",E747="!!!",F747="NEW"),"",INDEX(V$1:V736,SUMPRODUCT(MAX(ROW(Q$1:Q736)*(E747=Q$1:Q736)))))</f>
        <v/>
      </c>
      <c r="L747" s="26"/>
      <c r="M747" s="27"/>
    </row>
    <row r="748" customFormat="false" ht="15" hidden="false" customHeight="false" outlineLevel="0" collapsed="false">
      <c r="A748" s="19" t="s">
        <v>627</v>
      </c>
      <c r="B748" s="28" t="s">
        <v>306</v>
      </c>
      <c r="C748" s="28" t="s">
        <v>259</v>
      </c>
      <c r="E748" s="20" t="str">
        <f aca="false">IF(P748="?OLD","!!!","")</f>
        <v/>
      </c>
      <c r="F748" s="21" t="str">
        <f aca="false">IF(OR(E748="",E748="!!!"),"",IF(NOT(ISNA(VLOOKUP(E748,Q$1:Q737,1,FALSE()))),"OLD",IF(AND(E748&lt;&gt;"",E748&lt;&gt;"!!!"),"NEW","")))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4" t="str">
        <f aca="false">IF(OR(E748="",E748="!!!",F748="NEW"),"",INDEX(N$2:N737,-1+SUMPRODUCT(MAX(ROW(E$2:E737)*(E748=E$2:E737)))))</f>
        <v/>
      </c>
      <c r="J748" s="25" t="str">
        <f aca="true">IF(OR(E748="",E748="!!!",F748="NEW"),"",COUNTBLANK(OFFSET(M$1,,,SUMPRODUCT(MAX(ROW(E$2:E738)*(E748=E$2:E738)))))-COUNTBLANK(OFFSET(M$1,,,SUMPRODUCT(MAX(ROW(Q$1:Q737)*(E748=Q$1:Q737))))))</f>
        <v/>
      </c>
      <c r="K748" s="25" t="str">
        <f aca="false">IF(OR(E748="",E748="!!!",F748="NEW"),"",INDEX(V$1:V737,SUMPRODUCT(MAX(ROW(Q$1:Q737)*(E748=Q$1:Q737)))))</f>
        <v/>
      </c>
      <c r="L748" s="26"/>
      <c r="M748" s="27"/>
      <c r="N748" s="29"/>
      <c r="O748" s="29"/>
    </row>
    <row r="749" customFormat="false" ht="15" hidden="false" customHeight="false" outlineLevel="0" collapsed="false">
      <c r="A749" s="19" t="s">
        <v>269</v>
      </c>
      <c r="E749" s="20" t="str">
        <f aca="false">IF(P749="?OLD","!!!","")</f>
        <v/>
      </c>
      <c r="F749" s="21" t="str">
        <f aca="false">IF(OR(E749="",E749="!!!"),"",IF(NOT(ISNA(VLOOKUP(E749,Q$1:Q738,1,FALSE()))),"OLD",IF(AND(E749&lt;&gt;"",E749&lt;&gt;"!!!"),"NEW","")))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4" t="str">
        <f aca="false">IF(OR(E749="",E749="!!!",F749="NEW"),"",INDEX(N$2:N738,-1+SUMPRODUCT(MAX(ROW(E$2:E738)*(E749=E$2:E738)))))</f>
        <v/>
      </c>
      <c r="J749" s="25" t="str">
        <f aca="true">IF(OR(E749="",E749="!!!",F749="NEW"),"",COUNTBLANK(OFFSET(M$1,,,SUMPRODUCT(MAX(ROW(E$2:E739)*(E749=E$2:E739)))))-COUNTBLANK(OFFSET(M$1,,,SUMPRODUCT(MAX(ROW(Q$1:Q738)*(E749=Q$1:Q738))))))</f>
        <v/>
      </c>
      <c r="K749" s="25" t="str">
        <f aca="false">IF(OR(E749="",E749="!!!",F749="NEW"),"",INDEX(V$1:V738,SUMPRODUCT(MAX(ROW(Q$1:Q738)*(E749=Q$1:Q738)))))</f>
        <v/>
      </c>
      <c r="L749" s="26"/>
      <c r="M749" s="27"/>
    </row>
    <row r="750" customFormat="false" ht="15" hidden="false" customHeight="false" outlineLevel="0" collapsed="false">
      <c r="A750" s="19" t="s">
        <v>489</v>
      </c>
      <c r="B750" s="28" t="s">
        <v>293</v>
      </c>
      <c r="C750" s="28" t="s">
        <v>358</v>
      </c>
      <c r="D750" s="28" t="s">
        <v>253</v>
      </c>
      <c r="E750" s="20" t="s">
        <v>413</v>
      </c>
      <c r="F750" s="21" t="str">
        <f aca="false">IF(OR(E750="",E750="!!!"),"",IF(NOT(ISNA(VLOOKUP(E750,Q$1:Q739,1,FALSE()))),"OLD",IF(AND(E750&lt;&gt;"",E750&lt;&gt;"!!!"),"NEW","")))</f>
        <v>NEW</v>
      </c>
      <c r="G750" s="22" t="s">
        <v>296</v>
      </c>
      <c r="H750" s="23" t="str">
        <f aca="false">IF(J750&lt;&gt;1,"",IF(I750="SBJ","CB","?"))</f>
        <v/>
      </c>
      <c r="I750" s="24" t="str">
        <f aca="false">IF(OR(E750="",E750="!!!",F750="NEW"),"",INDEX(N$2:N739,-1+SUMPRODUCT(MAX(ROW(E$2:E739)*(E750=E$2:E739)))))</f>
        <v/>
      </c>
      <c r="J750" s="25" t="str">
        <f aca="true">IF(OR(E750="",E750="!!!",F750="NEW"),"",COUNTBLANK(OFFSET(M$1,,,SUMPRODUCT(MAX(ROW(E$2:E740)*(E750=E$2:E740)))))-COUNTBLANK(OFFSET(M$1,,,SUMPRODUCT(MAX(ROW(Q$1:Q739)*(E750=Q$1:Q739))))))</f>
        <v/>
      </c>
      <c r="K750" s="25" t="str">
        <f aca="false">IF(OR(E750="",E750="!!!",F750="NEW"),"",INDEX(V$1:V739,SUMPRODUCT(MAX(ROW(Q$1:Q739)*(E750=Q$1:Q739)))))</f>
        <v/>
      </c>
      <c r="L750" s="26"/>
      <c r="M750" s="27"/>
      <c r="N750" s="29"/>
      <c r="O750" s="29"/>
      <c r="P750" s="29"/>
    </row>
    <row r="751" customFormat="false" ht="15" hidden="false" customHeight="false" outlineLevel="0" collapsed="false">
      <c r="A751" s="19" t="s">
        <v>628</v>
      </c>
      <c r="B751" s="28" t="s">
        <v>258</v>
      </c>
      <c r="C751" s="28" t="s">
        <v>314</v>
      </c>
      <c r="D751" s="28" t="s">
        <v>253</v>
      </c>
      <c r="E751" s="20" t="s">
        <v>629</v>
      </c>
      <c r="F751" s="21" t="str">
        <f aca="false">IF(OR(E751="",E751="!!!"),"",IF(NOT(ISNA(VLOOKUP(E751,Q$1:Q740,1,FALSE()))),"OLD",IF(AND(E751&lt;&gt;"",E751&lt;&gt;"!!!"),"NEW","")))</f>
        <v>NEW</v>
      </c>
      <c r="G751" s="22" t="s">
        <v>255</v>
      </c>
      <c r="H751" s="23" t="str">
        <f aca="false">IF(J751&lt;&gt;1,"",IF(I751="SBJ","CB","?"))</f>
        <v/>
      </c>
      <c r="I751" s="24" t="str">
        <f aca="false">IF(OR(E751="",E751="!!!",F751="NEW"),"",INDEX(N$2:N740,-1+SUMPRODUCT(MAX(ROW(E$2:E740)*(E751=E$2:E740)))))</f>
        <v/>
      </c>
      <c r="J751" s="25" t="str">
        <f aca="true">IF(OR(E751="",E751="!!!",F751="NEW"),"",COUNTBLANK(OFFSET(M$1,,,SUMPRODUCT(MAX(ROW(E$2:E741)*(E751=E$2:E741)))))-COUNTBLANK(OFFSET(M$1,,,SUMPRODUCT(MAX(ROW(Q$1:Q740)*(E751=Q$1:Q740))))))</f>
        <v/>
      </c>
      <c r="K751" s="25" t="str">
        <f aca="false">IF(OR(E751="",E751="!!!",F751="NEW"),"",INDEX(V$1:V740,SUMPRODUCT(MAX(ROW(Q$1:Q740)*(E751=Q$1:Q740)))))</f>
        <v/>
      </c>
      <c r="L751" s="26"/>
      <c r="M751" s="27"/>
      <c r="N751" s="29"/>
      <c r="O751" s="29"/>
      <c r="P751" s="29"/>
    </row>
    <row r="752" customFormat="false" ht="15" hidden="false" customHeight="false" outlineLevel="0" collapsed="false">
      <c r="A752" s="19" t="s">
        <v>275</v>
      </c>
      <c r="E752" s="20" t="str">
        <f aca="false">IF(P752="?OLD","!!!","")</f>
        <v/>
      </c>
      <c r="F752" s="21" t="str">
        <f aca="false">IF(OR(E752="",E752="!!!"),"",IF(NOT(ISNA(VLOOKUP(E752,Q$1:Q741,1,FALSE()))),"OLD",IF(AND(E752&lt;&gt;"",E752&lt;&gt;"!!!"),"NEW","")))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4" t="str">
        <f aca="false">IF(OR(E752="",E752="!!!",F752="NEW"),"",INDEX(N$2:N741,-1+SUMPRODUCT(MAX(ROW(E$2:E741)*(E752=E$2:E741)))))</f>
        <v/>
      </c>
      <c r="J752" s="25" t="str">
        <f aca="true">IF(OR(E752="",E752="!!!",F752="NEW"),"",COUNTBLANK(OFFSET(M$1,,,SUMPRODUCT(MAX(ROW(E$2:E742)*(E752=E$2:E742)))))-COUNTBLANK(OFFSET(M$1,,,SUMPRODUCT(MAX(ROW(Q$1:Q741)*(E752=Q$1:Q741))))))</f>
        <v/>
      </c>
      <c r="K752" s="25" t="str">
        <f aca="false">IF(OR(E752="",E752="!!!",F752="NEW"),"",INDEX(V$1:V741,SUMPRODUCT(MAX(ROW(Q$1:Q741)*(E752=Q$1:Q741)))))</f>
        <v/>
      </c>
      <c r="L752" s="26"/>
      <c r="M752" s="27"/>
    </row>
    <row r="753" customFormat="false" ht="15" hidden="false" customHeight="false" outlineLevel="0" collapsed="false">
      <c r="A753" s="19" t="s">
        <v>475</v>
      </c>
      <c r="E753" s="20" t="str">
        <f aca="false">IF(P753="?OLD","!!!","")</f>
        <v/>
      </c>
      <c r="F753" s="21" t="str">
        <f aca="false">IF(OR(E753="",E753="!!!"),"",IF(NOT(ISNA(VLOOKUP(E753,Q$1:Q742,1,FALSE()))),"OLD",IF(AND(E753&lt;&gt;"",E753&lt;&gt;"!!!"),"NEW","")))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4" t="str">
        <f aca="false">IF(OR(E753="",E753="!!!",F753="NEW"),"",INDEX(N$2:N742,-1+SUMPRODUCT(MAX(ROW(E$2:E742)*(E753=E$2:E742)))))</f>
        <v/>
      </c>
      <c r="J753" s="25" t="str">
        <f aca="true">IF(OR(E753="",E753="!!!",F753="NEW"),"",COUNTBLANK(OFFSET(M$1,,,SUMPRODUCT(MAX(ROW(E$2:E743)*(E753=E$2:E743)))))-COUNTBLANK(OFFSET(M$1,,,SUMPRODUCT(MAX(ROW(Q$1:Q742)*(E753=Q$1:Q742))))))</f>
        <v/>
      </c>
      <c r="K753" s="25" t="str">
        <f aca="false">IF(OR(E753="",E753="!!!",F753="NEW"),"",INDEX(V$1:V742,SUMPRODUCT(MAX(ROW(Q$1:Q742)*(E753=Q$1:Q742)))))</f>
        <v/>
      </c>
      <c r="L753" s="26"/>
      <c r="M753" s="27"/>
    </row>
    <row r="754" customFormat="false" ht="15" hidden="false" customHeight="false" outlineLevel="0" collapsed="false">
      <c r="A754" s="19"/>
      <c r="E754" s="20" t="str">
        <f aca="false">IF(P754="?OLD","!!!","")</f>
        <v/>
      </c>
      <c r="F754" s="21" t="str">
        <f aca="false">IF(OR(E754="",E754="!!!"),"",IF(NOT(ISNA(VLOOKUP(E754,Q$1:Q743,1,FALSE()))),"OLD",IF(AND(E754&lt;&gt;"",E754&lt;&gt;"!!!"),"NEW","")))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IF(OR(E754="",E754="!!!",F754="NEW"),"",INDEX(N$2:N743,-1+SUMPRODUCT(MAX(ROW(E$2:E743)*(E754=E$2:E743)))))</f>
        <v/>
      </c>
      <c r="J754" s="25" t="str">
        <f aca="true">IF(OR(E754="",E754="!!!",F754="NEW"),"",COUNTBLANK(OFFSET(M$1,,,SUMPRODUCT(MAX(ROW(E$2:E744)*(E754=E$2:E744)))))-COUNTBLANK(OFFSET(M$1,,,SUMPRODUCT(MAX(ROW(Q$1:Q743)*(E754=Q$1:Q743))))))</f>
        <v/>
      </c>
      <c r="K754" s="25" t="str">
        <f aca="false">IF(OR(E754="",E754="!!!",F754="NEW"),"",INDEX(V$1:V743,SUMPRODUCT(MAX(ROW(Q$1:Q743)*(E754=Q$1:Q743)))))</f>
        <v/>
      </c>
      <c r="L754" s="26"/>
    </row>
    <row r="755" customFormat="false" ht="15" hidden="false" customHeight="false" outlineLevel="0" collapsed="false">
      <c r="A755" s="19" t="s">
        <v>362</v>
      </c>
      <c r="E755" s="20" t="str">
        <f aca="false">IF(P755="?OLD","!!!","")</f>
        <v/>
      </c>
      <c r="F755" s="21" t="str">
        <f aca="false">IF(OR(E755="",E755="!!!"),"",IF(NOT(ISNA(VLOOKUP(E755,Q$1:Q744,1,FALSE()))),"OLD",IF(AND(E755&lt;&gt;"",E755&lt;&gt;"!!!"),"NEW","")))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4" t="str">
        <f aca="false">IF(OR(E755="",E755="!!!",F755="NEW"),"",INDEX(N$2:N744,-1+SUMPRODUCT(MAX(ROW(E$2:E744)*(E755=E$2:E744)))))</f>
        <v/>
      </c>
      <c r="J755" s="25" t="str">
        <f aca="true">IF(OR(E755="",E755="!!!",F755="NEW"),"",COUNTBLANK(OFFSET(M$1,,,SUMPRODUCT(MAX(ROW(E$2:E745)*(E755=E$2:E745)))))-COUNTBLANK(OFFSET(M$1,,,SUMPRODUCT(MAX(ROW(Q$1:Q744)*(E755=Q$1:Q744))))))</f>
        <v/>
      </c>
      <c r="K755" s="25" t="str">
        <f aca="false">IF(OR(E755="",E755="!!!",F755="NEW"),"",INDEX(V$1:V744,SUMPRODUCT(MAX(ROW(Q$1:Q744)*(E755=Q$1:Q744)))))</f>
        <v/>
      </c>
      <c r="L755" s="26"/>
      <c r="M755" s="27"/>
    </row>
    <row r="756" customFormat="false" ht="15" hidden="false" customHeight="false" outlineLevel="0" collapsed="false">
      <c r="A756" s="19" t="s">
        <v>630</v>
      </c>
      <c r="E756" s="20" t="str">
        <f aca="false">IF(P756="?OLD","!!!","")</f>
        <v/>
      </c>
      <c r="F756" s="21" t="str">
        <f aca="false">IF(OR(E756="",E756="!!!"),"",IF(NOT(ISNA(VLOOKUP(E756,Q$1:Q745,1,FALSE()))),"OLD",IF(AND(E756&lt;&gt;"",E756&lt;&gt;"!!!"),"NEW","")))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4" t="str">
        <f aca="false">IF(OR(E756="",E756="!!!",F756="NEW"),"",INDEX(N$2:N745,-1+SUMPRODUCT(MAX(ROW(E$2:E745)*(E756=E$2:E745)))))</f>
        <v/>
      </c>
      <c r="J756" s="25" t="str">
        <f aca="true">IF(OR(E756="",E756="!!!",F756="NEW"),"",COUNTBLANK(OFFSET(M$1,,,SUMPRODUCT(MAX(ROW(E$2:E746)*(E756=E$2:E746)))))-COUNTBLANK(OFFSET(M$1,,,SUMPRODUCT(MAX(ROW(Q$1:Q745)*(E756=Q$1:Q745))))))</f>
        <v/>
      </c>
      <c r="K756" s="25" t="str">
        <f aca="false">IF(OR(E756="",E756="!!!",F756="NEW"),"",INDEX(V$1:V745,SUMPRODUCT(MAX(ROW(Q$1:Q745)*(E756=Q$1:Q745)))))</f>
        <v/>
      </c>
      <c r="L756" s="26"/>
      <c r="M756" s="27"/>
    </row>
    <row r="757" customFormat="false" ht="15" hidden="false" customHeight="false" outlineLevel="0" collapsed="false">
      <c r="A757" s="19" t="s">
        <v>367</v>
      </c>
      <c r="E757" s="20" t="str">
        <f aca="false">IF(P757="?OLD","!!!","")</f>
        <v/>
      </c>
      <c r="F757" s="21" t="str">
        <f aca="false">IF(OR(E757="",E757="!!!"),"",IF(NOT(ISNA(VLOOKUP(E757,Q$1:Q746,1,FALSE()))),"OLD",IF(AND(E757&lt;&gt;"",E757&lt;&gt;"!!!"),"NEW","")))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4" t="str">
        <f aca="false">IF(OR(E757="",E757="!!!",F757="NEW"),"",INDEX(N$2:N746,-1+SUMPRODUCT(MAX(ROW(E$2:E746)*(E757=E$2:E746)))))</f>
        <v/>
      </c>
      <c r="J757" s="25" t="str">
        <f aca="true">IF(OR(E757="",E757="!!!",F757="NEW"),"",COUNTBLANK(OFFSET(M$1,,,SUMPRODUCT(MAX(ROW(E$2:E747)*(E757=E$2:E747)))))-COUNTBLANK(OFFSET(M$1,,,SUMPRODUCT(MAX(ROW(Q$1:Q746)*(E757=Q$1:Q746))))))</f>
        <v/>
      </c>
      <c r="K757" s="25" t="str">
        <f aca="false">IF(OR(E757="",E757="!!!",F757="NEW"),"",INDEX(V$1:V746,SUMPRODUCT(MAX(ROW(Q$1:Q746)*(E757=Q$1:Q746)))))</f>
        <v/>
      </c>
      <c r="L757" s="26"/>
      <c r="M757" s="27"/>
    </row>
    <row r="758" customFormat="false" ht="15" hidden="false" customHeight="false" outlineLevel="0" collapsed="false">
      <c r="A758" s="19" t="s">
        <v>631</v>
      </c>
      <c r="B758" s="28" t="s">
        <v>271</v>
      </c>
      <c r="C758" s="28" t="s">
        <v>259</v>
      </c>
      <c r="E758" s="20" t="str">
        <f aca="false">IF(P758="?OLD","!!!","")</f>
        <v/>
      </c>
      <c r="F758" s="21" t="str">
        <f aca="false">IF(OR(E758="",E758="!!!"),"",IF(NOT(ISNA(VLOOKUP(E758,Q$1:Q747,1,FALSE()))),"OLD",IF(AND(E758&lt;&gt;"",E758&lt;&gt;"!!!"),"NEW","")))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IF(OR(E758="",E758="!!!",F758="NEW"),"",INDEX(N$2:N747,-1+SUMPRODUCT(MAX(ROW(E$2:E747)*(E758=E$2:E747)))))</f>
        <v/>
      </c>
      <c r="J758" s="25" t="str">
        <f aca="true">IF(OR(E758="",E758="!!!",F758="NEW"),"",COUNTBLANK(OFFSET(M$1,,,SUMPRODUCT(MAX(ROW(E$2:E748)*(E758=E$2:E748)))))-COUNTBLANK(OFFSET(M$1,,,SUMPRODUCT(MAX(ROW(Q$1:Q747)*(E758=Q$1:Q747))))))</f>
        <v/>
      </c>
      <c r="K758" s="25" t="str">
        <f aca="false">IF(OR(E758="",E758="!!!",F758="NEW"),"",INDEX(V$1:V747,SUMPRODUCT(MAX(ROW(Q$1:Q747)*(E758=Q$1:Q747)))))</f>
        <v/>
      </c>
      <c r="L758" s="26"/>
      <c r="M758" s="27"/>
      <c r="N758" s="29"/>
      <c r="O758" s="29"/>
    </row>
    <row r="759" customFormat="false" ht="15" hidden="false" customHeight="false" outlineLevel="0" collapsed="false">
      <c r="A759" s="19" t="s">
        <v>261</v>
      </c>
      <c r="E759" s="20" t="str">
        <f aca="false">IF(P759="?OLD","!!!","")</f>
        <v/>
      </c>
      <c r="F759" s="21" t="str">
        <f aca="false">IF(OR(E759="",E759="!!!"),"",IF(NOT(ISNA(VLOOKUP(E759,Q$1:Q748,1,FALSE()))),"OLD",IF(AND(E759&lt;&gt;"",E759&lt;&gt;"!!!"),"NEW","")))</f>
        <v/>
      </c>
      <c r="G759" s="22" t="str">
        <f aca="false">IF(OR(E759="",E759="!!!"),"",IF(OR(J759=0,AND(J759=1,K759=1),AND(J759=1,I759="SBJ"),AND(J759=1,I759=0)),"?IN_FOCUS",IF(J759&lt;=2,"?ACTIVATED",IF(J759&lt;&gt;"","?FAMILIAR",IF(F759="NEW",IF(ISNA(VLOOKUP(E759,#REF!,1,FALSE())),"?TYPE_IDENTIFIABLE","?REFERENTIAL"),"_")))))</f>
        <v/>
      </c>
      <c r="H759" s="23" t="str">
        <f aca="false">IF(J759&lt;&gt;1,"",IF(I759="SBJ","CB","?"))</f>
        <v/>
      </c>
      <c r="I759" s="24" t="str">
        <f aca="false">IF(OR(E759="",E759="!!!",F759="NEW"),"",INDEX(N$2:N748,-1+SUMPRODUCT(MAX(ROW(E$2:E748)*(E759=E$2:E748)))))</f>
        <v/>
      </c>
      <c r="J759" s="25" t="str">
        <f aca="true">IF(OR(E759="",E759="!!!",F759="NEW"),"",COUNTBLANK(OFFSET(M$1,,,SUMPRODUCT(MAX(ROW(E$2:E749)*(E759=E$2:E749)))))-COUNTBLANK(OFFSET(M$1,,,SUMPRODUCT(MAX(ROW(Q$1:Q748)*(E759=Q$1:Q748))))))</f>
        <v/>
      </c>
      <c r="K759" s="25" t="str">
        <f aca="false">IF(OR(E759="",E759="!!!",F759="NEW"),"",INDEX(V$1:V748,SUMPRODUCT(MAX(ROW(Q$1:Q748)*(E759=Q$1:Q748)))))</f>
        <v/>
      </c>
      <c r="L759" s="26"/>
      <c r="M759" s="27"/>
    </row>
    <row r="760" customFormat="false" ht="15" hidden="false" customHeight="false" outlineLevel="0" collapsed="false">
      <c r="A760" s="19" t="s">
        <v>483</v>
      </c>
      <c r="B760" s="28" t="s">
        <v>251</v>
      </c>
      <c r="C760" s="28" t="s">
        <v>264</v>
      </c>
      <c r="D760" s="28" t="s">
        <v>253</v>
      </c>
      <c r="E760" s="20" t="s">
        <v>66</v>
      </c>
      <c r="F760" s="21" t="str">
        <f aca="false">IF(OR(E760="",E760="!!!"),"",IF(NOT(ISNA(VLOOKUP(E760,Q$1:Q749,1,FALSE()))),"OLD",IF(AND(E760&lt;&gt;"",E760&lt;&gt;"!!!"),"NEW","")))</f>
        <v>NEW</v>
      </c>
      <c r="G760" s="22" t="s">
        <v>283</v>
      </c>
      <c r="H760" s="23" t="str">
        <f aca="false">IF(J760&lt;&gt;1,"",IF(I760="SBJ","CB","?"))</f>
        <v/>
      </c>
      <c r="I760" s="24" t="str">
        <f aca="false">IF(OR(E760="",E760="!!!",F760="NEW"),"",INDEX(N$2:N749,-1+SUMPRODUCT(MAX(ROW(E$2:E749)*(E760=E$2:E749)))))</f>
        <v/>
      </c>
      <c r="J760" s="25" t="str">
        <f aca="true">IF(OR(E760="",E760="!!!",F760="NEW"),"",COUNTBLANK(OFFSET(M$1,,,SUMPRODUCT(MAX(ROW(E$2:E750)*(E760=E$2:E750)))))-COUNTBLANK(OFFSET(M$1,,,SUMPRODUCT(MAX(ROW(Q$1:Q749)*(E760=Q$1:Q749))))))</f>
        <v/>
      </c>
      <c r="K760" s="25" t="str">
        <f aca="false">IF(OR(E760="",E760="!!!",F760="NEW"),"",INDEX(V$1:V749,SUMPRODUCT(MAX(ROW(Q$1:Q749)*(E760=Q$1:Q749)))))</f>
        <v/>
      </c>
      <c r="L760" s="26"/>
      <c r="M760" s="27"/>
      <c r="N760" s="29"/>
      <c r="O760" s="29"/>
      <c r="P760" s="29"/>
    </row>
    <row r="761" customFormat="false" ht="15" hidden="false" customHeight="false" outlineLevel="0" collapsed="false">
      <c r="A761" s="19" t="s">
        <v>632</v>
      </c>
      <c r="E761" s="20" t="str">
        <f aca="false">IF(P761="?OLD","!!!","")</f>
        <v/>
      </c>
      <c r="F761" s="21" t="str">
        <f aca="false">IF(OR(E761="",E761="!!!"),"",IF(NOT(ISNA(VLOOKUP(E761,Q$1:Q750,1,FALSE()))),"OLD",IF(AND(E761&lt;&gt;"",E761&lt;&gt;"!!!"),"NEW","")))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IF(OR(E761="",E761="!!!",F761="NEW"),"",INDEX(N$2:N750,-1+SUMPRODUCT(MAX(ROW(E$2:E750)*(E761=E$2:E750)))))</f>
        <v/>
      </c>
      <c r="J761" s="25" t="str">
        <f aca="true">IF(OR(E761="",E761="!!!",F761="NEW"),"",COUNTBLANK(OFFSET(M$1,,,SUMPRODUCT(MAX(ROW(E$2:E751)*(E761=E$2:E751)))))-COUNTBLANK(OFFSET(M$1,,,SUMPRODUCT(MAX(ROW(Q$1:Q750)*(E761=Q$1:Q750))))))</f>
        <v/>
      </c>
      <c r="K761" s="25" t="str">
        <f aca="false">IF(OR(E761="",E761="!!!",F761="NEW"),"",INDEX(V$1:V750,SUMPRODUCT(MAX(ROW(Q$1:Q750)*(E761=Q$1:Q750)))))</f>
        <v/>
      </c>
      <c r="L761" s="26"/>
      <c r="M761" s="27"/>
    </row>
    <row r="762" customFormat="false" ht="15" hidden="false" customHeight="false" outlineLevel="0" collapsed="false">
      <c r="A762" s="19" t="s">
        <v>633</v>
      </c>
      <c r="E762" s="20" t="str">
        <f aca="false">IF(P762="?OLD","!!!","")</f>
        <v/>
      </c>
      <c r="F762" s="21" t="str">
        <f aca="false">IF(OR(E762="",E762="!!!"),"",IF(NOT(ISNA(VLOOKUP(E762,Q$1:Q751,1,FALSE()))),"OLD",IF(AND(E762&lt;&gt;"",E762&lt;&gt;"!!!"),"NEW","")))</f>
        <v/>
      </c>
      <c r="G762" s="22" t="str">
        <f aca="false">IF(OR(E762="",E762="!!!"),"",IF(OR(J762=0,AND(J762=1,K762=1),AND(J762=1,I762="SBJ"),AND(J762=1,I762=0)),"?IN_FOCUS",IF(J762&lt;=2,"?ACTIVATED",IF(J762&lt;&gt;"","?FAMILIAR",IF(F762="NEW",IF(ISNA(VLOOKUP(E762,#REF!,1,FALSE())),"?TYPE_IDENTIFIABLE","?REFERENTIAL"),"_")))))</f>
        <v/>
      </c>
      <c r="H762" s="23" t="str">
        <f aca="false">IF(J762&lt;&gt;1,"",IF(I762="SBJ","CB","?"))</f>
        <v/>
      </c>
      <c r="I762" s="24" t="str">
        <f aca="false">IF(OR(E762="",E762="!!!",F762="NEW"),"",INDEX(N$2:N751,-1+SUMPRODUCT(MAX(ROW(E$2:E751)*(E762=E$2:E751)))))</f>
        <v/>
      </c>
      <c r="J762" s="25" t="str">
        <f aca="true">IF(OR(E762="",E762="!!!",F762="NEW"),"",COUNTBLANK(OFFSET(M$1,,,SUMPRODUCT(MAX(ROW(E$2:E752)*(E762=E$2:E752)))))-COUNTBLANK(OFFSET(M$1,,,SUMPRODUCT(MAX(ROW(Q$1:Q751)*(E762=Q$1:Q751))))))</f>
        <v/>
      </c>
      <c r="K762" s="25" t="str">
        <f aca="false">IF(OR(E762="",E762="!!!",F762="NEW"),"",INDEX(V$1:V751,SUMPRODUCT(MAX(ROW(Q$1:Q751)*(E762=Q$1:Q751)))))</f>
        <v/>
      </c>
      <c r="L762" s="26"/>
      <c r="M762" s="27"/>
    </row>
    <row r="763" customFormat="false" ht="15" hidden="false" customHeight="false" outlineLevel="0" collapsed="false">
      <c r="A763" s="19" t="s">
        <v>441</v>
      </c>
      <c r="B763" s="28" t="s">
        <v>286</v>
      </c>
      <c r="C763" s="28" t="s">
        <v>264</v>
      </c>
      <c r="D763" s="28" t="s">
        <v>253</v>
      </c>
      <c r="E763" s="20" t="s">
        <v>631</v>
      </c>
      <c r="F763" s="21" t="str">
        <f aca="false">IF(OR(E763="",E763="!!!"),"",IF(NOT(ISNA(VLOOKUP(E763,Q$1:Q752,1,FALSE()))),"OLD",IF(AND(E763&lt;&gt;"",E763&lt;&gt;"!!!"),"NEW","")))</f>
        <v>NEW</v>
      </c>
      <c r="G763" s="22" t="s">
        <v>283</v>
      </c>
      <c r="H763" s="23" t="str">
        <f aca="false">IF(J763&lt;&gt;1,"",IF(I763="SBJ","CB","?"))</f>
        <v/>
      </c>
      <c r="I763" s="24" t="str">
        <f aca="false">IF(OR(E763="",E763="!!!",F763="NEW"),"",INDEX(N$2:N752,-1+SUMPRODUCT(MAX(ROW(E$2:E752)*(E763=E$2:E752)))))</f>
        <v/>
      </c>
      <c r="J763" s="25" t="str">
        <f aca="true">IF(OR(E763="",E763="!!!",F763="NEW"),"",COUNTBLANK(OFFSET(M$1,,,SUMPRODUCT(MAX(ROW(E$2:E753)*(E763=E$2:E753)))))-COUNTBLANK(OFFSET(M$1,,,SUMPRODUCT(MAX(ROW(Q$1:Q752)*(E763=Q$1:Q752))))))</f>
        <v/>
      </c>
      <c r="K763" s="25" t="str">
        <f aca="false">IF(OR(E763="",E763="!!!",F763="NEW"),"",INDEX(V$1:V752,SUMPRODUCT(MAX(ROW(Q$1:Q752)*(E763=Q$1:Q752)))))</f>
        <v/>
      </c>
      <c r="L763" s="26"/>
      <c r="M763" s="27"/>
      <c r="N763" s="29"/>
      <c r="O763" s="29"/>
      <c r="P763" s="29"/>
    </row>
    <row r="764" customFormat="false" ht="15" hidden="false" customHeight="false" outlineLevel="0" collapsed="false">
      <c r="A764" s="19" t="s">
        <v>634</v>
      </c>
      <c r="E764" s="20" t="str">
        <f aca="false">IF(P764="?OLD","!!!","")</f>
        <v/>
      </c>
      <c r="F764" s="21" t="str">
        <f aca="false">IF(OR(E764="",E764="!!!"),"",IF(NOT(ISNA(VLOOKUP(E764,Q$1:Q753,1,FALSE()))),"OLD",IF(AND(E764&lt;&gt;"",E764&lt;&gt;"!!!"),"NEW","")))</f>
        <v/>
      </c>
      <c r="G764" s="22" t="str">
        <f aca="false">IF(OR(E764="",E764="!!!"),"",IF(OR(J764=0,AND(J764=1,K764=1),AND(J764=1,I764="SBJ"),AND(J764=1,I764=0)),"?IN_FOCUS",IF(J764&lt;=2,"?ACTIVATED",IF(J764&lt;&gt;"","?FAMILIAR",IF(F764="NEW",IF(ISNA(VLOOKUP(E764,#REF!,1,FALSE())),"?TYPE_IDENTIFIABLE","?REFERENTIAL"),"_")))))</f>
        <v/>
      </c>
      <c r="H764" s="23" t="str">
        <f aca="false">IF(J764&lt;&gt;1,"",IF(I764="SBJ","CB","?"))</f>
        <v/>
      </c>
      <c r="I764" s="24" t="str">
        <f aca="false">IF(OR(E764="",E764="!!!",F764="NEW"),"",INDEX(N$2:N753,-1+SUMPRODUCT(MAX(ROW(E$2:E753)*(E764=E$2:E753)))))</f>
        <v/>
      </c>
      <c r="J764" s="25" t="str">
        <f aca="true">IF(OR(E764="",E764="!!!",F764="NEW"),"",COUNTBLANK(OFFSET(M$1,,,SUMPRODUCT(MAX(ROW(E$2:E754)*(E764=E$2:E754)))))-COUNTBLANK(OFFSET(M$1,,,SUMPRODUCT(MAX(ROW(Q$1:Q753)*(E764=Q$1:Q753))))))</f>
        <v/>
      </c>
      <c r="K764" s="25" t="str">
        <f aca="false">IF(OR(E764="",E764="!!!",F764="NEW"),"",INDEX(V$1:V753,SUMPRODUCT(MAX(ROW(Q$1:Q753)*(E764=Q$1:Q753)))))</f>
        <v/>
      </c>
      <c r="L764" s="26"/>
      <c r="M764" s="27"/>
    </row>
    <row r="765" customFormat="false" ht="15" hidden="false" customHeight="false" outlineLevel="0" collapsed="false">
      <c r="A765" s="19" t="s">
        <v>256</v>
      </c>
      <c r="E765" s="20" t="str">
        <f aca="false">IF(P765="?OLD","!!!","")</f>
        <v/>
      </c>
      <c r="F765" s="21" t="str">
        <f aca="false">IF(OR(E765="",E765="!!!"),"",IF(NOT(ISNA(VLOOKUP(E765,Q$1:Q754,1,FALSE()))),"OLD",IF(AND(E765&lt;&gt;"",E765&lt;&gt;"!!!"),"NEW","")))</f>
        <v/>
      </c>
      <c r="G765" s="22" t="str">
        <f aca="false">IF(OR(E765="",E765="!!!"),"",IF(OR(J765=0,AND(J765=1,K765=1),AND(J765=1,I765="SBJ"),AND(J765=1,I765=0)),"?IN_FOCUS",IF(J765&lt;=2,"?ACTIVATED",IF(J765&lt;&gt;"","?FAMILIAR",IF(F765="NEW",IF(ISNA(VLOOKUP(E765,#REF!,1,FALSE())),"?TYPE_IDENTIFIABLE","?REFERENTIAL"),"_")))))</f>
        <v/>
      </c>
      <c r="H765" s="23" t="str">
        <f aca="false">IF(J765&lt;&gt;1,"",IF(I765="SBJ","CB","?"))</f>
        <v/>
      </c>
      <c r="I765" s="24" t="str">
        <f aca="false">IF(OR(E765="",E765="!!!",F765="NEW"),"",INDEX(N$2:N754,-1+SUMPRODUCT(MAX(ROW(E$2:E754)*(E765=E$2:E754)))))</f>
        <v/>
      </c>
      <c r="J765" s="25" t="str">
        <f aca="true">IF(OR(E765="",E765="!!!",F765="NEW"),"",COUNTBLANK(OFFSET(M$1,,,SUMPRODUCT(MAX(ROW(E$2:E755)*(E765=E$2:E755)))))-COUNTBLANK(OFFSET(M$1,,,SUMPRODUCT(MAX(ROW(Q$1:Q754)*(E765=Q$1:Q754))))))</f>
        <v/>
      </c>
      <c r="K765" s="25" t="str">
        <f aca="false">IF(OR(E765="",E765="!!!",F765="NEW"),"",INDEX(V$1:V754,SUMPRODUCT(MAX(ROW(Q$1:Q754)*(E765=Q$1:Q754)))))</f>
        <v/>
      </c>
      <c r="L765" s="26"/>
      <c r="M765" s="27"/>
    </row>
    <row r="766" customFormat="false" ht="15" hidden="false" customHeight="false" outlineLevel="0" collapsed="false">
      <c r="A766" s="19" t="s">
        <v>250</v>
      </c>
      <c r="E766" s="20" t="str">
        <f aca="false">IF(P766="?OLD","!!!","")</f>
        <v/>
      </c>
      <c r="F766" s="21" t="str">
        <f aca="false">IF(OR(E766="",E766="!!!"),"",IF(NOT(ISNA(VLOOKUP(E766,Q$1:Q755,1,FALSE()))),"OLD",IF(AND(E766&lt;&gt;"",E766&lt;&gt;"!!!"),"NEW","")))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4" t="str">
        <f aca="false">IF(OR(E766="",E766="!!!",F766="NEW"),"",INDEX(N$2:N755,-1+SUMPRODUCT(MAX(ROW(E$2:E755)*(E766=E$2:E755)))))</f>
        <v/>
      </c>
      <c r="J766" s="25" t="str">
        <f aca="true">IF(OR(E766="",E766="!!!",F766="NEW"),"",COUNTBLANK(OFFSET(M$1,,,SUMPRODUCT(MAX(ROW(E$2:E756)*(E766=E$2:E756)))))-COUNTBLANK(OFFSET(M$1,,,SUMPRODUCT(MAX(ROW(Q$1:Q755)*(E766=Q$1:Q755))))))</f>
        <v/>
      </c>
      <c r="K766" s="25" t="str">
        <f aca="false">IF(OR(E766="",E766="!!!",F766="NEW"),"",INDEX(V$1:V755,SUMPRODUCT(MAX(ROW(Q$1:Q755)*(E766=Q$1:Q755)))))</f>
        <v/>
      </c>
      <c r="L766" s="26"/>
      <c r="M766" s="27"/>
    </row>
    <row r="767" customFormat="false" ht="15" hidden="false" customHeight="false" outlineLevel="0" collapsed="false">
      <c r="A767" s="19" t="s">
        <v>635</v>
      </c>
      <c r="E767" s="20" t="str">
        <f aca="false">IF(P767="?OLD","!!!","")</f>
        <v/>
      </c>
      <c r="F767" s="21" t="str">
        <f aca="false">IF(OR(E767="",E767="!!!"),"",IF(NOT(ISNA(VLOOKUP(E767,Q$1:Q756,1,FALSE()))),"OLD",IF(AND(E767&lt;&gt;"",E767&lt;&gt;"!!!"),"NEW","")))</f>
        <v/>
      </c>
      <c r="G767" s="22" t="str">
        <f aca="false">IF(OR(E767="",E767="!!!"),"",IF(OR(J767=0,AND(J767=1,K767=1),AND(J767=1,I767="SBJ"),AND(J767=1,I767=0)),"?IN_FOCUS",IF(J767&lt;=2,"?ACTIVATED",IF(J767&lt;&gt;"","?FAMILIAR",IF(F767="NEW",IF(ISNA(VLOOKUP(E767,#REF!,1,FALSE())),"?TYPE_IDENTIFIABLE","?REFERENTIAL"),"_")))))</f>
        <v/>
      </c>
      <c r="H767" s="23" t="str">
        <f aca="false">IF(J767&lt;&gt;1,"",IF(I767="SBJ","CB","?"))</f>
        <v/>
      </c>
      <c r="I767" s="24" t="str">
        <f aca="false">IF(OR(E767="",E767="!!!",F767="NEW"),"",INDEX(N$2:N756,-1+SUMPRODUCT(MAX(ROW(E$2:E756)*(E767=E$2:E756)))))</f>
        <v/>
      </c>
      <c r="J767" s="25" t="str">
        <f aca="true">IF(OR(E767="",E767="!!!",F767="NEW"),"",COUNTBLANK(OFFSET(M$1,,,SUMPRODUCT(MAX(ROW(E$2:E757)*(E767=E$2:E757)))))-COUNTBLANK(OFFSET(M$1,,,SUMPRODUCT(MAX(ROW(Q$1:Q756)*(E767=Q$1:Q756))))))</f>
        <v/>
      </c>
      <c r="K767" s="25" t="str">
        <f aca="false">IF(OR(E767="",E767="!!!",F767="NEW"),"",INDEX(V$1:V756,SUMPRODUCT(MAX(ROW(Q$1:Q756)*(E767=Q$1:Q756)))))</f>
        <v/>
      </c>
      <c r="L767" s="26"/>
      <c r="M767" s="27"/>
    </row>
    <row r="768" customFormat="false" ht="15" hidden="false" customHeight="false" outlineLevel="0" collapsed="false">
      <c r="A768" s="19" t="s">
        <v>586</v>
      </c>
      <c r="B768" s="28" t="s">
        <v>306</v>
      </c>
      <c r="C768" s="28" t="s">
        <v>333</v>
      </c>
      <c r="D768" s="28" t="s">
        <v>253</v>
      </c>
      <c r="E768" s="20" t="s">
        <v>586</v>
      </c>
      <c r="F768" s="21" t="str">
        <f aca="false">IF(OR(E768="",E768="!!!"),"",IF(NOT(ISNA(VLOOKUP(E768,Q$1:Q757,1,FALSE()))),"OLD",IF(AND(E768&lt;&gt;"",E768&lt;&gt;"!!!"),"NEW","")))</f>
        <v>NEW</v>
      </c>
      <c r="G768" s="22" t="s">
        <v>296</v>
      </c>
      <c r="H768" s="23" t="s">
        <v>243</v>
      </c>
      <c r="I768" s="24" t="str">
        <f aca="false">IF(OR(E768="",E768="!!!",F768="NEW"),"",INDEX(N$2:N757,-1+SUMPRODUCT(MAX(ROW(E$2:E757)*(E768=E$2:E757)))))</f>
        <v/>
      </c>
      <c r="J768" s="25" t="str">
        <f aca="true">IF(OR(E768="",E768="!!!",F768="NEW"),"",COUNTBLANK(OFFSET(M$1,,,SUMPRODUCT(MAX(ROW(E$2:E758)*(E768=E$2:E758)))))-COUNTBLANK(OFFSET(M$1,,,SUMPRODUCT(MAX(ROW(Q$1:Q757)*(E768=Q$1:Q757))))))</f>
        <v/>
      </c>
      <c r="K768" s="25" t="str">
        <f aca="false">IF(OR(E768="",E768="!!!",F768="NEW"),"",INDEX(V$1:V757,SUMPRODUCT(MAX(ROW(Q$1:Q757)*(E768=Q$1:Q757)))))</f>
        <v/>
      </c>
      <c r="L768" s="26"/>
      <c r="M768" s="27"/>
      <c r="N768" s="29"/>
      <c r="O768" s="29"/>
      <c r="P768" s="29"/>
    </row>
    <row r="769" customFormat="false" ht="15" hidden="false" customHeight="false" outlineLevel="0" collapsed="false">
      <c r="A769" s="19" t="s">
        <v>261</v>
      </c>
      <c r="E769" s="20" t="str">
        <f aca="false">IF(P769="?OLD","!!!","")</f>
        <v/>
      </c>
      <c r="F769" s="21" t="str">
        <f aca="false">IF(OR(E769="",E769="!!!"),"",IF(NOT(ISNA(VLOOKUP(E769,Q$1:Q758,1,FALSE()))),"OLD",IF(AND(E769&lt;&gt;"",E769&lt;&gt;"!!!"),"NEW","")))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4" t="str">
        <f aca="false">IF(OR(E769="",E769="!!!",F769="NEW"),"",INDEX(N$2:N758,-1+SUMPRODUCT(MAX(ROW(E$2:E758)*(E769=E$2:E758)))))</f>
        <v/>
      </c>
      <c r="J769" s="25" t="str">
        <f aca="true">IF(OR(E769="",E769="!!!",F769="NEW"),"",COUNTBLANK(OFFSET(M$1,,,SUMPRODUCT(MAX(ROW(E$2:E759)*(E769=E$2:E759)))))-COUNTBLANK(OFFSET(M$1,,,SUMPRODUCT(MAX(ROW(Q$1:Q758)*(E769=Q$1:Q758))))))</f>
        <v/>
      </c>
      <c r="K769" s="25" t="str">
        <f aca="false">IF(OR(E769="",E769="!!!",F769="NEW"),"",INDEX(V$1:V758,SUMPRODUCT(MAX(ROW(Q$1:Q758)*(E769=Q$1:Q758)))))</f>
        <v/>
      </c>
      <c r="L769" s="26"/>
      <c r="M769" s="27"/>
    </row>
    <row r="770" customFormat="false" ht="15" hidden="false" customHeight="false" outlineLevel="0" collapsed="false">
      <c r="A770" s="19" t="s">
        <v>482</v>
      </c>
      <c r="E770" s="20" t="str">
        <f aca="false">IF(P770="?OLD","!!!","")</f>
        <v/>
      </c>
      <c r="F770" s="21" t="str">
        <f aca="false">IF(OR(E770="",E770="!!!"),"",IF(NOT(ISNA(VLOOKUP(E770,Q$1:Q759,1,FALSE()))),"OLD",IF(AND(E770&lt;&gt;"",E770&lt;&gt;"!!!"),"NEW","")))</f>
        <v/>
      </c>
      <c r="G770" s="22" t="str">
        <f aca="false">IF(OR(E770="",E770="!!!"),"",IF(OR(J770=0,AND(J770=1,K770=1),AND(J770=1,I770="SBJ"),AND(J770=1,I770=0)),"?IN_FOCUS",IF(J770&lt;=2,"?ACTIVATED",IF(J770&lt;&gt;"","?FAMILIAR",IF(F770="NEW",IF(ISNA(VLOOKUP(E770,#REF!,1,FALSE())),"?TYPE_IDENTIFIABLE","?REFERENTIAL"),"_")))))</f>
        <v/>
      </c>
      <c r="H770" s="23" t="str">
        <f aca="false">IF(J770&lt;&gt;1,"",IF(I770="SBJ","CB","?"))</f>
        <v/>
      </c>
      <c r="I770" s="24" t="str">
        <f aca="false">IF(OR(E770="",E770="!!!",F770="NEW"),"",INDEX(N$2:N759,-1+SUMPRODUCT(MAX(ROW(E$2:E759)*(E770=E$2:E759)))))</f>
        <v/>
      </c>
      <c r="J770" s="25" t="str">
        <f aca="true">IF(OR(E770="",E770="!!!",F770="NEW"),"",COUNTBLANK(OFFSET(M$1,,,SUMPRODUCT(MAX(ROW(E$2:E760)*(E770=E$2:E760)))))-COUNTBLANK(OFFSET(M$1,,,SUMPRODUCT(MAX(ROW(Q$1:Q759)*(E770=Q$1:Q759))))))</f>
        <v/>
      </c>
      <c r="K770" s="25" t="str">
        <f aca="false">IF(OR(E770="",E770="!!!",F770="NEW"),"",INDEX(V$1:V759,SUMPRODUCT(MAX(ROW(Q$1:Q759)*(E770=Q$1:Q759)))))</f>
        <v/>
      </c>
      <c r="L770" s="26"/>
      <c r="M770" s="27"/>
    </row>
    <row r="771" customFormat="false" ht="15" hidden="false" customHeight="false" outlineLevel="0" collapsed="false">
      <c r="A771" s="19" t="s">
        <v>581</v>
      </c>
      <c r="B771" s="28" t="s">
        <v>251</v>
      </c>
      <c r="C771" s="28" t="s">
        <v>264</v>
      </c>
      <c r="D771" s="28" t="s">
        <v>253</v>
      </c>
      <c r="E771" s="20" t="s">
        <v>586</v>
      </c>
      <c r="F771" s="21" t="str">
        <f aca="false">IF(OR(E771="",E771="!!!"),"",IF(NOT(ISNA(VLOOKUP(E771,Q$1:Q760,1,FALSE()))),"OLD",IF(AND(E771&lt;&gt;"",E771&lt;&gt;"!!!"),"NEW","")))</f>
        <v>NEW</v>
      </c>
      <c r="G771" s="22" t="s">
        <v>296</v>
      </c>
      <c r="H771" s="23" t="str">
        <f aca="false">IF(J771&lt;&gt;1,"",IF(I771="SBJ","CB","?"))</f>
        <v/>
      </c>
      <c r="I771" s="24" t="str">
        <f aca="false">IF(OR(E771="",E771="!!!",F771="NEW"),"",INDEX(N$2:N760,-1+SUMPRODUCT(MAX(ROW(E$2:E760)*(E771=E$2:E760)))))</f>
        <v/>
      </c>
      <c r="J771" s="25" t="str">
        <f aca="true">IF(OR(E771="",E771="!!!",F771="NEW"),"",COUNTBLANK(OFFSET(M$1,,,SUMPRODUCT(MAX(ROW(E$2:E761)*(E771=E$2:E761)))))-COUNTBLANK(OFFSET(M$1,,,SUMPRODUCT(MAX(ROW(Q$1:Q760)*(E771=Q$1:Q760))))))</f>
        <v/>
      </c>
      <c r="K771" s="25" t="str">
        <f aca="false">IF(OR(E771="",E771="!!!",F771="NEW"),"",INDEX(V$1:V760,SUMPRODUCT(MAX(ROW(Q$1:Q760)*(E771=Q$1:Q760)))))</f>
        <v/>
      </c>
      <c r="L771" s="26"/>
      <c r="M771" s="27"/>
      <c r="N771" s="29"/>
      <c r="O771" s="29"/>
      <c r="P771" s="29"/>
    </row>
    <row r="772" customFormat="false" ht="15" hidden="false" customHeight="false" outlineLevel="0" collapsed="false">
      <c r="A772" s="19" t="s">
        <v>404</v>
      </c>
      <c r="E772" s="20" t="str">
        <f aca="false">IF(P772="?OLD","!!!","")</f>
        <v/>
      </c>
      <c r="F772" s="21" t="str">
        <f aca="false">IF(OR(E772="",E772="!!!"),"",IF(NOT(ISNA(VLOOKUP(E772,Q$1:Q761,1,FALSE()))),"OLD",IF(AND(E772&lt;&gt;"",E772&lt;&gt;"!!!"),"NEW","")))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4" t="str">
        <f aca="false">IF(OR(E772="",E772="!!!",F772="NEW"),"",INDEX(N$2:N761,-1+SUMPRODUCT(MAX(ROW(E$2:E761)*(E772=E$2:E761)))))</f>
        <v/>
      </c>
      <c r="J772" s="25" t="str">
        <f aca="true">IF(OR(E772="",E772="!!!",F772="NEW"),"",COUNTBLANK(OFFSET(M$1,,,SUMPRODUCT(MAX(ROW(E$2:E762)*(E772=E$2:E762)))))-COUNTBLANK(OFFSET(M$1,,,SUMPRODUCT(MAX(ROW(Q$1:Q761)*(E772=Q$1:Q761))))))</f>
        <v/>
      </c>
      <c r="K772" s="25" t="str">
        <f aca="false">IF(OR(E772="",E772="!!!",F772="NEW"),"",INDEX(V$1:V761,SUMPRODUCT(MAX(ROW(Q$1:Q761)*(E772=Q$1:Q761)))))</f>
        <v/>
      </c>
      <c r="L772" s="26"/>
      <c r="M772" s="27"/>
    </row>
    <row r="773" customFormat="false" ht="15" hidden="false" customHeight="false" outlineLevel="0" collapsed="false">
      <c r="A773" s="19" t="s">
        <v>636</v>
      </c>
      <c r="E773" s="20" t="str">
        <f aca="false">IF(P773="?OLD","!!!","")</f>
        <v/>
      </c>
      <c r="F773" s="21" t="str">
        <f aca="false">IF(OR(E773="",E773="!!!"),"",IF(NOT(ISNA(VLOOKUP(E773,Q$1:Q762,1,FALSE()))),"OLD",IF(AND(E773&lt;&gt;"",E773&lt;&gt;"!!!"),"NEW","")))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4" t="str">
        <f aca="false">IF(OR(E773="",E773="!!!",F773="NEW"),"",INDEX(N$2:N762,-1+SUMPRODUCT(MAX(ROW(E$2:E762)*(E773=E$2:E762)))))</f>
        <v/>
      </c>
      <c r="J773" s="25" t="str">
        <f aca="true">IF(OR(E773="",E773="!!!",F773="NEW"),"",COUNTBLANK(OFFSET(M$1,,,SUMPRODUCT(MAX(ROW(E$2:E763)*(E773=E$2:E763)))))-COUNTBLANK(OFFSET(M$1,,,SUMPRODUCT(MAX(ROW(Q$1:Q762)*(E773=Q$1:Q762))))))</f>
        <v/>
      </c>
      <c r="K773" s="25" t="str">
        <f aca="false">IF(OR(E773="",E773="!!!",F773="NEW"),"",INDEX(V$1:V762,SUMPRODUCT(MAX(ROW(Q$1:Q762)*(E773=Q$1:Q762)))))</f>
        <v/>
      </c>
      <c r="L773" s="26"/>
      <c r="M773" s="27"/>
    </row>
    <row r="774" customFormat="false" ht="15" hidden="false" customHeight="false" outlineLevel="0" collapsed="false">
      <c r="A774" s="19" t="s">
        <v>294</v>
      </c>
      <c r="E774" s="20" t="str">
        <f aca="false">IF(P774="?OLD","!!!","")</f>
        <v/>
      </c>
      <c r="F774" s="21" t="str">
        <f aca="false">IF(OR(E774="",E774="!!!"),"",IF(NOT(ISNA(VLOOKUP(E774,Q$1:Q763,1,FALSE()))),"OLD",IF(AND(E774&lt;&gt;"",E774&lt;&gt;"!!!"),"NEW","")))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4" t="str">
        <f aca="false">IF(OR(E774="",E774="!!!",F774="NEW"),"",INDEX(N$2:N763,-1+SUMPRODUCT(MAX(ROW(E$2:E763)*(E774=E$2:E763)))))</f>
        <v/>
      </c>
      <c r="J774" s="25" t="str">
        <f aca="true">IF(OR(E774="",E774="!!!",F774="NEW"),"",COUNTBLANK(OFFSET(M$1,,,SUMPRODUCT(MAX(ROW(E$2:E764)*(E774=E$2:E764)))))-COUNTBLANK(OFFSET(M$1,,,SUMPRODUCT(MAX(ROW(Q$1:Q763)*(E774=Q$1:Q763))))))</f>
        <v/>
      </c>
      <c r="K774" s="25" t="str">
        <f aca="false">IF(OR(E774="",E774="!!!",F774="NEW"),"",INDEX(V$1:V763,SUMPRODUCT(MAX(ROW(Q$1:Q763)*(E774=Q$1:Q763)))))</f>
        <v/>
      </c>
      <c r="L774" s="26"/>
      <c r="M774" s="27"/>
    </row>
    <row r="775" customFormat="false" ht="15" hidden="false" customHeight="false" outlineLevel="0" collapsed="false">
      <c r="A775" s="19" t="s">
        <v>346</v>
      </c>
      <c r="E775" s="20" t="str">
        <f aca="false">IF(P775="?OLD","!!!","")</f>
        <v/>
      </c>
      <c r="F775" s="21" t="str">
        <f aca="false">IF(OR(E775="",E775="!!!"),"",IF(NOT(ISNA(VLOOKUP(E775,Q$1:Q764,1,FALSE()))),"OLD",IF(AND(E775&lt;&gt;"",E775&lt;&gt;"!!!"),"NEW","")))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IF(OR(E775="",E775="!!!",F775="NEW"),"",INDEX(N$2:N764,-1+SUMPRODUCT(MAX(ROW(E$2:E764)*(E775=E$2:E764)))))</f>
        <v/>
      </c>
      <c r="J775" s="25" t="str">
        <f aca="true">IF(OR(E775="",E775="!!!",F775="NEW"),"",COUNTBLANK(OFFSET(M$1,,,SUMPRODUCT(MAX(ROW(E$2:E765)*(E775=E$2:E765)))))-COUNTBLANK(OFFSET(M$1,,,SUMPRODUCT(MAX(ROW(Q$1:Q764)*(E775=Q$1:Q764))))))</f>
        <v/>
      </c>
      <c r="K775" s="25" t="str">
        <f aca="false">IF(OR(E775="",E775="!!!",F775="NEW"),"",INDEX(V$1:V764,SUMPRODUCT(MAX(ROW(Q$1:Q764)*(E775=Q$1:Q764)))))</f>
        <v/>
      </c>
      <c r="L775" s="26"/>
      <c r="M775" s="27"/>
    </row>
    <row r="776" customFormat="false" ht="15" hidden="false" customHeight="false" outlineLevel="0" collapsed="false">
      <c r="A776" s="19" t="s">
        <v>637</v>
      </c>
      <c r="E776" s="20" t="str">
        <f aca="false">IF(P776="?OLD","!!!","")</f>
        <v/>
      </c>
      <c r="F776" s="21" t="str">
        <f aca="false">IF(OR(E776="",E776="!!!"),"",IF(NOT(ISNA(VLOOKUP(E776,Q$1:Q765,1,FALSE()))),"OLD",IF(AND(E776&lt;&gt;"",E776&lt;&gt;"!!!"),"NEW","")))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4" t="str">
        <f aca="false">IF(OR(E776="",E776="!!!",F776="NEW"),"",INDEX(N$2:N765,-1+SUMPRODUCT(MAX(ROW(E$2:E765)*(E776=E$2:E765)))))</f>
        <v/>
      </c>
      <c r="J776" s="25" t="str">
        <f aca="true">IF(OR(E776="",E776="!!!",F776="NEW"),"",COUNTBLANK(OFFSET(M$1,,,SUMPRODUCT(MAX(ROW(E$2:E766)*(E776=E$2:E766)))))-COUNTBLANK(OFFSET(M$1,,,SUMPRODUCT(MAX(ROW(Q$1:Q765)*(E776=Q$1:Q765))))))</f>
        <v/>
      </c>
      <c r="K776" s="25" t="str">
        <f aca="false">IF(OR(E776="",E776="!!!",F776="NEW"),"",INDEX(V$1:V765,SUMPRODUCT(MAX(ROW(Q$1:Q765)*(E776=Q$1:Q765)))))</f>
        <v/>
      </c>
      <c r="L776" s="26"/>
      <c r="M776" s="27"/>
    </row>
    <row r="777" customFormat="false" ht="15" hidden="false" customHeight="false" outlineLevel="0" collapsed="false">
      <c r="A777" s="19" t="s">
        <v>261</v>
      </c>
      <c r="E777" s="20" t="str">
        <f aca="false">IF(P777="?OLD","!!!","")</f>
        <v/>
      </c>
      <c r="F777" s="21" t="str">
        <f aca="false">IF(OR(E777="",E777="!!!"),"",IF(NOT(ISNA(VLOOKUP(E777,Q$1:Q766,1,FALSE()))),"OLD",IF(AND(E777&lt;&gt;"",E777&lt;&gt;"!!!"),"NEW","")))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4" t="str">
        <f aca="false">IF(OR(E777="",E777="!!!",F777="NEW"),"",INDEX(N$2:N766,-1+SUMPRODUCT(MAX(ROW(E$2:E766)*(E777=E$2:E766)))))</f>
        <v/>
      </c>
      <c r="J777" s="25" t="str">
        <f aca="true">IF(OR(E777="",E777="!!!",F777="NEW"),"",COUNTBLANK(OFFSET(M$1,,,SUMPRODUCT(MAX(ROW(E$2:E767)*(E777=E$2:E767)))))-COUNTBLANK(OFFSET(M$1,,,SUMPRODUCT(MAX(ROW(Q$1:Q766)*(E777=Q$1:Q766))))))</f>
        <v/>
      </c>
      <c r="K777" s="25" t="str">
        <f aca="false">IF(OR(E777="",E777="!!!",F777="NEW"),"",INDEX(V$1:V766,SUMPRODUCT(MAX(ROW(Q$1:Q766)*(E777=Q$1:Q766)))))</f>
        <v/>
      </c>
      <c r="L777" s="26"/>
      <c r="M777" s="27"/>
    </row>
    <row r="778" customFormat="false" ht="15" hidden="false" customHeight="false" outlineLevel="0" collapsed="false">
      <c r="A778" s="19" t="s">
        <v>294</v>
      </c>
      <c r="E778" s="20" t="str">
        <f aca="false">IF(P778="?OLD","!!!","")</f>
        <v/>
      </c>
      <c r="F778" s="21" t="str">
        <f aca="false">IF(OR(E778="",E778="!!!"),"",IF(NOT(ISNA(VLOOKUP(E778,Q$1:Q767,1,FALSE()))),"OLD",IF(AND(E778&lt;&gt;"",E778&lt;&gt;"!!!"),"NEW","")))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4" t="str">
        <f aca="false">IF(OR(E778="",E778="!!!",F778="NEW"),"",INDEX(N$2:N767,-1+SUMPRODUCT(MAX(ROW(E$2:E767)*(E778=E$2:E767)))))</f>
        <v/>
      </c>
      <c r="J778" s="25" t="str">
        <f aca="true">IF(OR(E778="",E778="!!!",F778="NEW"),"",COUNTBLANK(OFFSET(M$1,,,SUMPRODUCT(MAX(ROW(E$2:E768)*(E778=E$2:E768)))))-COUNTBLANK(OFFSET(M$1,,,SUMPRODUCT(MAX(ROW(Q$1:Q767)*(E778=Q$1:Q767))))))</f>
        <v/>
      </c>
      <c r="K778" s="25" t="str">
        <f aca="false">IF(OR(E778="",E778="!!!",F778="NEW"),"",INDEX(V$1:V767,SUMPRODUCT(MAX(ROW(Q$1:Q767)*(E778=Q$1:Q767)))))</f>
        <v/>
      </c>
      <c r="L778" s="26"/>
      <c r="M778" s="27"/>
    </row>
    <row r="779" customFormat="false" ht="15" hidden="false" customHeight="false" outlineLevel="0" collapsed="false">
      <c r="A779" s="19" t="s">
        <v>356</v>
      </c>
      <c r="B779" s="28" t="s">
        <v>293</v>
      </c>
      <c r="C779" s="28" t="s">
        <v>358</v>
      </c>
      <c r="D779" s="28" t="s">
        <v>253</v>
      </c>
      <c r="E779" s="20" t="s">
        <v>586</v>
      </c>
      <c r="F779" s="21" t="str">
        <f aca="false">IF(OR(E779="",E779="!!!"),"",IF(NOT(ISNA(VLOOKUP(E779,Q$1:Q768,1,FALSE()))),"OLD",IF(AND(E779&lt;&gt;"",E779&lt;&gt;"!!!"),"NEW","")))</f>
        <v>NEW</v>
      </c>
      <c r="G779" s="22" t="s">
        <v>296</v>
      </c>
      <c r="H779" s="23" t="str">
        <f aca="false">IF(J779&lt;&gt;1,"",IF(I779="SBJ","CB","?"))</f>
        <v/>
      </c>
      <c r="I779" s="24" t="str">
        <f aca="false">IF(OR(E779="",E779="!!!",F779="NEW"),"",INDEX(N$2:N768,-1+SUMPRODUCT(MAX(ROW(E$2:E768)*(E779=E$2:E768)))))</f>
        <v/>
      </c>
      <c r="J779" s="25" t="str">
        <f aca="true">IF(OR(E779="",E779="!!!",F779="NEW"),"",COUNTBLANK(OFFSET(M$1,,,SUMPRODUCT(MAX(ROW(E$2:E769)*(E779=E$2:E769)))))-COUNTBLANK(OFFSET(M$1,,,SUMPRODUCT(MAX(ROW(Q$1:Q768)*(E779=Q$1:Q768))))))</f>
        <v/>
      </c>
      <c r="K779" s="25" t="str">
        <f aca="false">IF(OR(E779="",E779="!!!",F779="NEW"),"",INDEX(V$1:V768,SUMPRODUCT(MAX(ROW(Q$1:Q768)*(E779=Q$1:Q768)))))</f>
        <v/>
      </c>
      <c r="L779" s="26"/>
      <c r="M779" s="27"/>
      <c r="N779" s="29"/>
      <c r="O779" s="29"/>
      <c r="P779" s="29"/>
    </row>
    <row r="780" customFormat="false" ht="15" hidden="false" customHeight="false" outlineLevel="0" collapsed="false">
      <c r="A780" s="19" t="s">
        <v>638</v>
      </c>
      <c r="B780" s="28" t="s">
        <v>324</v>
      </c>
      <c r="C780" s="28" t="s">
        <v>314</v>
      </c>
      <c r="D780" s="28" t="s">
        <v>253</v>
      </c>
      <c r="E780" s="20" t="s">
        <v>639</v>
      </c>
      <c r="F780" s="21" t="str">
        <f aca="false">IF(OR(E780="",E780="!!!"),"",IF(NOT(ISNA(VLOOKUP(E780,Q$1:Q769,1,FALSE()))),"OLD",IF(AND(E780&lt;&gt;"",E780&lt;&gt;"!!!"),"NEW","")))</f>
        <v>NEW</v>
      </c>
      <c r="G780" s="22" t="s">
        <v>255</v>
      </c>
      <c r="H780" s="23" t="str">
        <f aca="false">IF(J780&lt;&gt;1,"",IF(I780="SBJ","CB","?"))</f>
        <v/>
      </c>
      <c r="I780" s="24" t="str">
        <f aca="false">IF(OR(E780="",E780="!!!",F780="NEW"),"",INDEX(N$2:N769,-1+SUMPRODUCT(MAX(ROW(E$2:E769)*(E780=E$2:E769)))))</f>
        <v/>
      </c>
      <c r="J780" s="25" t="str">
        <f aca="true">IF(OR(E780="",E780="!!!",F780="NEW"),"",COUNTBLANK(OFFSET(M$1,,,SUMPRODUCT(MAX(ROW(E$2:E770)*(E780=E$2:E770)))))-COUNTBLANK(OFFSET(M$1,,,SUMPRODUCT(MAX(ROW(Q$1:Q769)*(E780=Q$1:Q769))))))</f>
        <v/>
      </c>
      <c r="K780" s="25" t="str">
        <f aca="false">IF(OR(E780="",E780="!!!",F780="NEW"),"",INDEX(V$1:V769,SUMPRODUCT(MAX(ROW(Q$1:Q769)*(E780=Q$1:Q769)))))</f>
        <v/>
      </c>
      <c r="L780" s="26"/>
      <c r="M780" s="27"/>
      <c r="N780" s="29"/>
      <c r="O780" s="29"/>
      <c r="P780" s="29"/>
    </row>
    <row r="781" customFormat="false" ht="15" hidden="false" customHeight="false" outlineLevel="0" collapsed="false">
      <c r="A781" s="19" t="s">
        <v>460</v>
      </c>
      <c r="E781" s="20" t="str">
        <f aca="false">IF(P781="?OLD","!!!","")</f>
        <v/>
      </c>
      <c r="F781" s="21" t="str">
        <f aca="false">IF(OR(E781="",E781="!!!"),"",IF(NOT(ISNA(VLOOKUP(E781,Q$1:Q770,1,FALSE()))),"OLD",IF(AND(E781&lt;&gt;"",E781&lt;&gt;"!!!"),"NEW","")))</f>
        <v/>
      </c>
      <c r="G781" s="22" t="str">
        <f aca="false">IF(OR(E781="",E781="!!!"),"",IF(OR(J781=0,AND(J781=1,K781=1),AND(J781=1,I781="SBJ"),AND(J781=1,I781=0)),"?IN_FOCUS",IF(J781&lt;=2,"?ACTIVATED",IF(J781&lt;&gt;"","?FAMILIAR",IF(F781="NEW",IF(ISNA(VLOOKUP(E781,#REF!,1,FALSE())),"?TYPE_IDENTIFIABLE","?REFERENTIAL"),"_")))))</f>
        <v/>
      </c>
      <c r="H781" s="23" t="str">
        <f aca="false">IF(J781&lt;&gt;1,"",IF(I781="SBJ","CB","?"))</f>
        <v/>
      </c>
      <c r="I781" s="24" t="str">
        <f aca="false">IF(OR(E781="",E781="!!!",F781="NEW"),"",INDEX(N$2:N770,-1+SUMPRODUCT(MAX(ROW(E$2:E770)*(E781=E$2:E770)))))</f>
        <v/>
      </c>
      <c r="J781" s="25" t="str">
        <f aca="true">IF(OR(E781="",E781="!!!",F781="NEW"),"",COUNTBLANK(OFFSET(M$1,,,SUMPRODUCT(MAX(ROW(E$2:E771)*(E781=E$2:E771)))))-COUNTBLANK(OFFSET(M$1,,,SUMPRODUCT(MAX(ROW(Q$1:Q770)*(E781=Q$1:Q770))))))</f>
        <v/>
      </c>
      <c r="K781" s="25" t="str">
        <f aca="false">IF(OR(E781="",E781="!!!",F781="NEW"),"",INDEX(V$1:V770,SUMPRODUCT(MAX(ROW(Q$1:Q770)*(E781=Q$1:Q770)))))</f>
        <v/>
      </c>
      <c r="L781" s="26"/>
      <c r="M781" s="27"/>
    </row>
    <row r="782" customFormat="false" ht="15" hidden="false" customHeight="false" outlineLevel="0" collapsed="false">
      <c r="A782" s="19" t="s">
        <v>269</v>
      </c>
      <c r="E782" s="20" t="str">
        <f aca="false">IF(P782="?OLD","!!!","")</f>
        <v/>
      </c>
      <c r="F782" s="21" t="str">
        <f aca="false">IF(OR(E782="",E782="!!!"),"",IF(NOT(ISNA(VLOOKUP(E782,Q$1:Q771,1,FALSE()))),"OLD",IF(AND(E782&lt;&gt;"",E782&lt;&gt;"!!!"),"NEW","")))</f>
        <v/>
      </c>
      <c r="G782" s="22" t="str">
        <f aca="false">IF(OR(E782="",E782="!!!"),"",IF(OR(J782=0,AND(J782=1,K782=1),AND(J782=1,I782="SBJ"),AND(J782=1,I782=0)),"?IN_FOCUS",IF(J782&lt;=2,"?ACTIVATED",IF(J782&lt;&gt;"","?FAMILIAR",IF(F782="NEW",IF(ISNA(VLOOKUP(E782,#REF!,1,FALSE())),"?TYPE_IDENTIFIABLE","?REFERENTIAL"),"_")))))</f>
        <v/>
      </c>
      <c r="H782" s="23" t="str">
        <f aca="false">IF(J782&lt;&gt;1,"",IF(I782="SBJ","CB","?"))</f>
        <v/>
      </c>
      <c r="I782" s="24" t="str">
        <f aca="false">IF(OR(E782="",E782="!!!",F782="NEW"),"",INDEX(N$2:N771,-1+SUMPRODUCT(MAX(ROW(E$2:E771)*(E782=E$2:E771)))))</f>
        <v/>
      </c>
      <c r="J782" s="25" t="str">
        <f aca="true">IF(OR(E782="",E782="!!!",F782="NEW"),"",COUNTBLANK(OFFSET(M$1,,,SUMPRODUCT(MAX(ROW(E$2:E772)*(E782=E$2:E772)))))-COUNTBLANK(OFFSET(M$1,,,SUMPRODUCT(MAX(ROW(Q$1:Q771)*(E782=Q$1:Q771))))))</f>
        <v/>
      </c>
      <c r="K782" s="25" t="str">
        <f aca="false">IF(OR(E782="",E782="!!!",F782="NEW"),"",INDEX(V$1:V771,SUMPRODUCT(MAX(ROW(Q$1:Q771)*(E782=Q$1:Q771)))))</f>
        <v/>
      </c>
      <c r="L782" s="26"/>
      <c r="M782" s="27"/>
    </row>
    <row r="783" customFormat="false" ht="15" hidden="false" customHeight="false" outlineLevel="0" collapsed="false">
      <c r="A783" s="19" t="s">
        <v>640</v>
      </c>
      <c r="B783" s="28" t="s">
        <v>286</v>
      </c>
      <c r="C783" s="28" t="s">
        <v>264</v>
      </c>
      <c r="D783" s="28" t="s">
        <v>253</v>
      </c>
      <c r="E783" s="20" t="s">
        <v>265</v>
      </c>
      <c r="F783" s="21" t="str">
        <f aca="false">IF(OR(E783="",E783="!!!"),"",IF(NOT(ISNA(VLOOKUP(E783,Q$1:Q772,1,FALSE()))),"OLD",IF(AND(E783&lt;&gt;"",E783&lt;&gt;"!!!"),"NEW","")))</f>
        <v>NEW</v>
      </c>
      <c r="G783" s="22" t="s">
        <v>283</v>
      </c>
      <c r="H783" s="23" t="str">
        <f aca="false">IF(J783&lt;&gt;1,"",IF(I783="SBJ","CB","?"))</f>
        <v/>
      </c>
      <c r="I783" s="24" t="str">
        <f aca="false">IF(OR(E783="",E783="!!!",F783="NEW"),"",INDEX(N$2:N772,-1+SUMPRODUCT(MAX(ROW(E$2:E772)*(E783=E$2:E772)))))</f>
        <v/>
      </c>
      <c r="J783" s="25" t="str">
        <f aca="true">IF(OR(E783="",E783="!!!",F783="NEW"),"",COUNTBLANK(OFFSET(M$1,,,SUMPRODUCT(MAX(ROW(E$2:E773)*(E783=E$2:E773)))))-COUNTBLANK(OFFSET(M$1,,,SUMPRODUCT(MAX(ROW(Q$1:Q772)*(E783=Q$1:Q772))))))</f>
        <v/>
      </c>
      <c r="K783" s="25" t="str">
        <f aca="false">IF(OR(E783="",E783="!!!",F783="NEW"),"",INDEX(V$1:V772,SUMPRODUCT(MAX(ROW(Q$1:Q772)*(E783=Q$1:Q772)))))</f>
        <v/>
      </c>
      <c r="L783" s="26"/>
      <c r="M783" s="27"/>
      <c r="N783" s="29"/>
      <c r="O783" s="29"/>
      <c r="P783" s="29"/>
    </row>
    <row r="784" customFormat="false" ht="15" hidden="false" customHeight="false" outlineLevel="0" collapsed="false">
      <c r="A784" s="19" t="s">
        <v>309</v>
      </c>
      <c r="E784" s="20" t="str">
        <f aca="false">IF(P784="?OLD","!!!","")</f>
        <v/>
      </c>
      <c r="F784" s="21" t="str">
        <f aca="false">IF(OR(E784="",E784="!!!"),"",IF(NOT(ISNA(VLOOKUP(E784,Q$1:Q773,1,FALSE()))),"OLD",IF(AND(E784&lt;&gt;"",E784&lt;&gt;"!!!"),"NEW","")))</f>
        <v/>
      </c>
      <c r="G784" s="22" t="str">
        <f aca="false">IF(OR(E784="",E784="!!!"),"",IF(OR(J784=0,AND(J784=1,K784=1),AND(J784=1,I784="SBJ"),AND(J784=1,I784=0)),"?IN_FOCUS",IF(J784&lt;=2,"?ACTIVATED",IF(J784&lt;&gt;"","?FAMILIAR",IF(F784="NEW",IF(ISNA(VLOOKUP(E784,#REF!,1,FALSE())),"?TYPE_IDENTIFIABLE","?REFERENTIAL"),"_")))))</f>
        <v/>
      </c>
      <c r="H784" s="23" t="str">
        <f aca="false">IF(J784&lt;&gt;1,"",IF(I784="SBJ","CB","?"))</f>
        <v/>
      </c>
      <c r="I784" s="24" t="str">
        <f aca="false">IF(OR(E784="",E784="!!!",F784="NEW"),"",INDEX(N$2:N773,-1+SUMPRODUCT(MAX(ROW(E$2:E773)*(E784=E$2:E773)))))</f>
        <v/>
      </c>
      <c r="J784" s="25" t="str">
        <f aca="true">IF(OR(E784="",E784="!!!",F784="NEW"),"",COUNTBLANK(OFFSET(M$1,,,SUMPRODUCT(MAX(ROW(E$2:E774)*(E784=E$2:E774)))))-COUNTBLANK(OFFSET(M$1,,,SUMPRODUCT(MAX(ROW(Q$1:Q773)*(E784=Q$1:Q773))))))</f>
        <v/>
      </c>
      <c r="K784" s="25" t="str">
        <f aca="false">IF(OR(E784="",E784="!!!",F784="NEW"),"",INDEX(V$1:V773,SUMPRODUCT(MAX(ROW(Q$1:Q773)*(E784=Q$1:Q773)))))</f>
        <v/>
      </c>
      <c r="L784" s="26"/>
      <c r="M784" s="27"/>
    </row>
    <row r="785" customFormat="false" ht="15" hidden="false" customHeight="false" outlineLevel="0" collapsed="false">
      <c r="A785" s="19" t="s">
        <v>343</v>
      </c>
      <c r="E785" s="20" t="str">
        <f aca="false">IF(P785="?OLD","!!!","")</f>
        <v/>
      </c>
      <c r="F785" s="21" t="str">
        <f aca="false">IF(OR(E785="",E785="!!!"),"",IF(NOT(ISNA(VLOOKUP(E785,Q$1:Q774,1,FALSE()))),"OLD",IF(AND(E785&lt;&gt;"",E785&lt;&gt;"!!!"),"NEW","")))</f>
        <v/>
      </c>
      <c r="G785" s="22" t="str">
        <f aca="false">IF(OR(E785="",E785="!!!"),"",IF(OR(J785=0,AND(J785=1,K785=1),AND(J785=1,I785="SBJ"),AND(J785=1,I785=0)),"?IN_FOCUS",IF(J785&lt;=2,"?ACTIVATED",IF(J785&lt;&gt;"","?FAMILIAR",IF(F785="NEW",IF(ISNA(VLOOKUP(E785,#REF!,1,FALSE())),"?TYPE_IDENTIFIABLE","?REFERENTIAL"),"_")))))</f>
        <v/>
      </c>
      <c r="H785" s="23" t="str">
        <f aca="false">IF(J785&lt;&gt;1,"",IF(I785="SBJ","CB","?"))</f>
        <v/>
      </c>
      <c r="I785" s="24" t="str">
        <f aca="false">IF(OR(E785="",E785="!!!",F785="NEW"),"",INDEX(N$2:N774,-1+SUMPRODUCT(MAX(ROW(E$2:E774)*(E785=E$2:E774)))))</f>
        <v/>
      </c>
      <c r="J785" s="25" t="str">
        <f aca="true">IF(OR(E785="",E785="!!!",F785="NEW"),"",COUNTBLANK(OFFSET(M$1,,,SUMPRODUCT(MAX(ROW(E$2:E775)*(E785=E$2:E775)))))-COUNTBLANK(OFFSET(M$1,,,SUMPRODUCT(MAX(ROW(Q$1:Q774)*(E785=Q$1:Q774))))))</f>
        <v/>
      </c>
      <c r="K785" s="25" t="str">
        <f aca="false">IF(OR(E785="",E785="!!!",F785="NEW"),"",INDEX(V$1:V774,SUMPRODUCT(MAX(ROW(Q$1:Q774)*(E785=Q$1:Q774)))))</f>
        <v/>
      </c>
      <c r="L785" s="26"/>
      <c r="M785" s="27"/>
    </row>
    <row r="786" customFormat="false" ht="15" hidden="false" customHeight="false" outlineLevel="0" collapsed="false">
      <c r="A786" s="19" t="s">
        <v>226</v>
      </c>
      <c r="B786" s="28" t="s">
        <v>306</v>
      </c>
      <c r="C786" s="28" t="s">
        <v>344</v>
      </c>
      <c r="D786" s="28" t="s">
        <v>253</v>
      </c>
      <c r="E786" s="20" t="s">
        <v>465</v>
      </c>
      <c r="F786" s="21" t="str">
        <f aca="false">IF(OR(E786="",E786="!!!"),"",IF(NOT(ISNA(VLOOKUP(E786,Q$1:Q775,1,FALSE()))),"OLD",IF(AND(E786&lt;&gt;"",E786&lt;&gt;"!!!"),"NEW","")))</f>
        <v>NEW</v>
      </c>
      <c r="G786" s="22" t="s">
        <v>283</v>
      </c>
      <c r="H786" s="23" t="str">
        <f aca="false">IF(J786&lt;&gt;1,"",IF(I786="SBJ","CB","?"))</f>
        <v/>
      </c>
      <c r="I786" s="24" t="str">
        <f aca="false">IF(OR(E786="",E786="!!!",F786="NEW"),"",INDEX(N$2:N775,-1+SUMPRODUCT(MAX(ROW(E$2:E775)*(E786=E$2:E775)))))</f>
        <v/>
      </c>
      <c r="J786" s="25" t="str">
        <f aca="true">IF(OR(E786="",E786="!!!",F786="NEW"),"",COUNTBLANK(OFFSET(M$1,,,SUMPRODUCT(MAX(ROW(E$2:E776)*(E786=E$2:E776)))))-COUNTBLANK(OFFSET(M$1,,,SUMPRODUCT(MAX(ROW(Q$1:Q775)*(E786=Q$1:Q775))))))</f>
        <v/>
      </c>
      <c r="K786" s="25" t="str">
        <f aca="false">IF(OR(E786="",E786="!!!",F786="NEW"),"",INDEX(V$1:V775,SUMPRODUCT(MAX(ROW(Q$1:Q775)*(E786=Q$1:Q775)))))</f>
        <v/>
      </c>
      <c r="L786" s="26"/>
      <c r="M786" s="27"/>
      <c r="N786" s="29"/>
      <c r="O786" s="29"/>
      <c r="P786" s="29"/>
    </row>
    <row r="787" customFormat="false" ht="15" hidden="false" customHeight="false" outlineLevel="0" collapsed="false">
      <c r="A787" s="19" t="s">
        <v>275</v>
      </c>
      <c r="E787" s="20" t="str">
        <f aca="false">IF(P787="?OLD","!!!","")</f>
        <v/>
      </c>
      <c r="F787" s="21" t="str">
        <f aca="false">IF(OR(E787="",E787="!!!"),"",IF(NOT(ISNA(VLOOKUP(E787,Q$1:Q776,1,FALSE()))),"OLD",IF(AND(E787&lt;&gt;"",E787&lt;&gt;"!!!"),"NEW","")))</f>
        <v/>
      </c>
      <c r="G787" s="22" t="str">
        <f aca="false">IF(OR(E787="",E787="!!!"),"",IF(OR(J787=0,AND(J787=1,K787=1),AND(J787=1,I787="SBJ"),AND(J787=1,I787=0)),"?IN_FOCUS",IF(J787&lt;=2,"?ACTIVATED",IF(J787&lt;&gt;"","?FAMILIAR",IF(F787="NEW",IF(ISNA(VLOOKUP(E787,#REF!,1,FALSE())),"?TYPE_IDENTIFIABLE","?REFERENTIAL"),"_")))))</f>
        <v/>
      </c>
      <c r="H787" s="23" t="str">
        <f aca="false">IF(J787&lt;&gt;1,"",IF(I787="SBJ","CB","?"))</f>
        <v/>
      </c>
      <c r="I787" s="24" t="str">
        <f aca="false">IF(OR(E787="",E787="!!!",F787="NEW"),"",INDEX(N$2:N776,-1+SUMPRODUCT(MAX(ROW(E$2:E776)*(E787=E$2:E776)))))</f>
        <v/>
      </c>
      <c r="J787" s="25" t="str">
        <f aca="true">IF(OR(E787="",E787="!!!",F787="NEW"),"",COUNTBLANK(OFFSET(M$1,,,SUMPRODUCT(MAX(ROW(E$2:E777)*(E787=E$2:E777)))))-COUNTBLANK(OFFSET(M$1,,,SUMPRODUCT(MAX(ROW(Q$1:Q776)*(E787=Q$1:Q776))))))</f>
        <v/>
      </c>
      <c r="K787" s="25" t="str">
        <f aca="false">IF(OR(E787="",E787="!!!",F787="NEW"),"",INDEX(V$1:V776,SUMPRODUCT(MAX(ROW(Q$1:Q776)*(E787=Q$1:Q776)))))</f>
        <v/>
      </c>
      <c r="L787" s="26"/>
      <c r="M787" s="27"/>
    </row>
    <row r="788" customFormat="false" ht="15" hidden="false" customHeight="false" outlineLevel="0" collapsed="false">
      <c r="A788" s="19"/>
      <c r="E788" s="20" t="str">
        <f aca="false">IF(P788="?OLD","!!!","")</f>
        <v/>
      </c>
      <c r="F788" s="21" t="str">
        <f aca="false">IF(OR(E788="",E788="!!!"),"",IF(NOT(ISNA(VLOOKUP(E788,Q$1:Q777,1,FALSE()))),"OLD",IF(AND(E788&lt;&gt;"",E788&lt;&gt;"!!!"),"NEW","")))</f>
        <v/>
      </c>
      <c r="G788" s="22" t="str">
        <f aca="false">IF(OR(E788="",E788="!!!"),"",IF(OR(J788=0,AND(J788=1,K788=1),AND(J788=1,I788="SBJ"),AND(J788=1,I788=0)),"?IN_FOCUS",IF(J788&lt;=2,"?ACTIVATED",IF(J788&lt;&gt;"","?FAMILIAR",IF(F788="NEW",IF(ISNA(VLOOKUP(E788,#REF!,1,FALSE())),"?TYPE_IDENTIFIABLE","?REFERENTIAL"),"_")))))</f>
        <v/>
      </c>
      <c r="H788" s="23" t="str">
        <f aca="false">IF(J788&lt;&gt;1,"",IF(I788="SBJ","CB","?"))</f>
        <v/>
      </c>
      <c r="I788" s="24" t="str">
        <f aca="false">IF(OR(E788="",E788="!!!",F788="NEW"),"",INDEX(N$2:N777,-1+SUMPRODUCT(MAX(ROW(E$2:E777)*(E788=E$2:E777)))))</f>
        <v/>
      </c>
      <c r="J788" s="25" t="str">
        <f aca="true">IF(OR(E788="",E788="!!!",F788="NEW"),"",COUNTBLANK(OFFSET(M$1,,,SUMPRODUCT(MAX(ROW(E$2:E778)*(E788=E$2:E778)))))-COUNTBLANK(OFFSET(M$1,,,SUMPRODUCT(MAX(ROW(Q$1:Q777)*(E788=Q$1:Q777))))))</f>
        <v/>
      </c>
      <c r="K788" s="25" t="str">
        <f aca="false">IF(OR(E788="",E788="!!!",F788="NEW"),"",INDEX(V$1:V777,SUMPRODUCT(MAX(ROW(Q$1:Q777)*(E788=Q$1:Q777)))))</f>
        <v/>
      </c>
      <c r="L788" s="26"/>
    </row>
    <row r="789" customFormat="false" ht="15" hidden="false" customHeight="false" outlineLevel="0" collapsed="false">
      <c r="A789" s="19" t="s">
        <v>641</v>
      </c>
      <c r="E789" s="20" t="str">
        <f aca="false">IF(P789="?OLD","!!!","")</f>
        <v/>
      </c>
      <c r="F789" s="21" t="str">
        <f aca="false">IF(OR(E789="",E789="!!!"),"",IF(NOT(ISNA(VLOOKUP(E789,Q$1:Q778,1,FALSE()))),"OLD",IF(AND(E789&lt;&gt;"",E789&lt;&gt;"!!!"),"NEW","")))</f>
        <v/>
      </c>
      <c r="G789" s="22" t="str">
        <f aca="false">IF(OR(E789="",E789="!!!"),"",IF(OR(J789=0,AND(J789=1,K789=1),AND(J789=1,I789="SBJ"),AND(J789=1,I789=0)),"?IN_FOCUS",IF(J789&lt;=2,"?ACTIVATED",IF(J789&lt;&gt;"","?FAMILIAR",IF(F789="NEW",IF(ISNA(VLOOKUP(E789,#REF!,1,FALSE())),"?TYPE_IDENTIFIABLE","?REFERENTIAL"),"_")))))</f>
        <v/>
      </c>
      <c r="H789" s="23" t="str">
        <f aca="false">IF(J789&lt;&gt;1,"",IF(I789="SBJ","CB","?"))</f>
        <v/>
      </c>
      <c r="I789" s="24" t="str">
        <f aca="false">IF(OR(E789="",E789="!!!",F789="NEW"),"",INDEX(N$2:N778,-1+SUMPRODUCT(MAX(ROW(E$2:E778)*(E789=E$2:E778)))))</f>
        <v/>
      </c>
      <c r="J789" s="25" t="str">
        <f aca="true">IF(OR(E789="",E789="!!!",F789="NEW"),"",COUNTBLANK(OFFSET(M$1,,,SUMPRODUCT(MAX(ROW(E$2:E779)*(E789=E$2:E779)))))-COUNTBLANK(OFFSET(M$1,,,SUMPRODUCT(MAX(ROW(Q$1:Q778)*(E789=Q$1:Q778))))))</f>
        <v/>
      </c>
      <c r="K789" s="25" t="str">
        <f aca="false">IF(OR(E789="",E789="!!!",F789="NEW"),"",INDEX(V$1:V778,SUMPRODUCT(MAX(ROW(Q$1:Q778)*(E789=Q$1:Q778)))))</f>
        <v/>
      </c>
      <c r="L789" s="26"/>
      <c r="M789" s="27"/>
    </row>
    <row r="790" customFormat="false" ht="15" hidden="false" customHeight="false" outlineLevel="0" collapsed="false">
      <c r="A790" s="19" t="s">
        <v>598</v>
      </c>
      <c r="E790" s="20" t="str">
        <f aca="false">IF(P790="?OLD","!!!","")</f>
        <v/>
      </c>
      <c r="F790" s="21" t="str">
        <f aca="false">IF(OR(E790="",E790="!!!"),"",IF(NOT(ISNA(VLOOKUP(E790,Q$1:Q779,1,FALSE()))),"OLD",IF(AND(E790&lt;&gt;"",E790&lt;&gt;"!!!"),"NEW","")))</f>
        <v/>
      </c>
      <c r="G790" s="22" t="str">
        <f aca="false">IF(OR(E790="",E790="!!!"),"",IF(OR(J790=0,AND(J790=1,K790=1),AND(J790=1,I790="SBJ"),AND(J790=1,I790=0)),"?IN_FOCUS",IF(J790&lt;=2,"?ACTIVATED",IF(J790&lt;&gt;"","?FAMILIAR",IF(F790="NEW",IF(ISNA(VLOOKUP(E790,#REF!,1,FALSE())),"?TYPE_IDENTIFIABLE","?REFERENTIAL"),"_")))))</f>
        <v/>
      </c>
      <c r="H790" s="23" t="str">
        <f aca="false">IF(J790&lt;&gt;1,"",IF(I790="SBJ","CB","?"))</f>
        <v/>
      </c>
      <c r="I790" s="24" t="str">
        <f aca="false">IF(OR(E790="",E790="!!!",F790="NEW"),"",INDEX(N$2:N779,-1+SUMPRODUCT(MAX(ROW(E$2:E779)*(E790=E$2:E779)))))</f>
        <v/>
      </c>
      <c r="J790" s="25" t="str">
        <f aca="true">IF(OR(E790="",E790="!!!",F790="NEW"),"",COUNTBLANK(OFFSET(M$1,,,SUMPRODUCT(MAX(ROW(E$2:E780)*(E790=E$2:E780)))))-COUNTBLANK(OFFSET(M$1,,,SUMPRODUCT(MAX(ROW(Q$1:Q779)*(E790=Q$1:Q779))))))</f>
        <v/>
      </c>
      <c r="K790" s="25" t="str">
        <f aca="false">IF(OR(E790="",E790="!!!",F790="NEW"),"",INDEX(V$1:V779,SUMPRODUCT(MAX(ROW(Q$1:Q779)*(E790=Q$1:Q779)))))</f>
        <v/>
      </c>
      <c r="L790" s="26"/>
      <c r="M790" s="27"/>
    </row>
    <row r="791" customFormat="false" ht="15" hidden="false" customHeight="false" outlineLevel="0" collapsed="false">
      <c r="A791" s="19" t="s">
        <v>261</v>
      </c>
      <c r="E791" s="20" t="str">
        <f aca="false">IF(P791="?OLD","!!!","")</f>
        <v/>
      </c>
      <c r="F791" s="21" t="str">
        <f aca="false">IF(OR(E791="",E791="!!!"),"",IF(NOT(ISNA(VLOOKUP(E791,Q$1:Q780,1,FALSE()))),"OLD",IF(AND(E791&lt;&gt;"",E791&lt;&gt;"!!!"),"NEW","")))</f>
        <v/>
      </c>
      <c r="G791" s="22" t="str">
        <f aca="false">IF(OR(E791="",E791="!!!"),"",IF(OR(J791=0,AND(J791=1,K791=1),AND(J791=1,I791="SBJ"),AND(J791=1,I791=0)),"?IN_FOCUS",IF(J791&lt;=2,"?ACTIVATED",IF(J791&lt;&gt;"","?FAMILIAR",IF(F791="NEW",IF(ISNA(VLOOKUP(E791,#REF!,1,FALSE())),"?TYPE_IDENTIFIABLE","?REFERENTIAL"),"_")))))</f>
        <v/>
      </c>
      <c r="H791" s="23" t="str">
        <f aca="false">IF(J791&lt;&gt;1,"",IF(I791="SBJ","CB","?"))</f>
        <v/>
      </c>
      <c r="I791" s="24" t="str">
        <f aca="false">IF(OR(E791="",E791="!!!",F791="NEW"),"",INDEX(N$2:N780,-1+SUMPRODUCT(MAX(ROW(E$2:E780)*(E791=E$2:E780)))))</f>
        <v/>
      </c>
      <c r="J791" s="25" t="str">
        <f aca="true">IF(OR(E791="",E791="!!!",F791="NEW"),"",COUNTBLANK(OFFSET(M$1,,,SUMPRODUCT(MAX(ROW(E$2:E781)*(E791=E$2:E781)))))-COUNTBLANK(OFFSET(M$1,,,SUMPRODUCT(MAX(ROW(Q$1:Q780)*(E791=Q$1:Q780))))))</f>
        <v/>
      </c>
      <c r="K791" s="25" t="str">
        <f aca="false">IF(OR(E791="",E791="!!!",F791="NEW"),"",INDEX(V$1:V780,SUMPRODUCT(MAX(ROW(Q$1:Q780)*(E791=Q$1:Q780)))))</f>
        <v/>
      </c>
      <c r="L791" s="26"/>
      <c r="M791" s="27"/>
    </row>
    <row r="792" customFormat="false" ht="15" hidden="false" customHeight="false" outlineLevel="0" collapsed="false">
      <c r="A792" s="19" t="s">
        <v>558</v>
      </c>
      <c r="E792" s="20" t="str">
        <f aca="false">IF(P792="?OLD","!!!","")</f>
        <v/>
      </c>
      <c r="F792" s="21" t="str">
        <f aca="false">IF(OR(E792="",E792="!!!"),"",IF(NOT(ISNA(VLOOKUP(E792,Q$1:Q781,1,FALSE()))),"OLD",IF(AND(E792&lt;&gt;"",E792&lt;&gt;"!!!"),"NEW","")))</f>
        <v/>
      </c>
      <c r="G792" s="22" t="str">
        <f aca="false">IF(OR(E792="",E792="!!!"),"",IF(OR(J792=0,AND(J792=1,K792=1),AND(J792=1,I792="SBJ"),AND(J792=1,I792=0)),"?IN_FOCUS",IF(J792&lt;=2,"?ACTIVATED",IF(J792&lt;&gt;"","?FAMILIAR",IF(F792="NEW",IF(ISNA(VLOOKUP(E792,#REF!,1,FALSE())),"?TYPE_IDENTIFIABLE","?REFERENTIAL"),"_")))))</f>
        <v/>
      </c>
      <c r="H792" s="23" t="str">
        <f aca="false">IF(J792&lt;&gt;1,"",IF(I792="SBJ","CB","?"))</f>
        <v/>
      </c>
      <c r="I792" s="24" t="str">
        <f aca="false">IF(OR(E792="",E792="!!!",F792="NEW"),"",INDEX(N$2:N781,-1+SUMPRODUCT(MAX(ROW(E$2:E781)*(E792=E$2:E781)))))</f>
        <v/>
      </c>
      <c r="J792" s="25" t="str">
        <f aca="true">IF(OR(E792="",E792="!!!",F792="NEW"),"",COUNTBLANK(OFFSET(M$1,,,SUMPRODUCT(MAX(ROW(E$2:E782)*(E792=E$2:E782)))))-COUNTBLANK(OFFSET(M$1,,,SUMPRODUCT(MAX(ROW(Q$1:Q781)*(E792=Q$1:Q781))))))</f>
        <v/>
      </c>
      <c r="K792" s="25" t="str">
        <f aca="false">IF(OR(E792="",E792="!!!",F792="NEW"),"",INDEX(V$1:V781,SUMPRODUCT(MAX(ROW(Q$1:Q781)*(E792=Q$1:Q781)))))</f>
        <v/>
      </c>
      <c r="L792" s="26"/>
      <c r="M792" s="27"/>
    </row>
    <row r="793" customFormat="false" ht="15" hidden="false" customHeight="false" outlineLevel="0" collapsed="false">
      <c r="A793" s="19" t="s">
        <v>284</v>
      </c>
      <c r="E793" s="20" t="str">
        <f aca="false">IF(P793="?OLD","!!!","")</f>
        <v/>
      </c>
      <c r="F793" s="21" t="str">
        <f aca="false">IF(OR(E793="",E793="!!!"),"",IF(NOT(ISNA(VLOOKUP(E793,Q$1:Q782,1,FALSE()))),"OLD",IF(AND(E793&lt;&gt;"",E793&lt;&gt;"!!!"),"NEW","")))</f>
        <v/>
      </c>
      <c r="G793" s="22" t="str">
        <f aca="false">IF(OR(E793="",E793="!!!"),"",IF(OR(J793=0,AND(J793=1,K793=1),AND(J793=1,I793="SBJ"),AND(J793=1,I793=0)),"?IN_FOCUS",IF(J793&lt;=2,"?ACTIVATED",IF(J793&lt;&gt;"","?FAMILIAR",IF(F793="NEW",IF(ISNA(VLOOKUP(E793,#REF!,1,FALSE())),"?TYPE_IDENTIFIABLE","?REFERENTIAL"),"_")))))</f>
        <v/>
      </c>
      <c r="H793" s="23" t="str">
        <f aca="false">IF(J793&lt;&gt;1,"",IF(I793="SBJ","CB","?"))</f>
        <v/>
      </c>
      <c r="I793" s="24" t="str">
        <f aca="false">IF(OR(E793="",E793="!!!",F793="NEW"),"",INDEX(N$2:N782,-1+SUMPRODUCT(MAX(ROW(E$2:E782)*(E793=E$2:E782)))))</f>
        <v/>
      </c>
      <c r="J793" s="25" t="str">
        <f aca="true">IF(OR(E793="",E793="!!!",F793="NEW"),"",COUNTBLANK(OFFSET(M$1,,,SUMPRODUCT(MAX(ROW(E$2:E783)*(E793=E$2:E783)))))-COUNTBLANK(OFFSET(M$1,,,SUMPRODUCT(MAX(ROW(Q$1:Q782)*(E793=Q$1:Q782))))))</f>
        <v/>
      </c>
      <c r="K793" s="25" t="str">
        <f aca="false">IF(OR(E793="",E793="!!!",F793="NEW"),"",INDEX(V$1:V782,SUMPRODUCT(MAX(ROW(Q$1:Q782)*(E793=Q$1:Q782)))))</f>
        <v/>
      </c>
      <c r="L793" s="26"/>
      <c r="M793" s="27"/>
    </row>
    <row r="794" customFormat="false" ht="15" hidden="false" customHeight="false" outlineLevel="0" collapsed="false">
      <c r="A794" s="19" t="s">
        <v>472</v>
      </c>
      <c r="B794" s="28" t="s">
        <v>271</v>
      </c>
      <c r="C794" s="28" t="s">
        <v>287</v>
      </c>
      <c r="E794" s="20" t="str">
        <f aca="false">IF(P794="?OLD","!!!","")</f>
        <v/>
      </c>
      <c r="F794" s="21" t="str">
        <f aca="false">IF(OR(E794="",E794="!!!"),"",IF(NOT(ISNA(VLOOKUP(E794,Q$1:Q783,1,FALSE()))),"OLD",IF(AND(E794&lt;&gt;"",E794&lt;&gt;"!!!"),"NEW","")))</f>
        <v/>
      </c>
      <c r="G794" s="22" t="str">
        <f aca="false">IF(OR(E794="",E794="!!!"),"",IF(OR(J794=0,AND(J794=1,K794=1),AND(J794=1,I794="SBJ"),AND(J794=1,I794=0)),"?IN_FOCUS",IF(J794&lt;=2,"?ACTIVATED",IF(J794&lt;&gt;"","?FAMILIAR",IF(F794="NEW",IF(ISNA(VLOOKUP(E794,#REF!,1,FALSE())),"?TYPE_IDENTIFIABLE","?REFERENTIAL"),"_")))))</f>
        <v/>
      </c>
      <c r="H794" s="23" t="str">
        <f aca="false">IF(J794&lt;&gt;1,"",IF(I794="SBJ","CB","?"))</f>
        <v/>
      </c>
      <c r="I794" s="24" t="str">
        <f aca="false">IF(OR(E794="",E794="!!!",F794="NEW"),"",INDEX(N$2:N783,-1+SUMPRODUCT(MAX(ROW(E$2:E783)*(E794=E$2:E783)))))</f>
        <v/>
      </c>
      <c r="J794" s="25" t="str">
        <f aca="true">IF(OR(E794="",E794="!!!",F794="NEW"),"",COUNTBLANK(OFFSET(M$1,,,SUMPRODUCT(MAX(ROW(E$2:E784)*(E794=E$2:E784)))))-COUNTBLANK(OFFSET(M$1,,,SUMPRODUCT(MAX(ROW(Q$1:Q783)*(E794=Q$1:Q783))))))</f>
        <v/>
      </c>
      <c r="K794" s="25" t="str">
        <f aca="false">IF(OR(E794="",E794="!!!",F794="NEW"),"",INDEX(V$1:V783,SUMPRODUCT(MAX(ROW(Q$1:Q783)*(E794=Q$1:Q783)))))</f>
        <v/>
      </c>
      <c r="L794" s="26"/>
      <c r="M794" s="27"/>
      <c r="N794" s="29"/>
      <c r="O794" s="29"/>
    </row>
    <row r="795" customFormat="false" ht="15" hidden="false" customHeight="false" outlineLevel="0" collapsed="false">
      <c r="A795" s="19" t="s">
        <v>261</v>
      </c>
      <c r="E795" s="20" t="str">
        <f aca="false">IF(P795="?OLD","!!!","")</f>
        <v/>
      </c>
      <c r="F795" s="21" t="str">
        <f aca="false">IF(OR(E795="",E795="!!!"),"",IF(NOT(ISNA(VLOOKUP(E795,Q$1:Q784,1,FALSE()))),"OLD",IF(AND(E795&lt;&gt;"",E795&lt;&gt;"!!!"),"NEW","")))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4" t="str">
        <f aca="false">IF(OR(E795="",E795="!!!",F795="NEW"),"",INDEX(N$2:N784,-1+SUMPRODUCT(MAX(ROW(E$2:E784)*(E795=E$2:E784)))))</f>
        <v/>
      </c>
      <c r="J795" s="25" t="str">
        <f aca="true">IF(OR(E795="",E795="!!!",F795="NEW"),"",COUNTBLANK(OFFSET(M$1,,,SUMPRODUCT(MAX(ROW(E$2:E785)*(E795=E$2:E785)))))-COUNTBLANK(OFFSET(M$1,,,SUMPRODUCT(MAX(ROW(Q$1:Q784)*(E795=Q$1:Q784))))))</f>
        <v/>
      </c>
      <c r="K795" s="25" t="str">
        <f aca="false">IF(OR(E795="",E795="!!!",F795="NEW"),"",INDEX(V$1:V784,SUMPRODUCT(MAX(ROW(Q$1:Q784)*(E795=Q$1:Q784)))))</f>
        <v/>
      </c>
      <c r="L795" s="26"/>
      <c r="M795" s="27"/>
    </row>
    <row r="796" customFormat="false" ht="15" hidden="false" customHeight="false" outlineLevel="0" collapsed="false">
      <c r="A796" s="19" t="s">
        <v>294</v>
      </c>
      <c r="E796" s="20" t="str">
        <f aca="false">IF(P796="?OLD","!!!","")</f>
        <v/>
      </c>
      <c r="F796" s="21" t="str">
        <f aca="false">IF(OR(E796="",E796="!!!"),"",IF(NOT(ISNA(VLOOKUP(E796,Q$1:Q785,1,FALSE()))),"OLD",IF(AND(E796&lt;&gt;"",E796&lt;&gt;"!!!"),"NEW","")))</f>
        <v/>
      </c>
      <c r="G796" s="22" t="str">
        <f aca="false">IF(OR(E796="",E796="!!!"),"",IF(OR(J796=0,AND(J796=1,K796=1),AND(J796=1,I796="SBJ"),AND(J796=1,I796=0)),"?IN_FOCUS",IF(J796&lt;=2,"?ACTIVATED",IF(J796&lt;&gt;"","?FAMILIAR",IF(F796="NEW",IF(ISNA(VLOOKUP(E796,#REF!,1,FALSE())),"?TYPE_IDENTIFIABLE","?REFERENTIAL"),"_")))))</f>
        <v/>
      </c>
      <c r="H796" s="23" t="str">
        <f aca="false">IF(J796&lt;&gt;1,"",IF(I796="SBJ","CB","?"))</f>
        <v/>
      </c>
      <c r="I796" s="24" t="str">
        <f aca="false">IF(OR(E796="",E796="!!!",F796="NEW"),"",INDEX(N$2:N785,-1+SUMPRODUCT(MAX(ROW(E$2:E785)*(E796=E$2:E785)))))</f>
        <v/>
      </c>
      <c r="J796" s="25" t="str">
        <f aca="true">IF(OR(E796="",E796="!!!",F796="NEW"),"",COUNTBLANK(OFFSET(M$1,,,SUMPRODUCT(MAX(ROW(E$2:E786)*(E796=E$2:E786)))))-COUNTBLANK(OFFSET(M$1,,,SUMPRODUCT(MAX(ROW(Q$1:Q785)*(E796=Q$1:Q785))))))</f>
        <v/>
      </c>
      <c r="K796" s="25" t="str">
        <f aca="false">IF(OR(E796="",E796="!!!",F796="NEW"),"",INDEX(V$1:V785,SUMPRODUCT(MAX(ROW(Q$1:Q785)*(E796=Q$1:Q785)))))</f>
        <v/>
      </c>
      <c r="L796" s="26"/>
      <c r="M796" s="27"/>
    </row>
    <row r="797" customFormat="false" ht="15" hidden="false" customHeight="false" outlineLevel="0" collapsed="false">
      <c r="A797" s="19" t="s">
        <v>642</v>
      </c>
      <c r="E797" s="20" t="str">
        <f aca="false">IF(P797="?OLD","!!!","")</f>
        <v/>
      </c>
      <c r="F797" s="21" t="str">
        <f aca="false">IF(OR(E797="",E797="!!!"),"",IF(NOT(ISNA(VLOOKUP(E797,Q$1:Q786,1,FALSE()))),"OLD",IF(AND(E797&lt;&gt;"",E797&lt;&gt;"!!!"),"NEW","")))</f>
        <v/>
      </c>
      <c r="G797" s="22" t="str">
        <f aca="false">IF(OR(E797="",E797="!!!"),"",IF(OR(J797=0,AND(J797=1,K797=1),AND(J797=1,I797="SBJ"),AND(J797=1,I797=0)),"?IN_FOCUS",IF(J797&lt;=2,"?ACTIVATED",IF(J797&lt;&gt;"","?FAMILIAR",IF(F797="NEW",IF(ISNA(VLOOKUP(E797,#REF!,1,FALSE())),"?TYPE_IDENTIFIABLE","?REFERENTIAL"),"_")))))</f>
        <v/>
      </c>
      <c r="H797" s="23" t="str">
        <f aca="false">IF(J797&lt;&gt;1,"",IF(I797="SBJ","CB","?"))</f>
        <v/>
      </c>
      <c r="I797" s="24" t="str">
        <f aca="false">IF(OR(E797="",E797="!!!",F797="NEW"),"",INDEX(N$2:N786,-1+SUMPRODUCT(MAX(ROW(E$2:E786)*(E797=E$2:E786)))))</f>
        <v/>
      </c>
      <c r="J797" s="25" t="str">
        <f aca="true">IF(OR(E797="",E797="!!!",F797="NEW"),"",COUNTBLANK(OFFSET(M$1,,,SUMPRODUCT(MAX(ROW(E$2:E787)*(E797=E$2:E787)))))-COUNTBLANK(OFFSET(M$1,,,SUMPRODUCT(MAX(ROW(Q$1:Q786)*(E797=Q$1:Q786))))))</f>
        <v/>
      </c>
      <c r="K797" s="25" t="str">
        <f aca="false">IF(OR(E797="",E797="!!!",F797="NEW"),"",INDEX(V$1:V786,SUMPRODUCT(MAX(ROW(Q$1:Q786)*(E797=Q$1:Q786)))))</f>
        <v/>
      </c>
      <c r="L797" s="26"/>
      <c r="M797" s="27"/>
    </row>
    <row r="798" customFormat="false" ht="15" hidden="false" customHeight="false" outlineLevel="0" collapsed="false">
      <c r="A798" s="19" t="s">
        <v>482</v>
      </c>
      <c r="E798" s="20" t="str">
        <f aca="false">IF(P798="?OLD","!!!","")</f>
        <v/>
      </c>
      <c r="F798" s="21" t="str">
        <f aca="false">IF(OR(E798="",E798="!!!"),"",IF(NOT(ISNA(VLOOKUP(E798,Q$1:Q787,1,FALSE()))),"OLD",IF(AND(E798&lt;&gt;"",E798&lt;&gt;"!!!"),"NEW","")))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4" t="str">
        <f aca="false">IF(OR(E798="",E798="!!!",F798="NEW"),"",INDEX(N$2:N787,-1+SUMPRODUCT(MAX(ROW(E$2:E787)*(E798=E$2:E787)))))</f>
        <v/>
      </c>
      <c r="J798" s="25" t="str">
        <f aca="true">IF(OR(E798="",E798="!!!",F798="NEW"),"",COUNTBLANK(OFFSET(M$1,,,SUMPRODUCT(MAX(ROW(E$2:E788)*(E798=E$2:E788)))))-COUNTBLANK(OFFSET(M$1,,,SUMPRODUCT(MAX(ROW(Q$1:Q787)*(E798=Q$1:Q787))))))</f>
        <v/>
      </c>
      <c r="K798" s="25" t="str">
        <f aca="false">IF(OR(E798="",E798="!!!",F798="NEW"),"",INDEX(V$1:V787,SUMPRODUCT(MAX(ROW(Q$1:Q787)*(E798=Q$1:Q787)))))</f>
        <v/>
      </c>
      <c r="L798" s="26"/>
      <c r="M798" s="27"/>
    </row>
    <row r="799" customFormat="false" ht="15" hidden="false" customHeight="false" outlineLevel="0" collapsed="false">
      <c r="A799" s="19" t="s">
        <v>413</v>
      </c>
      <c r="B799" s="28" t="s">
        <v>324</v>
      </c>
      <c r="C799" s="28" t="s">
        <v>333</v>
      </c>
      <c r="D799" s="28" t="s">
        <v>253</v>
      </c>
      <c r="E799" s="20" t="s">
        <v>413</v>
      </c>
      <c r="F799" s="21" t="str">
        <f aca="false">IF(OR(E799="",E799="!!!"),"",IF(NOT(ISNA(VLOOKUP(E799,Q$1:Q788,1,FALSE()))),"OLD",IF(AND(E799&lt;&gt;"",E799&lt;&gt;"!!!"),"NEW","")))</f>
        <v>NEW</v>
      </c>
      <c r="G799" s="22" t="s">
        <v>266</v>
      </c>
      <c r="H799" s="23" t="str">
        <f aca="false">IF(J799&lt;&gt;1,"",IF(I799="SBJ","CB","?"))</f>
        <v/>
      </c>
      <c r="I799" s="24" t="str">
        <f aca="false">IF(OR(E799="",E799="!!!",F799="NEW"),"",INDEX(N$2:N788,-1+SUMPRODUCT(MAX(ROW(E$2:E788)*(E799=E$2:E788)))))</f>
        <v/>
      </c>
      <c r="J799" s="25" t="str">
        <f aca="true">IF(OR(E799="",E799="!!!",F799="NEW"),"",COUNTBLANK(OFFSET(M$1,,,SUMPRODUCT(MAX(ROW(E$2:E789)*(E799=E$2:E789)))))-COUNTBLANK(OFFSET(M$1,,,SUMPRODUCT(MAX(ROW(Q$1:Q788)*(E799=Q$1:Q788))))))</f>
        <v/>
      </c>
      <c r="K799" s="25" t="str">
        <f aca="false">IF(OR(E799="",E799="!!!",F799="NEW"),"",INDEX(V$1:V788,SUMPRODUCT(MAX(ROW(Q$1:Q788)*(E799=Q$1:Q788)))))</f>
        <v/>
      </c>
      <c r="L799" s="26"/>
      <c r="M799" s="27"/>
      <c r="N799" s="29"/>
      <c r="O799" s="29"/>
      <c r="P799" s="29"/>
    </row>
    <row r="800" customFormat="false" ht="15" hidden="false" customHeight="false" outlineLevel="0" collapsed="false">
      <c r="A800" s="19" t="s">
        <v>260</v>
      </c>
      <c r="E800" s="20" t="str">
        <f aca="false">IF(P800="?OLD","!!!","")</f>
        <v/>
      </c>
      <c r="F800" s="21" t="str">
        <f aca="false">IF(OR(E800="",E800="!!!"),"",IF(NOT(ISNA(VLOOKUP(E800,Q$1:Q789,1,FALSE()))),"OLD",IF(AND(E800&lt;&gt;"",E800&lt;&gt;"!!!"),"NEW","")))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4" t="str">
        <f aca="false">IF(OR(E800="",E800="!!!",F800="NEW"),"",INDEX(N$2:N789,-1+SUMPRODUCT(MAX(ROW(E$2:E789)*(E800=E$2:E789)))))</f>
        <v/>
      </c>
      <c r="J800" s="25" t="str">
        <f aca="true">IF(OR(E800="",E800="!!!",F800="NEW"),"",COUNTBLANK(OFFSET(M$1,,,SUMPRODUCT(MAX(ROW(E$2:E790)*(E800=E$2:E790)))))-COUNTBLANK(OFFSET(M$1,,,SUMPRODUCT(MAX(ROW(Q$1:Q789)*(E800=Q$1:Q789))))))</f>
        <v/>
      </c>
      <c r="K800" s="25" t="str">
        <f aca="false">IF(OR(E800="",E800="!!!",F800="NEW"),"",INDEX(V$1:V789,SUMPRODUCT(MAX(ROW(Q$1:Q789)*(E800=Q$1:Q789)))))</f>
        <v/>
      </c>
      <c r="L800" s="26"/>
      <c r="M800" s="27"/>
    </row>
    <row r="801" customFormat="false" ht="15" hidden="false" customHeight="false" outlineLevel="0" collapsed="false">
      <c r="A801" s="19" t="s">
        <v>643</v>
      </c>
      <c r="E801" s="20" t="str">
        <f aca="false">IF(P801="?OLD","!!!","")</f>
        <v/>
      </c>
      <c r="F801" s="21" t="str">
        <f aca="false">IF(OR(E801="",E801="!!!"),"",IF(NOT(ISNA(VLOOKUP(E801,Q$1:Q790,1,FALSE()))),"OLD",IF(AND(E801&lt;&gt;"",E801&lt;&gt;"!!!"),"NEW","")))</f>
        <v/>
      </c>
      <c r="G801" s="22" t="str">
        <f aca="false">IF(OR(E801="",E801="!!!"),"",IF(OR(J801=0,AND(J801=1,K801=1),AND(J801=1,I801="SBJ"),AND(J801=1,I801=0)),"?IN_FOCUS",IF(J801&lt;=2,"?ACTIVATED",IF(J801&lt;&gt;"","?FAMILIAR",IF(F801="NEW",IF(ISNA(VLOOKUP(E801,#REF!,1,FALSE())),"?TYPE_IDENTIFIABLE","?REFERENTIAL"),"_")))))</f>
        <v/>
      </c>
      <c r="H801" s="23" t="str">
        <f aca="false">IF(J801&lt;&gt;1,"",IF(I801="SBJ","CB","?"))</f>
        <v/>
      </c>
      <c r="I801" s="24" t="str">
        <f aca="false">IF(OR(E801="",E801="!!!",F801="NEW"),"",INDEX(N$2:N790,-1+SUMPRODUCT(MAX(ROW(E$2:E790)*(E801=E$2:E790)))))</f>
        <v/>
      </c>
      <c r="J801" s="25" t="str">
        <f aca="true">IF(OR(E801="",E801="!!!",F801="NEW"),"",COUNTBLANK(OFFSET(M$1,,,SUMPRODUCT(MAX(ROW(E$2:E791)*(E801=E$2:E791)))))-COUNTBLANK(OFFSET(M$1,,,SUMPRODUCT(MAX(ROW(Q$1:Q790)*(E801=Q$1:Q790))))))</f>
        <v/>
      </c>
      <c r="K801" s="25" t="str">
        <f aca="false">IF(OR(E801="",E801="!!!",F801="NEW"),"",INDEX(V$1:V790,SUMPRODUCT(MAX(ROW(Q$1:Q790)*(E801=Q$1:Q790)))))</f>
        <v/>
      </c>
      <c r="L801" s="26"/>
      <c r="M801" s="27"/>
    </row>
    <row r="802" customFormat="false" ht="15" hidden="false" customHeight="false" outlineLevel="0" collapsed="false">
      <c r="A802" s="19" t="s">
        <v>269</v>
      </c>
      <c r="E802" s="20" t="str">
        <f aca="false">IF(P802="?OLD","!!!","")</f>
        <v/>
      </c>
      <c r="F802" s="21" t="str">
        <f aca="false">IF(OR(E802="",E802="!!!"),"",IF(NOT(ISNA(VLOOKUP(E802,Q$1:Q791,1,FALSE()))),"OLD",IF(AND(E802&lt;&gt;"",E802&lt;&gt;"!!!"),"NEW","")))</f>
        <v/>
      </c>
      <c r="G802" s="22" t="str">
        <f aca="false">IF(OR(E802="",E802="!!!"),"",IF(OR(J802=0,AND(J802=1,K802=1),AND(J802=1,I802="SBJ"),AND(J802=1,I802=0)),"?IN_FOCUS",IF(J802&lt;=2,"?ACTIVATED",IF(J802&lt;&gt;"","?FAMILIAR",IF(F802="NEW",IF(ISNA(VLOOKUP(E802,#REF!,1,FALSE())),"?TYPE_IDENTIFIABLE","?REFERENTIAL"),"_")))))</f>
        <v/>
      </c>
      <c r="H802" s="23" t="str">
        <f aca="false">IF(J802&lt;&gt;1,"",IF(I802="SBJ","CB","?"))</f>
        <v/>
      </c>
      <c r="I802" s="24" t="str">
        <f aca="false">IF(OR(E802="",E802="!!!",F802="NEW"),"",INDEX(N$2:N791,-1+SUMPRODUCT(MAX(ROW(E$2:E791)*(E802=E$2:E791)))))</f>
        <v/>
      </c>
      <c r="J802" s="25" t="str">
        <f aca="true">IF(OR(E802="",E802="!!!",F802="NEW"),"",COUNTBLANK(OFFSET(M$1,,,SUMPRODUCT(MAX(ROW(E$2:E792)*(E802=E$2:E792)))))-COUNTBLANK(OFFSET(M$1,,,SUMPRODUCT(MAX(ROW(Q$1:Q791)*(E802=Q$1:Q791))))))</f>
        <v/>
      </c>
      <c r="K802" s="25" t="str">
        <f aca="false">IF(OR(E802="",E802="!!!",F802="NEW"),"",INDEX(V$1:V791,SUMPRODUCT(MAX(ROW(Q$1:Q791)*(E802=Q$1:Q791)))))</f>
        <v/>
      </c>
      <c r="L802" s="26"/>
      <c r="M802" s="27"/>
    </row>
    <row r="803" customFormat="false" ht="15" hidden="false" customHeight="false" outlineLevel="0" collapsed="false">
      <c r="A803" s="19" t="s">
        <v>644</v>
      </c>
      <c r="E803" s="20" t="str">
        <f aca="false">IF(P803="?OLD","!!!","")</f>
        <v/>
      </c>
      <c r="F803" s="21" t="str">
        <f aca="false">IF(OR(E803="",E803="!!!"),"",IF(NOT(ISNA(VLOOKUP(E803,Q$1:Q792,1,FALSE()))),"OLD",IF(AND(E803&lt;&gt;"",E803&lt;&gt;"!!!"),"NEW","")))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4" t="str">
        <f aca="false">IF(OR(E803="",E803="!!!",F803="NEW"),"",INDEX(N$2:N792,-1+SUMPRODUCT(MAX(ROW(E$2:E792)*(E803=E$2:E792)))))</f>
        <v/>
      </c>
      <c r="J803" s="25" t="str">
        <f aca="true">IF(OR(E803="",E803="!!!",F803="NEW"),"",COUNTBLANK(OFFSET(M$1,,,SUMPRODUCT(MAX(ROW(E$2:E793)*(E803=E$2:E793)))))-COUNTBLANK(OFFSET(M$1,,,SUMPRODUCT(MAX(ROW(Q$1:Q792)*(E803=Q$1:Q792))))))</f>
        <v/>
      </c>
      <c r="K803" s="25" t="str">
        <f aca="false">IF(OR(E803="",E803="!!!",F803="NEW"),"",INDEX(V$1:V792,SUMPRODUCT(MAX(ROW(Q$1:Q792)*(E803=Q$1:Q792)))))</f>
        <v/>
      </c>
      <c r="L803" s="26"/>
      <c r="M803" s="27"/>
    </row>
    <row r="804" customFormat="false" ht="15" hidden="false" customHeight="false" outlineLevel="0" collapsed="false">
      <c r="A804" s="19" t="s">
        <v>645</v>
      </c>
      <c r="B804" s="28" t="s">
        <v>258</v>
      </c>
      <c r="C804" s="28" t="s">
        <v>287</v>
      </c>
      <c r="E804" s="20" t="str">
        <f aca="false">IF(P804="?OLD","!!!","")</f>
        <v/>
      </c>
      <c r="F804" s="21" t="str">
        <f aca="false">IF(OR(E804="",E804="!!!"),"",IF(NOT(ISNA(VLOOKUP(E804,Q$1:Q793,1,FALSE()))),"OLD",IF(AND(E804&lt;&gt;"",E804&lt;&gt;"!!!"),"NEW","")))</f>
        <v/>
      </c>
      <c r="G804" s="22" t="str">
        <f aca="false">IF(OR(E804="",E804="!!!"),"",IF(OR(J804=0,AND(J804=1,K804=1),AND(J804=1,I804="SBJ"),AND(J804=1,I804=0)),"?IN_FOCUS",IF(J804&lt;=2,"?ACTIVATED",IF(J804&lt;&gt;"","?FAMILIAR",IF(F804="NEW",IF(ISNA(VLOOKUP(E804,#REF!,1,FALSE())),"?TYPE_IDENTIFIABLE","?REFERENTIAL"),"_")))))</f>
        <v/>
      </c>
      <c r="H804" s="23" t="str">
        <f aca="false">IF(J804&lt;&gt;1,"",IF(I804="SBJ","CB","?"))</f>
        <v/>
      </c>
      <c r="I804" s="24" t="str">
        <f aca="false">IF(OR(E804="",E804="!!!",F804="NEW"),"",INDEX(N$2:N793,-1+SUMPRODUCT(MAX(ROW(E$2:E793)*(E804=E$2:E793)))))</f>
        <v/>
      </c>
      <c r="J804" s="25" t="str">
        <f aca="true">IF(OR(E804="",E804="!!!",F804="NEW"),"",COUNTBLANK(OFFSET(M$1,,,SUMPRODUCT(MAX(ROW(E$2:E794)*(E804=E$2:E794)))))-COUNTBLANK(OFFSET(M$1,,,SUMPRODUCT(MAX(ROW(Q$1:Q793)*(E804=Q$1:Q793))))))</f>
        <v/>
      </c>
      <c r="K804" s="25" t="str">
        <f aca="false">IF(OR(E804="",E804="!!!",F804="NEW"),"",INDEX(V$1:V793,SUMPRODUCT(MAX(ROW(Q$1:Q793)*(E804=Q$1:Q793)))))</f>
        <v/>
      </c>
      <c r="L804" s="26"/>
      <c r="M804" s="27"/>
      <c r="N804" s="29"/>
      <c r="O804" s="29"/>
    </row>
    <row r="805" customFormat="false" ht="15" hidden="false" customHeight="false" outlineLevel="0" collapsed="false">
      <c r="A805" s="19" t="s">
        <v>309</v>
      </c>
      <c r="E805" s="20" t="str">
        <f aca="false">IF(P805="?OLD","!!!","")</f>
        <v/>
      </c>
      <c r="F805" s="21" t="str">
        <f aca="false">IF(OR(E805="",E805="!!!"),"",IF(NOT(ISNA(VLOOKUP(E805,Q$1:Q794,1,FALSE()))),"OLD",IF(AND(E805&lt;&gt;"",E805&lt;&gt;"!!!"),"NEW","")))</f>
        <v/>
      </c>
      <c r="G805" s="22" t="str">
        <f aca="false">IF(OR(E805="",E805="!!!"),"",IF(OR(J805=0,AND(J805=1,K805=1),AND(J805=1,I805="SBJ"),AND(J805=1,I805=0)),"?IN_FOCUS",IF(J805&lt;=2,"?ACTIVATED",IF(J805&lt;&gt;"","?FAMILIAR",IF(F805="NEW",IF(ISNA(VLOOKUP(E805,#REF!,1,FALSE())),"?TYPE_IDENTIFIABLE","?REFERENTIAL"),"_")))))</f>
        <v/>
      </c>
      <c r="H805" s="23" t="str">
        <f aca="false">IF(J805&lt;&gt;1,"",IF(I805="SBJ","CB","?"))</f>
        <v/>
      </c>
      <c r="I805" s="24" t="str">
        <f aca="false">IF(OR(E805="",E805="!!!",F805="NEW"),"",INDEX(N$2:N794,-1+SUMPRODUCT(MAX(ROW(E$2:E794)*(E805=E$2:E794)))))</f>
        <v/>
      </c>
      <c r="J805" s="25" t="str">
        <f aca="true">IF(OR(E805="",E805="!!!",F805="NEW"),"",COUNTBLANK(OFFSET(M$1,,,SUMPRODUCT(MAX(ROW(E$2:E795)*(E805=E$2:E795)))))-COUNTBLANK(OFFSET(M$1,,,SUMPRODUCT(MAX(ROW(Q$1:Q794)*(E805=Q$1:Q794))))))</f>
        <v/>
      </c>
      <c r="K805" s="25" t="str">
        <f aca="false">IF(OR(E805="",E805="!!!",F805="NEW"),"",INDEX(V$1:V794,SUMPRODUCT(MAX(ROW(Q$1:Q794)*(E805=Q$1:Q794)))))</f>
        <v/>
      </c>
      <c r="L805" s="26"/>
      <c r="M805" s="27"/>
    </row>
    <row r="806" customFormat="false" ht="15" hidden="false" customHeight="false" outlineLevel="0" collapsed="false">
      <c r="A806" s="19" t="s">
        <v>552</v>
      </c>
      <c r="B806" s="28" t="s">
        <v>293</v>
      </c>
      <c r="C806" s="28" t="s">
        <v>264</v>
      </c>
      <c r="D806" s="28" t="s">
        <v>253</v>
      </c>
      <c r="E806" s="20" t="s">
        <v>586</v>
      </c>
      <c r="F806" s="21" t="str">
        <f aca="false">IF(OR(E806="",E806="!!!"),"",IF(NOT(ISNA(VLOOKUP(E806,Q$1:Q795,1,FALSE()))),"OLD",IF(AND(E806&lt;&gt;"",E806&lt;&gt;"!!!"),"NEW","")))</f>
        <v>NEW</v>
      </c>
      <c r="G806" s="22" t="s">
        <v>266</v>
      </c>
      <c r="H806" s="23" t="s">
        <v>243</v>
      </c>
      <c r="I806" s="24" t="str">
        <f aca="false">IF(OR(E806="",E806="!!!",F806="NEW"),"",INDEX(N$2:N795,-1+SUMPRODUCT(MAX(ROW(E$2:E795)*(E806=E$2:E795)))))</f>
        <v/>
      </c>
      <c r="J806" s="25" t="str">
        <f aca="true">IF(OR(E806="",E806="!!!",F806="NEW"),"",COUNTBLANK(OFFSET(M$1,,,SUMPRODUCT(MAX(ROW(E$2:E796)*(E806=E$2:E796)))))-COUNTBLANK(OFFSET(M$1,,,SUMPRODUCT(MAX(ROW(Q$1:Q795)*(E806=Q$1:Q795))))))</f>
        <v/>
      </c>
      <c r="K806" s="25" t="str">
        <f aca="false">IF(OR(E806="",E806="!!!",F806="NEW"),"",INDEX(V$1:V795,SUMPRODUCT(MAX(ROW(Q$1:Q795)*(E806=Q$1:Q795)))))</f>
        <v/>
      </c>
      <c r="L806" s="26"/>
      <c r="M806" s="27"/>
      <c r="N806" s="29"/>
      <c r="O806" s="29"/>
      <c r="P806" s="29"/>
    </row>
    <row r="807" customFormat="false" ht="15" hidden="false" customHeight="false" outlineLevel="0" collapsed="false">
      <c r="A807" s="19" t="s">
        <v>482</v>
      </c>
      <c r="B807" s="28" t="s">
        <v>271</v>
      </c>
      <c r="C807" s="28" t="s">
        <v>420</v>
      </c>
      <c r="D807" s="28" t="s">
        <v>253</v>
      </c>
      <c r="E807" s="20"/>
      <c r="F807" s="21" t="s">
        <v>448</v>
      </c>
      <c r="G807" s="22" t="str">
        <f aca="false">IF(OR(E807="",E807="!!!"),"",IF(OR(J807=0,AND(J807=1,K807=1),AND(J807=1,I807="SBJ"),AND(J807=1,I807=0)),"?IN_FOCUS",IF(J807&lt;=2,"?ACTIVATED",IF(J807&lt;&gt;"","?FAMILIAR",IF(F807="NEW",IF(ISNA(VLOOKUP(E807,#REF!,1,FALSE())),"?TYPE_IDENTIFIABLE","?REFERENTIAL"),"_")))))</f>
        <v/>
      </c>
      <c r="H807" s="23" t="str">
        <f aca="false">IF(J807&lt;&gt;1,"",IF(I807="SBJ","CB","?"))</f>
        <v/>
      </c>
      <c r="I807" s="24" t="str">
        <f aca="false">IF(OR(E807="",E807="!!!",F807="NEW"),"",INDEX(N$2:N796,-1+SUMPRODUCT(MAX(ROW(E$2:E796)*(E807=E$2:E796)))))</f>
        <v/>
      </c>
      <c r="J807" s="25" t="str">
        <f aca="true">IF(OR(E807="",E807="!!!",F807="NEW"),"",COUNTBLANK(OFFSET(M$1,,,SUMPRODUCT(MAX(ROW(E$2:E797)*(E807=E$2:E797)))))-COUNTBLANK(OFFSET(M$1,,,SUMPRODUCT(MAX(ROW(Q$1:Q796)*(E807=Q$1:Q796))))))</f>
        <v/>
      </c>
      <c r="K807" s="25" t="str">
        <f aca="false">IF(OR(E807="",E807="!!!",F807="NEW"),"",INDEX(V$1:V796,SUMPRODUCT(MAX(ROW(Q$1:Q796)*(E807=Q$1:Q796)))))</f>
        <v/>
      </c>
      <c r="L807" s="26"/>
      <c r="M807" s="27"/>
      <c r="N807" s="29"/>
      <c r="O807" s="29"/>
      <c r="P807" s="29"/>
    </row>
    <row r="808" customFormat="false" ht="15" hidden="false" customHeight="false" outlineLevel="0" collapsed="false">
      <c r="A808" s="19" t="s">
        <v>256</v>
      </c>
      <c r="E808" s="20" t="str">
        <f aca="false">IF(P808="?OLD","!!!","")</f>
        <v/>
      </c>
      <c r="F808" s="21" t="str">
        <f aca="false">IF(OR(E808="",E808="!!!"),"",IF(NOT(ISNA(VLOOKUP(E808,Q$1:Q797,1,FALSE()))),"OLD",IF(AND(E808&lt;&gt;"",E808&lt;&gt;"!!!"),"NEW","")))</f>
        <v/>
      </c>
      <c r="G808" s="22" t="str">
        <f aca="false">IF(OR(E808="",E808="!!!"),"",IF(OR(J808=0,AND(J808=1,K808=1),AND(J808=1,I808="SBJ"),AND(J808=1,I808=0)),"?IN_FOCUS",IF(J808&lt;=2,"?ACTIVATED",IF(J808&lt;&gt;"","?FAMILIAR",IF(F808="NEW",IF(ISNA(VLOOKUP(E808,#REF!,1,FALSE())),"?TYPE_IDENTIFIABLE","?REFERENTIAL"),"_")))))</f>
        <v/>
      </c>
      <c r="H808" s="23" t="str">
        <f aca="false">IF(J808&lt;&gt;1,"",IF(I808="SBJ","CB","?"))</f>
        <v/>
      </c>
      <c r="I808" s="24" t="str">
        <f aca="false">IF(OR(E808="",E808="!!!",F808="NEW"),"",INDEX(N$2:N797,-1+SUMPRODUCT(MAX(ROW(E$2:E797)*(E808=E$2:E797)))))</f>
        <v/>
      </c>
      <c r="J808" s="25" t="str">
        <f aca="true">IF(OR(E808="",E808="!!!",F808="NEW"),"",COUNTBLANK(OFFSET(M$1,,,SUMPRODUCT(MAX(ROW(E$2:E798)*(E808=E$2:E798)))))-COUNTBLANK(OFFSET(M$1,,,SUMPRODUCT(MAX(ROW(Q$1:Q797)*(E808=Q$1:Q797))))))</f>
        <v/>
      </c>
      <c r="K808" s="25" t="str">
        <f aca="false">IF(OR(E808="",E808="!!!",F808="NEW"),"",INDEX(V$1:V797,SUMPRODUCT(MAX(ROW(Q$1:Q797)*(E808=Q$1:Q797)))))</f>
        <v/>
      </c>
      <c r="L808" s="26"/>
      <c r="M808" s="27"/>
    </row>
    <row r="809" customFormat="false" ht="15" hidden="false" customHeight="false" outlineLevel="0" collapsed="false">
      <c r="A809" s="19" t="s">
        <v>250</v>
      </c>
      <c r="E809" s="20" t="str">
        <f aca="false">IF(P809="?OLD","!!!","")</f>
        <v/>
      </c>
      <c r="F809" s="21" t="str">
        <f aca="false">IF(OR(E809="",E809="!!!"),"",IF(NOT(ISNA(VLOOKUP(E809,Q$1:Q798,1,FALSE()))),"OLD",IF(AND(E809&lt;&gt;"",E809&lt;&gt;"!!!"),"NEW","")))</f>
        <v/>
      </c>
      <c r="G809" s="22" t="str">
        <f aca="false">IF(OR(E809="",E809="!!!"),"",IF(OR(J809=0,AND(J809=1,K809=1),AND(J809=1,I809="SBJ"),AND(J809=1,I809=0)),"?IN_FOCUS",IF(J809&lt;=2,"?ACTIVATED",IF(J809&lt;&gt;"","?FAMILIAR",IF(F809="NEW",IF(ISNA(VLOOKUP(E809,#REF!,1,FALSE())),"?TYPE_IDENTIFIABLE","?REFERENTIAL"),"_")))))</f>
        <v/>
      </c>
      <c r="H809" s="23" t="str">
        <f aca="false">IF(J809&lt;&gt;1,"",IF(I809="SBJ","CB","?"))</f>
        <v/>
      </c>
      <c r="I809" s="24" t="str">
        <f aca="false">IF(OR(E809="",E809="!!!",F809="NEW"),"",INDEX(N$2:N798,-1+SUMPRODUCT(MAX(ROW(E$2:E798)*(E809=E$2:E798)))))</f>
        <v/>
      </c>
      <c r="J809" s="25" t="str">
        <f aca="true">IF(OR(E809="",E809="!!!",F809="NEW"),"",COUNTBLANK(OFFSET(M$1,,,SUMPRODUCT(MAX(ROW(E$2:E799)*(E809=E$2:E799)))))-COUNTBLANK(OFFSET(M$1,,,SUMPRODUCT(MAX(ROW(Q$1:Q798)*(E809=Q$1:Q798))))))</f>
        <v/>
      </c>
      <c r="K809" s="25" t="str">
        <f aca="false">IF(OR(E809="",E809="!!!",F809="NEW"),"",INDEX(V$1:V798,SUMPRODUCT(MAX(ROW(Q$1:Q798)*(E809=Q$1:Q798)))))</f>
        <v/>
      </c>
      <c r="L809" s="26"/>
      <c r="M809" s="27"/>
    </row>
    <row r="810" customFormat="false" ht="15" hidden="false" customHeight="false" outlineLevel="0" collapsed="false">
      <c r="A810" s="19" t="s">
        <v>646</v>
      </c>
      <c r="B810" s="28" t="s">
        <v>306</v>
      </c>
      <c r="C810" s="28" t="s">
        <v>314</v>
      </c>
      <c r="D810" s="28" t="s">
        <v>253</v>
      </c>
      <c r="E810" s="20" t="s">
        <v>647</v>
      </c>
      <c r="F810" s="21" t="str">
        <f aca="false">IF(OR(E810="",E810="!!!"),"",IF(NOT(ISNA(VLOOKUP(E810,Q$1:Q799,1,FALSE()))),"OLD",IF(AND(E810&lt;&gt;"",E810&lt;&gt;"!!!"),"NEW","")))</f>
        <v>NEW</v>
      </c>
      <c r="G810" s="22" t="s">
        <v>255</v>
      </c>
      <c r="H810" s="23" t="str">
        <f aca="false">IF(J810&lt;&gt;1,"",IF(I810="SBJ","CB","?"))</f>
        <v/>
      </c>
      <c r="I810" s="24" t="str">
        <f aca="false">IF(OR(E810="",E810="!!!",F810="NEW"),"",INDEX(N$2:N799,-1+SUMPRODUCT(MAX(ROW(E$2:E799)*(E810=E$2:E799)))))</f>
        <v/>
      </c>
      <c r="J810" s="25" t="str">
        <f aca="true">IF(OR(E810="",E810="!!!",F810="NEW"),"",COUNTBLANK(OFFSET(M$1,,,SUMPRODUCT(MAX(ROW(E$2:E800)*(E810=E$2:E800)))))-COUNTBLANK(OFFSET(M$1,,,SUMPRODUCT(MAX(ROW(Q$1:Q799)*(E810=Q$1:Q799))))))</f>
        <v/>
      </c>
      <c r="K810" s="25" t="str">
        <f aca="false">IF(OR(E810="",E810="!!!",F810="NEW"),"",INDEX(V$1:V799,SUMPRODUCT(MAX(ROW(Q$1:Q799)*(E810=Q$1:Q799)))))</f>
        <v/>
      </c>
      <c r="L810" s="26"/>
      <c r="M810" s="27"/>
      <c r="N810" s="29"/>
      <c r="O810" s="29"/>
      <c r="P810" s="29"/>
    </row>
    <row r="811" customFormat="false" ht="15" hidden="false" customHeight="false" outlineLevel="0" collapsed="false">
      <c r="A811" s="19" t="s">
        <v>256</v>
      </c>
      <c r="E811" s="20" t="str">
        <f aca="false">IF(P811="?OLD","!!!","")</f>
        <v/>
      </c>
      <c r="F811" s="21" t="str">
        <f aca="false">IF(OR(E811="",E811="!!!"),"",IF(NOT(ISNA(VLOOKUP(E811,Q$1:Q800,1,FALSE()))),"OLD",IF(AND(E811&lt;&gt;"",E811&lt;&gt;"!!!"),"NEW","")))</f>
        <v/>
      </c>
      <c r="G811" s="22" t="str">
        <f aca="false">IF(OR(E811="",E811="!!!"),"",IF(OR(J811=0,AND(J811=1,K811=1),AND(J811=1,I811="SBJ"),AND(J811=1,I811=0)),"?IN_FOCUS",IF(J811&lt;=2,"?ACTIVATED",IF(J811&lt;&gt;"","?FAMILIAR",IF(F811="NEW",IF(ISNA(VLOOKUP(E811,#REF!,1,FALSE())),"?TYPE_IDENTIFIABLE","?REFERENTIAL"),"_")))))</f>
        <v/>
      </c>
      <c r="H811" s="23" t="str">
        <f aca="false">IF(J811&lt;&gt;1,"",IF(I811="SBJ","CB","?"))</f>
        <v/>
      </c>
      <c r="I811" s="24" t="str">
        <f aca="false">IF(OR(E811="",E811="!!!",F811="NEW"),"",INDEX(N$2:N800,-1+SUMPRODUCT(MAX(ROW(E$2:E800)*(E811=E$2:E800)))))</f>
        <v/>
      </c>
      <c r="J811" s="25" t="str">
        <f aca="true">IF(OR(E811="",E811="!!!",F811="NEW"),"",COUNTBLANK(OFFSET(M$1,,,SUMPRODUCT(MAX(ROW(E$2:E801)*(E811=E$2:E801)))))-COUNTBLANK(OFFSET(M$1,,,SUMPRODUCT(MAX(ROW(Q$1:Q800)*(E811=Q$1:Q800))))))</f>
        <v/>
      </c>
      <c r="K811" s="25" t="str">
        <f aca="false">IF(OR(E811="",E811="!!!",F811="NEW"),"",INDEX(V$1:V800,SUMPRODUCT(MAX(ROW(Q$1:Q800)*(E811=Q$1:Q800)))))</f>
        <v/>
      </c>
      <c r="L811" s="26"/>
      <c r="M811" s="27"/>
    </row>
    <row r="812" customFormat="false" ht="15" hidden="false" customHeight="false" outlineLevel="0" collapsed="false">
      <c r="A812" s="19" t="s">
        <v>356</v>
      </c>
      <c r="B812" s="28" t="s">
        <v>293</v>
      </c>
      <c r="C812" s="28" t="s">
        <v>358</v>
      </c>
      <c r="D812" s="28" t="s">
        <v>253</v>
      </c>
      <c r="E812" s="20" t="s">
        <v>586</v>
      </c>
      <c r="F812" s="21" t="str">
        <f aca="false">IF(OR(E812="",E812="!!!"),"",IF(NOT(ISNA(VLOOKUP(E812,Q$1:Q801,1,FALSE()))),"OLD",IF(AND(E812&lt;&gt;"",E812&lt;&gt;"!!!"),"NEW","")))</f>
        <v>NEW</v>
      </c>
      <c r="G812" s="22" t="s">
        <v>296</v>
      </c>
      <c r="H812" s="23" t="str">
        <f aca="false">IF(J812&lt;&gt;1,"",IF(I812="SBJ","CB","?"))</f>
        <v/>
      </c>
      <c r="I812" s="24" t="str">
        <f aca="false">IF(OR(E812="",E812="!!!",F812="NEW"),"",INDEX(N$2:N801,-1+SUMPRODUCT(MAX(ROW(E$2:E801)*(E812=E$2:E801)))))</f>
        <v/>
      </c>
      <c r="J812" s="25" t="str">
        <f aca="true">IF(OR(E812="",E812="!!!",F812="NEW"),"",COUNTBLANK(OFFSET(M$1,,,SUMPRODUCT(MAX(ROW(E$2:E802)*(E812=E$2:E802)))))-COUNTBLANK(OFFSET(M$1,,,SUMPRODUCT(MAX(ROW(Q$1:Q801)*(E812=Q$1:Q801))))))</f>
        <v/>
      </c>
      <c r="K812" s="25" t="str">
        <f aca="false">IF(OR(E812="",E812="!!!",F812="NEW"),"",INDEX(V$1:V801,SUMPRODUCT(MAX(ROW(Q$1:Q801)*(E812=Q$1:Q801)))))</f>
        <v/>
      </c>
      <c r="L812" s="26"/>
      <c r="M812" s="27"/>
      <c r="N812" s="29"/>
      <c r="O812" s="29"/>
      <c r="P812" s="29"/>
    </row>
    <row r="813" customFormat="false" ht="15" hidden="false" customHeight="false" outlineLevel="0" collapsed="false">
      <c r="A813" s="19" t="s">
        <v>648</v>
      </c>
      <c r="B813" s="28" t="s">
        <v>258</v>
      </c>
      <c r="C813" s="28" t="s">
        <v>314</v>
      </c>
      <c r="D813" s="28" t="s">
        <v>253</v>
      </c>
      <c r="E813" s="20" t="s">
        <v>649</v>
      </c>
      <c r="F813" s="21" t="str">
        <f aca="false">IF(OR(E813="",E813="!!!"),"",IF(NOT(ISNA(VLOOKUP(E813,Q$1:Q802,1,FALSE()))),"OLD",IF(AND(E813&lt;&gt;"",E813&lt;&gt;"!!!"),"NEW","")))</f>
        <v>NEW</v>
      </c>
      <c r="G813" s="22" t="s">
        <v>255</v>
      </c>
      <c r="H813" s="23" t="str">
        <f aca="false">IF(J813&lt;&gt;1,"",IF(I813="SBJ","CB","?"))</f>
        <v/>
      </c>
      <c r="I813" s="24" t="str">
        <f aca="false">IF(OR(E813="",E813="!!!",F813="NEW"),"",INDEX(N$2:N802,-1+SUMPRODUCT(MAX(ROW(E$2:E802)*(E813=E$2:E802)))))</f>
        <v/>
      </c>
      <c r="J813" s="25" t="str">
        <f aca="true">IF(OR(E813="",E813="!!!",F813="NEW"),"",COUNTBLANK(OFFSET(M$1,,,SUMPRODUCT(MAX(ROW(E$2:E803)*(E813=E$2:E803)))))-COUNTBLANK(OFFSET(M$1,,,SUMPRODUCT(MAX(ROW(Q$1:Q802)*(E813=Q$1:Q802))))))</f>
        <v/>
      </c>
      <c r="K813" s="25" t="str">
        <f aca="false">IF(OR(E813="",E813="!!!",F813="NEW"),"",INDEX(V$1:V802,SUMPRODUCT(MAX(ROW(Q$1:Q802)*(E813=Q$1:Q802)))))</f>
        <v/>
      </c>
      <c r="L813" s="26"/>
      <c r="M813" s="27"/>
      <c r="N813" s="29"/>
      <c r="O813" s="29"/>
      <c r="P813" s="29"/>
    </row>
    <row r="814" customFormat="false" ht="15" hidden="false" customHeight="false" outlineLevel="0" collapsed="false">
      <c r="A814" s="19" t="s">
        <v>261</v>
      </c>
      <c r="E814" s="20" t="str">
        <f aca="false">IF(P814="?OLD","!!!","")</f>
        <v/>
      </c>
      <c r="F814" s="21" t="str">
        <f aca="false">IF(OR(E814="",E814="!!!"),"",IF(NOT(ISNA(VLOOKUP(E814,Q$1:Q803,1,FALSE()))),"OLD",IF(AND(E814&lt;&gt;"",E814&lt;&gt;"!!!"),"NEW","")))</f>
        <v/>
      </c>
      <c r="G814" s="22" t="str">
        <f aca="false">IF(OR(E814="",E814="!!!"),"",IF(OR(J814=0,AND(J814=1,K814=1),AND(J814=1,I814="SBJ"),AND(J814=1,I814=0)),"?IN_FOCUS",IF(J814&lt;=2,"?ACTIVATED",IF(J814&lt;&gt;"","?FAMILIAR",IF(F814="NEW",IF(ISNA(VLOOKUP(E814,#REF!,1,FALSE())),"?TYPE_IDENTIFIABLE","?REFERENTIAL"),"_")))))</f>
        <v/>
      </c>
      <c r="H814" s="23" t="str">
        <f aca="false">IF(J814&lt;&gt;1,"",IF(I814="SBJ","CB","?"))</f>
        <v/>
      </c>
      <c r="I814" s="24" t="str">
        <f aca="false">IF(OR(E814="",E814="!!!",F814="NEW"),"",INDEX(N$2:N803,-1+SUMPRODUCT(MAX(ROW(E$2:E803)*(E814=E$2:E803)))))</f>
        <v/>
      </c>
      <c r="J814" s="25" t="str">
        <f aca="true">IF(OR(E814="",E814="!!!",F814="NEW"),"",COUNTBLANK(OFFSET(M$1,,,SUMPRODUCT(MAX(ROW(E$2:E804)*(E814=E$2:E804)))))-COUNTBLANK(OFFSET(M$1,,,SUMPRODUCT(MAX(ROW(Q$1:Q803)*(E814=Q$1:Q803))))))</f>
        <v/>
      </c>
      <c r="K814" s="25" t="str">
        <f aca="false">IF(OR(E814="",E814="!!!",F814="NEW"),"",INDEX(V$1:V803,SUMPRODUCT(MAX(ROW(Q$1:Q803)*(E814=Q$1:Q803)))))</f>
        <v/>
      </c>
      <c r="L814" s="26"/>
      <c r="M814" s="27"/>
    </row>
    <row r="815" customFormat="false" ht="15" hidden="false" customHeight="false" outlineLevel="0" collapsed="false">
      <c r="A815" s="19" t="s">
        <v>650</v>
      </c>
      <c r="E815" s="20" t="str">
        <f aca="false">IF(P815="?OLD","!!!","")</f>
        <v/>
      </c>
      <c r="F815" s="21" t="str">
        <f aca="false">IF(OR(E815="",E815="!!!"),"",IF(NOT(ISNA(VLOOKUP(E815,Q$1:Q804,1,FALSE()))),"OLD",IF(AND(E815&lt;&gt;"",E815&lt;&gt;"!!!"),"NEW","")))</f>
        <v/>
      </c>
      <c r="G815" s="22" t="str">
        <f aca="false">IF(OR(E815="",E815="!!!"),"",IF(OR(J815=0,AND(J815=1,K815=1),AND(J815=1,I815="SBJ"),AND(J815=1,I815=0)),"?IN_FOCUS",IF(J815&lt;=2,"?ACTIVATED",IF(J815&lt;&gt;"","?FAMILIAR",IF(F815="NEW",IF(ISNA(VLOOKUP(E815,#REF!,1,FALSE())),"?TYPE_IDENTIFIABLE","?REFERENTIAL"),"_")))))</f>
        <v/>
      </c>
      <c r="H815" s="23" t="str">
        <f aca="false">IF(J815&lt;&gt;1,"",IF(I815="SBJ","CB","?"))</f>
        <v/>
      </c>
      <c r="I815" s="24" t="str">
        <f aca="false">IF(OR(E815="",E815="!!!",F815="NEW"),"",INDEX(N$2:N804,-1+SUMPRODUCT(MAX(ROW(E$2:E804)*(E815=E$2:E804)))))</f>
        <v/>
      </c>
      <c r="J815" s="25" t="str">
        <f aca="true">IF(OR(E815="",E815="!!!",F815="NEW"),"",COUNTBLANK(OFFSET(M$1,,,SUMPRODUCT(MAX(ROW(E$2:E805)*(E815=E$2:E805)))))-COUNTBLANK(OFFSET(M$1,,,SUMPRODUCT(MAX(ROW(Q$1:Q804)*(E815=Q$1:Q804))))))</f>
        <v/>
      </c>
      <c r="K815" s="25" t="str">
        <f aca="false">IF(OR(E815="",E815="!!!",F815="NEW"),"",INDEX(V$1:V804,SUMPRODUCT(MAX(ROW(Q$1:Q804)*(E815=Q$1:Q804)))))</f>
        <v/>
      </c>
      <c r="L815" s="26"/>
      <c r="M815" s="27"/>
    </row>
    <row r="816" customFormat="false" ht="15" hidden="false" customHeight="false" outlineLevel="0" collapsed="false">
      <c r="A816" s="19" t="s">
        <v>309</v>
      </c>
      <c r="E816" s="20" t="str">
        <f aca="false">IF(P816="?OLD","!!!","")</f>
        <v/>
      </c>
      <c r="F816" s="21" t="str">
        <f aca="false">IF(OR(E816="",E816="!!!"),"",IF(NOT(ISNA(VLOOKUP(E816,Q$1:Q805,1,FALSE()))),"OLD",IF(AND(E816&lt;&gt;"",E816&lt;&gt;"!!!"),"NEW","")))</f>
        <v/>
      </c>
      <c r="G816" s="22" t="str">
        <f aca="false">IF(OR(E816="",E816="!!!"),"",IF(OR(J816=0,AND(J816=1,K816=1),AND(J816=1,I816="SBJ"),AND(J816=1,I816=0)),"?IN_FOCUS",IF(J816&lt;=2,"?ACTIVATED",IF(J816&lt;&gt;"","?FAMILIAR",IF(F816="NEW",IF(ISNA(VLOOKUP(E816,#REF!,1,FALSE())),"?TYPE_IDENTIFIABLE","?REFERENTIAL"),"_")))))</f>
        <v/>
      </c>
      <c r="H816" s="23" t="str">
        <f aca="false">IF(J816&lt;&gt;1,"",IF(I816="SBJ","CB","?"))</f>
        <v/>
      </c>
      <c r="I816" s="24" t="str">
        <f aca="false">IF(OR(E816="",E816="!!!",F816="NEW"),"",INDEX(N$2:N805,-1+SUMPRODUCT(MAX(ROW(E$2:E805)*(E816=E$2:E805)))))</f>
        <v/>
      </c>
      <c r="J816" s="25" t="str">
        <f aca="true">IF(OR(E816="",E816="!!!",F816="NEW"),"",COUNTBLANK(OFFSET(M$1,,,SUMPRODUCT(MAX(ROW(E$2:E806)*(E816=E$2:E806)))))-COUNTBLANK(OFFSET(M$1,,,SUMPRODUCT(MAX(ROW(Q$1:Q805)*(E816=Q$1:Q805))))))</f>
        <v/>
      </c>
      <c r="K816" s="25" t="str">
        <f aca="false">IF(OR(E816="",E816="!!!",F816="NEW"),"",INDEX(V$1:V805,SUMPRODUCT(MAX(ROW(Q$1:Q805)*(E816=Q$1:Q805)))))</f>
        <v/>
      </c>
      <c r="L816" s="26"/>
      <c r="M816" s="27"/>
    </row>
    <row r="817" customFormat="false" ht="15" hidden="false" customHeight="false" outlineLevel="0" collapsed="false">
      <c r="A817" s="19" t="s">
        <v>250</v>
      </c>
      <c r="E817" s="20" t="str">
        <f aca="false">IF(P817="?OLD","!!!","")</f>
        <v/>
      </c>
      <c r="F817" s="21" t="str">
        <f aca="false">IF(OR(E817="",E817="!!!"),"",IF(NOT(ISNA(VLOOKUP(E817,Q$1:Q806,1,FALSE()))),"OLD",IF(AND(E817&lt;&gt;"",E817&lt;&gt;"!!!"),"NEW","")))</f>
        <v/>
      </c>
      <c r="G817" s="22" t="str">
        <f aca="false">IF(OR(E817="",E817="!!!"),"",IF(OR(J817=0,AND(J817=1,K817=1),AND(J817=1,I817="SBJ"),AND(J817=1,I817=0)),"?IN_FOCUS",IF(J817&lt;=2,"?ACTIVATED",IF(J817&lt;&gt;"","?FAMILIAR",IF(F817="NEW",IF(ISNA(VLOOKUP(E817,#REF!,1,FALSE())),"?TYPE_IDENTIFIABLE","?REFERENTIAL"),"_")))))</f>
        <v/>
      </c>
      <c r="H817" s="23" t="str">
        <f aca="false">IF(J817&lt;&gt;1,"",IF(I817="SBJ","CB","?"))</f>
        <v/>
      </c>
      <c r="I817" s="24" t="str">
        <f aca="false">IF(OR(E817="",E817="!!!",F817="NEW"),"",INDEX(N$2:N806,-1+SUMPRODUCT(MAX(ROW(E$2:E806)*(E817=E$2:E806)))))</f>
        <v/>
      </c>
      <c r="J817" s="25" t="str">
        <f aca="true">IF(OR(E817="",E817="!!!",F817="NEW"),"",COUNTBLANK(OFFSET(M$1,,,SUMPRODUCT(MAX(ROW(E$2:E807)*(E817=E$2:E807)))))-COUNTBLANK(OFFSET(M$1,,,SUMPRODUCT(MAX(ROW(Q$1:Q806)*(E817=Q$1:Q806))))))</f>
        <v/>
      </c>
      <c r="K817" s="25" t="str">
        <f aca="false">IF(OR(E817="",E817="!!!",F817="NEW"),"",INDEX(V$1:V806,SUMPRODUCT(MAX(ROW(Q$1:Q806)*(E817=Q$1:Q806)))))</f>
        <v/>
      </c>
      <c r="L817" s="26"/>
      <c r="M817" s="27"/>
    </row>
    <row r="818" customFormat="false" ht="15" hidden="false" customHeight="false" outlineLevel="0" collapsed="false">
      <c r="A818" s="19" t="s">
        <v>484</v>
      </c>
      <c r="B818" s="28" t="s">
        <v>306</v>
      </c>
      <c r="C818" s="28" t="s">
        <v>252</v>
      </c>
      <c r="D818" s="28" t="s">
        <v>253</v>
      </c>
      <c r="E818" s="20" t="s">
        <v>647</v>
      </c>
      <c r="F818" s="21" t="str">
        <f aca="false">IF(OR(E818="",E818="!!!"),"",IF(NOT(ISNA(VLOOKUP(E818,Q$1:Q807,1,FALSE()))),"OLD",IF(AND(E818&lt;&gt;"",E818&lt;&gt;"!!!"),"NEW","")))</f>
        <v>NEW</v>
      </c>
      <c r="G818" s="22" t="s">
        <v>296</v>
      </c>
      <c r="H818" s="23" t="str">
        <f aca="false">IF(J818&lt;&gt;1,"",IF(I818="SBJ","CB","?"))</f>
        <v/>
      </c>
      <c r="I818" s="24" t="str">
        <f aca="false">IF(OR(E818="",E818="!!!",F818="NEW"),"",INDEX(N$2:N807,-1+SUMPRODUCT(MAX(ROW(E$2:E807)*(E818=E$2:E807)))))</f>
        <v/>
      </c>
      <c r="J818" s="25" t="str">
        <f aca="true">IF(OR(E818="",E818="!!!",F818="NEW"),"",COUNTBLANK(OFFSET(M$1,,,SUMPRODUCT(MAX(ROW(E$2:E808)*(E818=E$2:E808)))))-COUNTBLANK(OFFSET(M$1,,,SUMPRODUCT(MAX(ROW(Q$1:Q807)*(E818=Q$1:Q807))))))</f>
        <v/>
      </c>
      <c r="K818" s="25" t="str">
        <f aca="false">IF(OR(E818="",E818="!!!",F818="NEW"),"",INDEX(V$1:V807,SUMPRODUCT(MAX(ROW(Q$1:Q807)*(E818=Q$1:Q807)))))</f>
        <v/>
      </c>
      <c r="L818" s="26"/>
      <c r="M818" s="27"/>
      <c r="N818" s="29"/>
      <c r="O818" s="29"/>
      <c r="P818" s="29"/>
    </row>
    <row r="819" customFormat="false" ht="15" hidden="false" customHeight="false" outlineLevel="0" collapsed="false">
      <c r="A819" s="19" t="s">
        <v>261</v>
      </c>
      <c r="E819" s="20" t="str">
        <f aca="false">IF(P819="?OLD","!!!","")</f>
        <v/>
      </c>
      <c r="F819" s="21" t="str">
        <f aca="false">IF(OR(E819="",E819="!!!"),"",IF(NOT(ISNA(VLOOKUP(E819,Q$1:Q808,1,FALSE()))),"OLD",IF(AND(E819&lt;&gt;"",E819&lt;&gt;"!!!"),"NEW","")))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4" t="str">
        <f aca="false">IF(OR(E819="",E819="!!!",F819="NEW"),"",INDEX(N$2:N808,-1+SUMPRODUCT(MAX(ROW(E$2:E808)*(E819=E$2:E808)))))</f>
        <v/>
      </c>
      <c r="J819" s="25" t="str">
        <f aca="true">IF(OR(E819="",E819="!!!",F819="NEW"),"",COUNTBLANK(OFFSET(M$1,,,SUMPRODUCT(MAX(ROW(E$2:E809)*(E819=E$2:E809)))))-COUNTBLANK(OFFSET(M$1,,,SUMPRODUCT(MAX(ROW(Q$1:Q808)*(E819=Q$1:Q808))))))</f>
        <v/>
      </c>
      <c r="K819" s="25" t="str">
        <f aca="false">IF(OR(E819="",E819="!!!",F819="NEW"),"",INDEX(V$1:V808,SUMPRODUCT(MAX(ROW(Q$1:Q808)*(E819=Q$1:Q808)))))</f>
        <v/>
      </c>
      <c r="L819" s="26"/>
      <c r="M819" s="27"/>
    </row>
    <row r="820" customFormat="false" ht="15" hidden="false" customHeight="false" outlineLevel="0" collapsed="false">
      <c r="A820" s="19" t="s">
        <v>581</v>
      </c>
      <c r="B820" s="28" t="s">
        <v>251</v>
      </c>
      <c r="C820" s="28" t="s">
        <v>264</v>
      </c>
      <c r="D820" s="28" t="s">
        <v>253</v>
      </c>
      <c r="E820" s="20" t="s">
        <v>586</v>
      </c>
      <c r="F820" s="21" t="str">
        <f aca="false">IF(OR(E820="",E820="!!!"),"",IF(NOT(ISNA(VLOOKUP(E820,Q$1:Q809,1,FALSE()))),"OLD",IF(AND(E820&lt;&gt;"",E820&lt;&gt;"!!!"),"NEW","")))</f>
        <v>NEW</v>
      </c>
      <c r="G820" s="22" t="s">
        <v>296</v>
      </c>
      <c r="H820" s="23" t="str">
        <f aca="false">IF(J820&lt;&gt;1,"",IF(I820="SBJ","CB","?"))</f>
        <v/>
      </c>
      <c r="I820" s="24" t="str">
        <f aca="false">IF(OR(E820="",E820="!!!",F820="NEW"),"",INDEX(N$2:N809,-1+SUMPRODUCT(MAX(ROW(E$2:E809)*(E820=E$2:E809)))))</f>
        <v/>
      </c>
      <c r="J820" s="25" t="str">
        <f aca="true">IF(OR(E820="",E820="!!!",F820="NEW"),"",COUNTBLANK(OFFSET(M$1,,,SUMPRODUCT(MAX(ROW(E$2:E810)*(E820=E$2:E810)))))-COUNTBLANK(OFFSET(M$1,,,SUMPRODUCT(MAX(ROW(Q$1:Q809)*(E820=Q$1:Q809))))))</f>
        <v/>
      </c>
      <c r="K820" s="25" t="str">
        <f aca="false">IF(OR(E820="",E820="!!!",F820="NEW"),"",INDEX(V$1:V809,SUMPRODUCT(MAX(ROW(Q$1:Q809)*(E820=Q$1:Q809)))))</f>
        <v/>
      </c>
      <c r="L820" s="26"/>
      <c r="M820" s="27"/>
      <c r="N820" s="29"/>
      <c r="O820" s="29"/>
      <c r="P820" s="29"/>
    </row>
    <row r="821" customFormat="false" ht="15" hidden="false" customHeight="false" outlineLevel="0" collapsed="false">
      <c r="A821" s="19" t="s">
        <v>651</v>
      </c>
      <c r="E821" s="20" t="str">
        <f aca="false">IF(P821="?OLD","!!!","")</f>
        <v/>
      </c>
      <c r="F821" s="21" t="str">
        <f aca="false">IF(OR(E821="",E821="!!!"),"",IF(NOT(ISNA(VLOOKUP(E821,Q$1:Q810,1,FALSE()))),"OLD",IF(AND(E821&lt;&gt;"",E821&lt;&gt;"!!!"),"NEW","")))</f>
        <v/>
      </c>
      <c r="G821" s="22" t="str">
        <f aca="false">IF(OR(E821="",E821="!!!"),"",IF(OR(J821=0,AND(J821=1,K821=1),AND(J821=1,I821="SBJ"),AND(J821=1,I821=0)),"?IN_FOCUS",IF(J821&lt;=2,"?ACTIVATED",IF(J821&lt;&gt;"","?FAMILIAR",IF(F821="NEW",IF(ISNA(VLOOKUP(E821,#REF!,1,FALSE())),"?TYPE_IDENTIFIABLE","?REFERENTIAL"),"_")))))</f>
        <v/>
      </c>
      <c r="H821" s="23" t="str">
        <f aca="false">IF(J821&lt;&gt;1,"",IF(I821="SBJ","CB","?"))</f>
        <v/>
      </c>
      <c r="I821" s="24" t="str">
        <f aca="false">IF(OR(E821="",E821="!!!",F821="NEW"),"",INDEX(N$2:N810,-1+SUMPRODUCT(MAX(ROW(E$2:E810)*(E821=E$2:E810)))))</f>
        <v/>
      </c>
      <c r="J821" s="25" t="str">
        <f aca="true">IF(OR(E821="",E821="!!!",F821="NEW"),"",COUNTBLANK(OFFSET(M$1,,,SUMPRODUCT(MAX(ROW(E$2:E811)*(E821=E$2:E811)))))-COUNTBLANK(OFFSET(M$1,,,SUMPRODUCT(MAX(ROW(Q$1:Q810)*(E821=Q$1:Q810))))))</f>
        <v/>
      </c>
      <c r="K821" s="25" t="str">
        <f aca="false">IF(OR(E821="",E821="!!!",F821="NEW"),"",INDEX(V$1:V810,SUMPRODUCT(MAX(ROW(Q$1:Q810)*(E821=Q$1:Q810)))))</f>
        <v/>
      </c>
      <c r="L821" s="26"/>
      <c r="M821" s="27"/>
    </row>
    <row r="822" customFormat="false" ht="15" hidden="false" customHeight="false" outlineLevel="0" collapsed="false">
      <c r="A822" s="19" t="s">
        <v>124</v>
      </c>
      <c r="E822" s="20" t="str">
        <f aca="false">IF(P822="?OLD","!!!","")</f>
        <v/>
      </c>
      <c r="F822" s="21" t="str">
        <f aca="false">IF(OR(E822="",E822="!!!"),"",IF(NOT(ISNA(VLOOKUP(E822,Q$1:Q811,1,FALSE()))),"OLD",IF(AND(E822&lt;&gt;"",E822&lt;&gt;"!!!"),"NEW","")))</f>
        <v/>
      </c>
      <c r="G822" s="22" t="str">
        <f aca="false">IF(OR(E822="",E822="!!!"),"",IF(OR(J822=0,AND(J822=1,K822=1),AND(J822=1,I822="SBJ"),AND(J822=1,I822=0)),"?IN_FOCUS",IF(J822&lt;=2,"?ACTIVATED",IF(J822&lt;&gt;"","?FAMILIAR",IF(F822="NEW",IF(ISNA(VLOOKUP(E822,#REF!,1,FALSE())),"?TYPE_IDENTIFIABLE","?REFERENTIAL"),"_")))))</f>
        <v/>
      </c>
      <c r="H822" s="23" t="str">
        <f aca="false">IF(J822&lt;&gt;1,"",IF(I822="SBJ","CB","?"))</f>
        <v/>
      </c>
      <c r="I822" s="24" t="str">
        <f aca="false">IF(OR(E822="",E822="!!!",F822="NEW"),"",INDEX(N$2:N811,-1+SUMPRODUCT(MAX(ROW(E$2:E811)*(E822=E$2:E811)))))</f>
        <v/>
      </c>
      <c r="J822" s="25" t="str">
        <f aca="true">IF(OR(E822="",E822="!!!",F822="NEW"),"",COUNTBLANK(OFFSET(M$1,,,SUMPRODUCT(MAX(ROW(E$2:E812)*(E822=E$2:E812)))))-COUNTBLANK(OFFSET(M$1,,,SUMPRODUCT(MAX(ROW(Q$1:Q811)*(E822=Q$1:Q811))))))</f>
        <v/>
      </c>
      <c r="K822" s="25" t="str">
        <f aca="false">IF(OR(E822="",E822="!!!",F822="NEW"),"",INDEX(V$1:V811,SUMPRODUCT(MAX(ROW(Q$1:Q811)*(E822=Q$1:Q811)))))</f>
        <v/>
      </c>
      <c r="L822" s="26"/>
      <c r="M822" s="27"/>
    </row>
    <row r="823" customFormat="false" ht="15" hidden="false" customHeight="false" outlineLevel="0" collapsed="false">
      <c r="A823" s="19" t="s">
        <v>432</v>
      </c>
      <c r="E823" s="20" t="str">
        <f aca="false">IF(P823="?OLD","!!!","")</f>
        <v/>
      </c>
      <c r="F823" s="21" t="str">
        <f aca="false">IF(OR(E823="",E823="!!!"),"",IF(NOT(ISNA(VLOOKUP(E823,Q$1:Q812,1,FALSE()))),"OLD",IF(AND(E823&lt;&gt;"",E823&lt;&gt;"!!!"),"NEW","")))</f>
        <v/>
      </c>
      <c r="G823" s="22" t="str">
        <f aca="false">IF(OR(E823="",E823="!!!"),"",IF(OR(J823=0,AND(J823=1,K823=1),AND(J823=1,I823="SBJ"),AND(J823=1,I823=0)),"?IN_FOCUS",IF(J823&lt;=2,"?ACTIVATED",IF(J823&lt;&gt;"","?FAMILIAR",IF(F823="NEW",IF(ISNA(VLOOKUP(E823,#REF!,1,FALSE())),"?TYPE_IDENTIFIABLE","?REFERENTIAL"),"_")))))</f>
        <v/>
      </c>
      <c r="H823" s="23" t="str">
        <f aca="false">IF(J823&lt;&gt;1,"",IF(I823="SBJ","CB","?"))</f>
        <v/>
      </c>
      <c r="I823" s="24" t="str">
        <f aca="false">IF(OR(E823="",E823="!!!",F823="NEW"),"",INDEX(N$2:N812,-1+SUMPRODUCT(MAX(ROW(E$2:E812)*(E823=E$2:E812)))))</f>
        <v/>
      </c>
      <c r="J823" s="25" t="str">
        <f aca="true">IF(OR(E823="",E823="!!!",F823="NEW"),"",COUNTBLANK(OFFSET(M$1,,,SUMPRODUCT(MAX(ROW(E$2:E813)*(E823=E$2:E813)))))-COUNTBLANK(OFFSET(M$1,,,SUMPRODUCT(MAX(ROW(Q$1:Q812)*(E823=Q$1:Q812))))))</f>
        <v/>
      </c>
      <c r="K823" s="25" t="str">
        <f aca="false">IF(OR(E823="",E823="!!!",F823="NEW"),"",INDEX(V$1:V812,SUMPRODUCT(MAX(ROW(Q$1:Q812)*(E823=Q$1:Q812)))))</f>
        <v/>
      </c>
      <c r="L823" s="26"/>
      <c r="M823" s="27"/>
    </row>
    <row r="824" customFormat="false" ht="15" hidden="false" customHeight="false" outlineLevel="0" collapsed="false">
      <c r="A824" s="19" t="s">
        <v>250</v>
      </c>
      <c r="E824" s="20" t="str">
        <f aca="false">IF(P824="?OLD","!!!","")</f>
        <v/>
      </c>
      <c r="F824" s="21" t="str">
        <f aca="false">IF(OR(E824="",E824="!!!"),"",IF(NOT(ISNA(VLOOKUP(E824,Q$1:Q813,1,FALSE()))),"OLD",IF(AND(E824&lt;&gt;"",E824&lt;&gt;"!!!"),"NEW","")))</f>
        <v/>
      </c>
      <c r="G824" s="22" t="str">
        <f aca="false">IF(OR(E824="",E824="!!!"),"",IF(OR(J824=0,AND(J824=1,K824=1),AND(J824=1,I824="SBJ"),AND(J824=1,I824=0)),"?IN_FOCUS",IF(J824&lt;=2,"?ACTIVATED",IF(J824&lt;&gt;"","?FAMILIAR",IF(F824="NEW",IF(ISNA(VLOOKUP(E824,#REF!,1,FALSE())),"?TYPE_IDENTIFIABLE","?REFERENTIAL"),"_")))))</f>
        <v/>
      </c>
      <c r="H824" s="23" t="str">
        <f aca="false">IF(J824&lt;&gt;1,"",IF(I824="SBJ","CB","?"))</f>
        <v/>
      </c>
      <c r="I824" s="24" t="str">
        <f aca="false">IF(OR(E824="",E824="!!!",F824="NEW"),"",INDEX(N$2:N813,-1+SUMPRODUCT(MAX(ROW(E$2:E813)*(E824=E$2:E813)))))</f>
        <v/>
      </c>
      <c r="J824" s="25" t="str">
        <f aca="true">IF(OR(E824="",E824="!!!",F824="NEW"),"",COUNTBLANK(OFFSET(M$1,,,SUMPRODUCT(MAX(ROW(E$2:E814)*(E824=E$2:E814)))))-COUNTBLANK(OFFSET(M$1,,,SUMPRODUCT(MAX(ROW(Q$1:Q813)*(E824=Q$1:Q813))))))</f>
        <v/>
      </c>
      <c r="K824" s="25" t="str">
        <f aca="false">IF(OR(E824="",E824="!!!",F824="NEW"),"",INDEX(V$1:V813,SUMPRODUCT(MAX(ROW(Q$1:Q813)*(E824=Q$1:Q813)))))</f>
        <v/>
      </c>
      <c r="L824" s="26"/>
      <c r="M824" s="27"/>
    </row>
    <row r="825" customFormat="false" ht="15" hidden="false" customHeight="false" outlineLevel="0" collapsed="false">
      <c r="A825" s="19" t="s">
        <v>652</v>
      </c>
      <c r="B825" s="28" t="s">
        <v>286</v>
      </c>
      <c r="C825" s="28" t="s">
        <v>333</v>
      </c>
      <c r="D825" s="28" t="s">
        <v>253</v>
      </c>
      <c r="E825" s="20" t="s">
        <v>546</v>
      </c>
      <c r="F825" s="21" t="str">
        <f aca="false">IF(OR(E825="",E825="!!!"),"",IF(NOT(ISNA(VLOOKUP(E825,Q$1:Q814,1,FALSE()))),"OLD",IF(AND(E825&lt;&gt;"",E825&lt;&gt;"!!!"),"NEW","")))</f>
        <v>NEW</v>
      </c>
      <c r="G825" s="22" t="s">
        <v>283</v>
      </c>
      <c r="H825" s="23" t="str">
        <f aca="false">IF(J825&lt;&gt;1,"",IF(I825="SBJ","CB","?"))</f>
        <v/>
      </c>
      <c r="I825" s="24" t="str">
        <f aca="false">IF(OR(E825="",E825="!!!",F825="NEW"),"",INDEX(N$2:N814,-1+SUMPRODUCT(MAX(ROW(E$2:E814)*(E825=E$2:E814)))))</f>
        <v/>
      </c>
      <c r="J825" s="25" t="str">
        <f aca="true">IF(OR(E825="",E825="!!!",F825="NEW"),"",COUNTBLANK(OFFSET(M$1,,,SUMPRODUCT(MAX(ROW(E$2:E815)*(E825=E$2:E815)))))-COUNTBLANK(OFFSET(M$1,,,SUMPRODUCT(MAX(ROW(Q$1:Q814)*(E825=Q$1:Q814))))))</f>
        <v/>
      </c>
      <c r="K825" s="25" t="str">
        <f aca="false">IF(OR(E825="",E825="!!!",F825="NEW"),"",INDEX(V$1:V814,SUMPRODUCT(MAX(ROW(Q$1:Q814)*(E825=Q$1:Q814)))))</f>
        <v/>
      </c>
      <c r="L825" s="26"/>
      <c r="M825" s="27"/>
      <c r="N825" s="29"/>
      <c r="O825" s="29"/>
      <c r="P825" s="29"/>
    </row>
    <row r="826" customFormat="false" ht="15" hidden="false" customHeight="false" outlineLevel="0" collapsed="false">
      <c r="A826" s="19" t="s">
        <v>309</v>
      </c>
      <c r="E826" s="20" t="str">
        <f aca="false">IF(P826="?OLD","!!!","")</f>
        <v/>
      </c>
      <c r="F826" s="21" t="str">
        <f aca="false">IF(OR(E826="",E826="!!!"),"",IF(NOT(ISNA(VLOOKUP(E826,Q$1:Q815,1,FALSE()))),"OLD",IF(AND(E826&lt;&gt;"",E826&lt;&gt;"!!!"),"NEW","")))</f>
        <v/>
      </c>
      <c r="G826" s="22" t="str">
        <f aca="false">IF(OR(E826="",E826="!!!"),"",IF(OR(J826=0,AND(J826=1,K826=1),AND(J826=1,I826="SBJ"),AND(J826=1,I826=0)),"?IN_FOCUS",IF(J826&lt;=2,"?ACTIVATED",IF(J826&lt;&gt;"","?FAMILIAR",IF(F826="NEW",IF(ISNA(VLOOKUP(E826,#REF!,1,FALSE())),"?TYPE_IDENTIFIABLE","?REFERENTIAL"),"_")))))</f>
        <v/>
      </c>
      <c r="H826" s="23" t="str">
        <f aca="false">IF(J826&lt;&gt;1,"",IF(I826="SBJ","CB","?"))</f>
        <v/>
      </c>
      <c r="I826" s="24" t="str">
        <f aca="false">IF(OR(E826="",E826="!!!",F826="NEW"),"",INDEX(N$2:N815,-1+SUMPRODUCT(MAX(ROW(E$2:E815)*(E826=E$2:E815)))))</f>
        <v/>
      </c>
      <c r="J826" s="25" t="str">
        <f aca="true">IF(OR(E826="",E826="!!!",F826="NEW"),"",COUNTBLANK(OFFSET(M$1,,,SUMPRODUCT(MAX(ROW(E$2:E816)*(E826=E$2:E816)))))-COUNTBLANK(OFFSET(M$1,,,SUMPRODUCT(MAX(ROW(Q$1:Q815)*(E826=Q$1:Q815))))))</f>
        <v/>
      </c>
      <c r="K826" s="25" t="str">
        <f aca="false">IF(OR(E826="",E826="!!!",F826="NEW"),"",INDEX(V$1:V815,SUMPRODUCT(MAX(ROW(Q$1:Q815)*(E826=Q$1:Q815)))))</f>
        <v/>
      </c>
      <c r="L826" s="26"/>
      <c r="M826" s="27"/>
    </row>
    <row r="827" customFormat="false" ht="15" hidden="false" customHeight="false" outlineLevel="0" collapsed="false">
      <c r="A827" s="19" t="s">
        <v>653</v>
      </c>
      <c r="E827" s="20" t="str">
        <f aca="false">IF(P827="?OLD","!!!","")</f>
        <v/>
      </c>
      <c r="F827" s="21" t="str">
        <f aca="false">IF(OR(E827="",E827="!!!"),"",IF(NOT(ISNA(VLOOKUP(E827,Q$1:Q816,1,FALSE()))),"OLD",IF(AND(E827&lt;&gt;"",E827&lt;&gt;"!!!"),"NEW","")))</f>
        <v/>
      </c>
      <c r="G827" s="22" t="str">
        <f aca="false">IF(OR(E827="",E827="!!!"),"",IF(OR(J827=0,AND(J827=1,K827=1),AND(J827=1,I827="SBJ"),AND(J827=1,I827=0)),"?IN_FOCUS",IF(J827&lt;=2,"?ACTIVATED",IF(J827&lt;&gt;"","?FAMILIAR",IF(F827="NEW",IF(ISNA(VLOOKUP(E827,#REF!,1,FALSE())),"?TYPE_IDENTIFIABLE","?REFERENTIAL"),"_")))))</f>
        <v/>
      </c>
      <c r="H827" s="23" t="str">
        <f aca="false">IF(J827&lt;&gt;1,"",IF(I827="SBJ","CB","?"))</f>
        <v/>
      </c>
      <c r="I827" s="24" t="str">
        <f aca="false">IF(OR(E827="",E827="!!!",F827="NEW"),"",INDEX(N$2:N816,-1+SUMPRODUCT(MAX(ROW(E$2:E816)*(E827=E$2:E816)))))</f>
        <v/>
      </c>
      <c r="J827" s="25" t="str">
        <f aca="true">IF(OR(E827="",E827="!!!",F827="NEW"),"",COUNTBLANK(OFFSET(M$1,,,SUMPRODUCT(MAX(ROW(E$2:E817)*(E827=E$2:E817)))))-COUNTBLANK(OFFSET(M$1,,,SUMPRODUCT(MAX(ROW(Q$1:Q816)*(E827=Q$1:Q816))))))</f>
        <v/>
      </c>
      <c r="K827" s="25" t="str">
        <f aca="false">IF(OR(E827="",E827="!!!",F827="NEW"),"",INDEX(V$1:V816,SUMPRODUCT(MAX(ROW(Q$1:Q816)*(E827=Q$1:Q816)))))</f>
        <v/>
      </c>
      <c r="L827" s="26"/>
      <c r="M827" s="27"/>
    </row>
    <row r="828" customFormat="false" ht="15" hidden="false" customHeight="false" outlineLevel="0" collapsed="false">
      <c r="A828" s="19" t="s">
        <v>312</v>
      </c>
      <c r="E828" s="20" t="str">
        <f aca="false">IF(P828="?OLD","!!!","")</f>
        <v/>
      </c>
      <c r="F828" s="21" t="str">
        <f aca="false">IF(OR(E828="",E828="!!!"),"",IF(NOT(ISNA(VLOOKUP(E828,Q$1:Q817,1,FALSE()))),"OLD",IF(AND(E828&lt;&gt;"",E828&lt;&gt;"!!!"),"NEW","")))</f>
        <v/>
      </c>
      <c r="G828" s="22" t="str">
        <f aca="false">IF(OR(E828="",E828="!!!"),"",IF(OR(J828=0,AND(J828=1,K828=1),AND(J828=1,I828="SBJ"),AND(J828=1,I828=0)),"?IN_FOCUS",IF(J828&lt;=2,"?ACTIVATED",IF(J828&lt;&gt;"","?FAMILIAR",IF(F828="NEW",IF(ISNA(VLOOKUP(E828,#REF!,1,FALSE())),"?TYPE_IDENTIFIABLE","?REFERENTIAL"),"_")))))</f>
        <v/>
      </c>
      <c r="H828" s="23" t="str">
        <f aca="false">IF(J828&lt;&gt;1,"",IF(I828="SBJ","CB","?"))</f>
        <v/>
      </c>
      <c r="I828" s="24" t="str">
        <f aca="false">IF(OR(E828="",E828="!!!",F828="NEW"),"",INDEX(N$2:N817,-1+SUMPRODUCT(MAX(ROW(E$2:E817)*(E828=E$2:E817)))))</f>
        <v/>
      </c>
      <c r="J828" s="25" t="str">
        <f aca="true">IF(OR(E828="",E828="!!!",F828="NEW"),"",COUNTBLANK(OFFSET(M$1,,,SUMPRODUCT(MAX(ROW(E$2:E818)*(E828=E$2:E818)))))-COUNTBLANK(OFFSET(M$1,,,SUMPRODUCT(MAX(ROW(Q$1:Q817)*(E828=Q$1:Q817))))))</f>
        <v/>
      </c>
      <c r="K828" s="25" t="str">
        <f aca="false">IF(OR(E828="",E828="!!!",F828="NEW"),"",INDEX(V$1:V817,SUMPRODUCT(MAX(ROW(Q$1:Q817)*(E828=Q$1:Q817)))))</f>
        <v/>
      </c>
      <c r="L828" s="26"/>
      <c r="M828" s="27"/>
    </row>
    <row r="829" customFormat="false" ht="15" hidden="false" customHeight="false" outlineLevel="0" collapsed="false">
      <c r="A829" s="19" t="s">
        <v>356</v>
      </c>
      <c r="B829" s="28" t="s">
        <v>357</v>
      </c>
      <c r="C829" s="28" t="s">
        <v>358</v>
      </c>
      <c r="D829" s="28" t="s">
        <v>253</v>
      </c>
      <c r="E829" s="20" t="s">
        <v>546</v>
      </c>
      <c r="F829" s="21" t="str">
        <f aca="false">IF(OR(E829="",E829="!!!"),"",IF(NOT(ISNA(VLOOKUP(E829,Q$1:Q818,1,FALSE()))),"OLD",IF(AND(E829&lt;&gt;"",E829&lt;&gt;"!!!"),"NEW","")))</f>
        <v>NEW</v>
      </c>
      <c r="G829" s="22" t="s">
        <v>296</v>
      </c>
      <c r="H829" s="23" t="str">
        <f aca="false">IF(J829&lt;&gt;1,"",IF(I829="SBJ","CB","?"))</f>
        <v/>
      </c>
      <c r="I829" s="24" t="str">
        <f aca="false">IF(OR(E829="",E829="!!!",F829="NEW"),"",INDEX(N$2:N818,-1+SUMPRODUCT(MAX(ROW(E$2:E818)*(E829=E$2:E818)))))</f>
        <v/>
      </c>
      <c r="J829" s="25" t="str">
        <f aca="true">IF(OR(E829="",E829="!!!",F829="NEW"),"",COUNTBLANK(OFFSET(M$1,,,SUMPRODUCT(MAX(ROW(E$2:E819)*(E829=E$2:E819)))))-COUNTBLANK(OFFSET(M$1,,,SUMPRODUCT(MAX(ROW(Q$1:Q818)*(E829=Q$1:Q818))))))</f>
        <v/>
      </c>
      <c r="K829" s="25" t="str">
        <f aca="false">IF(OR(E829="",E829="!!!",F829="NEW"),"",INDEX(V$1:V818,SUMPRODUCT(MAX(ROW(Q$1:Q818)*(E829=Q$1:Q818)))))</f>
        <v/>
      </c>
      <c r="L829" s="26"/>
      <c r="M829" s="27"/>
      <c r="N829" s="29"/>
      <c r="O829" s="29"/>
      <c r="P829" s="29"/>
    </row>
    <row r="830" customFormat="false" ht="15" hidden="false" customHeight="false" outlineLevel="0" collapsed="false">
      <c r="A830" s="19" t="s">
        <v>654</v>
      </c>
      <c r="B830" s="28" t="s">
        <v>293</v>
      </c>
      <c r="C830" s="28" t="s">
        <v>314</v>
      </c>
      <c r="D830" s="28" t="s">
        <v>253</v>
      </c>
      <c r="E830" s="20" t="s">
        <v>655</v>
      </c>
      <c r="F830" s="21" t="str">
        <f aca="false">IF(OR(E830="",E830="!!!"),"",IF(NOT(ISNA(VLOOKUP(E830,Q$1:Q819,1,FALSE()))),"OLD",IF(AND(E830&lt;&gt;"",E830&lt;&gt;"!!!"),"NEW","")))</f>
        <v>NEW</v>
      </c>
      <c r="G830" s="22" t="s">
        <v>255</v>
      </c>
      <c r="H830" s="23" t="str">
        <f aca="false">IF(J830&lt;&gt;1,"",IF(I830="SBJ","CB","?"))</f>
        <v/>
      </c>
      <c r="I830" s="24" t="str">
        <f aca="false">IF(OR(E830="",E830="!!!",F830="NEW"),"",INDEX(N$2:N819,-1+SUMPRODUCT(MAX(ROW(E$2:E819)*(E830=E$2:E819)))))</f>
        <v/>
      </c>
      <c r="J830" s="25" t="str">
        <f aca="true">IF(OR(E830="",E830="!!!",F830="NEW"),"",COUNTBLANK(OFFSET(M$1,,,SUMPRODUCT(MAX(ROW(E$2:E820)*(E830=E$2:E820)))))-COUNTBLANK(OFFSET(M$1,,,SUMPRODUCT(MAX(ROW(Q$1:Q819)*(E830=Q$1:Q819))))))</f>
        <v/>
      </c>
      <c r="K830" s="25" t="str">
        <f aca="false">IF(OR(E830="",E830="!!!",F830="NEW"),"",INDEX(V$1:V819,SUMPRODUCT(MAX(ROW(Q$1:Q819)*(E830=Q$1:Q819)))))</f>
        <v/>
      </c>
      <c r="L830" s="26"/>
      <c r="M830" s="27"/>
      <c r="N830" s="29"/>
      <c r="O830" s="29"/>
      <c r="P830" s="29"/>
    </row>
    <row r="831" customFormat="false" ht="15" hidden="false" customHeight="false" outlineLevel="0" collapsed="false">
      <c r="A831" s="19" t="s">
        <v>261</v>
      </c>
      <c r="E831" s="20" t="str">
        <f aca="false">IF(P831="?OLD","!!!","")</f>
        <v/>
      </c>
      <c r="F831" s="21" t="str">
        <f aca="false">IF(OR(E831="",E831="!!!"),"",IF(NOT(ISNA(VLOOKUP(E831,Q$1:Q820,1,FALSE()))),"OLD",IF(AND(E831&lt;&gt;"",E831&lt;&gt;"!!!"),"NEW","")))</f>
        <v/>
      </c>
      <c r="G831" s="22" t="str">
        <f aca="false">IF(OR(E831="",E831="!!!"),"",IF(OR(J831=0,AND(J831=1,K831=1),AND(J831=1,I831="SBJ"),AND(J831=1,I831=0)),"?IN_FOCUS",IF(J831&lt;=2,"?ACTIVATED",IF(J831&lt;&gt;"","?FAMILIAR",IF(F831="NEW",IF(ISNA(VLOOKUP(E831,#REF!,1,FALSE())),"?TYPE_IDENTIFIABLE","?REFERENTIAL"),"_")))))</f>
        <v/>
      </c>
      <c r="H831" s="23" t="str">
        <f aca="false">IF(J831&lt;&gt;1,"",IF(I831="SBJ","CB","?"))</f>
        <v/>
      </c>
      <c r="I831" s="24" t="str">
        <f aca="false">IF(OR(E831="",E831="!!!",F831="NEW"),"",INDEX(N$2:N820,-1+SUMPRODUCT(MAX(ROW(E$2:E820)*(E831=E$2:E820)))))</f>
        <v/>
      </c>
      <c r="J831" s="25" t="str">
        <f aca="true">IF(OR(E831="",E831="!!!",F831="NEW"),"",COUNTBLANK(OFFSET(M$1,,,SUMPRODUCT(MAX(ROW(E$2:E821)*(E831=E$2:E821)))))-COUNTBLANK(OFFSET(M$1,,,SUMPRODUCT(MAX(ROW(Q$1:Q820)*(E831=Q$1:Q820))))))</f>
        <v/>
      </c>
      <c r="K831" s="25" t="str">
        <f aca="false">IF(OR(E831="",E831="!!!",F831="NEW"),"",INDEX(V$1:V820,SUMPRODUCT(MAX(ROW(Q$1:Q820)*(E831=Q$1:Q820)))))</f>
        <v/>
      </c>
      <c r="L831" s="26"/>
      <c r="M831" s="27"/>
    </row>
    <row r="832" customFormat="false" ht="15" hidden="false" customHeight="false" outlineLevel="0" collapsed="false">
      <c r="A832" s="19"/>
    </row>
    <row r="833" customFormat="false" ht="15" hidden="false" customHeight="false" outlineLevel="0" collapsed="false">
      <c r="A833" s="19" t="s">
        <v>656</v>
      </c>
    </row>
    <row r="834" customFormat="false" ht="15" hidden="false" customHeight="false" outlineLevel="0" collapsed="false">
      <c r="A834" s="19" t="s">
        <v>581</v>
      </c>
      <c r="B834" s="28" t="s">
        <v>251</v>
      </c>
      <c r="C834" s="28" t="s">
        <v>264</v>
      </c>
      <c r="D834" s="28" t="s">
        <v>253</v>
      </c>
      <c r="E834" s="20" t="s">
        <v>586</v>
      </c>
      <c r="F834" s="21" t="str">
        <f aca="false">IF(OR(E834="",E834="!!!"),"",IF(NOT(ISNA(VLOOKUP(E834,Q$1:Q821,1,FALSE()))),"OLD",IF(AND(E834&lt;&gt;"",E834&lt;&gt;"!!!"),"NEW","")))</f>
        <v>NEW</v>
      </c>
      <c r="G834" s="22" t="s">
        <v>296</v>
      </c>
      <c r="H834" s="23" t="str">
        <f aca="false">IF(J834&lt;&gt;1,"",IF(I834="SBJ","CB","?"))</f>
        <v/>
      </c>
      <c r="I834" s="24" t="str">
        <f aca="false">IF(OR(E834="",E834="!!!",F834="NEW"),"",INDEX(N$2:N821,-1+SUMPRODUCT(MAX(ROW(E$2:E821)*(E834=E$2:E821)))))</f>
        <v/>
      </c>
      <c r="J834" s="25" t="str">
        <f aca="true">IF(OR(E834="",E834="!!!",F834="NEW"),"",COUNTBLANK(OFFSET(M$1,,,SUMPRODUCT(MAX(ROW(E$2:E822)*(E834=E$2:E822)))))-COUNTBLANK(OFFSET(M$1,,,SUMPRODUCT(MAX(ROW(Q$1:Q821)*(E834=Q$1:Q821))))))</f>
        <v/>
      </c>
      <c r="K834" s="25" t="str">
        <f aca="false">IF(OR(E834="",E834="!!!",F834="NEW"),"",INDEX(V$1:V821,SUMPRODUCT(MAX(ROW(Q$1:Q821)*(E834=Q$1:Q821)))))</f>
        <v/>
      </c>
      <c r="L834" s="26"/>
      <c r="M834" s="27"/>
      <c r="N834" s="29"/>
      <c r="O834" s="29"/>
      <c r="P834" s="29"/>
    </row>
    <row r="835" customFormat="false" ht="15" hidden="false" customHeight="false" outlineLevel="0" collapsed="false">
      <c r="A835" s="19" t="s">
        <v>657</v>
      </c>
      <c r="E835" s="20" t="str">
        <f aca="false">IF(P835="?OLD","!!!","")</f>
        <v/>
      </c>
      <c r="F835" s="21" t="str">
        <f aca="false">IF(OR(E835="",E835="!!!"),"",IF(NOT(ISNA(VLOOKUP(E835,Q$1:Q822,1,FALSE()))),"OLD",IF(AND(E835&lt;&gt;"",E835&lt;&gt;"!!!"),"NEW","")))</f>
        <v/>
      </c>
      <c r="G835" s="22" t="str">
        <f aca="false">IF(OR(E835="",E835="!!!"),"",IF(OR(J835=0,AND(J835=1,K835=1),AND(J835=1,I835="SBJ"),AND(J835=1,I835=0)),"?IN_FOCUS",IF(J835&lt;=2,"?ACTIVATED",IF(J835&lt;&gt;"","?FAMILIAR",IF(F835="NEW",IF(ISNA(VLOOKUP(E835,#REF!,1,FALSE())),"?TYPE_IDENTIFIABLE","?REFERENTIAL"),"_")))))</f>
        <v/>
      </c>
      <c r="H835" s="23" t="str">
        <f aca="false">IF(J835&lt;&gt;1,"",IF(I835="SBJ","CB","?"))</f>
        <v/>
      </c>
      <c r="I835" s="24" t="str">
        <f aca="false">IF(OR(E835="",E835="!!!",F835="NEW"),"",INDEX(N$2:N822,-1+SUMPRODUCT(MAX(ROW(E$2:E822)*(E835=E$2:E822)))))</f>
        <v/>
      </c>
      <c r="J835" s="25" t="str">
        <f aca="true">IF(OR(E835="",E835="!!!",F835="NEW"),"",COUNTBLANK(OFFSET(M$1,,,SUMPRODUCT(MAX(ROW(E$2:E823)*(E835=E$2:E823)))))-COUNTBLANK(OFFSET(M$1,,,SUMPRODUCT(MAX(ROW(Q$1:Q822)*(E835=Q$1:Q822))))))</f>
        <v/>
      </c>
      <c r="K835" s="25" t="str">
        <f aca="false">IF(OR(E835="",E835="!!!",F835="NEW"),"",INDEX(V$1:V822,SUMPRODUCT(MAX(ROW(Q$1:Q822)*(E835=Q$1:Q822)))))</f>
        <v/>
      </c>
      <c r="L835" s="26"/>
      <c r="M835" s="27"/>
    </row>
    <row r="836" customFormat="false" ht="15" hidden="false" customHeight="false" outlineLevel="0" collapsed="false">
      <c r="A836" s="19" t="s">
        <v>343</v>
      </c>
      <c r="B836" s="28" t="s">
        <v>286</v>
      </c>
      <c r="C836" s="28" t="s">
        <v>420</v>
      </c>
      <c r="D836" s="28" t="s">
        <v>253</v>
      </c>
      <c r="E836" s="20" t="s">
        <v>658</v>
      </c>
      <c r="F836" s="21" t="str">
        <f aca="false">IF(OR(E836="",E836="!!!"),"",IF(NOT(ISNA(VLOOKUP(E836,Q$1:Q823,1,FALSE()))),"OLD",IF(AND(E836&lt;&gt;"",E836&lt;&gt;"!!!"),"NEW","")))</f>
        <v>NEW</v>
      </c>
      <c r="G836" s="22" t="s">
        <v>283</v>
      </c>
      <c r="H836" s="23" t="str">
        <f aca="false">IF(J836&lt;&gt;1,"",IF(I836="SBJ","CB","?"))</f>
        <v/>
      </c>
      <c r="I836" s="24" t="str">
        <f aca="false">IF(OR(E836="",E836="!!!",F836="NEW"),"",INDEX(N$2:N823,-1+SUMPRODUCT(MAX(ROW(E$2:E823)*(E836=E$2:E823)))))</f>
        <v/>
      </c>
      <c r="J836" s="25" t="str">
        <f aca="true">IF(OR(E836="",E836="!!!",F836="NEW"),"",COUNTBLANK(OFFSET(M$1,,,SUMPRODUCT(MAX(ROW(E$2:E824)*(E836=E$2:E824)))))-COUNTBLANK(OFFSET(M$1,,,SUMPRODUCT(MAX(ROW(Q$1:Q823)*(E836=Q$1:Q823))))))</f>
        <v/>
      </c>
      <c r="K836" s="25" t="str">
        <f aca="false">IF(OR(E836="",E836="!!!",F836="NEW"),"",INDEX(V$1:V823,SUMPRODUCT(MAX(ROW(Q$1:Q823)*(E836=Q$1:Q823)))))</f>
        <v/>
      </c>
      <c r="L836" s="26"/>
      <c r="M836" s="27"/>
      <c r="N836" s="29"/>
      <c r="O836" s="29"/>
      <c r="P836" s="29"/>
    </row>
    <row r="837" customFormat="false" ht="15" hidden="false" customHeight="false" outlineLevel="0" collapsed="false">
      <c r="A837" s="19" t="s">
        <v>437</v>
      </c>
      <c r="E837" s="20" t="str">
        <f aca="false">IF(P837="?OLD","!!!","")</f>
        <v/>
      </c>
      <c r="F837" s="21" t="str">
        <f aca="false">IF(OR(E837="",E837="!!!"),"",IF(NOT(ISNA(VLOOKUP(E837,Q$1:Q824,1,FALSE()))),"OLD",IF(AND(E837&lt;&gt;"",E837&lt;&gt;"!!!"),"NEW","")))</f>
        <v/>
      </c>
      <c r="G837" s="22" t="str">
        <f aca="false">IF(OR(E837="",E837="!!!"),"",IF(OR(J837=0,AND(J837=1,K837=1),AND(J837=1,I837="SBJ"),AND(J837=1,I837=0)),"?IN_FOCUS",IF(J837&lt;=2,"?ACTIVATED",IF(J837&lt;&gt;"","?FAMILIAR",IF(F837="NEW",IF(ISNA(VLOOKUP(E837,#REF!,1,FALSE())),"?TYPE_IDENTIFIABLE","?REFERENTIAL"),"_")))))</f>
        <v/>
      </c>
      <c r="H837" s="23" t="str">
        <f aca="false">IF(J837&lt;&gt;1,"",IF(I837="SBJ","CB","?"))</f>
        <v/>
      </c>
      <c r="I837" s="24" t="str">
        <f aca="false">IF(OR(E837="",E837="!!!",F837="NEW"),"",INDEX(N$2:N824,-1+SUMPRODUCT(MAX(ROW(E$2:E824)*(E837=E$2:E824)))))</f>
        <v/>
      </c>
      <c r="J837" s="25" t="str">
        <f aca="true">IF(OR(E837="",E837="!!!",F837="NEW"),"",COUNTBLANK(OFFSET(M$1,,,SUMPRODUCT(MAX(ROW(E$2:E825)*(E837=E$2:E825)))))-COUNTBLANK(OFFSET(M$1,,,SUMPRODUCT(MAX(ROW(Q$1:Q824)*(E837=Q$1:Q824))))))</f>
        <v/>
      </c>
      <c r="K837" s="25" t="str">
        <f aca="false">IF(OR(E837="",E837="!!!",F837="NEW"),"",INDEX(V$1:V824,SUMPRODUCT(MAX(ROW(Q$1:Q824)*(E837=Q$1:Q824)))))</f>
        <v/>
      </c>
      <c r="L837" s="26"/>
      <c r="M837" s="27"/>
    </row>
    <row r="838" customFormat="false" ht="15" hidden="false" customHeight="false" outlineLevel="0" collapsed="false">
      <c r="A838" s="19" t="s">
        <v>659</v>
      </c>
      <c r="E838" s="20" t="str">
        <f aca="false">IF(P838="?OLD","!!!","")</f>
        <v/>
      </c>
      <c r="F838" s="21" t="str">
        <f aca="false">IF(OR(E838="",E838="!!!"),"",IF(NOT(ISNA(VLOOKUP(E838,Q$1:Q825,1,FALSE()))),"OLD",IF(AND(E838&lt;&gt;"",E838&lt;&gt;"!!!"),"NEW","")))</f>
        <v/>
      </c>
      <c r="G838" s="22" t="str">
        <f aca="false">IF(OR(E838="",E838="!!!"),"",IF(OR(J838=0,AND(J838=1,K838=1),AND(J838=1,I838="SBJ"),AND(J838=1,I838=0)),"?IN_FOCUS",IF(J838&lt;=2,"?ACTIVATED",IF(J838&lt;&gt;"","?FAMILIAR",IF(F838="NEW",IF(ISNA(VLOOKUP(E838,#REF!,1,FALSE())),"?TYPE_IDENTIFIABLE","?REFERENTIAL"),"_")))))</f>
        <v/>
      </c>
      <c r="H838" s="23" t="str">
        <f aca="false">IF(J838&lt;&gt;1,"",IF(I838="SBJ","CB","?"))</f>
        <v/>
      </c>
      <c r="I838" s="24" t="str">
        <f aca="false">IF(OR(E838="",E838="!!!",F838="NEW"),"",INDEX(N$2:N825,-1+SUMPRODUCT(MAX(ROW(E$2:E825)*(E838=E$2:E825)))))</f>
        <v/>
      </c>
      <c r="J838" s="25" t="str">
        <f aca="true">IF(OR(E838="",E838="!!!",F838="NEW"),"",COUNTBLANK(OFFSET(M$1,,,SUMPRODUCT(MAX(ROW(E$2:E826)*(E838=E$2:E826)))))-COUNTBLANK(OFFSET(M$1,,,SUMPRODUCT(MAX(ROW(Q$1:Q825)*(E838=Q$1:Q825))))))</f>
        <v/>
      </c>
      <c r="K838" s="25" t="str">
        <f aca="false">IF(OR(E838="",E838="!!!",F838="NEW"),"",INDEX(V$1:V825,SUMPRODUCT(MAX(ROW(Q$1:Q825)*(E838=Q$1:Q825)))))</f>
        <v/>
      </c>
      <c r="L838" s="26"/>
      <c r="M838" s="27"/>
    </row>
    <row r="839" customFormat="false" ht="15" hidden="false" customHeight="false" outlineLevel="0" collapsed="false">
      <c r="A839" s="19" t="s">
        <v>250</v>
      </c>
      <c r="E839" s="20" t="str">
        <f aca="false">IF(P839="?OLD","!!!","")</f>
        <v/>
      </c>
      <c r="F839" s="21" t="str">
        <f aca="false">IF(OR(E839="",E839="!!!"),"",IF(NOT(ISNA(VLOOKUP(E839,Q$1:Q826,1,FALSE()))),"OLD",IF(AND(E839&lt;&gt;"",E839&lt;&gt;"!!!"),"NEW","")))</f>
        <v/>
      </c>
      <c r="G839" s="22" t="str">
        <f aca="false">IF(OR(E839="",E839="!!!"),"",IF(OR(J839=0,AND(J839=1,K839=1),AND(J839=1,I839="SBJ"),AND(J839=1,I839=0)),"?IN_FOCUS",IF(J839&lt;=2,"?ACTIVATED",IF(J839&lt;&gt;"","?FAMILIAR",IF(F839="NEW",IF(ISNA(VLOOKUP(E839,#REF!,1,FALSE())),"?TYPE_IDENTIFIABLE","?REFERENTIAL"),"_")))))</f>
        <v/>
      </c>
      <c r="H839" s="23" t="str">
        <f aca="false">IF(J839&lt;&gt;1,"",IF(I839="SBJ","CB","?"))</f>
        <v/>
      </c>
      <c r="I839" s="24" t="str">
        <f aca="false">IF(OR(E839="",E839="!!!",F839="NEW"),"",INDEX(N$2:N826,-1+SUMPRODUCT(MAX(ROW(E$2:E826)*(E839=E$2:E826)))))</f>
        <v/>
      </c>
      <c r="J839" s="25" t="str">
        <f aca="true">IF(OR(E839="",E839="!!!",F839="NEW"),"",COUNTBLANK(OFFSET(M$1,,,SUMPRODUCT(MAX(ROW(E$2:E827)*(E839=E$2:E827)))))-COUNTBLANK(OFFSET(M$1,,,SUMPRODUCT(MAX(ROW(Q$1:Q826)*(E839=Q$1:Q826))))))</f>
        <v/>
      </c>
      <c r="K839" s="25" t="str">
        <f aca="false">IF(OR(E839="",E839="!!!",F839="NEW"),"",INDEX(V$1:V826,SUMPRODUCT(MAX(ROW(Q$1:Q826)*(E839=Q$1:Q826)))))</f>
        <v/>
      </c>
      <c r="L839" s="26"/>
      <c r="M839" s="27"/>
    </row>
    <row r="840" customFormat="false" ht="15" hidden="false" customHeight="false" outlineLevel="0" collapsed="false">
      <c r="A840" s="19" t="s">
        <v>660</v>
      </c>
      <c r="B840" s="28" t="s">
        <v>271</v>
      </c>
      <c r="C840" s="28" t="s">
        <v>314</v>
      </c>
      <c r="D840" s="28" t="s">
        <v>253</v>
      </c>
      <c r="E840" s="20" t="s">
        <v>658</v>
      </c>
      <c r="F840" s="21" t="str">
        <f aca="false">IF(OR(E840="",E840="!!!"),"",IF(NOT(ISNA(VLOOKUP(E840,Q$1:Q827,1,FALSE()))),"OLD",IF(AND(E840&lt;&gt;"",E840&lt;&gt;"!!!"),"NEW","")))</f>
        <v>NEW</v>
      </c>
      <c r="G840" s="22" t="s">
        <v>296</v>
      </c>
      <c r="H840" s="23" t="str">
        <f aca="false">IF(J840&lt;&gt;1,"",IF(I840="SBJ","CB","?"))</f>
        <v/>
      </c>
      <c r="I840" s="24" t="str">
        <f aca="false">IF(OR(E840="",E840="!!!",F840="NEW"),"",INDEX(N$2:N827,-1+SUMPRODUCT(MAX(ROW(E$2:E827)*(E840=E$2:E827)))))</f>
        <v/>
      </c>
      <c r="J840" s="25" t="str">
        <f aca="true">IF(OR(E840="",E840="!!!",F840="NEW"),"",COUNTBLANK(OFFSET(M$1,,,SUMPRODUCT(MAX(ROW(E$2:E828)*(E840=E$2:E828)))))-COUNTBLANK(OFFSET(M$1,,,SUMPRODUCT(MAX(ROW(Q$1:Q827)*(E840=Q$1:Q827))))))</f>
        <v/>
      </c>
      <c r="K840" s="25" t="str">
        <f aca="false">IF(OR(E840="",E840="!!!",F840="NEW"),"",INDEX(V$1:V827,SUMPRODUCT(MAX(ROW(Q$1:Q827)*(E840=Q$1:Q827)))))</f>
        <v/>
      </c>
      <c r="L840" s="26"/>
      <c r="M840" s="27"/>
      <c r="N840" s="29"/>
      <c r="O840" s="29"/>
      <c r="P840" s="29"/>
    </row>
    <row r="841" customFormat="false" ht="15" hidden="false" customHeight="false" outlineLevel="0" collapsed="false">
      <c r="A841" s="19" t="s">
        <v>256</v>
      </c>
      <c r="E841" s="20" t="str">
        <f aca="false">IF(P841="?OLD","!!!","")</f>
        <v/>
      </c>
      <c r="F841" s="21" t="str">
        <f aca="false">IF(OR(E841="",E841="!!!"),"",IF(NOT(ISNA(VLOOKUP(E841,Q$1:Q828,1,FALSE()))),"OLD",IF(AND(E841&lt;&gt;"",E841&lt;&gt;"!!!"),"NEW","")))</f>
        <v/>
      </c>
      <c r="G841" s="22" t="str">
        <f aca="false">IF(OR(E841="",E841="!!!"),"",IF(OR(J841=0,AND(J841=1,K841=1),AND(J841=1,I841="SBJ"),AND(J841=1,I841=0)),"?IN_FOCUS",IF(J841&lt;=2,"?ACTIVATED",IF(J841&lt;&gt;"","?FAMILIAR",IF(F841="NEW",IF(ISNA(VLOOKUP(E841,#REF!,1,FALSE())),"?TYPE_IDENTIFIABLE","?REFERENTIAL"),"_")))))</f>
        <v/>
      </c>
      <c r="H841" s="23" t="str">
        <f aca="false">IF(J841&lt;&gt;1,"",IF(I841="SBJ","CB","?"))</f>
        <v/>
      </c>
      <c r="I841" s="24" t="str">
        <f aca="false">IF(OR(E841="",E841="!!!",F841="NEW"),"",INDEX(N$2:N828,-1+SUMPRODUCT(MAX(ROW(E$2:E828)*(E841=E$2:E828)))))</f>
        <v/>
      </c>
      <c r="J841" s="25" t="str">
        <f aca="true">IF(OR(E841="",E841="!!!",F841="NEW"),"",COUNTBLANK(OFFSET(M$1,,,SUMPRODUCT(MAX(ROW(E$2:E829)*(E841=E$2:E829)))))-COUNTBLANK(OFFSET(M$1,,,SUMPRODUCT(MAX(ROW(Q$1:Q828)*(E841=Q$1:Q828))))))</f>
        <v/>
      </c>
      <c r="K841" s="25" t="str">
        <f aca="false">IF(OR(E841="",E841="!!!",F841="NEW"),"",INDEX(V$1:V828,SUMPRODUCT(MAX(ROW(Q$1:Q828)*(E841=Q$1:Q828)))))</f>
        <v/>
      </c>
      <c r="L841" s="26"/>
      <c r="M841" s="27"/>
    </row>
    <row r="842" customFormat="false" ht="15" hidden="false" customHeight="false" outlineLevel="0" collapsed="false">
      <c r="A842" s="19" t="s">
        <v>250</v>
      </c>
      <c r="E842" s="20" t="str">
        <f aca="false">IF(P842="?OLD","!!!","")</f>
        <v/>
      </c>
      <c r="F842" s="21" t="str">
        <f aca="false">IF(OR(E842="",E842="!!!"),"",IF(NOT(ISNA(VLOOKUP(E842,Q$1:Q829,1,FALSE()))),"OLD",IF(AND(E842&lt;&gt;"",E842&lt;&gt;"!!!"),"NEW","")))</f>
        <v/>
      </c>
      <c r="G842" s="22" t="str">
        <f aca="false">IF(OR(E842="",E842="!!!"),"",IF(OR(J842=0,AND(J842=1,K842=1),AND(J842=1,I842="SBJ"),AND(J842=1,I842=0)),"?IN_FOCUS",IF(J842&lt;=2,"?ACTIVATED",IF(J842&lt;&gt;"","?FAMILIAR",IF(F842="NEW",IF(ISNA(VLOOKUP(E842,#REF!,1,FALSE())),"?TYPE_IDENTIFIABLE","?REFERENTIAL"),"_")))))</f>
        <v/>
      </c>
      <c r="H842" s="23" t="str">
        <f aca="false">IF(J842&lt;&gt;1,"",IF(I842="SBJ","CB","?"))</f>
        <v/>
      </c>
      <c r="I842" s="24" t="str">
        <f aca="false">IF(OR(E842="",E842="!!!",F842="NEW"),"",INDEX(N$2:N829,-1+SUMPRODUCT(MAX(ROW(E$2:E829)*(E842=E$2:E829)))))</f>
        <v/>
      </c>
      <c r="J842" s="25" t="str">
        <f aca="true">IF(OR(E842="",E842="!!!",F842="NEW"),"",COUNTBLANK(OFFSET(M$1,,,SUMPRODUCT(MAX(ROW(E$2:E830)*(E842=E$2:E830)))))-COUNTBLANK(OFFSET(M$1,,,SUMPRODUCT(MAX(ROW(Q$1:Q829)*(E842=Q$1:Q829))))))</f>
        <v/>
      </c>
      <c r="K842" s="25" t="str">
        <f aca="false">IF(OR(E842="",E842="!!!",F842="NEW"),"",INDEX(V$1:V829,SUMPRODUCT(MAX(ROW(Q$1:Q829)*(E842=Q$1:Q829)))))</f>
        <v/>
      </c>
      <c r="L842" s="26"/>
      <c r="M842" s="27"/>
    </row>
    <row r="843" customFormat="false" ht="15" hidden="false" customHeight="false" outlineLevel="0" collapsed="false">
      <c r="A843" s="19" t="s">
        <v>652</v>
      </c>
      <c r="B843" s="28" t="s">
        <v>306</v>
      </c>
      <c r="C843" s="28" t="s">
        <v>333</v>
      </c>
      <c r="D843" s="28" t="s">
        <v>253</v>
      </c>
      <c r="E843" s="20" t="s">
        <v>546</v>
      </c>
      <c r="F843" s="21" t="str">
        <f aca="false">IF(OR(E843="",E843="!!!"),"",IF(NOT(ISNA(VLOOKUP(E843,Q$1:Q830,1,FALSE()))),"OLD",IF(AND(E843&lt;&gt;"",E843&lt;&gt;"!!!"),"NEW","")))</f>
        <v>NEW</v>
      </c>
      <c r="G843" s="22" t="s">
        <v>296</v>
      </c>
      <c r="H843" s="23" t="str">
        <f aca="false">IF(J843&lt;&gt;1,"",IF(I843="SBJ","CB","?"))</f>
        <v/>
      </c>
      <c r="I843" s="24" t="str">
        <f aca="false">IF(OR(E843="",E843="!!!",F843="NEW"),"",INDEX(N$2:N830,-1+SUMPRODUCT(MAX(ROW(E$2:E830)*(E843=E$2:E830)))))</f>
        <v/>
      </c>
      <c r="J843" s="25" t="str">
        <f aca="true">IF(OR(E843="",E843="!!!",F843="NEW"),"",COUNTBLANK(OFFSET(M$1,,,SUMPRODUCT(MAX(ROW(E$2:E831)*(E843=E$2:E831)))))-COUNTBLANK(OFFSET(M$1,,,SUMPRODUCT(MAX(ROW(Q$1:Q830)*(E843=Q$1:Q830))))))</f>
        <v/>
      </c>
      <c r="K843" s="25" t="str">
        <f aca="false">IF(OR(E843="",E843="!!!",F843="NEW"),"",INDEX(V$1:V830,SUMPRODUCT(MAX(ROW(Q$1:Q830)*(E843=Q$1:Q830)))))</f>
        <v/>
      </c>
      <c r="L843" s="26"/>
      <c r="M843" s="27"/>
      <c r="N843" s="29"/>
      <c r="O843" s="29"/>
      <c r="P843" s="29"/>
    </row>
    <row r="844" customFormat="false" ht="15" hidden="false" customHeight="false" outlineLevel="0" collapsed="false">
      <c r="A844" s="19" t="s">
        <v>261</v>
      </c>
      <c r="E844" s="20" t="str">
        <f aca="false">IF(P844="?OLD","!!!","")</f>
        <v/>
      </c>
      <c r="F844" s="21" t="str">
        <f aca="false">IF(OR(E844="",E844="!!!"),"",IF(NOT(ISNA(VLOOKUP(E844,Q$1:Q831,1,FALSE()))),"OLD",IF(AND(E844&lt;&gt;"",E844&lt;&gt;"!!!"),"NEW","")))</f>
        <v/>
      </c>
      <c r="G844" s="22" t="str">
        <f aca="false">IF(OR(E844="",E844="!!!"),"",IF(OR(J844=0,AND(J844=1,K844=1),AND(J844=1,I844="SBJ"),AND(J844=1,I844=0)),"?IN_FOCUS",IF(J844&lt;=2,"?ACTIVATED",IF(J844&lt;&gt;"","?FAMILIAR",IF(F844="NEW",IF(ISNA(VLOOKUP(E844,#REF!,1,FALSE())),"?TYPE_IDENTIFIABLE","?REFERENTIAL"),"_")))))</f>
        <v/>
      </c>
      <c r="H844" s="23" t="str">
        <f aca="false">IF(J844&lt;&gt;1,"",IF(I844="SBJ","CB","?"))</f>
        <v/>
      </c>
      <c r="I844" s="24" t="str">
        <f aca="false">IF(OR(E844="",E844="!!!",F844="NEW"),"",INDEX(N$2:N831,-1+SUMPRODUCT(MAX(ROW(E$2:E831)*(E844=E$2:E831)))))</f>
        <v/>
      </c>
      <c r="J844" s="25" t="str">
        <f aca="true">IF(OR(E844="",E844="!!!",F844="NEW"),"",COUNTBLANK(OFFSET(M$1,,,SUMPRODUCT(MAX(ROW(E$2:E832)*(E844=E$2:E832)))))-COUNTBLANK(OFFSET(M$1,,,SUMPRODUCT(MAX(ROW(Q$1:Q831)*(E844=Q$1:Q831))))))</f>
        <v/>
      </c>
      <c r="K844" s="25" t="str">
        <f aca="false">IF(OR(E844="",E844="!!!",F844="NEW"),"",INDEX(V$1:V831,SUMPRODUCT(MAX(ROW(Q$1:Q831)*(E844=Q$1:Q831)))))</f>
        <v/>
      </c>
      <c r="L844" s="26"/>
      <c r="M844" s="27"/>
    </row>
    <row r="845" customFormat="false" ht="15" hidden="false" customHeight="false" outlineLevel="0" collapsed="false">
      <c r="A845" s="19" t="s">
        <v>482</v>
      </c>
      <c r="E845" s="20" t="str">
        <f aca="false">IF(P845="?OLD","!!!","")</f>
        <v/>
      </c>
      <c r="F845" s="21" t="str">
        <f aca="false">IF(OR(E845="",E845="!!!"),"",IF(NOT(ISNA(VLOOKUP(E845,Q$1:Q832,1,FALSE()))),"OLD",IF(AND(E845&lt;&gt;"",E845&lt;&gt;"!!!"),"NEW","")))</f>
        <v/>
      </c>
      <c r="G845" s="22" t="str">
        <f aca="false">IF(OR(E845="",E845="!!!"),"",IF(OR(J845=0,AND(J845=1,K845=1),AND(J845=1,I845="SBJ"),AND(J845=1,I845=0)),"?IN_FOCUS",IF(J845&lt;=2,"?ACTIVATED",IF(J845&lt;&gt;"","?FAMILIAR",IF(F845="NEW",IF(ISNA(VLOOKUP(E845,#REF!,1,FALSE())),"?TYPE_IDENTIFIABLE","?REFERENTIAL"),"_")))))</f>
        <v/>
      </c>
      <c r="H845" s="23" t="str">
        <f aca="false">IF(J845&lt;&gt;1,"",IF(I845="SBJ","CB","?"))</f>
        <v/>
      </c>
      <c r="I845" s="24" t="str">
        <f aca="false">IF(OR(E845="",E845="!!!",F845="NEW"),"",INDEX(N$2:N832,-1+SUMPRODUCT(MAX(ROW(E$2:E832)*(E845=E$2:E832)))))</f>
        <v/>
      </c>
      <c r="J845" s="25" t="str">
        <f aca="true">IF(OR(E845="",E845="!!!",F845="NEW"),"",COUNTBLANK(OFFSET(M$1,,,SUMPRODUCT(MAX(ROW(E$2:E833)*(E845=E$2:E833)))))-COUNTBLANK(OFFSET(M$1,,,SUMPRODUCT(MAX(ROW(Q$1:Q832)*(E845=Q$1:Q832))))))</f>
        <v/>
      </c>
      <c r="K845" s="25" t="str">
        <f aca="false">IF(OR(E845="",E845="!!!",F845="NEW"),"",INDEX(V$1:V832,SUMPRODUCT(MAX(ROW(Q$1:Q832)*(E845=Q$1:Q832)))))</f>
        <v/>
      </c>
      <c r="L845" s="26"/>
      <c r="M845" s="27"/>
    </row>
    <row r="846" customFormat="false" ht="15" hidden="false" customHeight="false" outlineLevel="0" collapsed="false">
      <c r="A846" s="19" t="s">
        <v>615</v>
      </c>
      <c r="B846" s="28" t="s">
        <v>251</v>
      </c>
      <c r="E846" s="20" t="str">
        <f aca="false">IF(P846="?OLD","!!!","")</f>
        <v/>
      </c>
      <c r="F846" s="21" t="str">
        <f aca="false">IF(OR(E846="",E846="!!!"),"",IF(NOT(ISNA(VLOOKUP(E846,Q$1:Q833,1,FALSE()))),"OLD",IF(AND(E846&lt;&gt;"",E846&lt;&gt;"!!!"),"NEW","")))</f>
        <v/>
      </c>
      <c r="G846" s="22" t="str">
        <f aca="false">IF(OR(E846="",E846="!!!"),"",IF(OR(J846=0,AND(J846=1,K846=1),AND(J846=1,I846="SBJ"),AND(J846=1,I846=0)),"?IN_FOCUS",IF(J846&lt;=2,"?ACTIVATED",IF(J846&lt;&gt;"","?FAMILIAR",IF(F846="NEW",IF(ISNA(VLOOKUP(E846,#REF!,1,FALSE())),"?TYPE_IDENTIFIABLE","?REFERENTIAL"),"_")))))</f>
        <v/>
      </c>
      <c r="H846" s="23" t="str">
        <f aca="false">IF(J846&lt;&gt;1,"",IF(I846="SBJ","CB","?"))</f>
        <v/>
      </c>
      <c r="I846" s="24" t="str">
        <f aca="false">IF(OR(E846="",E846="!!!",F846="NEW"),"",INDEX(N$2:N833,-1+SUMPRODUCT(MAX(ROW(E$2:E833)*(E846=E$2:E833)))))</f>
        <v/>
      </c>
      <c r="J846" s="25" t="str">
        <f aca="true">IF(OR(E846="",E846="!!!",F846="NEW"),"",COUNTBLANK(OFFSET(M$1,,,SUMPRODUCT(MAX(ROW(E$2:E834)*(E846=E$2:E834)))))-COUNTBLANK(OFFSET(M$1,,,SUMPRODUCT(MAX(ROW(Q$1:Q833)*(E846=Q$1:Q833))))))</f>
        <v/>
      </c>
      <c r="K846" s="25" t="str">
        <f aca="false">IF(OR(E846="",E846="!!!",F846="NEW"),"",INDEX(V$1:V833,SUMPRODUCT(MAX(ROW(Q$1:Q833)*(E846=Q$1:Q833)))))</f>
        <v/>
      </c>
      <c r="L846" s="26"/>
      <c r="M846" s="27"/>
      <c r="N846" s="29"/>
    </row>
    <row r="847" customFormat="false" ht="15" hidden="false" customHeight="false" outlineLevel="0" collapsed="false">
      <c r="A847" s="19" t="s">
        <v>346</v>
      </c>
      <c r="E847" s="20" t="str">
        <f aca="false">IF(P847="?OLD","!!!","")</f>
        <v/>
      </c>
      <c r="F847" s="21" t="str">
        <f aca="false">IF(OR(E847="",E847="!!!"),"",IF(NOT(ISNA(VLOOKUP(E847,Q$1:Q834,1,FALSE()))),"OLD",IF(AND(E847&lt;&gt;"",E847&lt;&gt;"!!!"),"NEW","")))</f>
        <v/>
      </c>
      <c r="G847" s="22" t="str">
        <f aca="false">IF(OR(E847="",E847="!!!"),"",IF(OR(J847=0,AND(J847=1,K847=1),AND(J847=1,I847="SBJ"),AND(J847=1,I847=0)),"?IN_FOCUS",IF(J847&lt;=2,"?ACTIVATED",IF(J847&lt;&gt;"","?FAMILIAR",IF(F847="NEW",IF(ISNA(VLOOKUP(E847,#REF!,1,FALSE())),"?TYPE_IDENTIFIABLE","?REFERENTIAL"),"_")))))</f>
        <v/>
      </c>
      <c r="H847" s="23" t="str">
        <f aca="false">IF(J847&lt;&gt;1,"",IF(I847="SBJ","CB","?"))</f>
        <v/>
      </c>
      <c r="I847" s="24" t="str">
        <f aca="false">IF(OR(E847="",E847="!!!",F847="NEW"),"",INDEX(N$2:N834,-1+SUMPRODUCT(MAX(ROW(E$2:E834)*(E847=E$2:E834)))))</f>
        <v/>
      </c>
      <c r="J847" s="25" t="str">
        <f aca="true">IF(OR(E847="",E847="!!!",F847="NEW"),"",COUNTBLANK(OFFSET(M$1,,,SUMPRODUCT(MAX(ROW(E$2:E835)*(E847=E$2:E835)))))-COUNTBLANK(OFFSET(M$1,,,SUMPRODUCT(MAX(ROW(Q$1:Q834)*(E847=Q$1:Q834))))))</f>
        <v/>
      </c>
      <c r="K847" s="25" t="str">
        <f aca="false">IF(OR(E847="",E847="!!!",F847="NEW"),"",INDEX(V$1:V834,SUMPRODUCT(MAX(ROW(Q$1:Q834)*(E847=Q$1:Q834)))))</f>
        <v/>
      </c>
      <c r="L847" s="26"/>
      <c r="M847" s="27"/>
    </row>
    <row r="848" customFormat="false" ht="15" hidden="false" customHeight="false" outlineLevel="0" collapsed="false">
      <c r="A848" s="19" t="s">
        <v>356</v>
      </c>
      <c r="B848" s="28" t="s">
        <v>306</v>
      </c>
      <c r="C848" s="28" t="s">
        <v>358</v>
      </c>
      <c r="D848" s="28" t="s">
        <v>253</v>
      </c>
      <c r="E848" s="20" t="s">
        <v>586</v>
      </c>
      <c r="F848" s="21" t="str">
        <f aca="false">IF(OR(E848="",E848="!!!"),"",IF(NOT(ISNA(VLOOKUP(E848,Q$1:Q835,1,FALSE()))),"OLD",IF(AND(E848&lt;&gt;"",E848&lt;&gt;"!!!"),"NEW","")))</f>
        <v>NEW</v>
      </c>
      <c r="G848" s="22" t="s">
        <v>296</v>
      </c>
      <c r="H848" s="23" t="str">
        <f aca="false">IF(J848&lt;&gt;1,"",IF(I848="SBJ","CB","?"))</f>
        <v/>
      </c>
      <c r="I848" s="24" t="str">
        <f aca="false">IF(OR(E848="",E848="!!!",F848="NEW"),"",INDEX(N$2:N835,-1+SUMPRODUCT(MAX(ROW(E$2:E835)*(E848=E$2:E835)))))</f>
        <v/>
      </c>
      <c r="J848" s="25" t="str">
        <f aca="true">IF(OR(E848="",E848="!!!",F848="NEW"),"",COUNTBLANK(OFFSET(M$1,,,SUMPRODUCT(MAX(ROW(E$2:E836)*(E848=E$2:E836)))))-COUNTBLANK(OFFSET(M$1,,,SUMPRODUCT(MAX(ROW(Q$1:Q835)*(E848=Q$1:Q835))))))</f>
        <v/>
      </c>
      <c r="K848" s="25" t="str">
        <f aca="false">IF(OR(E848="",E848="!!!",F848="NEW"),"",INDEX(V$1:V835,SUMPRODUCT(MAX(ROW(Q$1:Q835)*(E848=Q$1:Q835)))))</f>
        <v/>
      </c>
      <c r="L848" s="26"/>
      <c r="M848" s="27"/>
      <c r="N848" s="29"/>
      <c r="O848" s="29"/>
      <c r="P848" s="29"/>
    </row>
    <row r="849" customFormat="false" ht="15" hidden="false" customHeight="false" outlineLevel="0" collapsed="false">
      <c r="A849" s="19" t="s">
        <v>612</v>
      </c>
      <c r="B849" s="28" t="s">
        <v>271</v>
      </c>
      <c r="C849" s="28" t="s">
        <v>314</v>
      </c>
      <c r="D849" s="28" t="s">
        <v>253</v>
      </c>
      <c r="E849" s="20" t="s">
        <v>613</v>
      </c>
      <c r="F849" s="21" t="str">
        <f aca="false">IF(OR(E849="",E849="!!!"),"",IF(NOT(ISNA(VLOOKUP(E849,Q$1:Q836,1,FALSE()))),"OLD",IF(AND(E849&lt;&gt;"",E849&lt;&gt;"!!!"),"NEW","")))</f>
        <v>NEW</v>
      </c>
      <c r="G849" s="22" t="s">
        <v>283</v>
      </c>
      <c r="H849" s="23" t="str">
        <f aca="false">IF(J849&lt;&gt;1,"",IF(I849="SBJ","CB","?"))</f>
        <v/>
      </c>
      <c r="I849" s="24" t="str">
        <f aca="false">IF(OR(E849="",E849="!!!",F849="NEW"),"",INDEX(N$2:N836,-1+SUMPRODUCT(MAX(ROW(E$2:E836)*(E849=E$2:E836)))))</f>
        <v/>
      </c>
      <c r="J849" s="25" t="str">
        <f aca="true">IF(OR(E849="",E849="!!!",F849="NEW"),"",COUNTBLANK(OFFSET(M$1,,,SUMPRODUCT(MAX(ROW(E$2:E837)*(E849=E$2:E837)))))-COUNTBLANK(OFFSET(M$1,,,SUMPRODUCT(MAX(ROW(Q$1:Q836)*(E849=Q$1:Q836))))))</f>
        <v/>
      </c>
      <c r="K849" s="25" t="str">
        <f aca="false">IF(OR(E849="",E849="!!!",F849="NEW"),"",INDEX(V$1:V836,SUMPRODUCT(MAX(ROW(Q$1:Q836)*(E849=Q$1:Q836)))))</f>
        <v/>
      </c>
      <c r="L849" s="26"/>
      <c r="M849" s="27"/>
      <c r="N849" s="29"/>
      <c r="O849" s="29"/>
      <c r="P849" s="29"/>
    </row>
    <row r="850" customFormat="false" ht="15" hidden="false" customHeight="false" outlineLevel="0" collapsed="false">
      <c r="A850" s="19" t="s">
        <v>661</v>
      </c>
      <c r="E850" s="20" t="str">
        <f aca="false">IF(P850="?OLD","!!!","")</f>
        <v/>
      </c>
      <c r="F850" s="21" t="str">
        <f aca="false">IF(OR(E850="",E850="!!!"),"",IF(NOT(ISNA(VLOOKUP(E850,Q$1:Q837,1,FALSE()))),"OLD",IF(AND(E850&lt;&gt;"",E850&lt;&gt;"!!!"),"NEW","")))</f>
        <v/>
      </c>
      <c r="G850" s="22" t="str">
        <f aca="false">IF(OR(E850="",E850="!!!"),"",IF(OR(J850=0,AND(J850=1,K850=1),AND(J850=1,I850="SBJ"),AND(J850=1,I850=0)),"?IN_FOCUS",IF(J850&lt;=2,"?ACTIVATED",IF(J850&lt;&gt;"","?FAMILIAR",IF(F850="NEW",IF(ISNA(VLOOKUP(E850,#REF!,1,FALSE())),"?TYPE_IDENTIFIABLE","?REFERENTIAL"),"_")))))</f>
        <v/>
      </c>
      <c r="H850" s="23" t="str">
        <f aca="false">IF(J850&lt;&gt;1,"",IF(I850="SBJ","CB","?"))</f>
        <v/>
      </c>
      <c r="I850" s="24" t="str">
        <f aca="false">IF(OR(E850="",E850="!!!",F850="NEW"),"",INDEX(N$2:N837,-1+SUMPRODUCT(MAX(ROW(E$2:E837)*(E850=E$2:E837)))))</f>
        <v/>
      </c>
      <c r="J850" s="25" t="str">
        <f aca="true">IF(OR(E850="",E850="!!!",F850="NEW"),"",COUNTBLANK(OFFSET(M$1,,,SUMPRODUCT(MAX(ROW(E$2:E838)*(E850=E$2:E838)))))-COUNTBLANK(OFFSET(M$1,,,SUMPRODUCT(MAX(ROW(Q$1:Q837)*(E850=Q$1:Q837))))))</f>
        <v/>
      </c>
      <c r="K850" s="25" t="str">
        <f aca="false">IF(OR(E850="",E850="!!!",F850="NEW"),"",INDEX(V$1:V837,SUMPRODUCT(MAX(ROW(Q$1:Q837)*(E850=Q$1:Q837)))))</f>
        <v/>
      </c>
      <c r="L850" s="26"/>
      <c r="M850" s="27"/>
    </row>
    <row r="851" customFormat="false" ht="15" hidden="false" customHeight="false" outlineLevel="0" collapsed="false">
      <c r="A851" s="19" t="s">
        <v>273</v>
      </c>
      <c r="E851" s="20" t="str">
        <f aca="false">IF(P851="?OLD","!!!","")</f>
        <v/>
      </c>
      <c r="F851" s="21" t="str">
        <f aca="false">IF(OR(E851="",E851="!!!"),"",IF(NOT(ISNA(VLOOKUP(E851,Q$1:Q838,1,FALSE()))),"OLD",IF(AND(E851&lt;&gt;"",E851&lt;&gt;"!!!"),"NEW","")))</f>
        <v/>
      </c>
      <c r="G851" s="22" t="str">
        <f aca="false">IF(OR(E851="",E851="!!!"),"",IF(OR(J851=0,AND(J851=1,K851=1),AND(J851=1,I851="SBJ"),AND(J851=1,I851=0)),"?IN_FOCUS",IF(J851&lt;=2,"?ACTIVATED",IF(J851&lt;&gt;"","?FAMILIAR",IF(F851="NEW",IF(ISNA(VLOOKUP(E851,#REF!,1,FALSE())),"?TYPE_IDENTIFIABLE","?REFERENTIAL"),"_")))))</f>
        <v/>
      </c>
      <c r="H851" s="23" t="str">
        <f aca="false">IF(J851&lt;&gt;1,"",IF(I851="SBJ","CB","?"))</f>
        <v/>
      </c>
      <c r="I851" s="24" t="str">
        <f aca="false">IF(OR(E851="",E851="!!!",F851="NEW"),"",INDEX(N$2:N838,-1+SUMPRODUCT(MAX(ROW(E$2:E838)*(E851=E$2:E838)))))</f>
        <v/>
      </c>
      <c r="J851" s="25" t="str">
        <f aca="true">IF(OR(E851="",E851="!!!",F851="NEW"),"",COUNTBLANK(OFFSET(M$1,,,SUMPRODUCT(MAX(ROW(E$2:E839)*(E851=E$2:E839)))))-COUNTBLANK(OFFSET(M$1,,,SUMPRODUCT(MAX(ROW(Q$1:Q838)*(E851=Q$1:Q838))))))</f>
        <v/>
      </c>
      <c r="K851" s="25" t="str">
        <f aca="false">IF(OR(E851="",E851="!!!",F851="NEW"),"",INDEX(V$1:V838,SUMPRODUCT(MAX(ROW(Q$1:Q838)*(E851=Q$1:Q838)))))</f>
        <v/>
      </c>
      <c r="L851" s="26"/>
      <c r="M851" s="27"/>
    </row>
    <row r="852" customFormat="false" ht="15" hidden="false" customHeight="false" outlineLevel="0" collapsed="false">
      <c r="A852" s="19" t="s">
        <v>614</v>
      </c>
      <c r="B852" s="28" t="s">
        <v>258</v>
      </c>
      <c r="C852" s="28" t="s">
        <v>333</v>
      </c>
      <c r="D852" s="28" t="s">
        <v>253</v>
      </c>
      <c r="E852" s="20" t="s">
        <v>614</v>
      </c>
      <c r="F852" s="21" t="str">
        <f aca="false">IF(OR(E852="",E852="!!!"),"",IF(NOT(ISNA(VLOOKUP(E852,Q$1:Q839,1,FALSE()))),"OLD",IF(AND(E852&lt;&gt;"",E852&lt;&gt;"!!!"),"NEW","")))</f>
        <v>NEW</v>
      </c>
      <c r="G852" s="22" t="s">
        <v>283</v>
      </c>
      <c r="H852" s="23" t="str">
        <f aca="false">IF(J852&lt;&gt;1,"",IF(I852="SBJ","CB","?"))</f>
        <v/>
      </c>
      <c r="I852" s="24" t="str">
        <f aca="false">IF(OR(E852="",E852="!!!",F852="NEW"),"",INDEX(N$2:N839,-1+SUMPRODUCT(MAX(ROW(E$2:E839)*(E852=E$2:E839)))))</f>
        <v/>
      </c>
      <c r="J852" s="25" t="str">
        <f aca="true">IF(OR(E852="",E852="!!!",F852="NEW"),"",COUNTBLANK(OFFSET(M$1,,,SUMPRODUCT(MAX(ROW(E$2:E840)*(E852=E$2:E840)))))-COUNTBLANK(OFFSET(M$1,,,SUMPRODUCT(MAX(ROW(Q$1:Q839)*(E852=Q$1:Q839))))))</f>
        <v/>
      </c>
      <c r="K852" s="25" t="str">
        <f aca="false">IF(OR(E852="",E852="!!!",F852="NEW"),"",INDEX(V$1:V839,SUMPRODUCT(MAX(ROW(Q$1:Q839)*(E852=Q$1:Q839)))))</f>
        <v/>
      </c>
      <c r="L852" s="26"/>
      <c r="M852" s="27"/>
      <c r="N852" s="29"/>
      <c r="O852" s="29"/>
      <c r="P852" s="29"/>
    </row>
    <row r="853" customFormat="false" ht="15" hidden="false" customHeight="false" outlineLevel="0" collapsed="false">
      <c r="A853" s="19" t="s">
        <v>261</v>
      </c>
      <c r="E853" s="20" t="str">
        <f aca="false">IF(P853="?OLD","!!!","")</f>
        <v/>
      </c>
      <c r="F853" s="21" t="str">
        <f aca="false">IF(OR(E853="",E853="!!!"),"",IF(NOT(ISNA(VLOOKUP(E853,Q$1:Q840,1,FALSE()))),"OLD",IF(AND(E853&lt;&gt;"",E853&lt;&gt;"!!!"),"NEW","")))</f>
        <v/>
      </c>
      <c r="G853" s="22" t="str">
        <f aca="false">IF(OR(E853="",E853="!!!"),"",IF(OR(J853=0,AND(J853=1,K853=1),AND(J853=1,I853="SBJ"),AND(J853=1,I853=0)),"?IN_FOCUS",IF(J853&lt;=2,"?ACTIVATED",IF(J853&lt;&gt;"","?FAMILIAR",IF(F853="NEW",IF(ISNA(VLOOKUP(E853,#REF!,1,FALSE())),"?TYPE_IDENTIFIABLE","?REFERENTIAL"),"_")))))</f>
        <v/>
      </c>
      <c r="H853" s="23" t="str">
        <f aca="false">IF(J853&lt;&gt;1,"",IF(I853="SBJ","CB","?"))</f>
        <v/>
      </c>
      <c r="I853" s="24" t="str">
        <f aca="false">IF(OR(E853="",E853="!!!",F853="NEW"),"",INDEX(N$2:N840,-1+SUMPRODUCT(MAX(ROW(E$2:E840)*(E853=E$2:E840)))))</f>
        <v/>
      </c>
      <c r="J853" s="25" t="str">
        <f aca="true">IF(OR(E853="",E853="!!!",F853="NEW"),"",COUNTBLANK(OFFSET(M$1,,,SUMPRODUCT(MAX(ROW(E$2:E841)*(E853=E$2:E841)))))-COUNTBLANK(OFFSET(M$1,,,SUMPRODUCT(MAX(ROW(Q$1:Q840)*(E853=Q$1:Q840))))))</f>
        <v/>
      </c>
      <c r="K853" s="25" t="str">
        <f aca="false">IF(OR(E853="",E853="!!!",F853="NEW"),"",INDEX(V$1:V840,SUMPRODUCT(MAX(ROW(Q$1:Q840)*(E853=Q$1:Q840)))))</f>
        <v/>
      </c>
      <c r="L853" s="26"/>
      <c r="M853" s="27"/>
    </row>
    <row r="854" customFormat="false" ht="15" hidden="false" customHeight="false" outlineLevel="0" collapsed="false">
      <c r="A854" s="19" t="s">
        <v>662</v>
      </c>
      <c r="E854" s="20" t="str">
        <f aca="false">IF(P854="?OLD","!!!","")</f>
        <v/>
      </c>
      <c r="F854" s="21" t="str">
        <f aca="false">IF(OR(E854="",E854="!!!"),"",IF(NOT(ISNA(VLOOKUP(E854,Q$1:Q841,1,FALSE()))),"OLD",IF(AND(E854&lt;&gt;"",E854&lt;&gt;"!!!"),"NEW","")))</f>
        <v/>
      </c>
      <c r="G854" s="22" t="str">
        <f aca="false">IF(OR(E854="",E854="!!!"),"",IF(OR(J854=0,AND(J854=1,K854=1),AND(J854=1,I854="SBJ"),AND(J854=1,I854=0)),"?IN_FOCUS",IF(J854&lt;=2,"?ACTIVATED",IF(J854&lt;&gt;"","?FAMILIAR",IF(F854="NEW",IF(ISNA(VLOOKUP(E854,#REF!,1,FALSE())),"?TYPE_IDENTIFIABLE","?REFERENTIAL"),"_")))))</f>
        <v/>
      </c>
      <c r="H854" s="23" t="str">
        <f aca="false">IF(J854&lt;&gt;1,"",IF(I854="SBJ","CB","?"))</f>
        <v/>
      </c>
      <c r="I854" s="24" t="str">
        <f aca="false">IF(OR(E854="",E854="!!!",F854="NEW"),"",INDEX(N$2:N841,-1+SUMPRODUCT(MAX(ROW(E$2:E841)*(E854=E$2:E841)))))</f>
        <v/>
      </c>
      <c r="J854" s="25" t="str">
        <f aca="true">IF(OR(E854="",E854="!!!",F854="NEW"),"",COUNTBLANK(OFFSET(M$1,,,SUMPRODUCT(MAX(ROW(E$2:E842)*(E854=E$2:E842)))))-COUNTBLANK(OFFSET(M$1,,,SUMPRODUCT(MAX(ROW(Q$1:Q841)*(E854=Q$1:Q841))))))</f>
        <v/>
      </c>
      <c r="K854" s="25" t="str">
        <f aca="false">IF(OR(E854="",E854="!!!",F854="NEW"),"",INDEX(V$1:V841,SUMPRODUCT(MAX(ROW(Q$1:Q841)*(E854=Q$1:Q841)))))</f>
        <v/>
      </c>
      <c r="L854" s="26"/>
      <c r="M854" s="27"/>
    </row>
    <row r="855" customFormat="false" ht="15" hidden="false" customHeight="false" outlineLevel="0" collapsed="false">
      <c r="A855" s="19" t="s">
        <v>551</v>
      </c>
      <c r="E855" s="20" t="str">
        <f aca="false">IF(P855="?OLD","!!!","")</f>
        <v/>
      </c>
      <c r="F855" s="21" t="str">
        <f aca="false">IF(OR(E855="",E855="!!!"),"",IF(NOT(ISNA(VLOOKUP(E855,Q$1:Q842,1,FALSE()))),"OLD",IF(AND(E855&lt;&gt;"",E855&lt;&gt;"!!!"),"NEW","")))</f>
        <v/>
      </c>
      <c r="G855" s="22" t="str">
        <f aca="false">IF(OR(E855="",E855="!!!"),"",IF(OR(J855=0,AND(J855=1,K855=1),AND(J855=1,I855="SBJ"),AND(J855=1,I855=0)),"?IN_FOCUS",IF(J855&lt;=2,"?ACTIVATED",IF(J855&lt;&gt;"","?FAMILIAR",IF(F855="NEW",IF(ISNA(VLOOKUP(E855,#REF!,1,FALSE())),"?TYPE_IDENTIFIABLE","?REFERENTIAL"),"_")))))</f>
        <v/>
      </c>
      <c r="H855" s="23" t="str">
        <f aca="false">IF(J855&lt;&gt;1,"",IF(I855="SBJ","CB","?"))</f>
        <v/>
      </c>
      <c r="I855" s="24" t="str">
        <f aca="false">IF(OR(E855="",E855="!!!",F855="NEW"),"",INDEX(N$2:N842,-1+SUMPRODUCT(MAX(ROW(E$2:E842)*(E855=E$2:E842)))))</f>
        <v/>
      </c>
      <c r="J855" s="25" t="str">
        <f aca="true">IF(OR(E855="",E855="!!!",F855="NEW"),"",COUNTBLANK(OFFSET(M$1,,,SUMPRODUCT(MAX(ROW(E$2:E843)*(E855=E$2:E843)))))-COUNTBLANK(OFFSET(M$1,,,SUMPRODUCT(MAX(ROW(Q$1:Q842)*(E855=Q$1:Q842))))))</f>
        <v/>
      </c>
      <c r="K855" s="25" t="str">
        <f aca="false">IF(OR(E855="",E855="!!!",F855="NEW"),"",INDEX(V$1:V842,SUMPRODUCT(MAX(ROW(Q$1:Q842)*(E855=Q$1:Q842)))))</f>
        <v/>
      </c>
      <c r="L855" s="26"/>
      <c r="M855" s="27"/>
    </row>
    <row r="856" customFormat="false" ht="15" hidden="false" customHeight="false" outlineLevel="0" collapsed="false">
      <c r="A856" s="19" t="s">
        <v>356</v>
      </c>
      <c r="B856" s="28" t="s">
        <v>450</v>
      </c>
      <c r="C856" s="28" t="s">
        <v>358</v>
      </c>
      <c r="D856" s="28" t="s">
        <v>253</v>
      </c>
      <c r="E856" s="20" t="s">
        <v>586</v>
      </c>
      <c r="F856" s="21" t="str">
        <f aca="false">IF(OR(E856="",E856="!!!"),"",IF(NOT(ISNA(VLOOKUP(E856,Q$1:Q843,1,FALSE()))),"OLD",IF(AND(E856&lt;&gt;"",E856&lt;&gt;"!!!"),"NEW","")))</f>
        <v>NEW</v>
      </c>
      <c r="G856" s="22" t="s">
        <v>296</v>
      </c>
      <c r="H856" s="23" t="str">
        <f aca="false">IF(J856&lt;&gt;1,"",IF(I856="SBJ","CB","?"))</f>
        <v/>
      </c>
      <c r="I856" s="24" t="str">
        <f aca="false">IF(OR(E856="",E856="!!!",F856="NEW"),"",INDEX(N$2:N843,-1+SUMPRODUCT(MAX(ROW(E$2:E843)*(E856=E$2:E843)))))</f>
        <v/>
      </c>
      <c r="J856" s="25" t="str">
        <f aca="true">IF(OR(E856="",E856="!!!",F856="NEW"),"",COUNTBLANK(OFFSET(M$1,,,SUMPRODUCT(MAX(ROW(E$2:E844)*(E856=E$2:E844)))))-COUNTBLANK(OFFSET(M$1,,,SUMPRODUCT(MAX(ROW(Q$1:Q843)*(E856=Q$1:Q843))))))</f>
        <v/>
      </c>
      <c r="K856" s="25" t="str">
        <f aca="false">IF(OR(E856="",E856="!!!",F856="NEW"),"",INDEX(V$1:V843,SUMPRODUCT(MAX(ROW(Q$1:Q843)*(E856=Q$1:Q843)))))</f>
        <v/>
      </c>
      <c r="L856" s="26"/>
      <c r="M856" s="27"/>
      <c r="N856" s="29"/>
      <c r="O856" s="29"/>
      <c r="P856" s="29"/>
    </row>
    <row r="857" customFormat="false" ht="15" hidden="false" customHeight="false" outlineLevel="0" collapsed="false">
      <c r="A857" s="19" t="s">
        <v>484</v>
      </c>
      <c r="B857" s="28" t="s">
        <v>442</v>
      </c>
      <c r="C857" s="28" t="s">
        <v>314</v>
      </c>
      <c r="D857" s="28" t="s">
        <v>253</v>
      </c>
      <c r="E857" s="20" t="s">
        <v>607</v>
      </c>
      <c r="F857" s="21" t="str">
        <f aca="false">IF(OR(E857="",E857="!!!"),"",IF(NOT(ISNA(VLOOKUP(E857,Q$1:Q844,1,FALSE()))),"OLD",IF(AND(E857&lt;&gt;"",E857&lt;&gt;"!!!"),"NEW","")))</f>
        <v>NEW</v>
      </c>
      <c r="G857" s="22" t="s">
        <v>283</v>
      </c>
      <c r="H857" s="23" t="str">
        <f aca="false">IF(J857&lt;&gt;1,"",IF(I857="SBJ","CB","?"))</f>
        <v/>
      </c>
      <c r="I857" s="24" t="str">
        <f aca="false">IF(OR(E857="",E857="!!!",F857="NEW"),"",INDEX(N$2:N844,-1+SUMPRODUCT(MAX(ROW(E$2:E844)*(E857=E$2:E844)))))</f>
        <v/>
      </c>
      <c r="J857" s="25" t="str">
        <f aca="true">IF(OR(E857="",E857="!!!",F857="NEW"),"",COUNTBLANK(OFFSET(M$1,,,SUMPRODUCT(MAX(ROW(E$2:E845)*(E857=E$2:E845)))))-COUNTBLANK(OFFSET(M$1,,,SUMPRODUCT(MAX(ROW(Q$1:Q844)*(E857=Q$1:Q844))))))</f>
        <v/>
      </c>
      <c r="K857" s="25" t="str">
        <f aca="false">IF(OR(E857="",E857="!!!",F857="NEW"),"",INDEX(V$1:V844,SUMPRODUCT(MAX(ROW(Q$1:Q844)*(E857=Q$1:Q844)))))</f>
        <v/>
      </c>
      <c r="L857" s="26"/>
      <c r="M857" s="27"/>
      <c r="N857" s="29"/>
      <c r="O857" s="29"/>
      <c r="P857" s="29"/>
    </row>
    <row r="858" customFormat="false" ht="15" hidden="false" customHeight="false" outlineLevel="0" collapsed="false">
      <c r="A858" s="19" t="s">
        <v>87</v>
      </c>
      <c r="E858" s="20" t="str">
        <f aca="false">IF(P858="?OLD","!!!","")</f>
        <v/>
      </c>
      <c r="F858" s="21" t="str">
        <f aca="false">IF(OR(E858="",E858="!!!"),"",IF(NOT(ISNA(VLOOKUP(E858,Q$1:Q845,1,FALSE()))),"OLD",IF(AND(E858&lt;&gt;"",E858&lt;&gt;"!!!"),"NEW","")))</f>
        <v/>
      </c>
      <c r="G858" s="22" t="str">
        <f aca="false">IF(OR(E858="",E858="!!!"),"",IF(OR(J858=0,AND(J858=1,K858=1),AND(J858=1,I858="SBJ"),AND(J858=1,I858=0)),"?IN_FOCUS",IF(J858&lt;=2,"?ACTIVATED",IF(J858&lt;&gt;"","?FAMILIAR",IF(F858="NEW",IF(ISNA(VLOOKUP(E858,#REF!,1,FALSE())),"?TYPE_IDENTIFIABLE","?REFERENTIAL"),"_")))))</f>
        <v/>
      </c>
      <c r="H858" s="23" t="str">
        <f aca="false">IF(J858&lt;&gt;1,"",IF(I858="SBJ","CB","?"))</f>
        <v/>
      </c>
      <c r="I858" s="24" t="str">
        <f aca="false">IF(OR(E858="",E858="!!!",F858="NEW"),"",INDEX(N$2:N845,-1+SUMPRODUCT(MAX(ROW(E$2:E845)*(E858=E$2:E845)))))</f>
        <v/>
      </c>
      <c r="J858" s="25" t="str">
        <f aca="true">IF(OR(E858="",E858="!!!",F858="NEW"),"",COUNTBLANK(OFFSET(M$1,,,SUMPRODUCT(MAX(ROW(E$2:E846)*(E858=E$2:E846)))))-COUNTBLANK(OFFSET(M$1,,,SUMPRODUCT(MAX(ROW(Q$1:Q845)*(E858=Q$1:Q845))))))</f>
        <v/>
      </c>
      <c r="K858" s="25" t="str">
        <f aca="false">IF(OR(E858="",E858="!!!",F858="NEW"),"",INDEX(V$1:V845,SUMPRODUCT(MAX(ROW(Q$1:Q845)*(E858=Q$1:Q845)))))</f>
        <v/>
      </c>
      <c r="L858" s="26"/>
      <c r="M858" s="27"/>
    </row>
    <row r="859" customFormat="false" ht="15" hidden="false" customHeight="false" outlineLevel="0" collapsed="false">
      <c r="A859" s="19" t="s">
        <v>618</v>
      </c>
      <c r="B859" s="28" t="s">
        <v>663</v>
      </c>
      <c r="C859" s="28" t="s">
        <v>259</v>
      </c>
      <c r="E859" s="20" t="s">
        <v>664</v>
      </c>
      <c r="F859" s="21" t="str">
        <f aca="false">IF(OR(E859="",E859="!!!"),"",IF(NOT(ISNA(VLOOKUP(E859,Q$1:Q846,1,FALSE()))),"OLD",IF(AND(E859&lt;&gt;"",E859&lt;&gt;"!!!"),"NEW","")))</f>
        <v>NEW</v>
      </c>
      <c r="G859" s="22" t="s">
        <v>255</v>
      </c>
      <c r="H859" s="23" t="str">
        <f aca="false">IF(J859&lt;&gt;1,"",IF(I859="SBJ","CB","?"))</f>
        <v/>
      </c>
      <c r="I859" s="24" t="str">
        <f aca="false">IF(OR(E859="",E859="!!!",F859="NEW"),"",INDEX(N$2:N846,-1+SUMPRODUCT(MAX(ROW(E$2:E846)*(E859=E$2:E846)))))</f>
        <v/>
      </c>
      <c r="J859" s="25" t="str">
        <f aca="true">IF(OR(E859="",E859="!!!",F859="NEW"),"",COUNTBLANK(OFFSET(M$1,,,SUMPRODUCT(MAX(ROW(E$2:E847)*(E859=E$2:E847)))))-COUNTBLANK(OFFSET(M$1,,,SUMPRODUCT(MAX(ROW(Q$1:Q846)*(E859=Q$1:Q846))))))</f>
        <v/>
      </c>
      <c r="K859" s="25" t="str">
        <f aca="false">IF(OR(E859="",E859="!!!",F859="NEW"),"",INDEX(V$1:V846,SUMPRODUCT(MAX(ROW(Q$1:Q846)*(E859=Q$1:Q846)))))</f>
        <v/>
      </c>
      <c r="L859" s="26"/>
      <c r="M859" s="27"/>
      <c r="N859" s="29"/>
      <c r="O859" s="29"/>
    </row>
    <row r="860" customFormat="false" ht="15" hidden="false" customHeight="false" outlineLevel="0" collapsed="false">
      <c r="A860" s="19" t="s">
        <v>275</v>
      </c>
      <c r="E860" s="20" t="str">
        <f aca="false">IF(P860="?OLD","!!!","")</f>
        <v/>
      </c>
      <c r="F860" s="21" t="str">
        <f aca="false">IF(OR(E860="",E860="!!!"),"",IF(NOT(ISNA(VLOOKUP(E860,Q$1:Q847,1,FALSE()))),"OLD",IF(AND(E860&lt;&gt;"",E860&lt;&gt;"!!!"),"NEW","")))</f>
        <v/>
      </c>
      <c r="G860" s="22" t="str">
        <f aca="false">IF(OR(E860="",E860="!!!"),"",IF(OR(J860=0,AND(J860=1,K860=1),AND(J860=1,I860="SBJ"),AND(J860=1,I860=0)),"?IN_FOCUS",IF(J860&lt;=2,"?ACTIVATED",IF(J860&lt;&gt;"","?FAMILIAR",IF(F860="NEW",IF(ISNA(VLOOKUP(E860,#REF!,1,FALSE())),"?TYPE_IDENTIFIABLE","?REFERENTIAL"),"_")))))</f>
        <v/>
      </c>
      <c r="H860" s="23" t="str">
        <f aca="false">IF(J860&lt;&gt;1,"",IF(I860="SBJ","CB","?"))</f>
        <v/>
      </c>
      <c r="I860" s="24" t="str">
        <f aca="false">IF(OR(E860="",E860="!!!",F860="NEW"),"",INDEX(N$2:N847,-1+SUMPRODUCT(MAX(ROW(E$2:E847)*(E860=E$2:E847)))))</f>
        <v/>
      </c>
      <c r="J860" s="25" t="str">
        <f aca="true">IF(OR(E860="",E860="!!!",F860="NEW"),"",COUNTBLANK(OFFSET(M$1,,,SUMPRODUCT(MAX(ROW(E$2:E848)*(E860=E$2:E848)))))-COUNTBLANK(OFFSET(M$1,,,SUMPRODUCT(MAX(ROW(Q$1:Q847)*(E860=Q$1:Q847))))))</f>
        <v/>
      </c>
      <c r="K860" s="25" t="str">
        <f aca="false">IF(OR(E860="",E860="!!!",F860="NEW"),"",INDEX(V$1:V847,SUMPRODUCT(MAX(ROW(Q$1:Q847)*(E860=Q$1:Q847)))))</f>
        <v/>
      </c>
      <c r="L860" s="26"/>
      <c r="M860" s="27"/>
    </row>
    <row r="861" customFormat="false" ht="15" hidden="false" customHeight="false" outlineLevel="0" collapsed="false">
      <c r="A861" s="19"/>
      <c r="E861" s="20" t="str">
        <f aca="false">IF(P861="?OLD","!!!","")</f>
        <v/>
      </c>
      <c r="F861" s="21" t="str">
        <f aca="false">IF(OR(E861="",E861="!!!"),"",IF(NOT(ISNA(VLOOKUP(E861,Q$1:Q848,1,FALSE()))),"OLD",IF(AND(E861&lt;&gt;"",E861&lt;&gt;"!!!"),"NEW","")))</f>
        <v/>
      </c>
      <c r="G861" s="22" t="str">
        <f aca="false">IF(OR(E861="",E861="!!!"),"",IF(OR(J861=0,AND(J861=1,K861=1),AND(J861=1,I861="SBJ"),AND(J861=1,I861=0)),"?IN_FOCUS",IF(J861&lt;=2,"?ACTIVATED",IF(J861&lt;&gt;"","?FAMILIAR",IF(F861="NEW",IF(ISNA(VLOOKUP(E861,#REF!,1,FALSE())),"?TYPE_IDENTIFIABLE","?REFERENTIAL"),"_")))))</f>
        <v/>
      </c>
      <c r="H861" s="23" t="str">
        <f aca="false">IF(J861&lt;&gt;1,"",IF(I861="SBJ","CB","?"))</f>
        <v/>
      </c>
      <c r="I861" s="24" t="str">
        <f aca="false">IF(OR(E861="",E861="!!!",F861="NEW"),"",INDEX(N$2:N848,-1+SUMPRODUCT(MAX(ROW(E$2:E848)*(E861=E$2:E848)))))</f>
        <v/>
      </c>
      <c r="J861" s="25" t="str">
        <f aca="true">IF(OR(E861="",E861="!!!",F861="NEW"),"",COUNTBLANK(OFFSET(M$1,,,SUMPRODUCT(MAX(ROW(E$2:E849)*(E861=E$2:E849)))))-COUNTBLANK(OFFSET(M$1,,,SUMPRODUCT(MAX(ROW(Q$1:Q848)*(E861=Q$1:Q848))))))</f>
        <v/>
      </c>
      <c r="K861" s="25" t="str">
        <f aca="false">IF(OR(E861="",E861="!!!",F861="NEW"),"",INDEX(V$1:V848,SUMPRODUCT(MAX(ROW(Q$1:Q848)*(E861=Q$1:Q848)))))</f>
        <v/>
      </c>
      <c r="L861" s="26"/>
    </row>
    <row r="862" customFormat="false" ht="15" hidden="false" customHeight="false" outlineLevel="0" collapsed="false">
      <c r="A862" s="19" t="s">
        <v>665</v>
      </c>
      <c r="E862" s="20" t="str">
        <f aca="false">IF(P862="?OLD","!!!","")</f>
        <v/>
      </c>
      <c r="F862" s="21" t="str">
        <f aca="false">IF(OR(E862="",E862="!!!"),"",IF(NOT(ISNA(VLOOKUP(E862,Q$1:Q849,1,FALSE()))),"OLD",IF(AND(E862&lt;&gt;"",E862&lt;&gt;"!!!"),"NEW","")))</f>
        <v/>
      </c>
      <c r="G862" s="22" t="str">
        <f aca="false">IF(OR(E862="",E862="!!!"),"",IF(OR(J862=0,AND(J862=1,K862=1),AND(J862=1,I862="SBJ"),AND(J862=1,I862=0)),"?IN_FOCUS",IF(J862&lt;=2,"?ACTIVATED",IF(J862&lt;&gt;"","?FAMILIAR",IF(F862="NEW",IF(ISNA(VLOOKUP(E862,#REF!,1,FALSE())),"?TYPE_IDENTIFIABLE","?REFERENTIAL"),"_")))))</f>
        <v/>
      </c>
      <c r="H862" s="23" t="str">
        <f aca="false">IF(J862&lt;&gt;1,"",IF(I862="SBJ","CB","?"))</f>
        <v/>
      </c>
      <c r="I862" s="24" t="str">
        <f aca="false">IF(OR(E862="",E862="!!!",F862="NEW"),"",INDEX(N$2:N849,-1+SUMPRODUCT(MAX(ROW(E$2:E849)*(E862=E$2:E849)))))</f>
        <v/>
      </c>
      <c r="J862" s="25" t="str">
        <f aca="true">IF(OR(E862="",E862="!!!",F862="NEW"),"",COUNTBLANK(OFFSET(M$1,,,SUMPRODUCT(MAX(ROW(E$2:E850)*(E862=E$2:E850)))))-COUNTBLANK(OFFSET(M$1,,,SUMPRODUCT(MAX(ROW(Q$1:Q849)*(E862=Q$1:Q849))))))</f>
        <v/>
      </c>
      <c r="K862" s="25" t="str">
        <f aca="false">IF(OR(E862="",E862="!!!",F862="NEW"),"",INDEX(V$1:V849,SUMPRODUCT(MAX(ROW(Q$1:Q849)*(E862=Q$1:Q849)))))</f>
        <v/>
      </c>
      <c r="L862" s="26"/>
      <c r="M862" s="27"/>
    </row>
    <row r="863" customFormat="false" ht="15" hidden="false" customHeight="false" outlineLevel="0" collapsed="false">
      <c r="A863" s="19" t="s">
        <v>666</v>
      </c>
      <c r="E863" s="20" t="str">
        <f aca="false">IF(P863="?OLD","!!!","")</f>
        <v/>
      </c>
      <c r="F863" s="21" t="str">
        <f aca="false">IF(OR(E863="",E863="!!!"),"",IF(NOT(ISNA(VLOOKUP(E863,Q$1:Q850,1,FALSE()))),"OLD",IF(AND(E863&lt;&gt;"",E863&lt;&gt;"!!!"),"NEW","")))</f>
        <v/>
      </c>
      <c r="G863" s="22" t="str">
        <f aca="false">IF(OR(E863="",E863="!!!"),"",IF(OR(J863=0,AND(J863=1,K863=1),AND(J863=1,I863="SBJ"),AND(J863=1,I863=0)),"?IN_FOCUS",IF(J863&lt;=2,"?ACTIVATED",IF(J863&lt;&gt;"","?FAMILIAR",IF(F863="NEW",IF(ISNA(VLOOKUP(E863,#REF!,1,FALSE())),"?TYPE_IDENTIFIABLE","?REFERENTIAL"),"_")))))</f>
        <v/>
      </c>
      <c r="H863" s="23" t="str">
        <f aca="false">IF(J863&lt;&gt;1,"",IF(I863="SBJ","CB","?"))</f>
        <v/>
      </c>
      <c r="I863" s="24" t="str">
        <f aca="false">IF(OR(E863="",E863="!!!",F863="NEW"),"",INDEX(N$2:N850,-1+SUMPRODUCT(MAX(ROW(E$2:E850)*(E863=E$2:E850)))))</f>
        <v/>
      </c>
      <c r="J863" s="25" t="str">
        <f aca="true">IF(OR(E863="",E863="!!!",F863="NEW"),"",COUNTBLANK(OFFSET(M$1,,,SUMPRODUCT(MAX(ROW(E$2:E851)*(E863=E$2:E851)))))-COUNTBLANK(OFFSET(M$1,,,SUMPRODUCT(MAX(ROW(Q$1:Q850)*(E863=Q$1:Q850))))))</f>
        <v/>
      </c>
      <c r="K863" s="25" t="str">
        <f aca="false">IF(OR(E863="",E863="!!!",F863="NEW"),"",INDEX(V$1:V850,SUMPRODUCT(MAX(ROW(Q$1:Q850)*(E863=Q$1:Q850)))))</f>
        <v/>
      </c>
      <c r="L863" s="26"/>
      <c r="M863" s="27"/>
    </row>
    <row r="864" customFormat="false" ht="15" hidden="false" customHeight="false" outlineLevel="0" collapsed="false">
      <c r="A864" s="19" t="s">
        <v>546</v>
      </c>
      <c r="B864" s="28" t="s">
        <v>263</v>
      </c>
      <c r="C864" s="28" t="s">
        <v>333</v>
      </c>
      <c r="D864" s="28" t="s">
        <v>253</v>
      </c>
      <c r="E864" s="20" t="s">
        <v>546</v>
      </c>
      <c r="F864" s="21" t="str">
        <f aca="false">IF(OR(E864="",E864="!!!"),"",IF(NOT(ISNA(VLOOKUP(E864,Q$1:Q851,1,FALSE()))),"OLD",IF(AND(E864&lt;&gt;"",E864&lt;&gt;"!!!"),"NEW","")))</f>
        <v>NEW</v>
      </c>
      <c r="G864" s="22" t="s">
        <v>266</v>
      </c>
      <c r="H864" s="23" t="s">
        <v>243</v>
      </c>
      <c r="I864" s="24" t="str">
        <f aca="false">IF(OR(E864="",E864="!!!",F864="NEW"),"",INDEX(N$2:N851,-1+SUMPRODUCT(MAX(ROW(E$2:E851)*(E864=E$2:E851)))))</f>
        <v/>
      </c>
      <c r="J864" s="25" t="str">
        <f aca="true">IF(OR(E864="",E864="!!!",F864="NEW"),"",COUNTBLANK(OFFSET(M$1,,,SUMPRODUCT(MAX(ROW(E$2:E852)*(E864=E$2:E852)))))-COUNTBLANK(OFFSET(M$1,,,SUMPRODUCT(MAX(ROW(Q$1:Q851)*(E864=Q$1:Q851))))))</f>
        <v/>
      </c>
      <c r="K864" s="25" t="str">
        <f aca="false">IF(OR(E864="",E864="!!!",F864="NEW"),"",INDEX(V$1:V851,SUMPRODUCT(MAX(ROW(Q$1:Q851)*(E864=Q$1:Q851)))))</f>
        <v/>
      </c>
      <c r="L864" s="26"/>
      <c r="M864" s="27"/>
      <c r="N864" s="29"/>
      <c r="O864" s="29"/>
      <c r="P864" s="29"/>
    </row>
    <row r="865" customFormat="false" ht="15" hidden="false" customHeight="false" outlineLevel="0" collapsed="false">
      <c r="A865" s="19" t="s">
        <v>413</v>
      </c>
      <c r="E865" s="20" t="str">
        <f aca="false">IF(P865="?OLD","!!!","")</f>
        <v/>
      </c>
      <c r="F865" s="21" t="str">
        <f aca="false">IF(OR(E865="",E865="!!!"),"",IF(NOT(ISNA(VLOOKUP(E865,Q$1:Q852,1,FALSE()))),"OLD",IF(AND(E865&lt;&gt;"",E865&lt;&gt;"!!!"),"NEW","")))</f>
        <v/>
      </c>
      <c r="G865" s="22" t="str">
        <f aca="false">IF(OR(E865="",E865="!!!"),"",IF(OR(J865=0,AND(J865=1,K865=1),AND(J865=1,I865="SBJ"),AND(J865=1,I865=0)),"?IN_FOCUS",IF(J865&lt;=2,"?ACTIVATED",IF(J865&lt;&gt;"","?FAMILIAR",IF(F865="NEW",IF(ISNA(VLOOKUP(E865,#REF!,1,FALSE())),"?TYPE_IDENTIFIABLE","?REFERENTIAL"),"_")))))</f>
        <v/>
      </c>
      <c r="H865" s="23" t="str">
        <f aca="false">IF(J865&lt;&gt;1,"",IF(I865="SBJ","CB","?"))</f>
        <v/>
      </c>
      <c r="I865" s="24" t="str">
        <f aca="false">IF(OR(E865="",E865="!!!",F865="NEW"),"",INDEX(N$2:N852,-1+SUMPRODUCT(MAX(ROW(E$2:E852)*(E865=E$2:E852)))))</f>
        <v/>
      </c>
      <c r="J865" s="25" t="str">
        <f aca="true">IF(OR(E865="",E865="!!!",F865="NEW"),"",COUNTBLANK(OFFSET(M$1,,,SUMPRODUCT(MAX(ROW(E$2:E853)*(E865=E$2:E853)))))-COUNTBLANK(OFFSET(M$1,,,SUMPRODUCT(MAX(ROW(Q$1:Q852)*(E865=Q$1:Q852))))))</f>
        <v/>
      </c>
      <c r="K865" s="25" t="str">
        <f aca="false">IF(OR(E865="",E865="!!!",F865="NEW"),"",INDEX(V$1:V852,SUMPRODUCT(MAX(ROW(Q$1:Q852)*(E865=Q$1:Q852)))))</f>
        <v/>
      </c>
      <c r="L865" s="26"/>
      <c r="M865" s="27"/>
    </row>
    <row r="866" customFormat="false" ht="15" hidden="false" customHeight="false" outlineLevel="0" collapsed="false">
      <c r="A866" s="19" t="s">
        <v>573</v>
      </c>
      <c r="E866" s="20" t="str">
        <f aca="false">IF(P866="?OLD","!!!","")</f>
        <v/>
      </c>
      <c r="F866" s="21" t="str">
        <f aca="false">IF(OR(E866="",E866="!!!"),"",IF(NOT(ISNA(VLOOKUP(E866,Q$1:Q853,1,FALSE()))),"OLD",IF(AND(E866&lt;&gt;"",E866&lt;&gt;"!!!"),"NEW","")))</f>
        <v/>
      </c>
      <c r="G866" s="22" t="str">
        <f aca="false">IF(OR(E866="",E866="!!!"),"",IF(OR(J866=0,AND(J866=1,K866=1),AND(J866=1,I866="SBJ"),AND(J866=1,I866=0)),"?IN_FOCUS",IF(J866&lt;=2,"?ACTIVATED",IF(J866&lt;&gt;"","?FAMILIAR",IF(F866="NEW",IF(ISNA(VLOOKUP(E866,#REF!,1,FALSE())),"?TYPE_IDENTIFIABLE","?REFERENTIAL"),"_")))))</f>
        <v/>
      </c>
      <c r="H866" s="23" t="str">
        <f aca="false">IF(J866&lt;&gt;1,"",IF(I866="SBJ","CB","?"))</f>
        <v/>
      </c>
      <c r="I866" s="24" t="str">
        <f aca="false">IF(OR(E866="",E866="!!!",F866="NEW"),"",INDEX(N$2:N853,-1+SUMPRODUCT(MAX(ROW(E$2:E853)*(E866=E$2:E853)))))</f>
        <v/>
      </c>
      <c r="J866" s="25" t="str">
        <f aca="true">IF(OR(E866="",E866="!!!",F866="NEW"),"",COUNTBLANK(OFFSET(M$1,,,SUMPRODUCT(MAX(ROW(E$2:E854)*(E866=E$2:E854)))))-COUNTBLANK(OFFSET(M$1,,,SUMPRODUCT(MAX(ROW(Q$1:Q853)*(E866=Q$1:Q853))))))</f>
        <v/>
      </c>
      <c r="K866" s="25" t="str">
        <f aca="false">IF(OR(E866="",E866="!!!",F866="NEW"),"",INDEX(V$1:V853,SUMPRODUCT(MAX(ROW(Q$1:Q853)*(E866=Q$1:Q853)))))</f>
        <v/>
      </c>
      <c r="L866" s="26"/>
      <c r="M866" s="27"/>
    </row>
    <row r="867" customFormat="false" ht="15" hidden="false" customHeight="false" outlineLevel="0" collapsed="false">
      <c r="A867" s="19" t="s">
        <v>432</v>
      </c>
      <c r="E867" s="20" t="str">
        <f aca="false">IF(P867="?OLD","!!!","")</f>
        <v/>
      </c>
      <c r="F867" s="21" t="str">
        <f aca="false">IF(OR(E867="",E867="!!!"),"",IF(NOT(ISNA(VLOOKUP(E867,Q$1:Q854,1,FALSE()))),"OLD",IF(AND(E867&lt;&gt;"",E867&lt;&gt;"!!!"),"NEW","")))</f>
        <v/>
      </c>
      <c r="G867" s="22" t="str">
        <f aca="false">IF(OR(E867="",E867="!!!"),"",IF(OR(J867=0,AND(J867=1,K867=1),AND(J867=1,I867="SBJ"),AND(J867=1,I867=0)),"?IN_FOCUS",IF(J867&lt;=2,"?ACTIVATED",IF(J867&lt;&gt;"","?FAMILIAR",IF(F867="NEW",IF(ISNA(VLOOKUP(E867,#REF!,1,FALSE())),"?TYPE_IDENTIFIABLE","?REFERENTIAL"),"_")))))</f>
        <v/>
      </c>
      <c r="H867" s="23" t="str">
        <f aca="false">IF(J867&lt;&gt;1,"",IF(I867="SBJ","CB","?"))</f>
        <v/>
      </c>
      <c r="I867" s="24" t="str">
        <f aca="false">IF(OR(E867="",E867="!!!",F867="NEW"),"",INDEX(N$2:N854,-1+SUMPRODUCT(MAX(ROW(E$2:E854)*(E867=E$2:E854)))))</f>
        <v/>
      </c>
      <c r="J867" s="25" t="str">
        <f aca="true">IF(OR(E867="",E867="!!!",F867="NEW"),"",COUNTBLANK(OFFSET(M$1,,,SUMPRODUCT(MAX(ROW(E$2:E855)*(E867=E$2:E855)))))-COUNTBLANK(OFFSET(M$1,,,SUMPRODUCT(MAX(ROW(Q$1:Q854)*(E867=Q$1:Q854))))))</f>
        <v/>
      </c>
      <c r="K867" s="25" t="str">
        <f aca="false">IF(OR(E867="",E867="!!!",F867="NEW"),"",INDEX(V$1:V854,SUMPRODUCT(MAX(ROW(Q$1:Q854)*(E867=Q$1:Q854)))))</f>
        <v/>
      </c>
      <c r="L867" s="26"/>
      <c r="M867" s="27"/>
    </row>
    <row r="868" customFormat="false" ht="15" hidden="false" customHeight="false" outlineLevel="0" collapsed="false">
      <c r="A868" s="19" t="s">
        <v>261</v>
      </c>
      <c r="E868" s="20" t="str">
        <f aca="false">IF(P868="?OLD","!!!","")</f>
        <v/>
      </c>
      <c r="F868" s="21" t="str">
        <f aca="false">IF(OR(E868="",E868="!!!"),"",IF(NOT(ISNA(VLOOKUP(E868,Q$1:Q855,1,FALSE()))),"OLD",IF(AND(E868&lt;&gt;"",E868&lt;&gt;"!!!"),"NEW","")))</f>
        <v/>
      </c>
      <c r="G868" s="22" t="str">
        <f aca="false">IF(OR(E868="",E868="!!!"),"",IF(OR(J868=0,AND(J868=1,K868=1),AND(J868=1,I868="SBJ"),AND(J868=1,I868=0)),"?IN_FOCUS",IF(J868&lt;=2,"?ACTIVATED",IF(J868&lt;&gt;"","?FAMILIAR",IF(F868="NEW",IF(ISNA(VLOOKUP(E868,#REF!,1,FALSE())),"?TYPE_IDENTIFIABLE","?REFERENTIAL"),"_")))))</f>
        <v/>
      </c>
      <c r="H868" s="23" t="str">
        <f aca="false">IF(J868&lt;&gt;1,"",IF(I868="SBJ","CB","?"))</f>
        <v/>
      </c>
      <c r="I868" s="24" t="str">
        <f aca="false">IF(OR(E868="",E868="!!!",F868="NEW"),"",INDEX(N$2:N855,-1+SUMPRODUCT(MAX(ROW(E$2:E855)*(E868=E$2:E855)))))</f>
        <v/>
      </c>
      <c r="J868" s="25" t="str">
        <f aca="true">IF(OR(E868="",E868="!!!",F868="NEW"),"",COUNTBLANK(OFFSET(M$1,,,SUMPRODUCT(MAX(ROW(E$2:E856)*(E868=E$2:E856)))))-COUNTBLANK(OFFSET(M$1,,,SUMPRODUCT(MAX(ROW(Q$1:Q855)*(E868=Q$1:Q855))))))</f>
        <v/>
      </c>
      <c r="K868" s="25" t="str">
        <f aca="false">IF(OR(E868="",E868="!!!",F868="NEW"),"",INDEX(V$1:V855,SUMPRODUCT(MAX(ROW(Q$1:Q855)*(E868=Q$1:Q855)))))</f>
        <v/>
      </c>
      <c r="L868" s="26"/>
      <c r="M868" s="27"/>
    </row>
    <row r="869" customFormat="false" ht="15" hidden="false" customHeight="false" outlineLevel="0" collapsed="false">
      <c r="A869" s="19" t="s">
        <v>309</v>
      </c>
      <c r="E869" s="20" t="str">
        <f aca="false">IF(P869="?OLD","!!!","")</f>
        <v/>
      </c>
      <c r="F869" s="21" t="str">
        <f aca="false">IF(OR(E869="",E869="!!!"),"",IF(NOT(ISNA(VLOOKUP(E869,Q$1:Q856,1,FALSE()))),"OLD",IF(AND(E869&lt;&gt;"",E869&lt;&gt;"!!!"),"NEW","")))</f>
        <v/>
      </c>
      <c r="G869" s="22" t="str">
        <f aca="false">IF(OR(E869="",E869="!!!"),"",IF(OR(J869=0,AND(J869=1,K869=1),AND(J869=1,I869="SBJ"),AND(J869=1,I869=0)),"?IN_FOCUS",IF(J869&lt;=2,"?ACTIVATED",IF(J869&lt;&gt;"","?FAMILIAR",IF(F869="NEW",IF(ISNA(VLOOKUP(E869,#REF!,1,FALSE())),"?TYPE_IDENTIFIABLE","?REFERENTIAL"),"_")))))</f>
        <v/>
      </c>
      <c r="H869" s="23" t="str">
        <f aca="false">IF(J869&lt;&gt;1,"",IF(I869="SBJ","CB","?"))</f>
        <v/>
      </c>
      <c r="I869" s="24" t="str">
        <f aca="false">IF(OR(E869="",E869="!!!",F869="NEW"),"",INDEX(N$2:N856,-1+SUMPRODUCT(MAX(ROW(E$2:E856)*(E869=E$2:E856)))))</f>
        <v/>
      </c>
      <c r="J869" s="25" t="str">
        <f aca="true">IF(OR(E869="",E869="!!!",F869="NEW"),"",COUNTBLANK(OFFSET(M$1,,,SUMPRODUCT(MAX(ROW(E$2:E857)*(E869=E$2:E857)))))-COUNTBLANK(OFFSET(M$1,,,SUMPRODUCT(MAX(ROW(Q$1:Q856)*(E869=Q$1:Q856))))))</f>
        <v/>
      </c>
      <c r="K869" s="25" t="str">
        <f aca="false">IF(OR(E869="",E869="!!!",F869="NEW"),"",INDEX(V$1:V856,SUMPRODUCT(MAX(ROW(Q$1:Q856)*(E869=Q$1:Q856)))))</f>
        <v/>
      </c>
      <c r="L869" s="26"/>
      <c r="M869" s="27"/>
    </row>
    <row r="870" customFormat="false" ht="15" hidden="false" customHeight="false" outlineLevel="0" collapsed="false">
      <c r="A870" s="19" t="s">
        <v>550</v>
      </c>
      <c r="E870" s="20" t="str">
        <f aca="false">IF(P870="?OLD","!!!","")</f>
        <v/>
      </c>
      <c r="F870" s="21" t="str">
        <f aca="false">IF(OR(E870="",E870="!!!"),"",IF(NOT(ISNA(VLOOKUP(E870,Q$1:Q857,1,FALSE()))),"OLD",IF(AND(E870&lt;&gt;"",E870&lt;&gt;"!!!"),"NEW","")))</f>
        <v/>
      </c>
      <c r="G870" s="22" t="str">
        <f aca="false">IF(OR(E870="",E870="!!!"),"",IF(OR(J870=0,AND(J870=1,K870=1),AND(J870=1,I870="SBJ"),AND(J870=1,I870=0)),"?IN_FOCUS",IF(J870&lt;=2,"?ACTIVATED",IF(J870&lt;&gt;"","?FAMILIAR",IF(F870="NEW",IF(ISNA(VLOOKUP(E870,#REF!,1,FALSE())),"?TYPE_IDENTIFIABLE","?REFERENTIAL"),"_")))))</f>
        <v/>
      </c>
      <c r="H870" s="23" t="str">
        <f aca="false">IF(J870&lt;&gt;1,"",IF(I870="SBJ","CB","?"))</f>
        <v/>
      </c>
      <c r="I870" s="24" t="str">
        <f aca="false">IF(OR(E870="",E870="!!!",F870="NEW"),"",INDEX(N$2:N857,-1+SUMPRODUCT(MAX(ROW(E$2:E857)*(E870=E$2:E857)))))</f>
        <v/>
      </c>
      <c r="J870" s="25" t="str">
        <f aca="true">IF(OR(E870="",E870="!!!",F870="NEW"),"",COUNTBLANK(OFFSET(M$1,,,SUMPRODUCT(MAX(ROW(E$2:E858)*(E870=E$2:E858)))))-COUNTBLANK(OFFSET(M$1,,,SUMPRODUCT(MAX(ROW(Q$1:Q857)*(E870=Q$1:Q857))))))</f>
        <v/>
      </c>
      <c r="K870" s="25" t="str">
        <f aca="false">IF(OR(E870="",E870="!!!",F870="NEW"),"",INDEX(V$1:V857,SUMPRODUCT(MAX(ROW(Q$1:Q857)*(E870=Q$1:Q857)))))</f>
        <v/>
      </c>
      <c r="L870" s="26"/>
      <c r="M870" s="27"/>
    </row>
    <row r="871" customFormat="false" ht="15" hidden="false" customHeight="false" outlineLevel="0" collapsed="false">
      <c r="A871" s="19" t="s">
        <v>379</v>
      </c>
      <c r="B871" s="28" t="s">
        <v>251</v>
      </c>
      <c r="C871" s="28" t="s">
        <v>264</v>
      </c>
      <c r="D871" s="28" t="s">
        <v>253</v>
      </c>
      <c r="E871" s="20" t="s">
        <v>265</v>
      </c>
      <c r="F871" s="21" t="str">
        <f aca="false">IF(OR(E871="",E871="!!!"),"",IF(NOT(ISNA(VLOOKUP(E871,Q$1:Q858,1,FALSE()))),"OLD",IF(AND(E871&lt;&gt;"",E871&lt;&gt;"!!!"),"NEW","")))</f>
        <v>NEW</v>
      </c>
      <c r="G871" s="22" t="s">
        <v>266</v>
      </c>
      <c r="H871" s="23" t="str">
        <f aca="false">IF(J871&lt;&gt;1,"",IF(I871="SBJ","CB","?"))</f>
        <v/>
      </c>
      <c r="I871" s="24" t="str">
        <f aca="false">IF(OR(E871="",E871="!!!",F871="NEW"),"",INDEX(N$2:N858,-1+SUMPRODUCT(MAX(ROW(E$2:E858)*(E871=E$2:E858)))))</f>
        <v/>
      </c>
      <c r="J871" s="25" t="str">
        <f aca="true">IF(OR(E871="",E871="!!!",F871="NEW"),"",COUNTBLANK(OFFSET(M$1,,,SUMPRODUCT(MAX(ROW(E$2:E859)*(E871=E$2:E859)))))-COUNTBLANK(OFFSET(M$1,,,SUMPRODUCT(MAX(ROW(Q$1:Q858)*(E871=Q$1:Q858))))))</f>
        <v/>
      </c>
      <c r="K871" s="25" t="str">
        <f aca="false">IF(OR(E871="",E871="!!!",F871="NEW"),"",INDEX(V$1:V858,SUMPRODUCT(MAX(ROW(Q$1:Q858)*(E871=Q$1:Q858)))))</f>
        <v/>
      </c>
      <c r="L871" s="26"/>
      <c r="M871" s="27"/>
      <c r="N871" s="29"/>
      <c r="O871" s="29"/>
      <c r="P871" s="29"/>
    </row>
    <row r="872" customFormat="false" ht="15" hidden="false" customHeight="false" outlineLevel="0" collapsed="false">
      <c r="A872" s="19" t="s">
        <v>218</v>
      </c>
      <c r="E872" s="20" t="str">
        <f aca="false">IF(P872="?OLD","!!!","")</f>
        <v/>
      </c>
      <c r="F872" s="21" t="str">
        <f aca="false">IF(OR(E872="",E872="!!!"),"",IF(NOT(ISNA(VLOOKUP(E872,Q$1:Q859,1,FALSE()))),"OLD",IF(AND(E872&lt;&gt;"",E872&lt;&gt;"!!!"),"NEW","")))</f>
        <v/>
      </c>
      <c r="G872" s="22" t="str">
        <f aca="false">IF(OR(E872="",E872="!!!"),"",IF(OR(J872=0,AND(J872=1,K872=1),AND(J872=1,I872="SBJ"),AND(J872=1,I872=0)),"?IN_FOCUS",IF(J872&lt;=2,"?ACTIVATED",IF(J872&lt;&gt;"","?FAMILIAR",IF(F872="NEW",IF(ISNA(VLOOKUP(E872,#REF!,1,FALSE())),"?TYPE_IDENTIFIABLE","?REFERENTIAL"),"_")))))</f>
        <v/>
      </c>
      <c r="H872" s="23" t="str">
        <f aca="false">IF(J872&lt;&gt;1,"",IF(I872="SBJ","CB","?"))</f>
        <v/>
      </c>
      <c r="I872" s="24" t="str">
        <f aca="false">IF(OR(E872="",E872="!!!",F872="NEW"),"",INDEX(N$2:N859,-1+SUMPRODUCT(MAX(ROW(E$2:E859)*(E872=E$2:E859)))))</f>
        <v/>
      </c>
      <c r="J872" s="25" t="str">
        <f aca="true">IF(OR(E872="",E872="!!!",F872="NEW"),"",COUNTBLANK(OFFSET(M$1,,,SUMPRODUCT(MAX(ROW(E$2:E860)*(E872=E$2:E860)))))-COUNTBLANK(OFFSET(M$1,,,SUMPRODUCT(MAX(ROW(Q$1:Q859)*(E872=Q$1:Q859))))))</f>
        <v/>
      </c>
      <c r="K872" s="25" t="str">
        <f aca="false">IF(OR(E872="",E872="!!!",F872="NEW"),"",INDEX(V$1:V859,SUMPRODUCT(MAX(ROW(Q$1:Q859)*(E872=Q$1:Q859)))))</f>
        <v/>
      </c>
      <c r="L872" s="26"/>
      <c r="M872" s="27"/>
    </row>
    <row r="873" customFormat="false" ht="15" hidden="false" customHeight="false" outlineLevel="0" collapsed="false">
      <c r="A873" s="19" t="s">
        <v>369</v>
      </c>
      <c r="E873" s="20" t="str">
        <f aca="false">IF(P873="?OLD","!!!","")</f>
        <v/>
      </c>
      <c r="F873" s="21" t="str">
        <f aca="false">IF(OR(E873="",E873="!!!"),"",IF(NOT(ISNA(VLOOKUP(E873,Q$1:Q860,1,FALSE()))),"OLD",IF(AND(E873&lt;&gt;"",E873&lt;&gt;"!!!"),"NEW","")))</f>
        <v/>
      </c>
      <c r="G873" s="22" t="str">
        <f aca="false">IF(OR(E873="",E873="!!!"),"",IF(OR(J873=0,AND(J873=1,K873=1),AND(J873=1,I873="SBJ"),AND(J873=1,I873=0)),"?IN_FOCUS",IF(J873&lt;=2,"?ACTIVATED",IF(J873&lt;&gt;"","?FAMILIAR",IF(F873="NEW",IF(ISNA(VLOOKUP(E873,#REF!,1,FALSE())),"?TYPE_IDENTIFIABLE","?REFERENTIAL"),"_")))))</f>
        <v/>
      </c>
      <c r="H873" s="23" t="str">
        <f aca="false">IF(J873&lt;&gt;1,"",IF(I873="SBJ","CB","?"))</f>
        <v/>
      </c>
      <c r="I873" s="24" t="str">
        <f aca="false">IF(OR(E873="",E873="!!!",F873="NEW"),"",INDEX(N$2:N860,-1+SUMPRODUCT(MAX(ROW(E$2:E860)*(E873=E$2:E860)))))</f>
        <v/>
      </c>
      <c r="J873" s="25" t="str">
        <f aca="true">IF(OR(E873="",E873="!!!",F873="NEW"),"",COUNTBLANK(OFFSET(M$1,,,SUMPRODUCT(MAX(ROW(E$2:E861)*(E873=E$2:E861)))))-COUNTBLANK(OFFSET(M$1,,,SUMPRODUCT(MAX(ROW(Q$1:Q860)*(E873=Q$1:Q860))))))</f>
        <v/>
      </c>
      <c r="K873" s="25" t="str">
        <f aca="false">IF(OR(E873="",E873="!!!",F873="NEW"),"",INDEX(V$1:V860,SUMPRODUCT(MAX(ROW(Q$1:Q860)*(E873=Q$1:Q860)))))</f>
        <v/>
      </c>
      <c r="L873" s="26"/>
      <c r="M873" s="27"/>
    </row>
    <row r="874" customFormat="false" ht="15" hidden="false" customHeight="false" outlineLevel="0" collapsed="false">
      <c r="A874" s="19" t="s">
        <v>667</v>
      </c>
      <c r="B874" s="28" t="s">
        <v>271</v>
      </c>
      <c r="C874" s="28" t="s">
        <v>259</v>
      </c>
      <c r="E874" s="20" t="str">
        <f aca="false">IF(P874="?OLD","!!!","")</f>
        <v/>
      </c>
      <c r="F874" s="21" t="str">
        <f aca="false">IF(OR(E874="",E874="!!!"),"",IF(NOT(ISNA(VLOOKUP(E874,Q$1:Q861,1,FALSE()))),"OLD",IF(AND(E874&lt;&gt;"",E874&lt;&gt;"!!!"),"NEW","")))</f>
        <v/>
      </c>
      <c r="G874" s="22" t="str">
        <f aca="false">IF(OR(E874="",E874="!!!"),"",IF(OR(J874=0,AND(J874=1,K874=1),AND(J874=1,I874="SBJ"),AND(J874=1,I874=0)),"?IN_FOCUS",IF(J874&lt;=2,"?ACTIVATED",IF(J874&lt;&gt;"","?FAMILIAR",IF(F874="NEW",IF(ISNA(VLOOKUP(E874,#REF!,1,FALSE())),"?TYPE_IDENTIFIABLE","?REFERENTIAL"),"_")))))</f>
        <v/>
      </c>
      <c r="H874" s="23" t="str">
        <f aca="false">IF(J874&lt;&gt;1,"",IF(I874="SBJ","CB","?"))</f>
        <v/>
      </c>
      <c r="I874" s="24" t="str">
        <f aca="false">IF(OR(E874="",E874="!!!",F874="NEW"),"",INDEX(N$2:N861,-1+SUMPRODUCT(MAX(ROW(E$2:E861)*(E874=E$2:E861)))))</f>
        <v/>
      </c>
      <c r="J874" s="25" t="str">
        <f aca="true">IF(OR(E874="",E874="!!!",F874="NEW"),"",COUNTBLANK(OFFSET(M$1,,,SUMPRODUCT(MAX(ROW(E$2:E862)*(E874=E$2:E862)))))-COUNTBLANK(OFFSET(M$1,,,SUMPRODUCT(MAX(ROW(Q$1:Q861)*(E874=Q$1:Q861))))))</f>
        <v/>
      </c>
      <c r="K874" s="25" t="str">
        <f aca="false">IF(OR(E874="",E874="!!!",F874="NEW"),"",INDEX(V$1:V861,SUMPRODUCT(MAX(ROW(Q$1:Q861)*(E874=Q$1:Q861)))))</f>
        <v/>
      </c>
      <c r="L874" s="26"/>
      <c r="M874" s="27"/>
      <c r="N874" s="29"/>
      <c r="O874" s="29"/>
    </row>
    <row r="875" customFormat="false" ht="15" hidden="false" customHeight="false" outlineLevel="0" collapsed="false">
      <c r="A875" s="19" t="s">
        <v>275</v>
      </c>
      <c r="E875" s="20" t="str">
        <f aca="false">IF(P875="?OLD","!!!","")</f>
        <v/>
      </c>
      <c r="F875" s="21" t="str">
        <f aca="false">IF(OR(E875="",E875="!!!"),"",IF(NOT(ISNA(VLOOKUP(E875,Q$1:Q862,1,FALSE()))),"OLD",IF(AND(E875&lt;&gt;"",E875&lt;&gt;"!!!"),"NEW","")))</f>
        <v/>
      </c>
      <c r="G875" s="22" t="str">
        <f aca="false">IF(OR(E875="",E875="!!!"),"",IF(OR(J875=0,AND(J875=1,K875=1),AND(J875=1,I875="SBJ"),AND(J875=1,I875=0)),"?IN_FOCUS",IF(J875&lt;=2,"?ACTIVATED",IF(J875&lt;&gt;"","?FAMILIAR",IF(F875="NEW",IF(ISNA(VLOOKUP(E875,#REF!,1,FALSE())),"?TYPE_IDENTIFIABLE","?REFERENTIAL"),"_")))))</f>
        <v/>
      </c>
      <c r="H875" s="23" t="str">
        <f aca="false">IF(J875&lt;&gt;1,"",IF(I875="SBJ","CB","?"))</f>
        <v/>
      </c>
      <c r="I875" s="24" t="str">
        <f aca="false">IF(OR(E875="",E875="!!!",F875="NEW"),"",INDEX(N$2:N862,-1+SUMPRODUCT(MAX(ROW(E$2:E862)*(E875=E$2:E862)))))</f>
        <v/>
      </c>
      <c r="J875" s="25" t="str">
        <f aca="true">IF(OR(E875="",E875="!!!",F875="NEW"),"",COUNTBLANK(OFFSET(M$1,,,SUMPRODUCT(MAX(ROW(E$2:E863)*(E875=E$2:E863)))))-COUNTBLANK(OFFSET(M$1,,,SUMPRODUCT(MAX(ROW(Q$1:Q862)*(E875=Q$1:Q862))))))</f>
        <v/>
      </c>
      <c r="K875" s="25" t="str">
        <f aca="false">IF(OR(E875="",E875="!!!",F875="NEW"),"",INDEX(V$1:V862,SUMPRODUCT(MAX(ROW(Q$1:Q862)*(E875=Q$1:Q862)))))</f>
        <v/>
      </c>
      <c r="L875" s="26"/>
      <c r="M875" s="27"/>
    </row>
    <row r="876" customFormat="false" ht="15" hidden="false" customHeight="false" outlineLevel="0" collapsed="false">
      <c r="A876" s="19"/>
      <c r="E876" s="20" t="str">
        <f aca="false">IF(P876="?OLD","!!!","")</f>
        <v/>
      </c>
      <c r="F876" s="21" t="str">
        <f aca="false">IF(OR(E876="",E876="!!!"),"",IF(NOT(ISNA(VLOOKUP(E876,Q$1:Q863,1,FALSE()))),"OLD",IF(AND(E876&lt;&gt;"",E876&lt;&gt;"!!!"),"NEW","")))</f>
        <v/>
      </c>
      <c r="G876" s="22" t="str">
        <f aca="false">IF(OR(E876="",E876="!!!"),"",IF(OR(J876=0,AND(J876=1,K876=1),AND(J876=1,I876="SBJ"),AND(J876=1,I876=0)),"?IN_FOCUS",IF(J876&lt;=2,"?ACTIVATED",IF(J876&lt;&gt;"","?FAMILIAR",IF(F876="NEW",IF(ISNA(VLOOKUP(E876,#REF!,1,FALSE())),"?TYPE_IDENTIFIABLE","?REFERENTIAL"),"_")))))</f>
        <v/>
      </c>
      <c r="H876" s="23" t="str">
        <f aca="false">IF(J876&lt;&gt;1,"",IF(I876="SBJ","CB","?"))</f>
        <v/>
      </c>
      <c r="I876" s="24" t="str">
        <f aca="false">IF(OR(E876="",E876="!!!",F876="NEW"),"",INDEX(N$2:N863,-1+SUMPRODUCT(MAX(ROW(E$2:E863)*(E876=E$2:E863)))))</f>
        <v/>
      </c>
      <c r="J876" s="25" t="str">
        <f aca="true">IF(OR(E876="",E876="!!!",F876="NEW"),"",COUNTBLANK(OFFSET(M$1,,,SUMPRODUCT(MAX(ROW(E$2:E864)*(E876=E$2:E864)))))-COUNTBLANK(OFFSET(M$1,,,SUMPRODUCT(MAX(ROW(Q$1:Q863)*(E876=Q$1:Q863))))))</f>
        <v/>
      </c>
      <c r="K876" s="25" t="str">
        <f aca="false">IF(OR(E876="",E876="!!!",F876="NEW"),"",INDEX(V$1:V863,SUMPRODUCT(MAX(ROW(Q$1:Q863)*(E876=Q$1:Q863)))))</f>
        <v/>
      </c>
      <c r="L876" s="26"/>
    </row>
    <row r="877" customFormat="false" ht="15" hidden="false" customHeight="false" outlineLevel="0" collapsed="false">
      <c r="A877" s="19" t="s">
        <v>668</v>
      </c>
      <c r="E877" s="20" t="str">
        <f aca="false">IF(P877="?OLD","!!!","")</f>
        <v/>
      </c>
      <c r="F877" s="21" t="str">
        <f aca="false">IF(OR(E877="",E877="!!!"),"",IF(NOT(ISNA(VLOOKUP(E877,Q$1:Q864,1,FALSE()))),"OLD",IF(AND(E877&lt;&gt;"",E877&lt;&gt;"!!!"),"NEW","")))</f>
        <v/>
      </c>
      <c r="G877" s="22" t="str">
        <f aca="false">IF(OR(E877="",E877="!!!"),"",IF(OR(J877=0,AND(J877=1,K877=1),AND(J877=1,I877="SBJ"),AND(J877=1,I877=0)),"?IN_FOCUS",IF(J877&lt;=2,"?ACTIVATED",IF(J877&lt;&gt;"","?FAMILIAR",IF(F877="NEW",IF(ISNA(VLOOKUP(E877,#REF!,1,FALSE())),"?TYPE_IDENTIFIABLE","?REFERENTIAL"),"_")))))</f>
        <v/>
      </c>
      <c r="H877" s="23" t="str">
        <f aca="false">IF(J877&lt;&gt;1,"",IF(I877="SBJ","CB","?"))</f>
        <v/>
      </c>
      <c r="I877" s="24" t="str">
        <f aca="false">IF(OR(E877="",E877="!!!",F877="NEW"),"",INDEX(N$2:N864,-1+SUMPRODUCT(MAX(ROW(E$2:E864)*(E877=E$2:E864)))))</f>
        <v/>
      </c>
      <c r="J877" s="25" t="str">
        <f aca="true">IF(OR(E877="",E877="!!!",F877="NEW"),"",COUNTBLANK(OFFSET(M$1,,,SUMPRODUCT(MAX(ROW(E$2:E865)*(E877=E$2:E865)))))-COUNTBLANK(OFFSET(M$1,,,SUMPRODUCT(MAX(ROW(Q$1:Q864)*(E877=Q$1:Q864))))))</f>
        <v/>
      </c>
      <c r="K877" s="25" t="str">
        <f aca="false">IF(OR(E877="",E877="!!!",F877="NEW"),"",INDEX(V$1:V864,SUMPRODUCT(MAX(ROW(Q$1:Q864)*(E877=Q$1:Q864)))))</f>
        <v/>
      </c>
      <c r="L877" s="26"/>
      <c r="M877" s="27"/>
    </row>
    <row r="878" customFormat="false" ht="15" hidden="false" customHeight="false" outlineLevel="0" collapsed="false">
      <c r="A878" s="19" t="s">
        <v>669</v>
      </c>
      <c r="E878" s="20" t="str">
        <f aca="false">IF(P878="?OLD","!!!","")</f>
        <v/>
      </c>
      <c r="F878" s="21" t="str">
        <f aca="false">IF(OR(E878="",E878="!!!"),"",IF(NOT(ISNA(VLOOKUP(E878,Q$1:Q865,1,FALSE()))),"OLD",IF(AND(E878&lt;&gt;"",E878&lt;&gt;"!!!"),"NEW","")))</f>
        <v/>
      </c>
      <c r="G878" s="22" t="str">
        <f aca="false">IF(OR(E878="",E878="!!!"),"",IF(OR(J878=0,AND(J878=1,K878=1),AND(J878=1,I878="SBJ"),AND(J878=1,I878=0)),"?IN_FOCUS",IF(J878&lt;=2,"?ACTIVATED",IF(J878&lt;&gt;"","?FAMILIAR",IF(F878="NEW",IF(ISNA(VLOOKUP(E878,#REF!,1,FALSE())),"?TYPE_IDENTIFIABLE","?REFERENTIAL"),"_")))))</f>
        <v/>
      </c>
      <c r="H878" s="23" t="str">
        <f aca="false">IF(J878&lt;&gt;1,"",IF(I878="SBJ","CB","?"))</f>
        <v/>
      </c>
      <c r="I878" s="24" t="str">
        <f aca="false">IF(OR(E878="",E878="!!!",F878="NEW"),"",INDEX(N$2:N865,-1+SUMPRODUCT(MAX(ROW(E$2:E865)*(E878=E$2:E865)))))</f>
        <v/>
      </c>
      <c r="J878" s="25" t="str">
        <f aca="true">IF(OR(E878="",E878="!!!",F878="NEW"),"",COUNTBLANK(OFFSET(M$1,,,SUMPRODUCT(MAX(ROW(E$2:E866)*(E878=E$2:E866)))))-COUNTBLANK(OFFSET(M$1,,,SUMPRODUCT(MAX(ROW(Q$1:Q865)*(E878=Q$1:Q865))))))</f>
        <v/>
      </c>
      <c r="K878" s="25" t="str">
        <f aca="false">IF(OR(E878="",E878="!!!",F878="NEW"),"",INDEX(V$1:V865,SUMPRODUCT(MAX(ROW(Q$1:Q865)*(E878=Q$1:Q865)))))</f>
        <v/>
      </c>
      <c r="L878" s="26"/>
      <c r="M878" s="27"/>
    </row>
    <row r="879" customFormat="false" ht="15" hidden="false" customHeight="false" outlineLevel="0" collapsed="false">
      <c r="A879" s="19" t="s">
        <v>670</v>
      </c>
      <c r="E879" s="20" t="str">
        <f aca="false">IF(P879="?OLD","!!!","")</f>
        <v/>
      </c>
      <c r="F879" s="21" t="str">
        <f aca="false">IF(OR(E879="",E879="!!!"),"",IF(NOT(ISNA(VLOOKUP(E879,Q$1:Q866,1,FALSE()))),"OLD",IF(AND(E879&lt;&gt;"",E879&lt;&gt;"!!!"),"NEW","")))</f>
        <v/>
      </c>
      <c r="G879" s="22" t="str">
        <f aca="false">IF(OR(E879="",E879="!!!"),"",IF(OR(J879=0,AND(J879=1,K879=1),AND(J879=1,I879="SBJ"),AND(J879=1,I879=0)),"?IN_FOCUS",IF(J879&lt;=2,"?ACTIVATED",IF(J879&lt;&gt;"","?FAMILIAR",IF(F879="NEW",IF(ISNA(VLOOKUP(E879,#REF!,1,FALSE())),"?TYPE_IDENTIFIABLE","?REFERENTIAL"),"_")))))</f>
        <v/>
      </c>
      <c r="H879" s="23" t="str">
        <f aca="false">IF(J879&lt;&gt;1,"",IF(I879="SBJ","CB","?"))</f>
        <v/>
      </c>
      <c r="I879" s="24" t="str">
        <f aca="false">IF(OR(E879="",E879="!!!",F879="NEW"),"",INDEX(N$2:N866,-1+SUMPRODUCT(MAX(ROW(E$2:E866)*(E879=E$2:E866)))))</f>
        <v/>
      </c>
      <c r="J879" s="25" t="str">
        <f aca="true">IF(OR(E879="",E879="!!!",F879="NEW"),"",COUNTBLANK(OFFSET(M$1,,,SUMPRODUCT(MAX(ROW(E$2:E867)*(E879=E$2:E867)))))-COUNTBLANK(OFFSET(M$1,,,SUMPRODUCT(MAX(ROW(Q$1:Q866)*(E879=Q$1:Q866))))))</f>
        <v/>
      </c>
      <c r="K879" s="25" t="str">
        <f aca="false">IF(OR(E879="",E879="!!!",F879="NEW"),"",INDEX(V$1:V866,SUMPRODUCT(MAX(ROW(Q$1:Q866)*(E879=Q$1:Q866)))))</f>
        <v/>
      </c>
      <c r="L879" s="26"/>
      <c r="M879" s="27"/>
    </row>
    <row r="880" customFormat="false" ht="15" hidden="false" customHeight="false" outlineLevel="0" collapsed="false">
      <c r="A880" s="19" t="s">
        <v>671</v>
      </c>
      <c r="E880" s="20" t="str">
        <f aca="false">IF(P880="?OLD","!!!","")</f>
        <v/>
      </c>
      <c r="F880" s="21" t="str">
        <f aca="false">IF(OR(E880="",E880="!!!"),"",IF(NOT(ISNA(VLOOKUP(E880,Q$1:Q867,1,FALSE()))),"OLD",IF(AND(E880&lt;&gt;"",E880&lt;&gt;"!!!"),"NEW","")))</f>
        <v/>
      </c>
      <c r="G880" s="22" t="str">
        <f aca="false">IF(OR(E880="",E880="!!!"),"",IF(OR(J880=0,AND(J880=1,K880=1),AND(J880=1,I880="SBJ"),AND(J880=1,I880=0)),"?IN_FOCUS",IF(J880&lt;=2,"?ACTIVATED",IF(J880&lt;&gt;"","?FAMILIAR",IF(F880="NEW",IF(ISNA(VLOOKUP(E880,#REF!,1,FALSE())),"?TYPE_IDENTIFIABLE","?REFERENTIAL"),"_")))))</f>
        <v/>
      </c>
      <c r="H880" s="23" t="str">
        <f aca="false">IF(J880&lt;&gt;1,"",IF(I880="SBJ","CB","?"))</f>
        <v/>
      </c>
      <c r="I880" s="24" t="str">
        <f aca="false">IF(OR(E880="",E880="!!!",F880="NEW"),"",INDEX(N$2:N867,-1+SUMPRODUCT(MAX(ROW(E$2:E867)*(E880=E$2:E867)))))</f>
        <v/>
      </c>
      <c r="J880" s="25" t="str">
        <f aca="true">IF(OR(E880="",E880="!!!",F880="NEW"),"",COUNTBLANK(OFFSET(M$1,,,SUMPRODUCT(MAX(ROW(E$2:E868)*(E880=E$2:E868)))))-COUNTBLANK(OFFSET(M$1,,,SUMPRODUCT(MAX(ROW(Q$1:Q867)*(E880=Q$1:Q867))))))</f>
        <v/>
      </c>
      <c r="K880" s="25" t="str">
        <f aca="false">IF(OR(E880="",E880="!!!",F880="NEW"),"",INDEX(V$1:V867,SUMPRODUCT(MAX(ROW(Q$1:Q867)*(E880=Q$1:Q867)))))</f>
        <v/>
      </c>
      <c r="L880" s="26"/>
      <c r="M880" s="27"/>
    </row>
    <row r="881" customFormat="false" ht="15" hidden="false" customHeight="false" outlineLevel="0" collapsed="false">
      <c r="A881" s="19" t="s">
        <v>549</v>
      </c>
      <c r="E881" s="20" t="str">
        <f aca="false">IF(P881="?OLD","!!!","")</f>
        <v/>
      </c>
      <c r="F881" s="21" t="str">
        <f aca="false">IF(OR(E881="",E881="!!!"),"",IF(NOT(ISNA(VLOOKUP(E881,Q$1:Q868,1,FALSE()))),"OLD",IF(AND(E881&lt;&gt;"",E881&lt;&gt;"!!!"),"NEW","")))</f>
        <v/>
      </c>
      <c r="G881" s="22" t="str">
        <f aca="false">IF(OR(E881="",E881="!!!"),"",IF(OR(J881=0,AND(J881=1,K881=1),AND(J881=1,I881="SBJ"),AND(J881=1,I881=0)),"?IN_FOCUS",IF(J881&lt;=2,"?ACTIVATED",IF(J881&lt;&gt;"","?FAMILIAR",IF(F881="NEW",IF(ISNA(VLOOKUP(E881,#REF!,1,FALSE())),"?TYPE_IDENTIFIABLE","?REFERENTIAL"),"_")))))</f>
        <v/>
      </c>
      <c r="H881" s="23" t="str">
        <f aca="false">IF(J881&lt;&gt;1,"",IF(I881="SBJ","CB","?"))</f>
        <v/>
      </c>
      <c r="I881" s="24" t="str">
        <f aca="false">IF(OR(E881="",E881="!!!",F881="NEW"),"",INDEX(N$2:N868,-1+SUMPRODUCT(MAX(ROW(E$2:E868)*(E881=E$2:E868)))))</f>
        <v/>
      </c>
      <c r="J881" s="25" t="str">
        <f aca="true">IF(OR(E881="",E881="!!!",F881="NEW"),"",COUNTBLANK(OFFSET(M$1,,,SUMPRODUCT(MAX(ROW(E$2:E869)*(E881=E$2:E869)))))-COUNTBLANK(OFFSET(M$1,,,SUMPRODUCT(MAX(ROW(Q$1:Q868)*(E881=Q$1:Q868))))))</f>
        <v/>
      </c>
      <c r="K881" s="25" t="str">
        <f aca="false">IF(OR(E881="",E881="!!!",F881="NEW"),"",INDEX(V$1:V868,SUMPRODUCT(MAX(ROW(Q$1:Q868)*(E881=Q$1:Q868)))))</f>
        <v/>
      </c>
      <c r="L881" s="26"/>
      <c r="M881" s="27"/>
    </row>
    <row r="882" customFormat="false" ht="15" hidden="false" customHeight="false" outlineLevel="0" collapsed="false">
      <c r="A882" s="19" t="s">
        <v>250</v>
      </c>
      <c r="E882" s="20" t="str">
        <f aca="false">IF(P882="?OLD","!!!","")</f>
        <v/>
      </c>
      <c r="F882" s="21" t="str">
        <f aca="false">IF(OR(E882="",E882="!!!"),"",IF(NOT(ISNA(VLOOKUP(E882,Q$1:Q869,1,FALSE()))),"OLD",IF(AND(E882&lt;&gt;"",E882&lt;&gt;"!!!"),"NEW","")))</f>
        <v/>
      </c>
      <c r="G882" s="22" t="str">
        <f aca="false">IF(OR(E882="",E882="!!!"),"",IF(OR(J882=0,AND(J882=1,K882=1),AND(J882=1,I882="SBJ"),AND(J882=1,I882=0)),"?IN_FOCUS",IF(J882&lt;=2,"?ACTIVATED",IF(J882&lt;&gt;"","?FAMILIAR",IF(F882="NEW",IF(ISNA(VLOOKUP(E882,#REF!,1,FALSE())),"?TYPE_IDENTIFIABLE","?REFERENTIAL"),"_")))))</f>
        <v/>
      </c>
      <c r="H882" s="23" t="str">
        <f aca="false">IF(J882&lt;&gt;1,"",IF(I882="SBJ","CB","?"))</f>
        <v/>
      </c>
      <c r="I882" s="24" t="str">
        <f aca="false">IF(OR(E882="",E882="!!!",F882="NEW"),"",INDEX(N$2:N869,-1+SUMPRODUCT(MAX(ROW(E$2:E869)*(E882=E$2:E869)))))</f>
        <v/>
      </c>
      <c r="J882" s="25" t="str">
        <f aca="true">IF(OR(E882="",E882="!!!",F882="NEW"),"",COUNTBLANK(OFFSET(M$1,,,SUMPRODUCT(MAX(ROW(E$2:E870)*(E882=E$2:E870)))))-COUNTBLANK(OFFSET(M$1,,,SUMPRODUCT(MAX(ROW(Q$1:Q869)*(E882=Q$1:Q869))))))</f>
        <v/>
      </c>
      <c r="K882" s="25" t="str">
        <f aca="false">IF(OR(E882="",E882="!!!",F882="NEW"),"",INDEX(V$1:V869,SUMPRODUCT(MAX(ROW(Q$1:Q869)*(E882=Q$1:Q869)))))</f>
        <v/>
      </c>
      <c r="L882" s="26"/>
      <c r="M882" s="27"/>
    </row>
    <row r="883" customFormat="false" ht="15" hidden="false" customHeight="false" outlineLevel="0" collapsed="false">
      <c r="A883" s="19" t="s">
        <v>594</v>
      </c>
      <c r="E883" s="20" t="str">
        <f aca="false">IF(P883="?OLD","!!!","")</f>
        <v/>
      </c>
      <c r="F883" s="21" t="str">
        <f aca="false">IF(OR(E883="",E883="!!!"),"",IF(NOT(ISNA(VLOOKUP(E883,Q$1:Q870,1,FALSE()))),"OLD",IF(AND(E883&lt;&gt;"",E883&lt;&gt;"!!!"),"NEW","")))</f>
        <v/>
      </c>
      <c r="G883" s="22" t="str">
        <f aca="false">IF(OR(E883="",E883="!!!"),"",IF(OR(J883=0,AND(J883=1,K883=1),AND(J883=1,I883="SBJ"),AND(J883=1,I883=0)),"?IN_FOCUS",IF(J883&lt;=2,"?ACTIVATED",IF(J883&lt;&gt;"","?FAMILIAR",IF(F883="NEW",IF(ISNA(VLOOKUP(E883,#REF!,1,FALSE())),"?TYPE_IDENTIFIABLE","?REFERENTIAL"),"_")))))</f>
        <v/>
      </c>
      <c r="H883" s="23" t="str">
        <f aca="false">IF(J883&lt;&gt;1,"",IF(I883="SBJ","CB","?"))</f>
        <v/>
      </c>
      <c r="I883" s="24" t="str">
        <f aca="false">IF(OR(E883="",E883="!!!",F883="NEW"),"",INDEX(N$2:N870,-1+SUMPRODUCT(MAX(ROW(E$2:E870)*(E883=E$2:E870)))))</f>
        <v/>
      </c>
      <c r="J883" s="25" t="str">
        <f aca="true">IF(OR(E883="",E883="!!!",F883="NEW"),"",COUNTBLANK(OFFSET(M$1,,,SUMPRODUCT(MAX(ROW(E$2:E871)*(E883=E$2:E871)))))-COUNTBLANK(OFFSET(M$1,,,SUMPRODUCT(MAX(ROW(Q$1:Q870)*(E883=Q$1:Q870))))))</f>
        <v/>
      </c>
      <c r="K883" s="25" t="str">
        <f aca="false">IF(OR(E883="",E883="!!!",F883="NEW"),"",INDEX(V$1:V870,SUMPRODUCT(MAX(ROW(Q$1:Q870)*(E883=Q$1:Q870)))))</f>
        <v/>
      </c>
      <c r="L883" s="26"/>
      <c r="M883" s="27"/>
    </row>
    <row r="884" customFormat="false" ht="15" hidden="false" customHeight="false" outlineLevel="0" collapsed="false">
      <c r="A884" s="19" t="s">
        <v>566</v>
      </c>
      <c r="B884" s="28" t="s">
        <v>306</v>
      </c>
      <c r="C884" s="28" t="s">
        <v>314</v>
      </c>
      <c r="D884" s="28" t="s">
        <v>253</v>
      </c>
      <c r="E884" s="20" t="s">
        <v>546</v>
      </c>
      <c r="F884" s="21" t="str">
        <f aca="false">IF(OR(E884="",E884="!!!"),"",IF(NOT(ISNA(VLOOKUP(E884,Q$1:Q871,1,FALSE()))),"OLD",IF(AND(E884&lt;&gt;"",E884&lt;&gt;"!!!"),"NEW","")))</f>
        <v>NEW</v>
      </c>
      <c r="G884" s="22" t="s">
        <v>296</v>
      </c>
      <c r="H884" s="23" t="str">
        <f aca="false">IF(J884&lt;&gt;1,"",IF(I884="SBJ","CB","?"))</f>
        <v/>
      </c>
      <c r="I884" s="24" t="str">
        <f aca="false">IF(OR(E884="",E884="!!!",F884="NEW"),"",INDEX(N$2:N871,-1+SUMPRODUCT(MAX(ROW(E$2:E871)*(E884=E$2:E871)))))</f>
        <v/>
      </c>
      <c r="J884" s="25" t="str">
        <f aca="true">IF(OR(E884="",E884="!!!",F884="NEW"),"",COUNTBLANK(OFFSET(M$1,,,SUMPRODUCT(MAX(ROW(E$2:E872)*(E884=E$2:E872)))))-COUNTBLANK(OFFSET(M$1,,,SUMPRODUCT(MAX(ROW(Q$1:Q871)*(E884=Q$1:Q871))))))</f>
        <v/>
      </c>
      <c r="K884" s="25" t="str">
        <f aca="false">IF(OR(E884="",E884="!!!",F884="NEW"),"",INDEX(V$1:V871,SUMPRODUCT(MAX(ROW(Q$1:Q871)*(E884=Q$1:Q871)))))</f>
        <v/>
      </c>
      <c r="L884" s="26"/>
      <c r="M884" s="27"/>
      <c r="N884" s="29"/>
      <c r="O884" s="29"/>
      <c r="P884" s="29"/>
    </row>
    <row r="885" customFormat="false" ht="15" hidden="false" customHeight="false" outlineLevel="0" collapsed="false">
      <c r="A885" s="19" t="s">
        <v>256</v>
      </c>
      <c r="E885" s="20" t="str">
        <f aca="false">IF(P885="?OLD","!!!","")</f>
        <v/>
      </c>
      <c r="F885" s="21" t="str">
        <f aca="false">IF(OR(E885="",E885="!!!"),"",IF(NOT(ISNA(VLOOKUP(E885,Q$1:Q872,1,FALSE()))),"OLD",IF(AND(E885&lt;&gt;"",E885&lt;&gt;"!!!"),"NEW","")))</f>
        <v/>
      </c>
      <c r="G885" s="22" t="str">
        <f aca="false">IF(OR(E885="",E885="!!!"),"",IF(OR(J885=0,AND(J885=1,K885=1),AND(J885=1,I885="SBJ"),AND(J885=1,I885=0)),"?IN_FOCUS",IF(J885&lt;=2,"?ACTIVATED",IF(J885&lt;&gt;"","?FAMILIAR",IF(F885="NEW",IF(ISNA(VLOOKUP(E885,#REF!,1,FALSE())),"?TYPE_IDENTIFIABLE","?REFERENTIAL"),"_")))))</f>
        <v/>
      </c>
      <c r="H885" s="23" t="str">
        <f aca="false">IF(J885&lt;&gt;1,"",IF(I885="SBJ","CB","?"))</f>
        <v/>
      </c>
      <c r="I885" s="24" t="str">
        <f aca="false">IF(OR(E885="",E885="!!!",F885="NEW"),"",INDEX(N$2:N872,-1+SUMPRODUCT(MAX(ROW(E$2:E872)*(E885=E$2:E872)))))</f>
        <v/>
      </c>
      <c r="J885" s="25" t="str">
        <f aca="true">IF(OR(E885="",E885="!!!",F885="NEW"),"",COUNTBLANK(OFFSET(M$1,,,SUMPRODUCT(MAX(ROW(E$2:E873)*(E885=E$2:E873)))))-COUNTBLANK(OFFSET(M$1,,,SUMPRODUCT(MAX(ROW(Q$1:Q872)*(E885=Q$1:Q872))))))</f>
        <v/>
      </c>
      <c r="K885" s="25" t="str">
        <f aca="false">IF(OR(E885="",E885="!!!",F885="NEW"),"",INDEX(V$1:V872,SUMPRODUCT(MAX(ROW(Q$1:Q872)*(E885=Q$1:Q872)))))</f>
        <v/>
      </c>
      <c r="L885" s="26"/>
      <c r="M885" s="27"/>
    </row>
    <row r="886" customFormat="false" ht="15" hidden="false" customHeight="false" outlineLevel="0" collapsed="false">
      <c r="A886" s="19" t="s">
        <v>413</v>
      </c>
      <c r="B886" s="28" t="s">
        <v>258</v>
      </c>
      <c r="C886" s="28" t="s">
        <v>333</v>
      </c>
      <c r="D886" s="28" t="s">
        <v>253</v>
      </c>
      <c r="E886" s="20" t="s">
        <v>413</v>
      </c>
      <c r="F886" s="21" t="str">
        <f aca="false">IF(OR(E886="",E886="!!!"),"",IF(NOT(ISNA(VLOOKUP(E886,Q$1:Q873,1,FALSE()))),"OLD",IF(AND(E886&lt;&gt;"",E886&lt;&gt;"!!!"),"NEW","")))</f>
        <v>NEW</v>
      </c>
      <c r="G886" s="22" t="s">
        <v>266</v>
      </c>
      <c r="H886" s="23" t="str">
        <f aca="false">IF(J886&lt;&gt;1,"",IF(I886="SBJ","CB","?"))</f>
        <v/>
      </c>
      <c r="I886" s="24" t="str">
        <f aca="false">IF(OR(E886="",E886="!!!",F886="NEW"),"",INDEX(N$2:N873,-1+SUMPRODUCT(MAX(ROW(E$2:E873)*(E886=E$2:E873)))))</f>
        <v/>
      </c>
      <c r="J886" s="25" t="str">
        <f aca="true">IF(OR(E886="",E886="!!!",F886="NEW"),"",COUNTBLANK(OFFSET(M$1,,,SUMPRODUCT(MAX(ROW(E$2:E874)*(E886=E$2:E874)))))-COUNTBLANK(OFFSET(M$1,,,SUMPRODUCT(MAX(ROW(Q$1:Q873)*(E886=Q$1:Q873))))))</f>
        <v/>
      </c>
      <c r="K886" s="25" t="str">
        <f aca="false">IF(OR(E886="",E886="!!!",F886="NEW"),"",INDEX(V$1:V873,SUMPRODUCT(MAX(ROW(Q$1:Q873)*(E886=Q$1:Q873)))))</f>
        <v/>
      </c>
      <c r="L886" s="26"/>
      <c r="M886" s="27"/>
      <c r="N886" s="29"/>
      <c r="O886" s="29"/>
      <c r="P886" s="29"/>
    </row>
    <row r="887" customFormat="false" ht="15" hidden="false" customHeight="false" outlineLevel="0" collapsed="false">
      <c r="A887" s="19" t="s">
        <v>261</v>
      </c>
      <c r="E887" s="20" t="str">
        <f aca="false">IF(P887="?OLD","!!!","")</f>
        <v/>
      </c>
      <c r="F887" s="21" t="str">
        <f aca="false">IF(OR(E887="",E887="!!!"),"",IF(NOT(ISNA(VLOOKUP(E887,Q$1:Q874,1,FALSE()))),"OLD",IF(AND(E887&lt;&gt;"",E887&lt;&gt;"!!!"),"NEW","")))</f>
        <v/>
      </c>
      <c r="G887" s="22" t="str">
        <f aca="false">IF(OR(E887="",E887="!!!"),"",IF(OR(J887=0,AND(J887=1,K887=1),AND(J887=1,I887="SBJ"),AND(J887=1,I887=0)),"?IN_FOCUS",IF(J887&lt;=2,"?ACTIVATED",IF(J887&lt;&gt;"","?FAMILIAR",IF(F887="NEW",IF(ISNA(VLOOKUP(E887,#REF!,1,FALSE())),"?TYPE_IDENTIFIABLE","?REFERENTIAL"),"_")))))</f>
        <v/>
      </c>
      <c r="H887" s="23" t="str">
        <f aca="false">IF(J887&lt;&gt;1,"",IF(I887="SBJ","CB","?"))</f>
        <v/>
      </c>
      <c r="I887" s="24" t="str">
        <f aca="false">IF(OR(E887="",E887="!!!",F887="NEW"),"",INDEX(N$2:N874,-1+SUMPRODUCT(MAX(ROW(E$2:E874)*(E887=E$2:E874)))))</f>
        <v/>
      </c>
      <c r="J887" s="25" t="str">
        <f aca="true">IF(OR(E887="",E887="!!!",F887="NEW"),"",COUNTBLANK(OFFSET(M$1,,,SUMPRODUCT(MAX(ROW(E$2:E875)*(E887=E$2:E875)))))-COUNTBLANK(OFFSET(M$1,,,SUMPRODUCT(MAX(ROW(Q$1:Q874)*(E887=Q$1:Q874))))))</f>
        <v/>
      </c>
      <c r="K887" s="25" t="str">
        <f aca="false">IF(OR(E887="",E887="!!!",F887="NEW"),"",INDEX(V$1:V874,SUMPRODUCT(MAX(ROW(Q$1:Q874)*(E887=Q$1:Q874)))))</f>
        <v/>
      </c>
      <c r="L887" s="26"/>
      <c r="M887" s="27"/>
    </row>
    <row r="888" customFormat="false" ht="15" hidden="false" customHeight="false" outlineLevel="0" collapsed="false">
      <c r="A888" s="19" t="s">
        <v>294</v>
      </c>
      <c r="E888" s="20" t="str">
        <f aca="false">IF(P888="?OLD","!!!","")</f>
        <v/>
      </c>
      <c r="F888" s="21" t="str">
        <f aca="false">IF(OR(E888="",E888="!!!"),"",IF(NOT(ISNA(VLOOKUP(E888,Q$1:Q875,1,FALSE()))),"OLD",IF(AND(E888&lt;&gt;"",E888&lt;&gt;"!!!"),"NEW","")))</f>
        <v/>
      </c>
      <c r="G888" s="22" t="str">
        <f aca="false">IF(OR(E888="",E888="!!!"),"",IF(OR(J888=0,AND(J888=1,K888=1),AND(J888=1,I888="SBJ"),AND(J888=1,I888=0)),"?IN_FOCUS",IF(J888&lt;=2,"?ACTIVATED",IF(J888&lt;&gt;"","?FAMILIAR",IF(F888="NEW",IF(ISNA(VLOOKUP(E888,#REF!,1,FALSE())),"?TYPE_IDENTIFIABLE","?REFERENTIAL"),"_")))))</f>
        <v/>
      </c>
      <c r="H888" s="23" t="str">
        <f aca="false">IF(J888&lt;&gt;1,"",IF(I888="SBJ","CB","?"))</f>
        <v/>
      </c>
      <c r="I888" s="24" t="str">
        <f aca="false">IF(OR(E888="",E888="!!!",F888="NEW"),"",INDEX(N$2:N875,-1+SUMPRODUCT(MAX(ROW(E$2:E875)*(E888=E$2:E875)))))</f>
        <v/>
      </c>
      <c r="J888" s="25" t="str">
        <f aca="true">IF(OR(E888="",E888="!!!",F888="NEW"),"",COUNTBLANK(OFFSET(M$1,,,SUMPRODUCT(MAX(ROW(E$2:E876)*(E888=E$2:E876)))))-COUNTBLANK(OFFSET(M$1,,,SUMPRODUCT(MAX(ROW(Q$1:Q875)*(E888=Q$1:Q875))))))</f>
        <v/>
      </c>
      <c r="K888" s="25" t="str">
        <f aca="false">IF(OR(E888="",E888="!!!",F888="NEW"),"",INDEX(V$1:V875,SUMPRODUCT(MAX(ROW(Q$1:Q875)*(E888=Q$1:Q875)))))</f>
        <v/>
      </c>
      <c r="L888" s="26"/>
      <c r="M888" s="27"/>
    </row>
    <row r="889" customFormat="false" ht="15" hidden="false" customHeight="false" outlineLevel="0" collapsed="false">
      <c r="A889" s="19" t="s">
        <v>574</v>
      </c>
      <c r="E889" s="20" t="str">
        <f aca="false">IF(P889="?OLD","!!!","")</f>
        <v/>
      </c>
      <c r="F889" s="21" t="str">
        <f aca="false">IF(OR(E889="",E889="!!!"),"",IF(NOT(ISNA(VLOOKUP(E889,Q$1:Q876,1,FALSE()))),"OLD",IF(AND(E889&lt;&gt;"",E889&lt;&gt;"!!!"),"NEW","")))</f>
        <v/>
      </c>
      <c r="G889" s="22" t="str">
        <f aca="false">IF(OR(E889="",E889="!!!"),"",IF(OR(J889=0,AND(J889=1,K889=1),AND(J889=1,I889="SBJ"),AND(J889=1,I889=0)),"?IN_FOCUS",IF(J889&lt;=2,"?ACTIVATED",IF(J889&lt;&gt;"","?FAMILIAR",IF(F889="NEW",IF(ISNA(VLOOKUP(E889,#REF!,1,FALSE())),"?TYPE_IDENTIFIABLE","?REFERENTIAL"),"_")))))</f>
        <v/>
      </c>
      <c r="H889" s="23" t="str">
        <f aca="false">IF(J889&lt;&gt;1,"",IF(I889="SBJ","CB","?"))</f>
        <v/>
      </c>
      <c r="I889" s="24" t="str">
        <f aca="false">IF(OR(E889="",E889="!!!",F889="NEW"),"",INDEX(N$2:N876,-1+SUMPRODUCT(MAX(ROW(E$2:E876)*(E889=E$2:E876)))))</f>
        <v/>
      </c>
      <c r="J889" s="25" t="str">
        <f aca="true">IF(OR(E889="",E889="!!!",F889="NEW"),"",COUNTBLANK(OFFSET(M$1,,,SUMPRODUCT(MAX(ROW(E$2:E877)*(E889=E$2:E877)))))-COUNTBLANK(OFFSET(M$1,,,SUMPRODUCT(MAX(ROW(Q$1:Q876)*(E889=Q$1:Q876))))))</f>
        <v/>
      </c>
      <c r="K889" s="25" t="str">
        <f aca="false">IF(OR(E889="",E889="!!!",F889="NEW"),"",INDEX(V$1:V876,SUMPRODUCT(MAX(ROW(Q$1:Q876)*(E889=Q$1:Q876)))))</f>
        <v/>
      </c>
      <c r="L889" s="26"/>
      <c r="M889" s="27"/>
    </row>
    <row r="890" customFormat="false" ht="15" hidden="false" customHeight="false" outlineLevel="0" collapsed="false">
      <c r="A890" s="19" t="s">
        <v>672</v>
      </c>
      <c r="E890" s="20" t="str">
        <f aca="false">IF(P890="?OLD","!!!","")</f>
        <v/>
      </c>
      <c r="F890" s="21" t="str">
        <f aca="false">IF(OR(E890="",E890="!!!"),"",IF(NOT(ISNA(VLOOKUP(E890,Q$1:Q877,1,FALSE()))),"OLD",IF(AND(E890&lt;&gt;"",E890&lt;&gt;"!!!"),"NEW","")))</f>
        <v/>
      </c>
      <c r="G890" s="22" t="str">
        <f aca="false">IF(OR(E890="",E890="!!!"),"",IF(OR(J890=0,AND(J890=1,K890=1),AND(J890=1,I890="SBJ"),AND(J890=1,I890=0)),"?IN_FOCUS",IF(J890&lt;=2,"?ACTIVATED",IF(J890&lt;&gt;"","?FAMILIAR",IF(F890="NEW",IF(ISNA(VLOOKUP(E890,#REF!,1,FALSE())),"?TYPE_IDENTIFIABLE","?REFERENTIAL"),"_")))))</f>
        <v/>
      </c>
      <c r="H890" s="23" t="str">
        <f aca="false">IF(J890&lt;&gt;1,"",IF(I890="SBJ","CB","?"))</f>
        <v/>
      </c>
      <c r="I890" s="24" t="str">
        <f aca="false">IF(OR(E890="",E890="!!!",F890="NEW"),"",INDEX(N$2:N877,-1+SUMPRODUCT(MAX(ROW(E$2:E877)*(E890=E$2:E877)))))</f>
        <v/>
      </c>
      <c r="J890" s="25" t="str">
        <f aca="true">IF(OR(E890="",E890="!!!",F890="NEW"),"",COUNTBLANK(OFFSET(M$1,,,SUMPRODUCT(MAX(ROW(E$2:E878)*(E890=E$2:E878)))))-COUNTBLANK(OFFSET(M$1,,,SUMPRODUCT(MAX(ROW(Q$1:Q877)*(E890=Q$1:Q877))))))</f>
        <v/>
      </c>
      <c r="K890" s="25" t="str">
        <f aca="false">IF(OR(E890="",E890="!!!",F890="NEW"),"",INDEX(V$1:V877,SUMPRODUCT(MAX(ROW(Q$1:Q877)*(E890=Q$1:Q877)))))</f>
        <v/>
      </c>
      <c r="L890" s="26"/>
      <c r="M890" s="27"/>
    </row>
    <row r="891" customFormat="false" ht="15" hidden="false" customHeight="false" outlineLevel="0" collapsed="false">
      <c r="A891" s="19" t="s">
        <v>280</v>
      </c>
      <c r="E891" s="20" t="str">
        <f aca="false">IF(P891="?OLD","!!!","")</f>
        <v/>
      </c>
      <c r="F891" s="21" t="str">
        <f aca="false">IF(OR(E891="",E891="!!!"),"",IF(NOT(ISNA(VLOOKUP(E891,Q$1:Q878,1,FALSE()))),"OLD",IF(AND(E891&lt;&gt;"",E891&lt;&gt;"!!!"),"NEW","")))</f>
        <v/>
      </c>
      <c r="G891" s="22" t="str">
        <f aca="false">IF(OR(E891="",E891="!!!"),"",IF(OR(J891=0,AND(J891=1,K891=1),AND(J891=1,I891="SBJ"),AND(J891=1,I891=0)),"?IN_FOCUS",IF(J891&lt;=2,"?ACTIVATED",IF(J891&lt;&gt;"","?FAMILIAR",IF(F891="NEW",IF(ISNA(VLOOKUP(E891,#REF!,1,FALSE())),"?TYPE_IDENTIFIABLE","?REFERENTIAL"),"_")))))</f>
        <v/>
      </c>
      <c r="H891" s="23" t="str">
        <f aca="false">IF(J891&lt;&gt;1,"",IF(I891="SBJ","CB","?"))</f>
        <v/>
      </c>
      <c r="I891" s="24" t="str">
        <f aca="false">IF(OR(E891="",E891="!!!",F891="NEW"),"",INDEX(N$2:N878,-1+SUMPRODUCT(MAX(ROW(E$2:E878)*(E891=E$2:E878)))))</f>
        <v/>
      </c>
      <c r="J891" s="25" t="str">
        <f aca="true">IF(OR(E891="",E891="!!!",F891="NEW"),"",COUNTBLANK(OFFSET(M$1,,,SUMPRODUCT(MAX(ROW(E$2:E879)*(E891=E$2:E879)))))-COUNTBLANK(OFFSET(M$1,,,SUMPRODUCT(MAX(ROW(Q$1:Q878)*(E891=Q$1:Q878))))))</f>
        <v/>
      </c>
      <c r="K891" s="25" t="str">
        <f aca="false">IF(OR(E891="",E891="!!!",F891="NEW"),"",INDEX(V$1:V878,SUMPRODUCT(MAX(ROW(Q$1:Q878)*(E891=Q$1:Q878)))))</f>
        <v/>
      </c>
      <c r="L891" s="26"/>
      <c r="M891" s="27"/>
    </row>
    <row r="892" customFormat="false" ht="15" hidden="false" customHeight="false" outlineLevel="0" collapsed="false">
      <c r="A892" s="19" t="s">
        <v>250</v>
      </c>
      <c r="E892" s="20" t="str">
        <f aca="false">IF(P892="?OLD","!!!","")</f>
        <v/>
      </c>
      <c r="F892" s="21" t="str">
        <f aca="false">IF(OR(E892="",E892="!!!"),"",IF(NOT(ISNA(VLOOKUP(E892,Q$1:Q879,1,FALSE()))),"OLD",IF(AND(E892&lt;&gt;"",E892&lt;&gt;"!!!"),"NEW","")))</f>
        <v/>
      </c>
      <c r="G892" s="22" t="str">
        <f aca="false">IF(OR(E892="",E892="!!!"),"",IF(OR(J892=0,AND(J892=1,K892=1),AND(J892=1,I892="SBJ"),AND(J892=1,I892=0)),"?IN_FOCUS",IF(J892&lt;=2,"?ACTIVATED",IF(J892&lt;&gt;"","?FAMILIAR",IF(F892="NEW",IF(ISNA(VLOOKUP(E892,#REF!,1,FALSE())),"?TYPE_IDENTIFIABLE","?REFERENTIAL"),"_")))))</f>
        <v/>
      </c>
      <c r="H892" s="23" t="str">
        <f aca="false">IF(J892&lt;&gt;1,"",IF(I892="SBJ","CB","?"))</f>
        <v/>
      </c>
      <c r="I892" s="24" t="str">
        <f aca="false">IF(OR(E892="",E892="!!!",F892="NEW"),"",INDEX(N$2:N879,-1+SUMPRODUCT(MAX(ROW(E$2:E879)*(E892=E$2:E879)))))</f>
        <v/>
      </c>
      <c r="J892" s="25" t="str">
        <f aca="true">IF(OR(E892="",E892="!!!",F892="NEW"),"",COUNTBLANK(OFFSET(M$1,,,SUMPRODUCT(MAX(ROW(E$2:E880)*(E892=E$2:E880)))))-COUNTBLANK(OFFSET(M$1,,,SUMPRODUCT(MAX(ROW(Q$1:Q879)*(E892=Q$1:Q879))))))</f>
        <v/>
      </c>
      <c r="K892" s="25" t="str">
        <f aca="false">IF(OR(E892="",E892="!!!",F892="NEW"),"",INDEX(V$1:V879,SUMPRODUCT(MAX(ROW(Q$1:Q879)*(E892=Q$1:Q879)))))</f>
        <v/>
      </c>
      <c r="L892" s="26"/>
      <c r="M892" s="27"/>
    </row>
    <row r="893" customFormat="false" ht="15" hidden="false" customHeight="false" outlineLevel="0" collapsed="false">
      <c r="A893" s="19" t="s">
        <v>673</v>
      </c>
      <c r="B893" s="28" t="s">
        <v>293</v>
      </c>
      <c r="C893" s="28" t="s">
        <v>333</v>
      </c>
      <c r="D893" s="28" t="s">
        <v>253</v>
      </c>
      <c r="E893" s="20" t="s">
        <v>413</v>
      </c>
      <c r="F893" s="21" t="str">
        <f aca="false">IF(OR(E893="",E893="!!!"),"",IF(NOT(ISNA(VLOOKUP(E893,Q$1:Q880,1,FALSE()))),"OLD",IF(AND(E893&lt;&gt;"",E893&lt;&gt;"!!!"),"NEW","")))</f>
        <v>NEW</v>
      </c>
      <c r="G893" s="22" t="s">
        <v>296</v>
      </c>
      <c r="H893" s="23" t="str">
        <f aca="false">IF(J893&lt;&gt;1,"",IF(I893="SBJ","CB","?"))</f>
        <v/>
      </c>
      <c r="I893" s="24" t="str">
        <f aca="false">IF(OR(E893="",E893="!!!",F893="NEW"),"",INDEX(N$2:N880,-1+SUMPRODUCT(MAX(ROW(E$2:E880)*(E893=E$2:E880)))))</f>
        <v/>
      </c>
      <c r="J893" s="25" t="str">
        <f aca="true">IF(OR(E893="",E893="!!!",F893="NEW"),"",COUNTBLANK(OFFSET(M$1,,,SUMPRODUCT(MAX(ROW(E$2:E881)*(E893=E$2:E881)))))-COUNTBLANK(OFFSET(M$1,,,SUMPRODUCT(MAX(ROW(Q$1:Q880)*(E893=Q$1:Q880))))))</f>
        <v/>
      </c>
      <c r="K893" s="25" t="str">
        <f aca="false">IF(OR(E893="",E893="!!!",F893="NEW"),"",INDEX(V$1:V880,SUMPRODUCT(MAX(ROW(Q$1:Q880)*(E893=Q$1:Q880)))))</f>
        <v/>
      </c>
      <c r="L893" s="26"/>
      <c r="M893" s="27"/>
      <c r="N893" s="29"/>
      <c r="O893" s="29"/>
      <c r="P893" s="29"/>
    </row>
    <row r="894" customFormat="false" ht="15" hidden="false" customHeight="false" outlineLevel="0" collapsed="false">
      <c r="A894" s="19" t="s">
        <v>250</v>
      </c>
      <c r="E894" s="20" t="str">
        <f aca="false">IF(P894="?OLD","!!!","")</f>
        <v/>
      </c>
      <c r="F894" s="21" t="str">
        <f aca="false">IF(OR(E894="",E894="!!!"),"",IF(NOT(ISNA(VLOOKUP(E894,Q$1:Q881,1,FALSE()))),"OLD",IF(AND(E894&lt;&gt;"",E894&lt;&gt;"!!!"),"NEW","")))</f>
        <v/>
      </c>
      <c r="G894" s="22" t="str">
        <f aca="false">IF(OR(E894="",E894="!!!"),"",IF(OR(J894=0,AND(J894=1,K894=1),AND(J894=1,I894="SBJ"),AND(J894=1,I894=0)),"?IN_FOCUS",IF(J894&lt;=2,"?ACTIVATED",IF(J894&lt;&gt;"","?FAMILIAR",IF(F894="NEW",IF(ISNA(VLOOKUP(E894,#REF!,1,FALSE())),"?TYPE_IDENTIFIABLE","?REFERENTIAL"),"_")))))</f>
        <v/>
      </c>
      <c r="H894" s="23" t="str">
        <f aca="false">IF(J894&lt;&gt;1,"",IF(I894="SBJ","CB","?"))</f>
        <v/>
      </c>
      <c r="I894" s="24" t="str">
        <f aca="false">IF(OR(E894="",E894="!!!",F894="NEW"),"",INDEX(N$2:N881,-1+SUMPRODUCT(MAX(ROW(E$2:E881)*(E894=E$2:E881)))))</f>
        <v/>
      </c>
      <c r="J894" s="25" t="str">
        <f aca="true">IF(OR(E894="",E894="!!!",F894="NEW"),"",COUNTBLANK(OFFSET(M$1,,,SUMPRODUCT(MAX(ROW(E$2:E882)*(E894=E$2:E882)))))-COUNTBLANK(OFFSET(M$1,,,SUMPRODUCT(MAX(ROW(Q$1:Q881)*(E894=Q$1:Q881))))))</f>
        <v/>
      </c>
      <c r="K894" s="25" t="str">
        <f aca="false">IF(OR(E894="",E894="!!!",F894="NEW"),"",INDEX(V$1:V881,SUMPRODUCT(MAX(ROW(Q$1:Q881)*(E894=Q$1:Q881)))))</f>
        <v/>
      </c>
      <c r="L894" s="26"/>
      <c r="M894" s="27"/>
    </row>
    <row r="895" customFormat="false" ht="15" hidden="false" customHeight="false" outlineLevel="0" collapsed="false">
      <c r="A895" s="19" t="s">
        <v>674</v>
      </c>
      <c r="B895" s="28" t="s">
        <v>326</v>
      </c>
      <c r="C895" s="28" t="s">
        <v>314</v>
      </c>
      <c r="D895" s="28" t="s">
        <v>253</v>
      </c>
      <c r="E895" s="20" t="s">
        <v>675</v>
      </c>
      <c r="F895" s="21" t="str">
        <f aca="false">IF(OR(E895="",E895="!!!"),"",IF(NOT(ISNA(VLOOKUP(E895,Q$1:Q882,1,FALSE()))),"OLD",IF(AND(E895&lt;&gt;"",E895&lt;&gt;"!!!"),"NEW","")))</f>
        <v>NEW</v>
      </c>
      <c r="G895" s="22" t="s">
        <v>283</v>
      </c>
      <c r="H895" s="23" t="str">
        <f aca="false">IF(J895&lt;&gt;1,"",IF(I895="SBJ","CB","?"))</f>
        <v/>
      </c>
      <c r="I895" s="24" t="str">
        <f aca="false">IF(OR(E895="",E895="!!!",F895="NEW"),"",INDEX(N$2:N882,-1+SUMPRODUCT(MAX(ROW(E$2:E882)*(E895=E$2:E882)))))</f>
        <v/>
      </c>
      <c r="J895" s="25" t="str">
        <f aca="true">IF(OR(E895="",E895="!!!",F895="NEW"),"",COUNTBLANK(OFFSET(M$1,,,SUMPRODUCT(MAX(ROW(E$2:E883)*(E895=E$2:E883)))))-COUNTBLANK(OFFSET(M$1,,,SUMPRODUCT(MAX(ROW(Q$1:Q882)*(E895=Q$1:Q882))))))</f>
        <v/>
      </c>
      <c r="K895" s="25" t="str">
        <f aca="false">IF(OR(E895="",E895="!!!",F895="NEW"),"",INDEX(V$1:V882,SUMPRODUCT(MAX(ROW(Q$1:Q882)*(E895=Q$1:Q882)))))</f>
        <v/>
      </c>
      <c r="L895" s="26"/>
      <c r="M895" s="27"/>
      <c r="N895" s="29"/>
      <c r="O895" s="29"/>
      <c r="P895" s="29"/>
    </row>
    <row r="896" customFormat="false" ht="15" hidden="false" customHeight="false" outlineLevel="0" collapsed="false">
      <c r="A896" s="19" t="s">
        <v>256</v>
      </c>
      <c r="E896" s="20" t="str">
        <f aca="false">IF(P896="?OLD","!!!","")</f>
        <v/>
      </c>
      <c r="F896" s="21" t="str">
        <f aca="false">IF(OR(E896="",E896="!!!"),"",IF(NOT(ISNA(VLOOKUP(E896,Q$1:Q883,1,FALSE()))),"OLD",IF(AND(E896&lt;&gt;"",E896&lt;&gt;"!!!"),"NEW","")))</f>
        <v/>
      </c>
      <c r="G896" s="22" t="str">
        <f aca="false">IF(OR(E896="",E896="!!!"),"",IF(OR(J896=0,AND(J896=1,K896=1),AND(J896=1,I896="SBJ"),AND(J896=1,I896=0)),"?IN_FOCUS",IF(J896&lt;=2,"?ACTIVATED",IF(J896&lt;&gt;"","?FAMILIAR",IF(F896="NEW",IF(ISNA(VLOOKUP(E896,#REF!,1,FALSE())),"?TYPE_IDENTIFIABLE","?REFERENTIAL"),"_")))))</f>
        <v/>
      </c>
      <c r="H896" s="23" t="str">
        <f aca="false">IF(J896&lt;&gt;1,"",IF(I896="SBJ","CB","?"))</f>
        <v/>
      </c>
      <c r="I896" s="24" t="str">
        <f aca="false">IF(OR(E896="",E896="!!!",F896="NEW"),"",INDEX(N$2:N883,-1+SUMPRODUCT(MAX(ROW(E$2:E883)*(E896=E$2:E883)))))</f>
        <v/>
      </c>
      <c r="J896" s="25" t="str">
        <f aca="true">IF(OR(E896="",E896="!!!",F896="NEW"),"",COUNTBLANK(OFFSET(M$1,,,SUMPRODUCT(MAX(ROW(E$2:E884)*(E896=E$2:E884)))))-COUNTBLANK(OFFSET(M$1,,,SUMPRODUCT(MAX(ROW(Q$1:Q883)*(E896=Q$1:Q883))))))</f>
        <v/>
      </c>
      <c r="K896" s="25" t="str">
        <f aca="false">IF(OR(E896="",E896="!!!",F896="NEW"),"",INDEX(V$1:V883,SUMPRODUCT(MAX(ROW(Q$1:Q883)*(E896=Q$1:Q883)))))</f>
        <v/>
      </c>
      <c r="L896" s="26"/>
      <c r="M896" s="27"/>
    </row>
    <row r="897" customFormat="false" ht="15" hidden="false" customHeight="false" outlineLevel="0" collapsed="false">
      <c r="A897" s="19" t="s">
        <v>250</v>
      </c>
      <c r="E897" s="20" t="str">
        <f aca="false">IF(P897="?OLD","!!!","")</f>
        <v/>
      </c>
      <c r="F897" s="21" t="str">
        <f aca="false">IF(OR(E897="",E897="!!!"),"",IF(NOT(ISNA(VLOOKUP(E897,Q$1:Q884,1,FALSE()))),"OLD",IF(AND(E897&lt;&gt;"",E897&lt;&gt;"!!!"),"NEW","")))</f>
        <v/>
      </c>
      <c r="G897" s="22" t="str">
        <f aca="false">IF(OR(E897="",E897="!!!"),"",IF(OR(J897=0,AND(J897=1,K897=1),AND(J897=1,I897="SBJ"),AND(J897=1,I897=0)),"?IN_FOCUS",IF(J897&lt;=2,"?ACTIVATED",IF(J897&lt;&gt;"","?FAMILIAR",IF(F897="NEW",IF(ISNA(VLOOKUP(E897,#REF!,1,FALSE())),"?TYPE_IDENTIFIABLE","?REFERENTIAL"),"_")))))</f>
        <v/>
      </c>
      <c r="H897" s="23" t="str">
        <f aca="false">IF(J897&lt;&gt;1,"",IF(I897="SBJ","CB","?"))</f>
        <v/>
      </c>
      <c r="I897" s="24" t="str">
        <f aca="false">IF(OR(E897="",E897="!!!",F897="NEW"),"",INDEX(N$2:N884,-1+SUMPRODUCT(MAX(ROW(E$2:E884)*(E897=E$2:E884)))))</f>
        <v/>
      </c>
      <c r="J897" s="25" t="str">
        <f aca="true">IF(OR(E897="",E897="!!!",F897="NEW"),"",COUNTBLANK(OFFSET(M$1,,,SUMPRODUCT(MAX(ROW(E$2:E885)*(E897=E$2:E885)))))-COUNTBLANK(OFFSET(M$1,,,SUMPRODUCT(MAX(ROW(Q$1:Q884)*(E897=Q$1:Q884))))))</f>
        <v/>
      </c>
      <c r="K897" s="25" t="str">
        <f aca="false">IF(OR(E897="",E897="!!!",F897="NEW"),"",INDEX(V$1:V884,SUMPRODUCT(MAX(ROW(Q$1:Q884)*(E897=Q$1:Q884)))))</f>
        <v/>
      </c>
      <c r="L897" s="26"/>
      <c r="M897" s="27"/>
    </row>
    <row r="898" customFormat="false" ht="15" hidden="false" customHeight="false" outlineLevel="0" collapsed="false">
      <c r="A898" s="19" t="s">
        <v>318</v>
      </c>
      <c r="E898" s="20" t="str">
        <f aca="false">IF(P898="?OLD","!!!","")</f>
        <v/>
      </c>
      <c r="F898" s="21" t="str">
        <f aca="false">IF(OR(E898="",E898="!!!"),"",IF(NOT(ISNA(VLOOKUP(E898,Q$1:Q885,1,FALSE()))),"OLD",IF(AND(E898&lt;&gt;"",E898&lt;&gt;"!!!"),"NEW","")))</f>
        <v/>
      </c>
      <c r="G898" s="22" t="str">
        <f aca="false">IF(OR(E898="",E898="!!!"),"",IF(OR(J898=0,AND(J898=1,K898=1),AND(J898=1,I898="SBJ"),AND(J898=1,I898=0)),"?IN_FOCUS",IF(J898&lt;=2,"?ACTIVATED",IF(J898&lt;&gt;"","?FAMILIAR",IF(F898="NEW",IF(ISNA(VLOOKUP(E898,#REF!,1,FALSE())),"?TYPE_IDENTIFIABLE","?REFERENTIAL"),"_")))))</f>
        <v/>
      </c>
      <c r="H898" s="23" t="str">
        <f aca="false">IF(J898&lt;&gt;1,"",IF(I898="SBJ","CB","?"))</f>
        <v/>
      </c>
      <c r="I898" s="24" t="str">
        <f aca="false">IF(OR(E898="",E898="!!!",F898="NEW"),"",INDEX(N$2:N885,-1+SUMPRODUCT(MAX(ROW(E$2:E885)*(E898=E$2:E885)))))</f>
        <v/>
      </c>
      <c r="J898" s="25" t="str">
        <f aca="true">IF(OR(E898="",E898="!!!",F898="NEW"),"",COUNTBLANK(OFFSET(M$1,,,SUMPRODUCT(MAX(ROW(E$2:E886)*(E898=E$2:E886)))))-COUNTBLANK(OFFSET(M$1,,,SUMPRODUCT(MAX(ROW(Q$1:Q885)*(E898=Q$1:Q885))))))</f>
        <v/>
      </c>
      <c r="K898" s="25" t="str">
        <f aca="false">IF(OR(E898="",E898="!!!",F898="NEW"),"",INDEX(V$1:V885,SUMPRODUCT(MAX(ROW(Q$1:Q885)*(E898=Q$1:Q885)))))</f>
        <v/>
      </c>
      <c r="L898" s="26"/>
      <c r="M898" s="27"/>
    </row>
    <row r="899" customFormat="false" ht="15" hidden="false" customHeight="false" outlineLevel="0" collapsed="false">
      <c r="A899" s="19" t="s">
        <v>319</v>
      </c>
      <c r="B899" s="28" t="s">
        <v>293</v>
      </c>
      <c r="C899" s="28" t="s">
        <v>333</v>
      </c>
      <c r="D899" s="28" t="s">
        <v>253</v>
      </c>
      <c r="E899" s="20" t="s">
        <v>320</v>
      </c>
      <c r="F899" s="21" t="str">
        <f aca="false">IF(OR(E899="",E899="!!!"),"",IF(NOT(ISNA(VLOOKUP(E899,Q$1:Q886,1,FALSE()))),"OLD",IF(AND(E899&lt;&gt;"",E899&lt;&gt;"!!!"),"NEW","")))</f>
        <v>NEW</v>
      </c>
      <c r="G899" s="22" t="s">
        <v>283</v>
      </c>
      <c r="H899" s="23" t="str">
        <f aca="false">IF(J899&lt;&gt;1,"",IF(I899="SBJ","CB","?"))</f>
        <v/>
      </c>
      <c r="I899" s="24" t="str">
        <f aca="false">IF(OR(E899="",E899="!!!",F899="NEW"),"",INDEX(N$2:N886,-1+SUMPRODUCT(MAX(ROW(E$2:E886)*(E899=E$2:E886)))))</f>
        <v/>
      </c>
      <c r="J899" s="25" t="str">
        <f aca="true">IF(OR(E899="",E899="!!!",F899="NEW"),"",COUNTBLANK(OFFSET(M$1,,,SUMPRODUCT(MAX(ROW(E$2:E887)*(E899=E$2:E887)))))-COUNTBLANK(OFFSET(M$1,,,SUMPRODUCT(MAX(ROW(Q$1:Q886)*(E899=Q$1:Q886))))))</f>
        <v/>
      </c>
      <c r="K899" s="25" t="str">
        <f aca="false">IF(OR(E899="",E899="!!!",F899="NEW"),"",INDEX(V$1:V886,SUMPRODUCT(MAX(ROW(Q$1:Q886)*(E899=Q$1:Q886)))))</f>
        <v/>
      </c>
      <c r="L899" s="26"/>
      <c r="M899" s="27"/>
      <c r="N899" s="29"/>
      <c r="O899" s="29"/>
      <c r="P899" s="29"/>
    </row>
    <row r="900" customFormat="false" ht="15" hidden="false" customHeight="false" outlineLevel="0" collapsed="false">
      <c r="A900" s="19" t="s">
        <v>261</v>
      </c>
      <c r="E900" s="20" t="str">
        <f aca="false">IF(P900="?OLD","!!!","")</f>
        <v/>
      </c>
      <c r="F900" s="21" t="str">
        <f aca="false">IF(OR(E900="",E900="!!!"),"",IF(NOT(ISNA(VLOOKUP(E900,Q$1:Q887,1,FALSE()))),"OLD",IF(AND(E900&lt;&gt;"",E900&lt;&gt;"!!!"),"NEW","")))</f>
        <v/>
      </c>
      <c r="G900" s="22" t="str">
        <f aca="false">IF(OR(E900="",E900="!!!"),"",IF(OR(J900=0,AND(J900=1,K900=1),AND(J900=1,I900="SBJ"),AND(J900=1,I900=0)),"?IN_FOCUS",IF(J900&lt;=2,"?ACTIVATED",IF(J900&lt;&gt;"","?FAMILIAR",IF(F900="NEW",IF(ISNA(VLOOKUP(E900,#REF!,1,FALSE())),"?TYPE_IDENTIFIABLE","?REFERENTIAL"),"_")))))</f>
        <v/>
      </c>
      <c r="H900" s="23" t="str">
        <f aca="false">IF(J900&lt;&gt;1,"",IF(I900="SBJ","CB","?"))</f>
        <v/>
      </c>
      <c r="I900" s="24" t="str">
        <f aca="false">IF(OR(E900="",E900="!!!",F900="NEW"),"",INDEX(N$2:N887,-1+SUMPRODUCT(MAX(ROW(E$2:E887)*(E900=E$2:E887)))))</f>
        <v/>
      </c>
      <c r="J900" s="25" t="str">
        <f aca="true">IF(OR(E900="",E900="!!!",F900="NEW"),"",COUNTBLANK(OFFSET(M$1,,,SUMPRODUCT(MAX(ROW(E$2:E888)*(E900=E$2:E888)))))-COUNTBLANK(OFFSET(M$1,,,SUMPRODUCT(MAX(ROW(Q$1:Q887)*(E900=Q$1:Q887))))))</f>
        <v/>
      </c>
      <c r="K900" s="25" t="str">
        <f aca="false">IF(OR(E900="",E900="!!!",F900="NEW"),"",INDEX(V$1:V887,SUMPRODUCT(MAX(ROW(Q$1:Q887)*(E900=Q$1:Q887)))))</f>
        <v/>
      </c>
      <c r="L900" s="26"/>
      <c r="M900" s="27"/>
    </row>
    <row r="901" customFormat="false" ht="15" hidden="false" customHeight="false" outlineLevel="0" collapsed="false">
      <c r="A901" s="19" t="s">
        <v>581</v>
      </c>
      <c r="B901" s="28" t="s">
        <v>263</v>
      </c>
      <c r="C901" s="28" t="s">
        <v>264</v>
      </c>
      <c r="D901" s="28" t="s">
        <v>253</v>
      </c>
      <c r="E901" s="20" t="s">
        <v>546</v>
      </c>
      <c r="F901" s="21" t="str">
        <f aca="false">IF(OR(E901="",E901="!!!"),"",IF(NOT(ISNA(VLOOKUP(E901,Q$1:Q888,1,FALSE()))),"OLD",IF(AND(E901&lt;&gt;"",E901&lt;&gt;"!!!"),"NEW","")))</f>
        <v>NEW</v>
      </c>
      <c r="G901" s="22" t="s">
        <v>296</v>
      </c>
      <c r="H901" s="23" t="str">
        <f aca="false">IF(J901&lt;&gt;1,"",IF(I901="SBJ","CB","?"))</f>
        <v/>
      </c>
      <c r="I901" s="24" t="str">
        <f aca="false">IF(OR(E901="",E901="!!!",F901="NEW"),"",INDEX(N$2:N888,-1+SUMPRODUCT(MAX(ROW(E$2:E888)*(E901=E$2:E888)))))</f>
        <v/>
      </c>
      <c r="J901" s="25" t="str">
        <f aca="true">IF(OR(E901="",E901="!!!",F901="NEW"),"",COUNTBLANK(OFFSET(M$1,,,SUMPRODUCT(MAX(ROW(E$2:E889)*(E901=E$2:E889)))))-COUNTBLANK(OFFSET(M$1,,,SUMPRODUCT(MAX(ROW(Q$1:Q888)*(E901=Q$1:Q888))))))</f>
        <v/>
      </c>
      <c r="K901" s="25" t="str">
        <f aca="false">IF(OR(E901="",E901="!!!",F901="NEW"),"",INDEX(V$1:V888,SUMPRODUCT(MAX(ROW(Q$1:Q888)*(E901=Q$1:Q888)))))</f>
        <v/>
      </c>
      <c r="L901" s="26"/>
      <c r="M901" s="27"/>
      <c r="N901" s="29"/>
      <c r="O901" s="29"/>
      <c r="P901" s="29"/>
    </row>
    <row r="902" customFormat="false" ht="15" hidden="false" customHeight="false" outlineLevel="0" collapsed="false">
      <c r="A902" s="19" t="s">
        <v>468</v>
      </c>
      <c r="E902" s="20" t="str">
        <f aca="false">IF(P902="?OLD","!!!","")</f>
        <v/>
      </c>
      <c r="F902" s="21" t="str">
        <f aca="false">IF(OR(E902="",E902="!!!"),"",IF(NOT(ISNA(VLOOKUP(E902,Q$1:Q889,1,FALSE()))),"OLD",IF(AND(E902&lt;&gt;"",E902&lt;&gt;"!!!"),"NEW","")))</f>
        <v/>
      </c>
      <c r="G902" s="22" t="str">
        <f aca="false">IF(OR(E902="",E902="!!!"),"",IF(OR(J902=0,AND(J902=1,K902=1),AND(J902=1,I902="SBJ"),AND(J902=1,I902=0)),"?IN_FOCUS",IF(J902&lt;=2,"?ACTIVATED",IF(J902&lt;&gt;"","?FAMILIAR",IF(F902="NEW",IF(ISNA(VLOOKUP(E902,#REF!,1,FALSE())),"?TYPE_IDENTIFIABLE","?REFERENTIAL"),"_")))))</f>
        <v/>
      </c>
      <c r="H902" s="23" t="str">
        <f aca="false">IF(J902&lt;&gt;1,"",IF(I902="SBJ","CB","?"))</f>
        <v/>
      </c>
      <c r="I902" s="24" t="str">
        <f aca="false">IF(OR(E902="",E902="!!!",F902="NEW"),"",INDEX(N$2:N889,-1+SUMPRODUCT(MAX(ROW(E$2:E889)*(E902=E$2:E889)))))</f>
        <v/>
      </c>
      <c r="J902" s="25" t="str">
        <f aca="true">IF(OR(E902="",E902="!!!",F902="NEW"),"",COUNTBLANK(OFFSET(M$1,,,SUMPRODUCT(MAX(ROW(E$2:E890)*(E902=E$2:E890)))))-COUNTBLANK(OFFSET(M$1,,,SUMPRODUCT(MAX(ROW(Q$1:Q889)*(E902=Q$1:Q889))))))</f>
        <v/>
      </c>
      <c r="K902" s="25" t="str">
        <f aca="false">IF(OR(E902="",E902="!!!",F902="NEW"),"",INDEX(V$1:V889,SUMPRODUCT(MAX(ROW(Q$1:Q889)*(E902=Q$1:Q889)))))</f>
        <v/>
      </c>
      <c r="L902" s="26"/>
      <c r="M902" s="27"/>
    </row>
    <row r="903" customFormat="false" ht="15" hidden="false" customHeight="false" outlineLevel="0" collapsed="false">
      <c r="A903" s="19" t="s">
        <v>676</v>
      </c>
      <c r="E903" s="20" t="str">
        <f aca="false">IF(P903="?OLD","!!!","")</f>
        <v/>
      </c>
      <c r="F903" s="21" t="str">
        <f aca="false">IF(OR(E903="",E903="!!!"),"",IF(NOT(ISNA(VLOOKUP(E903,Q$1:Q890,1,FALSE()))),"OLD",IF(AND(E903&lt;&gt;"",E903&lt;&gt;"!!!"),"NEW","")))</f>
        <v/>
      </c>
      <c r="G903" s="22" t="str">
        <f aca="false">IF(OR(E903="",E903="!!!"),"",IF(OR(J903=0,AND(J903=1,K903=1),AND(J903=1,I903="SBJ"),AND(J903=1,I903=0)),"?IN_FOCUS",IF(J903&lt;=2,"?ACTIVATED",IF(J903&lt;&gt;"","?FAMILIAR",IF(F903="NEW",IF(ISNA(VLOOKUP(E903,#REF!,1,FALSE())),"?TYPE_IDENTIFIABLE","?REFERENTIAL"),"_")))))</f>
        <v/>
      </c>
      <c r="H903" s="23" t="str">
        <f aca="false">IF(J903&lt;&gt;1,"",IF(I903="SBJ","CB","?"))</f>
        <v/>
      </c>
      <c r="I903" s="24" t="str">
        <f aca="false">IF(OR(E903="",E903="!!!",F903="NEW"),"",INDEX(N$2:N890,-1+SUMPRODUCT(MAX(ROW(E$2:E890)*(E903=E$2:E890)))))</f>
        <v/>
      </c>
      <c r="J903" s="25" t="str">
        <f aca="true">IF(OR(E903="",E903="!!!",F903="NEW"),"",COUNTBLANK(OFFSET(M$1,,,SUMPRODUCT(MAX(ROW(E$2:E891)*(E903=E$2:E891)))))-COUNTBLANK(OFFSET(M$1,,,SUMPRODUCT(MAX(ROW(Q$1:Q890)*(E903=Q$1:Q890))))))</f>
        <v/>
      </c>
      <c r="K903" s="25" t="str">
        <f aca="false">IF(OR(E903="",E903="!!!",F903="NEW"),"",INDEX(V$1:V890,SUMPRODUCT(MAX(ROW(Q$1:Q890)*(E903=Q$1:Q890)))))</f>
        <v/>
      </c>
      <c r="L903" s="26"/>
      <c r="M903" s="27"/>
    </row>
    <row r="904" customFormat="false" ht="15" hidden="false" customHeight="false" outlineLevel="0" collapsed="false">
      <c r="A904" s="19" t="s">
        <v>438</v>
      </c>
      <c r="E904" s="20" t="str">
        <f aca="false">IF(P904="?OLD","!!!","")</f>
        <v/>
      </c>
      <c r="F904" s="21" t="str">
        <f aca="false">IF(OR(E904="",E904="!!!"),"",IF(NOT(ISNA(VLOOKUP(E904,Q$1:Q891,1,FALSE()))),"OLD",IF(AND(E904&lt;&gt;"",E904&lt;&gt;"!!!"),"NEW","")))</f>
        <v/>
      </c>
      <c r="G904" s="22" t="str">
        <f aca="false">IF(OR(E904="",E904="!!!"),"",IF(OR(J904=0,AND(J904=1,K904=1),AND(J904=1,I904="SBJ"),AND(J904=1,I904=0)),"?IN_FOCUS",IF(J904&lt;=2,"?ACTIVATED",IF(J904&lt;&gt;"","?FAMILIAR",IF(F904="NEW",IF(ISNA(VLOOKUP(E904,#REF!,1,FALSE())),"?TYPE_IDENTIFIABLE","?REFERENTIAL"),"_")))))</f>
        <v/>
      </c>
      <c r="H904" s="23" t="str">
        <f aca="false">IF(J904&lt;&gt;1,"",IF(I904="SBJ","CB","?"))</f>
        <v/>
      </c>
      <c r="I904" s="24" t="str">
        <f aca="false">IF(OR(E904="",E904="!!!",F904="NEW"),"",INDEX(N$2:N891,-1+SUMPRODUCT(MAX(ROW(E$2:E891)*(E904=E$2:E891)))))</f>
        <v/>
      </c>
      <c r="J904" s="25" t="str">
        <f aca="true">IF(OR(E904="",E904="!!!",F904="NEW"),"",COUNTBLANK(OFFSET(M$1,,,SUMPRODUCT(MAX(ROW(E$2:E892)*(E904=E$2:E892)))))-COUNTBLANK(OFFSET(M$1,,,SUMPRODUCT(MAX(ROW(Q$1:Q891)*(E904=Q$1:Q891))))))</f>
        <v/>
      </c>
      <c r="K904" s="25" t="str">
        <f aca="false">IF(OR(E904="",E904="!!!",F904="NEW"),"",INDEX(V$1:V891,SUMPRODUCT(MAX(ROW(Q$1:Q891)*(E904=Q$1:Q891)))))</f>
        <v/>
      </c>
      <c r="L904" s="26"/>
      <c r="M904" s="27"/>
    </row>
    <row r="905" customFormat="false" ht="15" hidden="false" customHeight="false" outlineLevel="0" collapsed="false">
      <c r="A905" s="19" t="s">
        <v>343</v>
      </c>
      <c r="B905" s="28" t="s">
        <v>271</v>
      </c>
      <c r="C905" s="28" t="s">
        <v>420</v>
      </c>
      <c r="D905" s="28" t="s">
        <v>253</v>
      </c>
      <c r="E905" s="20"/>
      <c r="F905" s="21" t="s">
        <v>448</v>
      </c>
      <c r="G905" s="22" t="str">
        <f aca="false">IF(OR(E905="",E905="!!!"),"",IF(OR(J905=0,AND(J905=1,K905=1),AND(J905=1,I905="SBJ"),AND(J905=1,I905=0)),"?IN_FOCUS",IF(J905&lt;=2,"?ACTIVATED",IF(J905&lt;&gt;"","?FAMILIAR",IF(F905="NEW",IF(ISNA(VLOOKUP(E905,#REF!,1,FALSE())),"?TYPE_IDENTIFIABLE","?REFERENTIAL"),"_")))))</f>
        <v/>
      </c>
      <c r="H905" s="23" t="str">
        <f aca="false">IF(J905&lt;&gt;1,"",IF(I905="SBJ","CB","?"))</f>
        <v/>
      </c>
      <c r="I905" s="24" t="str">
        <f aca="false">IF(OR(E905="",E905="!!!",F905="NEW"),"",INDEX(N$2:N892,-1+SUMPRODUCT(MAX(ROW(E$2:E892)*(E905=E$2:E892)))))</f>
        <v/>
      </c>
      <c r="J905" s="25" t="str">
        <f aca="true">IF(OR(E905="",E905="!!!",F905="NEW"),"",COUNTBLANK(OFFSET(M$1,,,SUMPRODUCT(MAX(ROW(E$2:E893)*(E905=E$2:E893)))))-COUNTBLANK(OFFSET(M$1,,,SUMPRODUCT(MAX(ROW(Q$1:Q892)*(E905=Q$1:Q892))))))</f>
        <v/>
      </c>
      <c r="K905" s="25" t="str">
        <f aca="false">IF(OR(E905="",E905="!!!",F905="NEW"),"",INDEX(V$1:V892,SUMPRODUCT(MAX(ROW(Q$1:Q892)*(E905=Q$1:Q892)))))</f>
        <v/>
      </c>
      <c r="L905" s="26"/>
      <c r="M905" s="27"/>
      <c r="N905" s="29"/>
      <c r="O905" s="29"/>
      <c r="P905" s="29"/>
    </row>
    <row r="906" customFormat="false" ht="15" hidden="false" customHeight="false" outlineLevel="0" collapsed="false">
      <c r="A906" s="19" t="s">
        <v>261</v>
      </c>
      <c r="E906" s="20" t="str">
        <f aca="false">IF(P906="?OLD","!!!","")</f>
        <v/>
      </c>
      <c r="F906" s="21" t="str">
        <f aca="false">IF(OR(E906="",E906="!!!"),"",IF(NOT(ISNA(VLOOKUP(E906,Q$1:Q893,1,FALSE()))),"OLD",IF(AND(E906&lt;&gt;"",E906&lt;&gt;"!!!"),"NEW","")))</f>
        <v/>
      </c>
      <c r="G906" s="22" t="str">
        <f aca="false">IF(OR(E906="",E906="!!!"),"",IF(OR(J906=0,AND(J906=1,K906=1),AND(J906=1,I906="SBJ"),AND(J906=1,I906=0)),"?IN_FOCUS",IF(J906&lt;=2,"?ACTIVATED",IF(J906&lt;&gt;"","?FAMILIAR",IF(F906="NEW",IF(ISNA(VLOOKUP(E906,#REF!,1,FALSE())),"?TYPE_IDENTIFIABLE","?REFERENTIAL"),"_")))))</f>
        <v/>
      </c>
      <c r="H906" s="23" t="str">
        <f aca="false">IF(J906&lt;&gt;1,"",IF(I906="SBJ","CB","?"))</f>
        <v/>
      </c>
      <c r="I906" s="24" t="str">
        <f aca="false">IF(OR(E906="",E906="!!!",F906="NEW"),"",INDEX(N$2:N893,-1+SUMPRODUCT(MAX(ROW(E$2:E893)*(E906=E$2:E893)))))</f>
        <v/>
      </c>
      <c r="J906" s="25" t="str">
        <f aca="true">IF(OR(E906="",E906="!!!",F906="NEW"),"",COUNTBLANK(OFFSET(M$1,,,SUMPRODUCT(MAX(ROW(E$2:E894)*(E906=E$2:E894)))))-COUNTBLANK(OFFSET(M$1,,,SUMPRODUCT(MAX(ROW(Q$1:Q893)*(E906=Q$1:Q893))))))</f>
        <v/>
      </c>
      <c r="K906" s="25" t="str">
        <f aca="false">IF(OR(E906="",E906="!!!",F906="NEW"),"",INDEX(V$1:V893,SUMPRODUCT(MAX(ROW(Q$1:Q893)*(E906=Q$1:Q893)))))</f>
        <v/>
      </c>
      <c r="L906" s="26"/>
      <c r="M906" s="27"/>
    </row>
    <row r="907" customFormat="false" ht="15" hidden="false" customHeight="false" outlineLevel="0" collapsed="false">
      <c r="A907" s="19" t="s">
        <v>550</v>
      </c>
      <c r="B907" s="28" t="s">
        <v>326</v>
      </c>
      <c r="E907" s="20" t="str">
        <f aca="false">IF(P907="?OLD","!!!","")</f>
        <v/>
      </c>
      <c r="F907" s="21" t="str">
        <f aca="false">IF(OR(E907="",E907="!!!"),"",IF(NOT(ISNA(VLOOKUP(E907,Q$1:Q894,1,FALSE()))),"OLD",IF(AND(E907&lt;&gt;"",E907&lt;&gt;"!!!"),"NEW","")))</f>
        <v/>
      </c>
      <c r="G907" s="22" t="str">
        <f aca="false">IF(OR(E907="",E907="!!!"),"",IF(OR(J907=0,AND(J907=1,K907=1),AND(J907=1,I907="SBJ"),AND(J907=1,I907=0)),"?IN_FOCUS",IF(J907&lt;=2,"?ACTIVATED",IF(J907&lt;&gt;"","?FAMILIAR",IF(F907="NEW",IF(ISNA(VLOOKUP(E907,#REF!,1,FALSE())),"?TYPE_IDENTIFIABLE","?REFERENTIAL"),"_")))))</f>
        <v/>
      </c>
      <c r="H907" s="23" t="str">
        <f aca="false">IF(J907&lt;&gt;1,"",IF(I907="SBJ","CB","?"))</f>
        <v/>
      </c>
      <c r="I907" s="24" t="str">
        <f aca="false">IF(OR(E907="",E907="!!!",F907="NEW"),"",INDEX(N$2:N894,-1+SUMPRODUCT(MAX(ROW(E$2:E894)*(E907=E$2:E894)))))</f>
        <v/>
      </c>
      <c r="J907" s="25" t="str">
        <f aca="true">IF(OR(E907="",E907="!!!",F907="NEW"),"",COUNTBLANK(OFFSET(M$1,,,SUMPRODUCT(MAX(ROW(E$2:E895)*(E907=E$2:E895)))))-COUNTBLANK(OFFSET(M$1,,,SUMPRODUCT(MAX(ROW(Q$1:Q894)*(E907=Q$1:Q894))))))</f>
        <v/>
      </c>
      <c r="K907" s="25" t="str">
        <f aca="false">IF(OR(E907="",E907="!!!",F907="NEW"),"",INDEX(V$1:V894,SUMPRODUCT(MAX(ROW(Q$1:Q894)*(E907=Q$1:Q894)))))</f>
        <v/>
      </c>
      <c r="L907" s="26"/>
      <c r="M907" s="27"/>
      <c r="N907" s="29"/>
    </row>
    <row r="908" customFormat="false" ht="15" hidden="false" customHeight="false" outlineLevel="0" collapsed="false">
      <c r="A908" s="19" t="s">
        <v>441</v>
      </c>
      <c r="B908" s="28" t="s">
        <v>324</v>
      </c>
      <c r="C908" s="28" t="s">
        <v>264</v>
      </c>
      <c r="D908" s="28" t="s">
        <v>253</v>
      </c>
      <c r="E908" s="20" t="s">
        <v>265</v>
      </c>
      <c r="F908" s="21" t="str">
        <f aca="false">IF(OR(E908="",E908="!!!"),"",IF(NOT(ISNA(VLOOKUP(E908,Q$1:Q895,1,FALSE()))),"OLD",IF(AND(E908&lt;&gt;"",E908&lt;&gt;"!!!"),"NEW","")))</f>
        <v>NEW</v>
      </c>
      <c r="G908" s="22" t="s">
        <v>266</v>
      </c>
      <c r="H908" s="23"/>
      <c r="I908" s="24" t="str">
        <f aca="false">IF(OR(E908="",E908="!!!",F908="NEW"),"",INDEX(N$2:N895,-1+SUMPRODUCT(MAX(ROW(E$2:E895)*(E908=E$2:E895)))))</f>
        <v/>
      </c>
      <c r="J908" s="25" t="str">
        <f aca="true">IF(OR(E908="",E908="!!!",F908="NEW"),"",COUNTBLANK(OFFSET(M$1,,,SUMPRODUCT(MAX(ROW(E$2:E896)*(E908=E$2:E896)))))-COUNTBLANK(OFFSET(M$1,,,SUMPRODUCT(MAX(ROW(Q$1:Q895)*(E908=Q$1:Q895))))))</f>
        <v/>
      </c>
      <c r="K908" s="25" t="str">
        <f aca="false">IF(OR(E908="",E908="!!!",F908="NEW"),"",INDEX(V$1:V895,SUMPRODUCT(MAX(ROW(Q$1:Q895)*(E908=Q$1:Q895)))))</f>
        <v/>
      </c>
      <c r="L908" s="26"/>
      <c r="M908" s="27"/>
      <c r="N908" s="29"/>
      <c r="O908" s="29"/>
      <c r="P908" s="29"/>
    </row>
    <row r="909" customFormat="false" ht="15" hidden="false" customHeight="false" outlineLevel="0" collapsed="false">
      <c r="A909" s="19" t="s">
        <v>677</v>
      </c>
      <c r="E909" s="20" t="str">
        <f aca="false">IF(P909="?OLD","!!!","")</f>
        <v/>
      </c>
      <c r="F909" s="21" t="str">
        <f aca="false">IF(OR(E909="",E909="!!!"),"",IF(NOT(ISNA(VLOOKUP(E909,Q$1:Q896,1,FALSE()))),"OLD",IF(AND(E909&lt;&gt;"",E909&lt;&gt;"!!!"),"NEW","")))</f>
        <v/>
      </c>
      <c r="G909" s="22" t="str">
        <f aca="false">IF(OR(E909="",E909="!!!"),"",IF(OR(J909=0,AND(J909=1,K909=1),AND(J909=1,I909="SBJ"),AND(J909=1,I909=0)),"?IN_FOCUS",IF(J909&lt;=2,"?ACTIVATED",IF(J909&lt;&gt;"","?FAMILIAR",IF(F909="NEW",IF(ISNA(VLOOKUP(E909,#REF!,1,FALSE())),"?TYPE_IDENTIFIABLE","?REFERENTIAL"),"_")))))</f>
        <v/>
      </c>
      <c r="H909" s="23" t="str">
        <f aca="false">IF(J909&lt;&gt;1,"",IF(I909="SBJ","CB","?"))</f>
        <v/>
      </c>
      <c r="I909" s="24" t="str">
        <f aca="false">IF(OR(E909="",E909="!!!",F909="NEW"),"",INDEX(N$2:N896,-1+SUMPRODUCT(MAX(ROW(E$2:E896)*(E909=E$2:E896)))))</f>
        <v/>
      </c>
      <c r="J909" s="25" t="str">
        <f aca="true">IF(OR(E909="",E909="!!!",F909="NEW"),"",COUNTBLANK(OFFSET(M$1,,,SUMPRODUCT(MAX(ROW(E$2:E897)*(E909=E$2:E897)))))-COUNTBLANK(OFFSET(M$1,,,SUMPRODUCT(MAX(ROW(Q$1:Q896)*(E909=Q$1:Q896))))))</f>
        <v/>
      </c>
      <c r="K909" s="25" t="str">
        <f aca="false">IF(OR(E909="",E909="!!!",F909="NEW"),"",INDEX(V$1:V896,SUMPRODUCT(MAX(ROW(Q$1:Q896)*(E909=Q$1:Q896)))))</f>
        <v/>
      </c>
      <c r="L909" s="26"/>
      <c r="M909" s="27"/>
    </row>
    <row r="910" customFormat="false" ht="15" hidden="false" customHeight="false" outlineLevel="0" collapsed="false">
      <c r="A910" s="19" t="s">
        <v>87</v>
      </c>
      <c r="E910" s="20" t="str">
        <f aca="false">IF(P910="?OLD","!!!","")</f>
        <v/>
      </c>
      <c r="F910" s="21" t="str">
        <f aca="false">IF(OR(E910="",E910="!!!"),"",IF(NOT(ISNA(VLOOKUP(E910,Q$1:Q897,1,FALSE()))),"OLD",IF(AND(E910&lt;&gt;"",E910&lt;&gt;"!!!"),"NEW","")))</f>
        <v/>
      </c>
      <c r="G910" s="22" t="str">
        <f aca="false">IF(OR(E910="",E910="!!!"),"",IF(OR(J910=0,AND(J910=1,K910=1),AND(J910=1,I910="SBJ"),AND(J910=1,I910=0)),"?IN_FOCUS",IF(J910&lt;=2,"?ACTIVATED",IF(J910&lt;&gt;"","?FAMILIAR",IF(F910="NEW",IF(ISNA(VLOOKUP(E910,#REF!,1,FALSE())),"?TYPE_IDENTIFIABLE","?REFERENTIAL"),"_")))))</f>
        <v/>
      </c>
      <c r="H910" s="23" t="str">
        <f aca="false">IF(J910&lt;&gt;1,"",IF(I910="SBJ","CB","?"))</f>
        <v/>
      </c>
      <c r="I910" s="24" t="str">
        <f aca="false">IF(OR(E910="",E910="!!!",F910="NEW"),"",INDEX(N$2:N897,-1+SUMPRODUCT(MAX(ROW(E$2:E897)*(E910=E$2:E897)))))</f>
        <v/>
      </c>
      <c r="J910" s="25" t="str">
        <f aca="true">IF(OR(E910="",E910="!!!",F910="NEW"),"",COUNTBLANK(OFFSET(M$1,,,SUMPRODUCT(MAX(ROW(E$2:E898)*(E910=E$2:E898)))))-COUNTBLANK(OFFSET(M$1,,,SUMPRODUCT(MAX(ROW(Q$1:Q897)*(E910=Q$1:Q897))))))</f>
        <v/>
      </c>
      <c r="K910" s="25" t="str">
        <f aca="false">IF(OR(E910="",E910="!!!",F910="NEW"),"",INDEX(V$1:V897,SUMPRODUCT(MAX(ROW(Q$1:Q897)*(E910=Q$1:Q897)))))</f>
        <v/>
      </c>
      <c r="L910" s="26"/>
      <c r="M910" s="27"/>
    </row>
    <row r="911" customFormat="false" ht="15" hidden="false" customHeight="false" outlineLevel="0" collapsed="false">
      <c r="A911" s="19" t="s">
        <v>294</v>
      </c>
      <c r="E911" s="20" t="str">
        <f aca="false">IF(P911="?OLD","!!!","")</f>
        <v/>
      </c>
      <c r="F911" s="21" t="str">
        <f aca="false">IF(OR(E911="",E911="!!!"),"",IF(NOT(ISNA(VLOOKUP(E911,Q$1:Q898,1,FALSE()))),"OLD",IF(AND(E911&lt;&gt;"",E911&lt;&gt;"!!!"),"NEW","")))</f>
        <v/>
      </c>
      <c r="G911" s="22" t="str">
        <f aca="false">IF(OR(E911="",E911="!!!"),"",IF(OR(J911=0,AND(J911=1,K911=1),AND(J911=1,I911="SBJ"),AND(J911=1,I911=0)),"?IN_FOCUS",IF(J911&lt;=2,"?ACTIVATED",IF(J911&lt;&gt;"","?FAMILIAR",IF(F911="NEW",IF(ISNA(VLOOKUP(E911,#REF!,1,FALSE())),"?TYPE_IDENTIFIABLE","?REFERENTIAL"),"_")))))</f>
        <v/>
      </c>
      <c r="H911" s="23" t="str">
        <f aca="false">IF(J911&lt;&gt;1,"",IF(I911="SBJ","CB","?"))</f>
        <v/>
      </c>
      <c r="I911" s="24" t="str">
        <f aca="false">IF(OR(E911="",E911="!!!",F911="NEW"),"",INDEX(N$2:N898,-1+SUMPRODUCT(MAX(ROW(E$2:E898)*(E911=E$2:E898)))))</f>
        <v/>
      </c>
      <c r="J911" s="25" t="str">
        <f aca="true">IF(OR(E911="",E911="!!!",F911="NEW"),"",COUNTBLANK(OFFSET(M$1,,,SUMPRODUCT(MAX(ROW(E$2:E899)*(E911=E$2:E899)))))-COUNTBLANK(OFFSET(M$1,,,SUMPRODUCT(MAX(ROW(Q$1:Q898)*(E911=Q$1:Q898))))))</f>
        <v/>
      </c>
      <c r="K911" s="25" t="str">
        <f aca="false">IF(OR(E911="",E911="!!!",F911="NEW"),"",INDEX(V$1:V898,SUMPRODUCT(MAX(ROW(Q$1:Q898)*(E911=Q$1:Q898)))))</f>
        <v/>
      </c>
      <c r="L911" s="26"/>
      <c r="M911" s="27"/>
    </row>
    <row r="912" customFormat="false" ht="15" hidden="false" customHeight="false" outlineLevel="0" collapsed="false">
      <c r="A912" s="19" t="s">
        <v>43</v>
      </c>
      <c r="E912" s="20" t="str">
        <f aca="false">IF(P912="?OLD","!!!","")</f>
        <v/>
      </c>
      <c r="F912" s="21" t="str">
        <f aca="false">IF(OR(E912="",E912="!!!"),"",IF(NOT(ISNA(VLOOKUP(E912,Q$1:Q899,1,FALSE()))),"OLD",IF(AND(E912&lt;&gt;"",E912&lt;&gt;"!!!"),"NEW","")))</f>
        <v/>
      </c>
      <c r="G912" s="22" t="str">
        <f aca="false">IF(OR(E912="",E912="!!!"),"",IF(OR(J912=0,AND(J912=1,K912=1),AND(J912=1,I912="SBJ"),AND(J912=1,I912=0)),"?IN_FOCUS",IF(J912&lt;=2,"?ACTIVATED",IF(J912&lt;&gt;"","?FAMILIAR",IF(F912="NEW",IF(ISNA(VLOOKUP(E912,#REF!,1,FALSE())),"?TYPE_IDENTIFIABLE","?REFERENTIAL"),"_")))))</f>
        <v/>
      </c>
      <c r="H912" s="23" t="str">
        <f aca="false">IF(J912&lt;&gt;1,"",IF(I912="SBJ","CB","?"))</f>
        <v/>
      </c>
      <c r="I912" s="24" t="str">
        <f aca="false">IF(OR(E912="",E912="!!!",F912="NEW"),"",INDEX(N$2:N899,-1+SUMPRODUCT(MAX(ROW(E$2:E899)*(E912=E$2:E899)))))</f>
        <v/>
      </c>
      <c r="J912" s="25" t="str">
        <f aca="true">IF(OR(E912="",E912="!!!",F912="NEW"),"",COUNTBLANK(OFFSET(M$1,,,SUMPRODUCT(MAX(ROW(E$2:E900)*(E912=E$2:E900)))))-COUNTBLANK(OFFSET(M$1,,,SUMPRODUCT(MAX(ROW(Q$1:Q899)*(E912=Q$1:Q899))))))</f>
        <v/>
      </c>
      <c r="K912" s="25" t="str">
        <f aca="false">IF(OR(E912="",E912="!!!",F912="NEW"),"",INDEX(V$1:V899,SUMPRODUCT(MAX(ROW(Q$1:Q899)*(E912=Q$1:Q899)))))</f>
        <v/>
      </c>
      <c r="L912" s="26"/>
      <c r="M912" s="27"/>
    </row>
    <row r="913" customFormat="false" ht="15" hidden="false" customHeight="false" outlineLevel="0" collapsed="false">
      <c r="A913" s="19" t="s">
        <v>275</v>
      </c>
      <c r="E913" s="20" t="str">
        <f aca="false">IF(P913="?OLD","!!!","")</f>
        <v/>
      </c>
      <c r="F913" s="21" t="str">
        <f aca="false">IF(OR(E913="",E913="!!!"),"",IF(NOT(ISNA(VLOOKUP(E913,Q$1:Q900,1,FALSE()))),"OLD",IF(AND(E913&lt;&gt;"",E913&lt;&gt;"!!!"),"NEW","")))</f>
        <v/>
      </c>
      <c r="G913" s="22" t="str">
        <f aca="false">IF(OR(E913="",E913="!!!"),"",IF(OR(J913=0,AND(J913=1,K913=1),AND(J913=1,I913="SBJ"),AND(J913=1,I913=0)),"?IN_FOCUS",IF(J913&lt;=2,"?ACTIVATED",IF(J913&lt;&gt;"","?FAMILIAR",IF(F913="NEW",IF(ISNA(VLOOKUP(E913,#REF!,1,FALSE())),"?TYPE_IDENTIFIABLE","?REFERENTIAL"),"_")))))</f>
        <v/>
      </c>
      <c r="H913" s="23" t="str">
        <f aca="false">IF(J913&lt;&gt;1,"",IF(I913="SBJ","CB","?"))</f>
        <v/>
      </c>
      <c r="I913" s="24" t="str">
        <f aca="false">IF(OR(E913="",E913="!!!",F913="NEW"),"",INDEX(N$2:N900,-1+SUMPRODUCT(MAX(ROW(E$2:E900)*(E913=E$2:E900)))))</f>
        <v/>
      </c>
      <c r="J913" s="25" t="str">
        <f aca="true">IF(OR(E913="",E913="!!!",F913="NEW"),"",COUNTBLANK(OFFSET(M$1,,,SUMPRODUCT(MAX(ROW(E$2:E901)*(E913=E$2:E901)))))-COUNTBLANK(OFFSET(M$1,,,SUMPRODUCT(MAX(ROW(Q$1:Q900)*(E913=Q$1:Q900))))))</f>
        <v/>
      </c>
      <c r="K913" s="25" t="str">
        <f aca="false">IF(OR(E913="",E913="!!!",F913="NEW"),"",INDEX(V$1:V900,SUMPRODUCT(MAX(ROW(Q$1:Q900)*(E913=Q$1:Q900)))))</f>
        <v/>
      </c>
      <c r="L913" s="26"/>
      <c r="M913" s="27"/>
    </row>
    <row r="914" customFormat="false" ht="15" hidden="false" customHeight="false" outlineLevel="0" collapsed="false">
      <c r="A914" s="19"/>
      <c r="E914" s="20" t="str">
        <f aca="false">IF(P914="?OLD","!!!","")</f>
        <v/>
      </c>
      <c r="F914" s="21" t="str">
        <f aca="false">IF(OR(E914="",E914="!!!"),"",IF(NOT(ISNA(VLOOKUP(E914,Q$1:Q901,1,FALSE()))),"OLD",IF(AND(E914&lt;&gt;"",E914&lt;&gt;"!!!"),"NEW","")))</f>
        <v/>
      </c>
      <c r="G914" s="22" t="str">
        <f aca="false">IF(OR(E914="",E914="!!!"),"",IF(OR(J914=0,AND(J914=1,K914=1),AND(J914=1,I914="SBJ"),AND(J914=1,I914=0)),"?IN_FOCUS",IF(J914&lt;=2,"?ACTIVATED",IF(J914&lt;&gt;"","?FAMILIAR",IF(F914="NEW",IF(ISNA(VLOOKUP(E914,#REF!,1,FALSE())),"?TYPE_IDENTIFIABLE","?REFERENTIAL"),"_")))))</f>
        <v/>
      </c>
      <c r="H914" s="23" t="str">
        <f aca="false">IF(J914&lt;&gt;1,"",IF(I914="SBJ","CB","?"))</f>
        <v/>
      </c>
      <c r="I914" s="24" t="str">
        <f aca="false">IF(OR(E914="",E914="!!!",F914="NEW"),"",INDEX(N$2:N901,-1+SUMPRODUCT(MAX(ROW(E$2:E901)*(E914=E$2:E901)))))</f>
        <v/>
      </c>
      <c r="J914" s="25" t="str">
        <f aca="true">IF(OR(E914="",E914="!!!",F914="NEW"),"",COUNTBLANK(OFFSET(M$1,,,SUMPRODUCT(MAX(ROW(E$2:E902)*(E914=E$2:E902)))))-COUNTBLANK(OFFSET(M$1,,,SUMPRODUCT(MAX(ROW(Q$1:Q901)*(E914=Q$1:Q901))))))</f>
        <v/>
      </c>
      <c r="K914" s="25" t="str">
        <f aca="false">IF(OR(E914="",E914="!!!",F914="NEW"),"",INDEX(V$1:V901,SUMPRODUCT(MAX(ROW(Q$1:Q901)*(E914=Q$1:Q901)))))</f>
        <v/>
      </c>
      <c r="L914" s="26"/>
    </row>
    <row r="915" customFormat="false" ht="15" hidden="false" customHeight="false" outlineLevel="0" collapsed="false">
      <c r="A915" s="19" t="s">
        <v>362</v>
      </c>
      <c r="E915" s="20" t="str">
        <f aca="false">IF(P915="?OLD","!!!","")</f>
        <v/>
      </c>
      <c r="F915" s="21" t="str">
        <f aca="false">IF(OR(E915="",E915="!!!"),"",IF(NOT(ISNA(VLOOKUP(E915,Q$1:Q902,1,FALSE()))),"OLD",IF(AND(E915&lt;&gt;"",E915&lt;&gt;"!!!"),"NEW","")))</f>
        <v/>
      </c>
      <c r="G915" s="22" t="str">
        <f aca="false">IF(OR(E915="",E915="!!!"),"",IF(OR(J915=0,AND(J915=1,K915=1),AND(J915=1,I915="SBJ"),AND(J915=1,I915=0)),"?IN_FOCUS",IF(J915&lt;=2,"?ACTIVATED",IF(J915&lt;&gt;"","?FAMILIAR",IF(F915="NEW",IF(ISNA(VLOOKUP(E915,#REF!,1,FALSE())),"?TYPE_IDENTIFIABLE","?REFERENTIAL"),"_")))))</f>
        <v/>
      </c>
      <c r="H915" s="23" t="str">
        <f aca="false">IF(J915&lt;&gt;1,"",IF(I915="SBJ","CB","?"))</f>
        <v/>
      </c>
      <c r="I915" s="24" t="str">
        <f aca="false">IF(OR(E915="",E915="!!!",F915="NEW"),"",INDEX(N$2:N902,-1+SUMPRODUCT(MAX(ROW(E$2:E902)*(E915=E$2:E902)))))</f>
        <v/>
      </c>
      <c r="J915" s="25" t="str">
        <f aca="true">IF(OR(E915="",E915="!!!",F915="NEW"),"",COUNTBLANK(OFFSET(M$1,,,SUMPRODUCT(MAX(ROW(E$2:E903)*(E915=E$2:E903)))))-COUNTBLANK(OFFSET(M$1,,,SUMPRODUCT(MAX(ROW(Q$1:Q902)*(E915=Q$1:Q902))))))</f>
        <v/>
      </c>
      <c r="K915" s="25" t="str">
        <f aca="false">IF(OR(E915="",E915="!!!",F915="NEW"),"",INDEX(V$1:V902,SUMPRODUCT(MAX(ROW(Q$1:Q902)*(E915=Q$1:Q902)))))</f>
        <v/>
      </c>
      <c r="L915" s="26"/>
      <c r="M915" s="27"/>
    </row>
    <row r="916" customFormat="false" ht="15" hidden="false" customHeight="false" outlineLevel="0" collapsed="false">
      <c r="A916" s="19" t="s">
        <v>678</v>
      </c>
      <c r="E916" s="20" t="str">
        <f aca="false">IF(P916="?OLD","!!!","")</f>
        <v/>
      </c>
      <c r="F916" s="21" t="str">
        <f aca="false">IF(OR(E916="",E916="!!!"),"",IF(NOT(ISNA(VLOOKUP(E916,Q$1:Q903,1,FALSE()))),"OLD",IF(AND(E916&lt;&gt;"",E916&lt;&gt;"!!!"),"NEW","")))</f>
        <v/>
      </c>
      <c r="G916" s="22" t="str">
        <f aca="false">IF(OR(E916="",E916="!!!"),"",IF(OR(J916=0,AND(J916=1,K916=1),AND(J916=1,I916="SBJ"),AND(J916=1,I916=0)),"?IN_FOCUS",IF(J916&lt;=2,"?ACTIVATED",IF(J916&lt;&gt;"","?FAMILIAR",IF(F916="NEW",IF(ISNA(VLOOKUP(E916,#REF!,1,FALSE())),"?TYPE_IDENTIFIABLE","?REFERENTIAL"),"_")))))</f>
        <v/>
      </c>
      <c r="H916" s="23" t="str">
        <f aca="false">IF(J916&lt;&gt;1,"",IF(I916="SBJ","CB","?"))</f>
        <v/>
      </c>
      <c r="I916" s="24" t="str">
        <f aca="false">IF(OR(E916="",E916="!!!",F916="NEW"),"",INDEX(N$2:N903,-1+SUMPRODUCT(MAX(ROW(E$2:E903)*(E916=E$2:E903)))))</f>
        <v/>
      </c>
      <c r="J916" s="25" t="str">
        <f aca="true">IF(OR(E916="",E916="!!!",F916="NEW"),"",COUNTBLANK(OFFSET(M$1,,,SUMPRODUCT(MAX(ROW(E$2:E904)*(E916=E$2:E904)))))-COUNTBLANK(OFFSET(M$1,,,SUMPRODUCT(MAX(ROW(Q$1:Q903)*(E916=Q$1:Q903))))))</f>
        <v/>
      </c>
      <c r="K916" s="25" t="str">
        <f aca="false">IF(OR(E916="",E916="!!!",F916="NEW"),"",INDEX(V$1:V903,SUMPRODUCT(MAX(ROW(Q$1:Q903)*(E916=Q$1:Q903)))))</f>
        <v/>
      </c>
      <c r="L916" s="26"/>
      <c r="M916" s="27"/>
    </row>
    <row r="917" customFormat="false" ht="15" hidden="false" customHeight="false" outlineLevel="0" collapsed="false">
      <c r="A917" s="19" t="s">
        <v>456</v>
      </c>
      <c r="E917" s="20" t="str">
        <f aca="false">IF(P917="?OLD","!!!","")</f>
        <v/>
      </c>
      <c r="F917" s="21" t="str">
        <f aca="false">IF(OR(E917="",E917="!!!"),"",IF(NOT(ISNA(VLOOKUP(E917,Q$1:Q904,1,FALSE()))),"OLD",IF(AND(E917&lt;&gt;"",E917&lt;&gt;"!!!"),"NEW","")))</f>
        <v/>
      </c>
      <c r="G917" s="22" t="str">
        <f aca="false">IF(OR(E917="",E917="!!!"),"",IF(OR(J917=0,AND(J917=1,K917=1),AND(J917=1,I917="SBJ"),AND(J917=1,I917=0)),"?IN_FOCUS",IF(J917&lt;=2,"?ACTIVATED",IF(J917&lt;&gt;"","?FAMILIAR",IF(F917="NEW",IF(ISNA(VLOOKUP(E917,#REF!,1,FALSE())),"?TYPE_IDENTIFIABLE","?REFERENTIAL"),"_")))))</f>
        <v/>
      </c>
      <c r="H917" s="23" t="str">
        <f aca="false">IF(J917&lt;&gt;1,"",IF(I917="SBJ","CB","?"))</f>
        <v/>
      </c>
      <c r="I917" s="24" t="str">
        <f aca="false">IF(OR(E917="",E917="!!!",F917="NEW"),"",INDEX(N$2:N904,-1+SUMPRODUCT(MAX(ROW(E$2:E904)*(E917=E$2:E904)))))</f>
        <v/>
      </c>
      <c r="J917" s="25" t="str">
        <f aca="true">IF(OR(E917="",E917="!!!",F917="NEW"),"",COUNTBLANK(OFFSET(M$1,,,SUMPRODUCT(MAX(ROW(E$2:E905)*(E917=E$2:E905)))))-COUNTBLANK(OFFSET(M$1,,,SUMPRODUCT(MAX(ROW(Q$1:Q904)*(E917=Q$1:Q904))))))</f>
        <v/>
      </c>
      <c r="K917" s="25" t="str">
        <f aca="false">IF(OR(E917="",E917="!!!",F917="NEW"),"",INDEX(V$1:V904,SUMPRODUCT(MAX(ROW(Q$1:Q904)*(E917=Q$1:Q904)))))</f>
        <v/>
      </c>
      <c r="L917" s="26"/>
      <c r="M917" s="27"/>
    </row>
    <row r="918" customFormat="false" ht="15" hidden="false" customHeight="false" outlineLevel="0" collapsed="false">
      <c r="A918" s="19" t="s">
        <v>586</v>
      </c>
      <c r="B918" s="28" t="s">
        <v>263</v>
      </c>
      <c r="C918" s="28" t="s">
        <v>333</v>
      </c>
      <c r="D918" s="28" t="s">
        <v>253</v>
      </c>
      <c r="E918" s="20" t="s">
        <v>586</v>
      </c>
      <c r="F918" s="21" t="str">
        <f aca="false">IF(OR(E918="",E918="!!!"),"",IF(NOT(ISNA(VLOOKUP(E918,Q$1:Q905,1,FALSE()))),"OLD",IF(AND(E918&lt;&gt;"",E918&lt;&gt;"!!!"),"NEW","")))</f>
        <v>NEW</v>
      </c>
      <c r="G918" s="22" t="s">
        <v>283</v>
      </c>
      <c r="H918" s="23" t="str">
        <f aca="false">IF(J918&lt;&gt;1,"",IF(I918="SBJ","CB","?"))</f>
        <v/>
      </c>
      <c r="I918" s="24" t="str">
        <f aca="false">IF(OR(E918="",E918="!!!",F918="NEW"),"",INDEX(N$2:N905,-1+SUMPRODUCT(MAX(ROW(E$2:E905)*(E918=E$2:E905)))))</f>
        <v/>
      </c>
      <c r="J918" s="25" t="str">
        <f aca="true">IF(OR(E918="",E918="!!!",F918="NEW"),"",COUNTBLANK(OFFSET(M$1,,,SUMPRODUCT(MAX(ROW(E$2:E906)*(E918=E$2:E906)))))-COUNTBLANK(OFFSET(M$1,,,SUMPRODUCT(MAX(ROW(Q$1:Q905)*(E918=Q$1:Q905))))))</f>
        <v/>
      </c>
      <c r="K918" s="25" t="str">
        <f aca="false">IF(OR(E918="",E918="!!!",F918="NEW"),"",INDEX(V$1:V905,SUMPRODUCT(MAX(ROW(Q$1:Q905)*(E918=Q$1:Q905)))))</f>
        <v/>
      </c>
      <c r="L918" s="26"/>
      <c r="M918" s="27"/>
      <c r="N918" s="29"/>
      <c r="O918" s="29"/>
      <c r="P918" s="29"/>
    </row>
    <row r="919" customFormat="false" ht="15" hidden="false" customHeight="false" outlineLevel="0" collapsed="false">
      <c r="A919" s="19" t="s">
        <v>551</v>
      </c>
      <c r="E919" s="20" t="str">
        <f aca="false">IF(P919="?OLD","!!!","")</f>
        <v/>
      </c>
      <c r="F919" s="21" t="str">
        <f aca="false">IF(OR(E919="",E919="!!!"),"",IF(NOT(ISNA(VLOOKUP(E919,Q$1:Q906,1,FALSE()))),"OLD",IF(AND(E919&lt;&gt;"",E919&lt;&gt;"!!!"),"NEW","")))</f>
        <v/>
      </c>
      <c r="G919" s="22" t="str">
        <f aca="false">IF(OR(E919="",E919="!!!"),"",IF(OR(J919=0,AND(J919=1,K919=1),AND(J919=1,I919="SBJ"),AND(J919=1,I919=0)),"?IN_FOCUS",IF(J919&lt;=2,"?ACTIVATED",IF(J919&lt;&gt;"","?FAMILIAR",IF(F919="NEW",IF(ISNA(VLOOKUP(E919,#REF!,1,FALSE())),"?TYPE_IDENTIFIABLE","?REFERENTIAL"),"_")))))</f>
        <v/>
      </c>
      <c r="H919" s="23" t="str">
        <f aca="false">IF(J919&lt;&gt;1,"",IF(I919="SBJ","CB","?"))</f>
        <v/>
      </c>
      <c r="I919" s="24" t="str">
        <f aca="false">IF(OR(E919="",E919="!!!",F919="NEW"),"",INDEX(N$2:N906,-1+SUMPRODUCT(MAX(ROW(E$2:E906)*(E919=E$2:E906)))))</f>
        <v/>
      </c>
      <c r="J919" s="25" t="str">
        <f aca="true">IF(OR(E919="",E919="!!!",F919="NEW"),"",COUNTBLANK(OFFSET(M$1,,,SUMPRODUCT(MAX(ROW(E$2:E907)*(E919=E$2:E907)))))-COUNTBLANK(OFFSET(M$1,,,SUMPRODUCT(MAX(ROW(Q$1:Q906)*(E919=Q$1:Q906))))))</f>
        <v/>
      </c>
      <c r="K919" s="25" t="str">
        <f aca="false">IF(OR(E919="",E919="!!!",F919="NEW"),"",INDEX(V$1:V906,SUMPRODUCT(MAX(ROW(Q$1:Q906)*(E919=Q$1:Q906)))))</f>
        <v/>
      </c>
      <c r="L919" s="26"/>
      <c r="M919" s="27"/>
    </row>
    <row r="920" customFormat="false" ht="15" hidden="false" customHeight="false" outlineLevel="0" collapsed="false">
      <c r="A920" s="19" t="s">
        <v>370</v>
      </c>
      <c r="E920" s="20" t="str">
        <f aca="false">IF(P920="?OLD","!!!","")</f>
        <v/>
      </c>
      <c r="F920" s="21" t="str">
        <f aca="false">IF(OR(E920="",E920="!!!"),"",IF(NOT(ISNA(VLOOKUP(E920,Q$1:Q907,1,FALSE()))),"OLD",IF(AND(E920&lt;&gt;"",E920&lt;&gt;"!!!"),"NEW","")))</f>
        <v/>
      </c>
      <c r="G920" s="22" t="str">
        <f aca="false">IF(OR(E920="",E920="!!!"),"",IF(OR(J920=0,AND(J920=1,K920=1),AND(J920=1,I920="SBJ"),AND(J920=1,I920=0)),"?IN_FOCUS",IF(J920&lt;=2,"?ACTIVATED",IF(J920&lt;&gt;"","?FAMILIAR",IF(F920="NEW",IF(ISNA(VLOOKUP(E920,#REF!,1,FALSE())),"?TYPE_IDENTIFIABLE","?REFERENTIAL"),"_")))))</f>
        <v/>
      </c>
      <c r="H920" s="23" t="str">
        <f aca="false">IF(J920&lt;&gt;1,"",IF(I920="SBJ","CB","?"))</f>
        <v/>
      </c>
      <c r="I920" s="24" t="str">
        <f aca="false">IF(OR(E920="",E920="!!!",F920="NEW"),"",INDEX(N$2:N907,-1+SUMPRODUCT(MAX(ROW(E$2:E907)*(E920=E$2:E907)))))</f>
        <v/>
      </c>
      <c r="J920" s="25" t="str">
        <f aca="true">IF(OR(E920="",E920="!!!",F920="NEW"),"",COUNTBLANK(OFFSET(M$1,,,SUMPRODUCT(MAX(ROW(E$2:E908)*(E920=E$2:E908)))))-COUNTBLANK(OFFSET(M$1,,,SUMPRODUCT(MAX(ROW(Q$1:Q907)*(E920=Q$1:Q907))))))</f>
        <v/>
      </c>
      <c r="K920" s="25" t="str">
        <f aca="false">IF(OR(E920="",E920="!!!",F920="NEW"),"",INDEX(V$1:V907,SUMPRODUCT(MAX(ROW(Q$1:Q907)*(E920=Q$1:Q907)))))</f>
        <v/>
      </c>
      <c r="L920" s="26"/>
      <c r="M920" s="27"/>
    </row>
    <row r="921" customFormat="false" ht="15" hidden="false" customHeight="false" outlineLevel="0" collapsed="false">
      <c r="A921" s="19" t="s">
        <v>175</v>
      </c>
      <c r="E921" s="20" t="str">
        <f aca="false">IF(P921="?OLD","!!!","")</f>
        <v/>
      </c>
      <c r="F921" s="21" t="str">
        <f aca="false">IF(OR(E921="",E921="!!!"),"",IF(NOT(ISNA(VLOOKUP(E921,Q$1:Q908,1,FALSE()))),"OLD",IF(AND(E921&lt;&gt;"",E921&lt;&gt;"!!!"),"NEW","")))</f>
        <v/>
      </c>
      <c r="G921" s="22" t="str">
        <f aca="false">IF(OR(E921="",E921="!!!"),"",IF(OR(J921=0,AND(J921=1,K921=1),AND(J921=1,I921="SBJ"),AND(J921=1,I921=0)),"?IN_FOCUS",IF(J921&lt;=2,"?ACTIVATED",IF(J921&lt;&gt;"","?FAMILIAR",IF(F921="NEW",IF(ISNA(VLOOKUP(E921,#REF!,1,FALSE())),"?TYPE_IDENTIFIABLE","?REFERENTIAL"),"_")))))</f>
        <v/>
      </c>
      <c r="H921" s="23" t="str">
        <f aca="false">IF(J921&lt;&gt;1,"",IF(I921="SBJ","CB","?"))</f>
        <v/>
      </c>
      <c r="I921" s="24" t="str">
        <f aca="false">IF(OR(E921="",E921="!!!",F921="NEW"),"",INDEX(N$2:N908,-1+SUMPRODUCT(MAX(ROW(E$2:E908)*(E921=E$2:E908)))))</f>
        <v/>
      </c>
      <c r="J921" s="25" t="str">
        <f aca="true">IF(OR(E921="",E921="!!!",F921="NEW"),"",COUNTBLANK(OFFSET(M$1,,,SUMPRODUCT(MAX(ROW(E$2:E909)*(E921=E$2:E909)))))-COUNTBLANK(OFFSET(M$1,,,SUMPRODUCT(MAX(ROW(Q$1:Q908)*(E921=Q$1:Q908))))))</f>
        <v/>
      </c>
      <c r="K921" s="25" t="str">
        <f aca="false">IF(OR(E921="",E921="!!!",F921="NEW"),"",INDEX(V$1:V908,SUMPRODUCT(MAX(ROW(Q$1:Q908)*(E921=Q$1:Q908)))))</f>
        <v/>
      </c>
      <c r="L921" s="26"/>
      <c r="M921" s="27"/>
    </row>
    <row r="922" customFormat="false" ht="15" hidden="false" customHeight="false" outlineLevel="0" collapsed="false">
      <c r="A922" s="19" t="s">
        <v>526</v>
      </c>
      <c r="E922" s="20" t="str">
        <f aca="false">IF(P922="?OLD","!!!","")</f>
        <v/>
      </c>
      <c r="F922" s="21" t="str">
        <f aca="false">IF(OR(E922="",E922="!!!"),"",IF(NOT(ISNA(VLOOKUP(E922,Q$1:Q909,1,FALSE()))),"OLD",IF(AND(E922&lt;&gt;"",E922&lt;&gt;"!!!"),"NEW","")))</f>
        <v/>
      </c>
      <c r="G922" s="22" t="str">
        <f aca="false">IF(OR(E922="",E922="!!!"),"",IF(OR(J922=0,AND(J922=1,K922=1),AND(J922=1,I922="SBJ"),AND(J922=1,I922=0)),"?IN_FOCUS",IF(J922&lt;=2,"?ACTIVATED",IF(J922&lt;&gt;"","?FAMILIAR",IF(F922="NEW",IF(ISNA(VLOOKUP(E922,#REF!,1,FALSE())),"?TYPE_IDENTIFIABLE","?REFERENTIAL"),"_")))))</f>
        <v/>
      </c>
      <c r="H922" s="23" t="str">
        <f aca="false">IF(J922&lt;&gt;1,"",IF(I922="SBJ","CB","?"))</f>
        <v/>
      </c>
      <c r="I922" s="24" t="str">
        <f aca="false">IF(OR(E922="",E922="!!!",F922="NEW"),"",INDEX(N$2:N909,-1+SUMPRODUCT(MAX(ROW(E$2:E909)*(E922=E$2:E909)))))</f>
        <v/>
      </c>
      <c r="J922" s="25" t="str">
        <f aca="true">IF(OR(E922="",E922="!!!",F922="NEW"),"",COUNTBLANK(OFFSET(M$1,,,SUMPRODUCT(MAX(ROW(E$2:E910)*(E922=E$2:E910)))))-COUNTBLANK(OFFSET(M$1,,,SUMPRODUCT(MAX(ROW(Q$1:Q909)*(E922=Q$1:Q909))))))</f>
        <v/>
      </c>
      <c r="K922" s="25" t="str">
        <f aca="false">IF(OR(E922="",E922="!!!",F922="NEW"),"",INDEX(V$1:V909,SUMPRODUCT(MAX(ROW(Q$1:Q909)*(E922=Q$1:Q909)))))</f>
        <v/>
      </c>
      <c r="L922" s="26"/>
      <c r="M922" s="27"/>
    </row>
    <row r="923" customFormat="false" ht="15" hidden="false" customHeight="false" outlineLevel="0" collapsed="false">
      <c r="A923" s="19" t="s">
        <v>250</v>
      </c>
      <c r="E923" s="20" t="str">
        <f aca="false">IF(P923="?OLD","!!!","")</f>
        <v/>
      </c>
      <c r="F923" s="21" t="str">
        <f aca="false">IF(OR(E923="",E923="!!!"),"",IF(NOT(ISNA(VLOOKUP(E923,Q$1:Q910,1,FALSE()))),"OLD",IF(AND(E923&lt;&gt;"",E923&lt;&gt;"!!!"),"NEW","")))</f>
        <v/>
      </c>
      <c r="G923" s="22" t="str">
        <f aca="false">IF(OR(E923="",E923="!!!"),"",IF(OR(J923=0,AND(J923=1,K923=1),AND(J923=1,I923="SBJ"),AND(J923=1,I923=0)),"?IN_FOCUS",IF(J923&lt;=2,"?ACTIVATED",IF(J923&lt;&gt;"","?FAMILIAR",IF(F923="NEW",IF(ISNA(VLOOKUP(E923,#REF!,1,FALSE())),"?TYPE_IDENTIFIABLE","?REFERENTIAL"),"_")))))</f>
        <v/>
      </c>
      <c r="H923" s="23" t="str">
        <f aca="false">IF(J923&lt;&gt;1,"",IF(I923="SBJ","CB","?"))</f>
        <v/>
      </c>
      <c r="I923" s="24" t="str">
        <f aca="false">IF(OR(E923="",E923="!!!",F923="NEW"),"",INDEX(N$2:N910,-1+SUMPRODUCT(MAX(ROW(E$2:E910)*(E923=E$2:E910)))))</f>
        <v/>
      </c>
      <c r="J923" s="25" t="str">
        <f aca="true">IF(OR(E923="",E923="!!!",F923="NEW"),"",COUNTBLANK(OFFSET(M$1,,,SUMPRODUCT(MAX(ROW(E$2:E911)*(E923=E$2:E911)))))-COUNTBLANK(OFFSET(M$1,,,SUMPRODUCT(MAX(ROW(Q$1:Q910)*(E923=Q$1:Q910))))))</f>
        <v/>
      </c>
      <c r="K923" s="25" t="str">
        <f aca="false">IF(OR(E923="",E923="!!!",F923="NEW"),"",INDEX(V$1:V910,SUMPRODUCT(MAX(ROW(Q$1:Q910)*(E923=Q$1:Q910)))))</f>
        <v/>
      </c>
      <c r="L923" s="26"/>
      <c r="M923" s="27"/>
    </row>
    <row r="924" customFormat="false" ht="15" hidden="false" customHeight="false" outlineLevel="0" collapsed="false">
      <c r="A924" s="19" t="s">
        <v>679</v>
      </c>
      <c r="B924" s="28" t="s">
        <v>271</v>
      </c>
      <c r="C924" s="28" t="s">
        <v>252</v>
      </c>
      <c r="D924" s="28" t="s">
        <v>253</v>
      </c>
      <c r="E924" s="20" t="s">
        <v>680</v>
      </c>
      <c r="F924" s="21" t="str">
        <f aca="false">IF(OR(E924="",E924="!!!"),"",IF(NOT(ISNA(VLOOKUP(E924,Q$1:Q911,1,FALSE()))),"OLD",IF(AND(E924&lt;&gt;"",E924&lt;&gt;"!!!"),"NEW","")))</f>
        <v>NEW</v>
      </c>
      <c r="G924" s="22" t="s">
        <v>255</v>
      </c>
      <c r="H924" s="23" t="str">
        <f aca="false">IF(J924&lt;&gt;1,"",IF(I924="SBJ","CB","?"))</f>
        <v/>
      </c>
      <c r="I924" s="24" t="str">
        <f aca="false">IF(OR(E924="",E924="!!!",F924="NEW"),"",INDEX(N$2:N911,-1+SUMPRODUCT(MAX(ROW(E$2:E911)*(E924=E$2:E911)))))</f>
        <v/>
      </c>
      <c r="J924" s="25" t="str">
        <f aca="true">IF(OR(E924="",E924="!!!",F924="NEW"),"",COUNTBLANK(OFFSET(M$1,,,SUMPRODUCT(MAX(ROW(E$2:E912)*(E924=E$2:E912)))))-COUNTBLANK(OFFSET(M$1,,,SUMPRODUCT(MAX(ROW(Q$1:Q911)*(E924=Q$1:Q911))))))</f>
        <v/>
      </c>
      <c r="K924" s="25" t="str">
        <f aca="false">IF(OR(E924="",E924="!!!",F924="NEW"),"",INDEX(V$1:V911,SUMPRODUCT(MAX(ROW(Q$1:Q911)*(E924=Q$1:Q911)))))</f>
        <v/>
      </c>
      <c r="L924" s="26"/>
      <c r="M924" s="27"/>
      <c r="N924" s="29"/>
      <c r="O924" s="29"/>
      <c r="P924" s="29"/>
    </row>
    <row r="925" customFormat="false" ht="15" hidden="false" customHeight="false" outlineLevel="0" collapsed="false">
      <c r="A925" s="19" t="s">
        <v>261</v>
      </c>
      <c r="E925" s="20" t="str">
        <f aca="false">IF(P925="?OLD","!!!","")</f>
        <v/>
      </c>
      <c r="F925" s="21" t="str">
        <f aca="false">IF(OR(E925="",E925="!!!"),"",IF(NOT(ISNA(VLOOKUP(E925,Q$1:Q912,1,FALSE()))),"OLD",IF(AND(E925&lt;&gt;"",E925&lt;&gt;"!!!"),"NEW","")))</f>
        <v/>
      </c>
      <c r="G925" s="22" t="str">
        <f aca="false">IF(OR(E925="",E925="!!!"),"",IF(OR(J925=0,AND(J925=1,K925=1),AND(J925=1,I925="SBJ"),AND(J925=1,I925=0)),"?IN_FOCUS",IF(J925&lt;=2,"?ACTIVATED",IF(J925&lt;&gt;"","?FAMILIAR",IF(F925="NEW",IF(ISNA(VLOOKUP(E925,#REF!,1,FALSE())),"?TYPE_IDENTIFIABLE","?REFERENTIAL"),"_")))))</f>
        <v/>
      </c>
      <c r="H925" s="23" t="str">
        <f aca="false">IF(J925&lt;&gt;1,"",IF(I925="SBJ","CB","?"))</f>
        <v/>
      </c>
      <c r="I925" s="24" t="str">
        <f aca="false">IF(OR(E925="",E925="!!!",F925="NEW"),"",INDEX(N$2:N912,-1+SUMPRODUCT(MAX(ROW(E$2:E912)*(E925=E$2:E912)))))</f>
        <v/>
      </c>
      <c r="J925" s="25" t="str">
        <f aca="true">IF(OR(E925="",E925="!!!",F925="NEW"),"",COUNTBLANK(OFFSET(M$1,,,SUMPRODUCT(MAX(ROW(E$2:E913)*(E925=E$2:E913)))))-COUNTBLANK(OFFSET(M$1,,,SUMPRODUCT(MAX(ROW(Q$1:Q912)*(E925=Q$1:Q912))))))</f>
        <v/>
      </c>
      <c r="K925" s="25" t="str">
        <f aca="false">IF(OR(E925="",E925="!!!",F925="NEW"),"",INDEX(V$1:V912,SUMPRODUCT(MAX(ROW(Q$1:Q912)*(E925=Q$1:Q912)))))</f>
        <v/>
      </c>
      <c r="L925" s="26"/>
      <c r="M925" s="27"/>
    </row>
    <row r="926" customFormat="false" ht="15" hidden="false" customHeight="false" outlineLevel="0" collapsed="false">
      <c r="A926" s="19" t="s">
        <v>681</v>
      </c>
      <c r="E926" s="20" t="str">
        <f aca="false">IF(P926="?OLD","!!!","")</f>
        <v/>
      </c>
      <c r="F926" s="21" t="str">
        <f aca="false">IF(OR(E926="",E926="!!!"),"",IF(NOT(ISNA(VLOOKUP(E926,Q$1:Q913,1,FALSE()))),"OLD",IF(AND(E926&lt;&gt;"",E926&lt;&gt;"!!!"),"NEW","")))</f>
        <v/>
      </c>
      <c r="G926" s="22" t="str">
        <f aca="false">IF(OR(E926="",E926="!!!"),"",IF(OR(J926=0,AND(J926=1,K926=1),AND(J926=1,I926="SBJ"),AND(J926=1,I926=0)),"?IN_FOCUS",IF(J926&lt;=2,"?ACTIVATED",IF(J926&lt;&gt;"","?FAMILIAR",IF(F926="NEW",IF(ISNA(VLOOKUP(E926,#REF!,1,FALSE())),"?TYPE_IDENTIFIABLE","?REFERENTIAL"),"_")))))</f>
        <v/>
      </c>
      <c r="H926" s="23" t="str">
        <f aca="false">IF(J926&lt;&gt;1,"",IF(I926="SBJ","CB","?"))</f>
        <v/>
      </c>
      <c r="I926" s="24" t="str">
        <f aca="false">IF(OR(E926="",E926="!!!",F926="NEW"),"",INDEX(N$2:N913,-1+SUMPRODUCT(MAX(ROW(E$2:E913)*(E926=E$2:E913)))))</f>
        <v/>
      </c>
      <c r="J926" s="25" t="str">
        <f aca="true">IF(OR(E926="",E926="!!!",F926="NEW"),"",COUNTBLANK(OFFSET(M$1,,,SUMPRODUCT(MAX(ROW(E$2:E914)*(E926=E$2:E914)))))-COUNTBLANK(OFFSET(M$1,,,SUMPRODUCT(MAX(ROW(Q$1:Q913)*(E926=Q$1:Q913))))))</f>
        <v/>
      </c>
      <c r="K926" s="25" t="str">
        <f aca="false">IF(OR(E926="",E926="!!!",F926="NEW"),"",INDEX(V$1:V913,SUMPRODUCT(MAX(ROW(Q$1:Q913)*(E926=Q$1:Q913)))))</f>
        <v/>
      </c>
      <c r="L926" s="26"/>
      <c r="M926" s="27"/>
    </row>
    <row r="927" customFormat="false" ht="15" hidden="false" customHeight="false" outlineLevel="0" collapsed="false">
      <c r="A927" s="19" t="s">
        <v>581</v>
      </c>
      <c r="B927" s="28" t="s">
        <v>251</v>
      </c>
      <c r="C927" s="28" t="s">
        <v>264</v>
      </c>
      <c r="D927" s="28" t="s">
        <v>253</v>
      </c>
      <c r="E927" s="20" t="s">
        <v>586</v>
      </c>
      <c r="F927" s="21" t="str">
        <f aca="false">IF(OR(E927="",E927="!!!"),"",IF(NOT(ISNA(VLOOKUP(E927,Q$1:Q914,1,FALSE()))),"OLD",IF(AND(E927&lt;&gt;"",E927&lt;&gt;"!!!"),"NEW","")))</f>
        <v>NEW</v>
      </c>
      <c r="G927" s="22" t="s">
        <v>296</v>
      </c>
      <c r="H927" s="23" t="str">
        <f aca="false">IF(J927&lt;&gt;1,"",IF(I927="SBJ","CB","?"))</f>
        <v/>
      </c>
      <c r="I927" s="24" t="str">
        <f aca="false">IF(OR(E927="",E927="!!!",F927="NEW"),"",INDEX(N$2:N914,-1+SUMPRODUCT(MAX(ROW(E$2:E914)*(E927=E$2:E914)))))</f>
        <v/>
      </c>
      <c r="J927" s="25" t="str">
        <f aca="true">IF(OR(E927="",E927="!!!",F927="NEW"),"",COUNTBLANK(OFFSET(M$1,,,SUMPRODUCT(MAX(ROW(E$2:E915)*(E927=E$2:E915)))))-COUNTBLANK(OFFSET(M$1,,,SUMPRODUCT(MAX(ROW(Q$1:Q914)*(E927=Q$1:Q914))))))</f>
        <v/>
      </c>
      <c r="K927" s="25" t="str">
        <f aca="false">IF(OR(E927="",E927="!!!",F927="NEW"),"",INDEX(V$1:V914,SUMPRODUCT(MAX(ROW(Q$1:Q914)*(E927=Q$1:Q914)))))</f>
        <v/>
      </c>
      <c r="L927" s="26"/>
      <c r="M927" s="27"/>
      <c r="N927" s="29"/>
      <c r="O927" s="29"/>
      <c r="P927" s="29"/>
    </row>
    <row r="928" customFormat="false" ht="15" hidden="false" customHeight="false" outlineLevel="0" collapsed="false">
      <c r="A928" s="19" t="s">
        <v>481</v>
      </c>
      <c r="E928" s="20" t="str">
        <f aca="false">IF(P928="?OLD","!!!","")</f>
        <v/>
      </c>
      <c r="F928" s="21" t="str">
        <f aca="false">IF(OR(E928="",E928="!!!"),"",IF(NOT(ISNA(VLOOKUP(E928,Q$1:Q915,1,FALSE()))),"OLD",IF(AND(E928&lt;&gt;"",E928&lt;&gt;"!!!"),"NEW","")))</f>
        <v/>
      </c>
      <c r="G928" s="22" t="str">
        <f aca="false">IF(OR(E928="",E928="!!!"),"",IF(OR(J928=0,AND(J928=1,K928=1),AND(J928=1,I928="SBJ"),AND(J928=1,I928=0)),"?IN_FOCUS",IF(J928&lt;=2,"?ACTIVATED",IF(J928&lt;&gt;"","?FAMILIAR",IF(F928="NEW",IF(ISNA(VLOOKUP(E928,#REF!,1,FALSE())),"?TYPE_IDENTIFIABLE","?REFERENTIAL"),"_")))))</f>
        <v/>
      </c>
      <c r="H928" s="23" t="str">
        <f aca="false">IF(J928&lt;&gt;1,"",IF(I928="SBJ","CB","?"))</f>
        <v/>
      </c>
      <c r="I928" s="24" t="str">
        <f aca="false">IF(OR(E928="",E928="!!!",F928="NEW"),"",INDEX(N$2:N915,-1+SUMPRODUCT(MAX(ROW(E$2:E915)*(E928=E$2:E915)))))</f>
        <v/>
      </c>
      <c r="J928" s="25" t="str">
        <f aca="true">IF(OR(E928="",E928="!!!",F928="NEW"),"",COUNTBLANK(OFFSET(M$1,,,SUMPRODUCT(MAX(ROW(E$2:E916)*(E928=E$2:E916)))))-COUNTBLANK(OFFSET(M$1,,,SUMPRODUCT(MAX(ROW(Q$1:Q915)*(E928=Q$1:Q915))))))</f>
        <v/>
      </c>
      <c r="K928" s="25" t="str">
        <f aca="false">IF(OR(E928="",E928="!!!",F928="NEW"),"",INDEX(V$1:V915,SUMPRODUCT(MAX(ROW(Q$1:Q915)*(E928=Q$1:Q915)))))</f>
        <v/>
      </c>
      <c r="L928" s="26"/>
      <c r="M928" s="27"/>
    </row>
    <row r="929" customFormat="false" ht="15" hidden="false" customHeight="false" outlineLevel="0" collapsed="false">
      <c r="A929" s="19" t="s">
        <v>682</v>
      </c>
      <c r="B929" s="28" t="s">
        <v>324</v>
      </c>
      <c r="E929" s="20" t="str">
        <f aca="false">IF(P929="?OLD","!!!","")</f>
        <v/>
      </c>
      <c r="F929" s="21" t="str">
        <f aca="false">IF(OR(E929="",E929="!!!"),"",IF(NOT(ISNA(VLOOKUP(E929,Q$1:Q916,1,FALSE()))),"OLD",IF(AND(E929&lt;&gt;"",E929&lt;&gt;"!!!"),"NEW","")))</f>
        <v/>
      </c>
      <c r="G929" s="22" t="str">
        <f aca="false">IF(OR(E929="",E929="!!!"),"",IF(OR(J929=0,AND(J929=1,K929=1),AND(J929=1,I929="SBJ"),AND(J929=1,I929=0)),"?IN_FOCUS",IF(J929&lt;=2,"?ACTIVATED",IF(J929&lt;&gt;"","?FAMILIAR",IF(F929="NEW",IF(ISNA(VLOOKUP(E929,#REF!,1,FALSE())),"?TYPE_IDENTIFIABLE","?REFERENTIAL"),"_")))))</f>
        <v/>
      </c>
      <c r="H929" s="23" t="str">
        <f aca="false">IF(J929&lt;&gt;1,"",IF(I929="SBJ","CB","?"))</f>
        <v/>
      </c>
      <c r="I929" s="24" t="str">
        <f aca="false">IF(OR(E929="",E929="!!!",F929="NEW"),"",INDEX(N$2:N916,-1+SUMPRODUCT(MAX(ROW(E$2:E916)*(E929=E$2:E916)))))</f>
        <v/>
      </c>
      <c r="J929" s="25" t="str">
        <f aca="true">IF(OR(E929="",E929="!!!",F929="NEW"),"",COUNTBLANK(OFFSET(M$1,,,SUMPRODUCT(MAX(ROW(E$2:E917)*(E929=E$2:E917)))))-COUNTBLANK(OFFSET(M$1,,,SUMPRODUCT(MAX(ROW(Q$1:Q916)*(E929=Q$1:Q916))))))</f>
        <v/>
      </c>
      <c r="K929" s="25" t="str">
        <f aca="false">IF(OR(E929="",E929="!!!",F929="NEW"),"",INDEX(V$1:V916,SUMPRODUCT(MAX(ROW(Q$1:Q916)*(E929=Q$1:Q916)))))</f>
        <v/>
      </c>
      <c r="L929" s="26"/>
      <c r="M929" s="27"/>
      <c r="N929" s="29"/>
    </row>
    <row r="930" customFormat="false" ht="15" hidden="false" customHeight="false" outlineLevel="0" collapsed="false">
      <c r="A930" s="19" t="s">
        <v>261</v>
      </c>
      <c r="E930" s="20" t="str">
        <f aca="false">IF(P930="?OLD","!!!","")</f>
        <v/>
      </c>
      <c r="F930" s="21" t="str">
        <f aca="false">IF(OR(E930="",E930="!!!"),"",IF(NOT(ISNA(VLOOKUP(E930,Q$1:Q917,1,FALSE()))),"OLD",IF(AND(E930&lt;&gt;"",E930&lt;&gt;"!!!"),"NEW","")))</f>
        <v/>
      </c>
      <c r="G930" s="22" t="str">
        <f aca="false">IF(OR(E930="",E930="!!!"),"",IF(OR(J930=0,AND(J930=1,K930=1),AND(J930=1,I930="SBJ"),AND(J930=1,I930=0)),"?IN_FOCUS",IF(J930&lt;=2,"?ACTIVATED",IF(J930&lt;&gt;"","?FAMILIAR",IF(F930="NEW",IF(ISNA(VLOOKUP(E930,#REF!,1,FALSE())),"?TYPE_IDENTIFIABLE","?REFERENTIAL"),"_")))))</f>
        <v/>
      </c>
      <c r="H930" s="23" t="str">
        <f aca="false">IF(J930&lt;&gt;1,"",IF(I930="SBJ","CB","?"))</f>
        <v/>
      </c>
      <c r="I930" s="24" t="str">
        <f aca="false">IF(OR(E930="",E930="!!!",F930="NEW"),"",INDEX(N$2:N917,-1+SUMPRODUCT(MAX(ROW(E$2:E917)*(E930=E$2:E917)))))</f>
        <v/>
      </c>
      <c r="J930" s="25" t="str">
        <f aca="true">IF(OR(E930="",E930="!!!",F930="NEW"),"",COUNTBLANK(OFFSET(M$1,,,SUMPRODUCT(MAX(ROW(E$2:E918)*(E930=E$2:E918)))))-COUNTBLANK(OFFSET(M$1,,,SUMPRODUCT(MAX(ROW(Q$1:Q917)*(E930=Q$1:Q917))))))</f>
        <v/>
      </c>
      <c r="K930" s="25" t="str">
        <f aca="false">IF(OR(E930="",E930="!!!",F930="NEW"),"",INDEX(V$1:V917,SUMPRODUCT(MAX(ROW(Q$1:Q917)*(E930=Q$1:Q917)))))</f>
        <v/>
      </c>
      <c r="L930" s="26"/>
      <c r="M930" s="27"/>
    </row>
    <row r="931" customFormat="false" ht="15" hidden="false" customHeight="false" outlineLevel="0" collapsed="false">
      <c r="A931" s="19" t="s">
        <v>475</v>
      </c>
      <c r="E931" s="20" t="str">
        <f aca="false">IF(P931="?OLD","!!!","")</f>
        <v/>
      </c>
      <c r="F931" s="21" t="str">
        <f aca="false">IF(OR(E931="",E931="!!!"),"",IF(NOT(ISNA(VLOOKUP(E931,Q$1:Q918,1,FALSE()))),"OLD",IF(AND(E931&lt;&gt;"",E931&lt;&gt;"!!!"),"NEW","")))</f>
        <v/>
      </c>
      <c r="G931" s="22" t="str">
        <f aca="false">IF(OR(E931="",E931="!!!"),"",IF(OR(J931=0,AND(J931=1,K931=1),AND(J931=1,I931="SBJ"),AND(J931=1,I931=0)),"?IN_FOCUS",IF(J931&lt;=2,"?ACTIVATED",IF(J931&lt;&gt;"","?FAMILIAR",IF(F931="NEW",IF(ISNA(VLOOKUP(E931,#REF!,1,FALSE())),"?TYPE_IDENTIFIABLE","?REFERENTIAL"),"_")))))</f>
        <v/>
      </c>
      <c r="H931" s="23" t="str">
        <f aca="false">IF(J931&lt;&gt;1,"",IF(I931="SBJ","CB","?"))</f>
        <v/>
      </c>
      <c r="I931" s="24" t="str">
        <f aca="false">IF(OR(E931="",E931="!!!",F931="NEW"),"",INDEX(N$2:N918,-1+SUMPRODUCT(MAX(ROW(E$2:E918)*(E931=E$2:E918)))))</f>
        <v/>
      </c>
      <c r="J931" s="25" t="str">
        <f aca="true">IF(OR(E931="",E931="!!!",F931="NEW"),"",COUNTBLANK(OFFSET(M$1,,,SUMPRODUCT(MAX(ROW(E$2:E919)*(E931=E$2:E919)))))-COUNTBLANK(OFFSET(M$1,,,SUMPRODUCT(MAX(ROW(Q$1:Q918)*(E931=Q$1:Q918))))))</f>
        <v/>
      </c>
      <c r="K931" s="25" t="str">
        <f aca="false">IF(OR(E931="",E931="!!!",F931="NEW"),"",INDEX(V$1:V918,SUMPRODUCT(MAX(ROW(Q$1:Q918)*(E931=Q$1:Q918)))))</f>
        <v/>
      </c>
      <c r="L931" s="26"/>
      <c r="M931" s="27"/>
    </row>
    <row r="932" customFormat="false" ht="15" hidden="false" customHeight="false" outlineLevel="0" collapsed="false">
      <c r="A932" s="19" t="s">
        <v>522</v>
      </c>
      <c r="E932" s="20" t="str">
        <f aca="false">IF(P932="?OLD","!!!","")</f>
        <v/>
      </c>
      <c r="F932" s="21" t="str">
        <f aca="false">IF(OR(E932="",E932="!!!"),"",IF(NOT(ISNA(VLOOKUP(E932,Q$1:Q919,1,FALSE()))),"OLD",IF(AND(E932&lt;&gt;"",E932&lt;&gt;"!!!"),"NEW","")))</f>
        <v/>
      </c>
      <c r="G932" s="22" t="str">
        <f aca="false">IF(OR(E932="",E932="!!!"),"",IF(OR(J932=0,AND(J932=1,K932=1),AND(J932=1,I932="SBJ"),AND(J932=1,I932=0)),"?IN_FOCUS",IF(J932&lt;=2,"?ACTIVATED",IF(J932&lt;&gt;"","?FAMILIAR",IF(F932="NEW",IF(ISNA(VLOOKUP(E932,#REF!,1,FALSE())),"?TYPE_IDENTIFIABLE","?REFERENTIAL"),"_")))))</f>
        <v/>
      </c>
      <c r="H932" s="23" t="str">
        <f aca="false">IF(J932&lt;&gt;1,"",IF(I932="SBJ","CB","?"))</f>
        <v/>
      </c>
      <c r="I932" s="24" t="str">
        <f aca="false">IF(OR(E932="",E932="!!!",F932="NEW"),"",INDEX(N$2:N919,-1+SUMPRODUCT(MAX(ROW(E$2:E919)*(E932=E$2:E919)))))</f>
        <v/>
      </c>
      <c r="J932" s="25" t="str">
        <f aca="true">IF(OR(E932="",E932="!!!",F932="NEW"),"",COUNTBLANK(OFFSET(M$1,,,SUMPRODUCT(MAX(ROW(E$2:E920)*(E932=E$2:E920)))))-COUNTBLANK(OFFSET(M$1,,,SUMPRODUCT(MAX(ROW(Q$1:Q919)*(E932=Q$1:Q919))))))</f>
        <v/>
      </c>
      <c r="K932" s="25" t="str">
        <f aca="false">IF(OR(E932="",E932="!!!",F932="NEW"),"",INDEX(V$1:V919,SUMPRODUCT(MAX(ROW(Q$1:Q919)*(E932=Q$1:Q919)))))</f>
        <v/>
      </c>
      <c r="L932" s="26"/>
      <c r="M932" s="27"/>
    </row>
    <row r="933" customFormat="false" ht="15" hidden="false" customHeight="false" outlineLevel="0" collapsed="false">
      <c r="A933" s="19" t="s">
        <v>534</v>
      </c>
      <c r="B933" s="28" t="s">
        <v>301</v>
      </c>
      <c r="C933" s="28" t="s">
        <v>333</v>
      </c>
      <c r="D933" s="28" t="s">
        <v>253</v>
      </c>
      <c r="E933" s="20" t="s">
        <v>413</v>
      </c>
      <c r="F933" s="21" t="str">
        <f aca="false">IF(OR(E933="",E933="!!!"),"",IF(NOT(ISNA(VLOOKUP(E933,Q$1:Q920,1,FALSE()))),"OLD",IF(AND(E933&lt;&gt;"",E933&lt;&gt;"!!!"),"NEW","")))</f>
        <v>NEW</v>
      </c>
      <c r="G933" s="22" t="s">
        <v>266</v>
      </c>
      <c r="H933" s="23"/>
      <c r="I933" s="24" t="str">
        <f aca="false">IF(OR(E933="",E933="!!!",F933="NEW"),"",INDEX(N$2:N920,-1+SUMPRODUCT(MAX(ROW(E$2:E920)*(E933=E$2:E920)))))</f>
        <v/>
      </c>
      <c r="J933" s="25" t="str">
        <f aca="true">IF(OR(E933="",E933="!!!",F933="NEW"),"",COUNTBLANK(OFFSET(M$1,,,SUMPRODUCT(MAX(ROW(E$2:E921)*(E933=E$2:E921)))))-COUNTBLANK(OFFSET(M$1,,,SUMPRODUCT(MAX(ROW(Q$1:Q920)*(E933=Q$1:Q920))))))</f>
        <v/>
      </c>
      <c r="K933" s="25" t="str">
        <f aca="false">IF(OR(E933="",E933="!!!",F933="NEW"),"",INDEX(V$1:V920,SUMPRODUCT(MAX(ROW(Q$1:Q920)*(E933=Q$1:Q920)))))</f>
        <v/>
      </c>
      <c r="L933" s="26"/>
      <c r="M933" s="27"/>
      <c r="N933" s="29"/>
      <c r="O933" s="29"/>
      <c r="P933" s="29"/>
    </row>
    <row r="934" customFormat="false" ht="15" hidden="false" customHeight="false" outlineLevel="0" collapsed="false">
      <c r="A934" s="19" t="s">
        <v>426</v>
      </c>
      <c r="E934" s="20" t="str">
        <f aca="false">IF(P934="?OLD","!!!","")</f>
        <v/>
      </c>
      <c r="F934" s="21" t="str">
        <f aca="false">IF(OR(E934="",E934="!!!"),"",IF(NOT(ISNA(VLOOKUP(E934,Q$1:Q921,1,FALSE()))),"OLD",IF(AND(E934&lt;&gt;"",E934&lt;&gt;"!!!"),"NEW","")))</f>
        <v/>
      </c>
      <c r="G934" s="22" t="str">
        <f aca="false">IF(OR(E934="",E934="!!!"),"",IF(OR(J934=0,AND(J934=1,K934=1),AND(J934=1,I934="SBJ"),AND(J934=1,I934=0)),"?IN_FOCUS",IF(J934&lt;=2,"?ACTIVATED",IF(J934&lt;&gt;"","?FAMILIAR",IF(F934="NEW",IF(ISNA(VLOOKUP(E934,#REF!,1,FALSE())),"?TYPE_IDENTIFIABLE","?REFERENTIAL"),"_")))))</f>
        <v/>
      </c>
      <c r="H934" s="23" t="str">
        <f aca="false">IF(J934&lt;&gt;1,"",IF(I934="SBJ","CB","?"))</f>
        <v/>
      </c>
      <c r="I934" s="24" t="str">
        <f aca="false">IF(OR(E934="",E934="!!!",F934="NEW"),"",INDEX(N$2:N921,-1+SUMPRODUCT(MAX(ROW(E$2:E921)*(E934=E$2:E921)))))</f>
        <v/>
      </c>
      <c r="J934" s="25" t="str">
        <f aca="true">IF(OR(E934="",E934="!!!",F934="NEW"),"",COUNTBLANK(OFFSET(M$1,,,SUMPRODUCT(MAX(ROW(E$2:E922)*(E934=E$2:E922)))))-COUNTBLANK(OFFSET(M$1,,,SUMPRODUCT(MAX(ROW(Q$1:Q921)*(E934=Q$1:Q921))))))</f>
        <v/>
      </c>
      <c r="K934" s="25" t="str">
        <f aca="false">IF(OR(E934="",E934="!!!",F934="NEW"),"",INDEX(V$1:V921,SUMPRODUCT(MAX(ROW(Q$1:Q921)*(E934=Q$1:Q921)))))</f>
        <v/>
      </c>
      <c r="L934" s="26"/>
      <c r="M934" s="27"/>
    </row>
    <row r="935" customFormat="false" ht="15" hidden="false" customHeight="false" outlineLevel="0" collapsed="false">
      <c r="A935" s="19" t="s">
        <v>309</v>
      </c>
      <c r="E935" s="20" t="str">
        <f aca="false">IF(P935="?OLD","!!!","")</f>
        <v/>
      </c>
      <c r="F935" s="21" t="str">
        <f aca="false">IF(OR(E935="",E935="!!!"),"",IF(NOT(ISNA(VLOOKUP(E935,Q$1:Q922,1,FALSE()))),"OLD",IF(AND(E935&lt;&gt;"",E935&lt;&gt;"!!!"),"NEW","")))</f>
        <v/>
      </c>
      <c r="G935" s="22" t="str">
        <f aca="false">IF(OR(E935="",E935="!!!"),"",IF(OR(J935=0,AND(J935=1,K935=1),AND(J935=1,I935="SBJ"),AND(J935=1,I935=0)),"?IN_FOCUS",IF(J935&lt;=2,"?ACTIVATED",IF(J935&lt;&gt;"","?FAMILIAR",IF(F935="NEW",IF(ISNA(VLOOKUP(E935,#REF!,1,FALSE())),"?TYPE_IDENTIFIABLE","?REFERENTIAL"),"_")))))</f>
        <v/>
      </c>
      <c r="H935" s="23" t="str">
        <f aca="false">IF(J935&lt;&gt;1,"",IF(I935="SBJ","CB","?"))</f>
        <v/>
      </c>
      <c r="I935" s="24" t="str">
        <f aca="false">IF(OR(E935="",E935="!!!",F935="NEW"),"",INDEX(N$2:N922,-1+SUMPRODUCT(MAX(ROW(E$2:E922)*(E935=E$2:E922)))))</f>
        <v/>
      </c>
      <c r="J935" s="25" t="str">
        <f aca="true">IF(OR(E935="",E935="!!!",F935="NEW"),"",COUNTBLANK(OFFSET(M$1,,,SUMPRODUCT(MAX(ROW(E$2:E923)*(E935=E$2:E923)))))-COUNTBLANK(OFFSET(M$1,,,SUMPRODUCT(MAX(ROW(Q$1:Q922)*(E935=Q$1:Q922))))))</f>
        <v/>
      </c>
      <c r="K935" s="25" t="str">
        <f aca="false">IF(OR(E935="",E935="!!!",F935="NEW"),"",INDEX(V$1:V922,SUMPRODUCT(MAX(ROW(Q$1:Q922)*(E935=Q$1:Q922)))))</f>
        <v/>
      </c>
      <c r="L935" s="26"/>
      <c r="M935" s="27"/>
    </row>
    <row r="936" customFormat="false" ht="15" hidden="false" customHeight="false" outlineLevel="0" collapsed="false">
      <c r="A936" s="19" t="s">
        <v>452</v>
      </c>
      <c r="B936" s="28" t="s">
        <v>293</v>
      </c>
      <c r="C936" s="28" t="s">
        <v>358</v>
      </c>
      <c r="D936" s="28" t="s">
        <v>253</v>
      </c>
      <c r="E936" s="20" t="s">
        <v>586</v>
      </c>
      <c r="F936" s="21" t="str">
        <f aca="false">IF(OR(E936="",E936="!!!"),"",IF(NOT(ISNA(VLOOKUP(E936,Q$1:Q923,1,FALSE()))),"OLD",IF(AND(E936&lt;&gt;"",E936&lt;&gt;"!!!"),"NEW","")))</f>
        <v>NEW</v>
      </c>
      <c r="G936" s="22" t="s">
        <v>296</v>
      </c>
      <c r="H936" s="23" t="str">
        <f aca="false">IF(J936&lt;&gt;1,"",IF(I936="SBJ","CB","?"))</f>
        <v/>
      </c>
      <c r="I936" s="24" t="str">
        <f aca="false">IF(OR(E936="",E936="!!!",F936="NEW"),"",INDEX(N$2:N923,-1+SUMPRODUCT(MAX(ROW(E$2:E923)*(E936=E$2:E923)))))</f>
        <v/>
      </c>
      <c r="J936" s="25" t="str">
        <f aca="true">IF(OR(E936="",E936="!!!",F936="NEW"),"",COUNTBLANK(OFFSET(M$1,,,SUMPRODUCT(MAX(ROW(E$2:E924)*(E936=E$2:E924)))))-COUNTBLANK(OFFSET(M$1,,,SUMPRODUCT(MAX(ROW(Q$1:Q923)*(E936=Q$1:Q923))))))</f>
        <v/>
      </c>
      <c r="K936" s="25" t="str">
        <f aca="false">IF(OR(E936="",E936="!!!",F936="NEW"),"",INDEX(V$1:V923,SUMPRODUCT(MAX(ROW(Q$1:Q923)*(E936=Q$1:Q923)))))</f>
        <v/>
      </c>
      <c r="L936" s="26"/>
      <c r="M936" s="27"/>
      <c r="N936" s="29"/>
      <c r="O936" s="29"/>
      <c r="P936" s="29"/>
    </row>
    <row r="937" customFormat="false" ht="15" hidden="false" customHeight="false" outlineLevel="0" collapsed="false">
      <c r="A937" s="19" t="s">
        <v>534</v>
      </c>
      <c r="B937" s="28" t="s">
        <v>258</v>
      </c>
      <c r="C937" s="28" t="s">
        <v>333</v>
      </c>
      <c r="D937" s="28" t="s">
        <v>253</v>
      </c>
      <c r="E937" s="20" t="s">
        <v>546</v>
      </c>
      <c r="F937" s="21" t="str">
        <f aca="false">IF(OR(E937="",E937="!!!"),"",IF(NOT(ISNA(VLOOKUP(E937,Q$1:Q924,1,FALSE()))),"OLD",IF(AND(E937&lt;&gt;"",E937&lt;&gt;"!!!"),"NEW","")))</f>
        <v>NEW</v>
      </c>
      <c r="G937" s="22" t="s">
        <v>266</v>
      </c>
      <c r="H937" s="23" t="str">
        <f aca="false">IF(J937&lt;&gt;1,"",IF(I937="SBJ","CB","?"))</f>
        <v/>
      </c>
      <c r="I937" s="24" t="str">
        <f aca="false">IF(OR(E937="",E937="!!!",F937="NEW"),"",INDEX(N$2:N924,-1+SUMPRODUCT(MAX(ROW(E$2:E924)*(E937=E$2:E924)))))</f>
        <v/>
      </c>
      <c r="J937" s="25" t="str">
        <f aca="true">IF(OR(E937="",E937="!!!",F937="NEW"),"",COUNTBLANK(OFFSET(M$1,,,SUMPRODUCT(MAX(ROW(E$2:E925)*(E937=E$2:E925)))))-COUNTBLANK(OFFSET(M$1,,,SUMPRODUCT(MAX(ROW(Q$1:Q924)*(E937=Q$1:Q924))))))</f>
        <v/>
      </c>
      <c r="K937" s="25" t="str">
        <f aca="false">IF(OR(E937="",E937="!!!",F937="NEW"),"",INDEX(V$1:V924,SUMPRODUCT(MAX(ROW(Q$1:Q924)*(E937=Q$1:Q924)))))</f>
        <v/>
      </c>
      <c r="L937" s="26"/>
      <c r="M937" s="27"/>
      <c r="N937" s="29"/>
      <c r="O937" s="29"/>
      <c r="P937" s="29"/>
    </row>
    <row r="938" customFormat="false" ht="15" hidden="false" customHeight="false" outlineLevel="0" collapsed="false">
      <c r="A938" s="19" t="s">
        <v>261</v>
      </c>
      <c r="E938" s="20" t="str">
        <f aca="false">IF(P938="?OLD","!!!","")</f>
        <v/>
      </c>
      <c r="F938" s="21" t="str">
        <f aca="false">IF(OR(E938="",E938="!!!"),"",IF(NOT(ISNA(VLOOKUP(E938,Q$1:Q925,1,FALSE()))),"OLD",IF(AND(E938&lt;&gt;"",E938&lt;&gt;"!!!"),"NEW","")))</f>
        <v/>
      </c>
      <c r="G938" s="22" t="str">
        <f aca="false">IF(OR(E938="",E938="!!!"),"",IF(OR(J938=0,AND(J938=1,K938=1),AND(J938=1,I938="SBJ"),AND(J938=1,I938=0)),"?IN_FOCUS",IF(J938&lt;=2,"?ACTIVATED",IF(J938&lt;&gt;"","?FAMILIAR",IF(F938="NEW",IF(ISNA(VLOOKUP(E938,#REF!,1,FALSE())),"?TYPE_IDENTIFIABLE","?REFERENTIAL"),"_")))))</f>
        <v/>
      </c>
      <c r="H938" s="23" t="str">
        <f aca="false">IF(J938&lt;&gt;1,"",IF(I938="SBJ","CB","?"))</f>
        <v/>
      </c>
      <c r="I938" s="24" t="str">
        <f aca="false">IF(OR(E938="",E938="!!!",F938="NEW"),"",INDEX(N$2:N925,-1+SUMPRODUCT(MAX(ROW(E$2:E925)*(E938=E$2:E925)))))</f>
        <v/>
      </c>
      <c r="J938" s="25" t="str">
        <f aca="true">IF(OR(E938="",E938="!!!",F938="NEW"),"",COUNTBLANK(OFFSET(M$1,,,SUMPRODUCT(MAX(ROW(E$2:E926)*(E938=E$2:E926)))))-COUNTBLANK(OFFSET(M$1,,,SUMPRODUCT(MAX(ROW(Q$1:Q925)*(E938=Q$1:Q925))))))</f>
        <v/>
      </c>
      <c r="K938" s="25" t="str">
        <f aca="false">IF(OR(E938="",E938="!!!",F938="NEW"),"",INDEX(V$1:V925,SUMPRODUCT(MAX(ROW(Q$1:Q925)*(E938=Q$1:Q925)))))</f>
        <v/>
      </c>
      <c r="L938" s="26"/>
      <c r="M938" s="27"/>
    </row>
    <row r="939" customFormat="false" ht="15" hidden="false" customHeight="false" outlineLevel="0" collapsed="false">
      <c r="A939" s="19" t="s">
        <v>367</v>
      </c>
      <c r="E939" s="20" t="str">
        <f aca="false">IF(P939="?OLD","!!!","")</f>
        <v/>
      </c>
      <c r="F939" s="21" t="str">
        <f aca="false">IF(OR(E939="",E939="!!!"),"",IF(NOT(ISNA(VLOOKUP(E939,Q$1:Q926,1,FALSE()))),"OLD",IF(AND(E939&lt;&gt;"",E939&lt;&gt;"!!!"),"NEW","")))</f>
        <v/>
      </c>
      <c r="G939" s="22" t="str">
        <f aca="false">IF(OR(E939="",E939="!!!"),"",IF(OR(J939=0,AND(J939=1,K939=1),AND(J939=1,I939="SBJ"),AND(J939=1,I939=0)),"?IN_FOCUS",IF(J939&lt;=2,"?ACTIVATED",IF(J939&lt;&gt;"","?FAMILIAR",IF(F939="NEW",IF(ISNA(VLOOKUP(E939,#REF!,1,FALSE())),"?TYPE_IDENTIFIABLE","?REFERENTIAL"),"_")))))</f>
        <v/>
      </c>
      <c r="H939" s="23" t="str">
        <f aca="false">IF(J939&lt;&gt;1,"",IF(I939="SBJ","CB","?"))</f>
        <v/>
      </c>
      <c r="I939" s="24" t="str">
        <f aca="false">IF(OR(E939="",E939="!!!",F939="NEW"),"",INDEX(N$2:N926,-1+SUMPRODUCT(MAX(ROW(E$2:E926)*(E939=E$2:E926)))))</f>
        <v/>
      </c>
      <c r="J939" s="25" t="str">
        <f aca="true">IF(OR(E939="",E939="!!!",F939="NEW"),"",COUNTBLANK(OFFSET(M$1,,,SUMPRODUCT(MAX(ROW(E$2:E927)*(E939=E$2:E927)))))-COUNTBLANK(OFFSET(M$1,,,SUMPRODUCT(MAX(ROW(Q$1:Q926)*(E939=Q$1:Q926))))))</f>
        <v/>
      </c>
      <c r="K939" s="25" t="str">
        <f aca="false">IF(OR(E939="",E939="!!!",F939="NEW"),"",INDEX(V$1:V926,SUMPRODUCT(MAX(ROW(Q$1:Q926)*(E939=Q$1:Q926)))))</f>
        <v/>
      </c>
      <c r="L939" s="26"/>
      <c r="M939" s="27"/>
    </row>
    <row r="940" customFormat="false" ht="15" hidden="false" customHeight="false" outlineLevel="0" collapsed="false">
      <c r="A940" s="19" t="s">
        <v>683</v>
      </c>
      <c r="E940" s="20" t="str">
        <f aca="false">IF(P940="?OLD","!!!","")</f>
        <v/>
      </c>
      <c r="F940" s="21" t="str">
        <f aca="false">IF(OR(E940="",E940="!!!"),"",IF(NOT(ISNA(VLOOKUP(E940,Q$1:Q927,1,FALSE()))),"OLD",IF(AND(E940&lt;&gt;"",E940&lt;&gt;"!!!"),"NEW","")))</f>
        <v/>
      </c>
      <c r="G940" s="22" t="str">
        <f aca="false">IF(OR(E940="",E940="!!!"),"",IF(OR(J940=0,AND(J940=1,K940=1),AND(J940=1,I940="SBJ"),AND(J940=1,I940=0)),"?IN_FOCUS",IF(J940&lt;=2,"?ACTIVATED",IF(J940&lt;&gt;"","?FAMILIAR",IF(F940="NEW",IF(ISNA(VLOOKUP(E940,#REF!,1,FALSE())),"?TYPE_IDENTIFIABLE","?REFERENTIAL"),"_")))))</f>
        <v/>
      </c>
      <c r="H940" s="23" t="str">
        <f aca="false">IF(J940&lt;&gt;1,"",IF(I940="SBJ","CB","?"))</f>
        <v/>
      </c>
      <c r="I940" s="24" t="str">
        <f aca="false">IF(OR(E940="",E940="!!!",F940="NEW"),"",INDEX(N$2:N927,-1+SUMPRODUCT(MAX(ROW(E$2:E927)*(E940=E$2:E927)))))</f>
        <v/>
      </c>
      <c r="J940" s="25" t="str">
        <f aca="true">IF(OR(E940="",E940="!!!",F940="NEW"),"",COUNTBLANK(OFFSET(M$1,,,SUMPRODUCT(MAX(ROW(E$2:E928)*(E940=E$2:E928)))))-COUNTBLANK(OFFSET(M$1,,,SUMPRODUCT(MAX(ROW(Q$1:Q927)*(E940=Q$1:Q927))))))</f>
        <v/>
      </c>
      <c r="K940" s="25" t="str">
        <f aca="false">IF(OR(E940="",E940="!!!",F940="NEW"),"",INDEX(V$1:V927,SUMPRODUCT(MAX(ROW(Q$1:Q927)*(E940=Q$1:Q927)))))</f>
        <v/>
      </c>
      <c r="L940" s="26"/>
      <c r="M940" s="27"/>
    </row>
    <row r="941" customFormat="false" ht="15" hidden="false" customHeight="false" outlineLevel="0" collapsed="false">
      <c r="A941" s="19" t="s">
        <v>549</v>
      </c>
      <c r="E941" s="20" t="str">
        <f aca="false">IF(P941="?OLD","!!!","")</f>
        <v/>
      </c>
      <c r="F941" s="21" t="str">
        <f aca="false">IF(OR(E941="",E941="!!!"),"",IF(NOT(ISNA(VLOOKUP(E941,Q$1:Q928,1,FALSE()))),"OLD",IF(AND(E941&lt;&gt;"",E941&lt;&gt;"!!!"),"NEW","")))</f>
        <v/>
      </c>
      <c r="G941" s="22" t="str">
        <f aca="false">IF(OR(E941="",E941="!!!"),"",IF(OR(J941=0,AND(J941=1,K941=1),AND(J941=1,I941="SBJ"),AND(J941=1,I941=0)),"?IN_FOCUS",IF(J941&lt;=2,"?ACTIVATED",IF(J941&lt;&gt;"","?FAMILIAR",IF(F941="NEW",IF(ISNA(VLOOKUP(E941,#REF!,1,FALSE())),"?TYPE_IDENTIFIABLE","?REFERENTIAL"),"_")))))</f>
        <v/>
      </c>
      <c r="H941" s="23" t="str">
        <f aca="false">IF(J941&lt;&gt;1,"",IF(I941="SBJ","CB","?"))</f>
        <v/>
      </c>
      <c r="I941" s="24" t="str">
        <f aca="false">IF(OR(E941="",E941="!!!",F941="NEW"),"",INDEX(N$2:N928,-1+SUMPRODUCT(MAX(ROW(E$2:E928)*(E941=E$2:E928)))))</f>
        <v/>
      </c>
      <c r="J941" s="25" t="str">
        <f aca="true">IF(OR(E941="",E941="!!!",F941="NEW"),"",COUNTBLANK(OFFSET(M$1,,,SUMPRODUCT(MAX(ROW(E$2:E929)*(E941=E$2:E929)))))-COUNTBLANK(OFFSET(M$1,,,SUMPRODUCT(MAX(ROW(Q$1:Q928)*(E941=Q$1:Q928))))))</f>
        <v/>
      </c>
      <c r="K941" s="25" t="str">
        <f aca="false">IF(OR(E941="",E941="!!!",F941="NEW"),"",INDEX(V$1:V928,SUMPRODUCT(MAX(ROW(Q$1:Q928)*(E941=Q$1:Q928)))))</f>
        <v/>
      </c>
      <c r="L941" s="26"/>
      <c r="M941" s="27"/>
    </row>
    <row r="942" customFormat="false" ht="15" hidden="false" customHeight="false" outlineLevel="0" collapsed="false">
      <c r="A942" s="19" t="s">
        <v>452</v>
      </c>
      <c r="B942" s="28" t="s">
        <v>357</v>
      </c>
      <c r="C942" s="28" t="s">
        <v>358</v>
      </c>
      <c r="D942" s="28" t="s">
        <v>253</v>
      </c>
      <c r="E942" s="20" t="s">
        <v>413</v>
      </c>
      <c r="F942" s="21" t="str">
        <f aca="false">IF(OR(E942="",E942="!!!"),"",IF(NOT(ISNA(VLOOKUP(E942,Q$1:Q929,1,FALSE()))),"OLD",IF(AND(E942&lt;&gt;"",E942&lt;&gt;"!!!"),"NEW","")))</f>
        <v>NEW</v>
      </c>
      <c r="G942" s="22" t="s">
        <v>296</v>
      </c>
      <c r="H942" s="23" t="str">
        <f aca="false">IF(J942&lt;&gt;1,"",IF(I942="SBJ","CB","?"))</f>
        <v/>
      </c>
      <c r="I942" s="24" t="str">
        <f aca="false">IF(OR(E942="",E942="!!!",F942="NEW"),"",INDEX(N$2:N929,-1+SUMPRODUCT(MAX(ROW(E$2:E929)*(E942=E$2:E929)))))</f>
        <v/>
      </c>
      <c r="J942" s="25" t="str">
        <f aca="true">IF(OR(E942="",E942="!!!",F942="NEW"),"",COUNTBLANK(OFFSET(M$1,,,SUMPRODUCT(MAX(ROW(E$2:E930)*(E942=E$2:E930)))))-COUNTBLANK(OFFSET(M$1,,,SUMPRODUCT(MAX(ROW(Q$1:Q929)*(E942=Q$1:Q929))))))</f>
        <v/>
      </c>
      <c r="K942" s="25" t="str">
        <f aca="false">IF(OR(E942="",E942="!!!",F942="NEW"),"",INDEX(V$1:V929,SUMPRODUCT(MAX(ROW(Q$1:Q929)*(E942=Q$1:Q929)))))</f>
        <v/>
      </c>
      <c r="L942" s="26"/>
      <c r="M942" s="27"/>
      <c r="N942" s="29"/>
      <c r="O942" s="29"/>
      <c r="P942" s="29"/>
    </row>
    <row r="943" customFormat="false" ht="15" hidden="false" customHeight="false" outlineLevel="0" collapsed="false">
      <c r="A943" s="19" t="s">
        <v>594</v>
      </c>
      <c r="E943" s="20" t="str">
        <f aca="false">IF(P943="?OLD","!!!","")</f>
        <v/>
      </c>
      <c r="F943" s="21" t="str">
        <f aca="false">IF(OR(E943="",E943="!!!"),"",IF(NOT(ISNA(VLOOKUP(E943,Q$1:Q930,1,FALSE()))),"OLD",IF(AND(E943&lt;&gt;"",E943&lt;&gt;"!!!"),"NEW","")))</f>
        <v/>
      </c>
      <c r="G943" s="22" t="str">
        <f aca="false">IF(OR(E943="",E943="!!!"),"",IF(OR(J943=0,AND(J943=1,K943=1),AND(J943=1,I943="SBJ"),AND(J943=1,I943=0)),"?IN_FOCUS",IF(J943&lt;=2,"?ACTIVATED",IF(J943&lt;&gt;"","?FAMILIAR",IF(F943="NEW",IF(ISNA(VLOOKUP(E943,#REF!,1,FALSE())),"?TYPE_IDENTIFIABLE","?REFERENTIAL"),"_")))))</f>
        <v/>
      </c>
      <c r="H943" s="23" t="str">
        <f aca="false">IF(J943&lt;&gt;1,"",IF(I943="SBJ","CB","?"))</f>
        <v/>
      </c>
      <c r="I943" s="24" t="str">
        <f aca="false">IF(OR(E943="",E943="!!!",F943="NEW"),"",INDEX(N$2:N930,-1+SUMPRODUCT(MAX(ROW(E$2:E930)*(E943=E$2:E930)))))</f>
        <v/>
      </c>
      <c r="J943" s="25" t="str">
        <f aca="true">IF(OR(E943="",E943="!!!",F943="NEW"),"",COUNTBLANK(OFFSET(M$1,,,SUMPRODUCT(MAX(ROW(E$2:E931)*(E943=E$2:E931)))))-COUNTBLANK(OFFSET(M$1,,,SUMPRODUCT(MAX(ROW(Q$1:Q930)*(E943=Q$1:Q930))))))</f>
        <v/>
      </c>
      <c r="K943" s="25" t="str">
        <f aca="false">IF(OR(E943="",E943="!!!",F943="NEW"),"",INDEX(V$1:V930,SUMPRODUCT(MAX(ROW(Q$1:Q930)*(E943=Q$1:Q930)))))</f>
        <v/>
      </c>
      <c r="L943" s="26"/>
      <c r="M943" s="27"/>
    </row>
    <row r="944" customFormat="false" ht="15" hidden="false" customHeight="false" outlineLevel="0" collapsed="false">
      <c r="A944" s="19" t="s">
        <v>566</v>
      </c>
      <c r="B944" s="28" t="s">
        <v>293</v>
      </c>
      <c r="C944" s="28" t="s">
        <v>314</v>
      </c>
      <c r="D944" s="28" t="s">
        <v>253</v>
      </c>
      <c r="E944" s="20" t="s">
        <v>684</v>
      </c>
      <c r="F944" s="21" t="str">
        <f aca="false">IF(OR(E944="",E944="!!!"),"",IF(NOT(ISNA(VLOOKUP(E944,Q$1:Q931,1,FALSE()))),"OLD",IF(AND(E944&lt;&gt;"",E944&lt;&gt;"!!!"),"NEW","")))</f>
        <v>NEW</v>
      </c>
      <c r="G944" s="22" t="s">
        <v>255</v>
      </c>
      <c r="H944" s="23" t="str">
        <f aca="false">IF(J944&lt;&gt;1,"",IF(I944="SBJ","CB","?"))</f>
        <v/>
      </c>
      <c r="I944" s="24" t="str">
        <f aca="false">IF(OR(E944="",E944="!!!",F944="NEW"),"",INDEX(N$2:N931,-1+SUMPRODUCT(MAX(ROW(E$2:E931)*(E944=E$2:E931)))))</f>
        <v/>
      </c>
      <c r="J944" s="25" t="str">
        <f aca="true">IF(OR(E944="",E944="!!!",F944="NEW"),"",COUNTBLANK(OFFSET(M$1,,,SUMPRODUCT(MAX(ROW(E$2:E932)*(E944=E$2:E932)))))-COUNTBLANK(OFFSET(M$1,,,SUMPRODUCT(MAX(ROW(Q$1:Q931)*(E944=Q$1:Q931))))))</f>
        <v/>
      </c>
      <c r="K944" s="25" t="str">
        <f aca="false">IF(OR(E944="",E944="!!!",F944="NEW"),"",INDEX(V$1:V931,SUMPRODUCT(MAX(ROW(Q$1:Q931)*(E944=Q$1:Q931)))))</f>
        <v/>
      </c>
      <c r="L944" s="26"/>
      <c r="M944" s="27"/>
      <c r="N944" s="29"/>
      <c r="O944" s="29"/>
      <c r="P944" s="29"/>
    </row>
    <row r="945" customFormat="false" ht="15" hidden="false" customHeight="false" outlineLevel="0" collapsed="false">
      <c r="A945" s="19" t="s">
        <v>261</v>
      </c>
      <c r="E945" s="20" t="str">
        <f aca="false">IF(P945="?OLD","!!!","")</f>
        <v/>
      </c>
      <c r="F945" s="21" t="str">
        <f aca="false">IF(OR(E945="",E945="!!!"),"",IF(NOT(ISNA(VLOOKUP(E945,Q$1:Q932,1,FALSE()))),"OLD",IF(AND(E945&lt;&gt;"",E945&lt;&gt;"!!!"),"NEW","")))</f>
        <v/>
      </c>
      <c r="G945" s="22" t="str">
        <f aca="false">IF(OR(E945="",E945="!!!"),"",IF(OR(J945=0,AND(J945=1,K945=1),AND(J945=1,I945="SBJ"),AND(J945=1,I945=0)),"?IN_FOCUS",IF(J945&lt;=2,"?ACTIVATED",IF(J945&lt;&gt;"","?FAMILIAR",IF(F945="NEW",IF(ISNA(VLOOKUP(E945,#REF!,1,FALSE())),"?TYPE_IDENTIFIABLE","?REFERENTIAL"),"_")))))</f>
        <v/>
      </c>
      <c r="H945" s="23" t="str">
        <f aca="false">IF(J945&lt;&gt;1,"",IF(I945="SBJ","CB","?"))</f>
        <v/>
      </c>
      <c r="I945" s="24" t="str">
        <f aca="false">IF(OR(E945="",E945="!!!",F945="NEW"),"",INDEX(N$2:N932,-1+SUMPRODUCT(MAX(ROW(E$2:E932)*(E945=E$2:E932)))))</f>
        <v/>
      </c>
      <c r="J945" s="25" t="str">
        <f aca="true">IF(OR(E945="",E945="!!!",F945="NEW"),"",COUNTBLANK(OFFSET(M$1,,,SUMPRODUCT(MAX(ROW(E$2:E933)*(E945=E$2:E933)))))-COUNTBLANK(OFFSET(M$1,,,SUMPRODUCT(MAX(ROW(Q$1:Q932)*(E945=Q$1:Q932))))))</f>
        <v/>
      </c>
      <c r="K945" s="25" t="str">
        <f aca="false">IF(OR(E945="",E945="!!!",F945="NEW"),"",INDEX(V$1:V932,SUMPRODUCT(MAX(ROW(Q$1:Q932)*(E945=Q$1:Q932)))))</f>
        <v/>
      </c>
      <c r="L945" s="26"/>
      <c r="M945" s="27"/>
    </row>
    <row r="946" customFormat="false" ht="15" hidden="false" customHeight="false" outlineLevel="0" collapsed="false">
      <c r="A946" s="19"/>
    </row>
    <row r="947" customFormat="false" ht="15" hidden="false" customHeight="false" outlineLevel="0" collapsed="false">
      <c r="A947" s="19" t="s">
        <v>362</v>
      </c>
    </row>
    <row r="948" customFormat="false" ht="15" hidden="false" customHeight="false" outlineLevel="0" collapsed="false">
      <c r="A948" s="19" t="s">
        <v>685</v>
      </c>
    </row>
    <row r="949" customFormat="false" ht="15" hidden="false" customHeight="false" outlineLevel="0" collapsed="false">
      <c r="A949" s="19" t="s">
        <v>686</v>
      </c>
      <c r="E949" s="20" t="str">
        <f aca="false">IF(P949="?OLD","!!!","")</f>
        <v/>
      </c>
      <c r="F949" s="21" t="str">
        <f aca="false">IF(OR(E949="",E949="!!!"),"",IF(NOT(ISNA(VLOOKUP(E949,Q$1:Q933,1,FALSE()))),"OLD",IF(AND(E949&lt;&gt;"",E949&lt;&gt;"!!!"),"NEW","")))</f>
        <v/>
      </c>
      <c r="G949" s="22" t="str">
        <f aca="false">IF(OR(E949="",E949="!!!"),"",IF(OR(J949=0,AND(J949=1,K949=1),AND(J949=1,I949="SBJ"),AND(J949=1,I949=0)),"?IN_FOCUS",IF(J949&lt;=2,"?ACTIVATED",IF(J949&lt;&gt;"","?FAMILIAR",IF(F949="NEW",IF(ISNA(VLOOKUP(E949,#REF!,1,FALSE())),"?TYPE_IDENTIFIABLE","?REFERENTIAL"),"_")))))</f>
        <v/>
      </c>
      <c r="H949" s="23" t="str">
        <f aca="false">IF(J949&lt;&gt;1,"",IF(I949="SBJ","CB","?"))</f>
        <v/>
      </c>
      <c r="I949" s="24" t="str">
        <f aca="false">IF(OR(E949="",E949="!!!",F949="NEW"),"",INDEX(N$2:N933,-1+SUMPRODUCT(MAX(ROW(E$2:E933)*(E949=E$2:E933)))))</f>
        <v/>
      </c>
      <c r="J949" s="25" t="str">
        <f aca="true">IF(OR(E949="",E949="!!!",F949="NEW"),"",COUNTBLANK(OFFSET(M$1,,,SUMPRODUCT(MAX(ROW(E$2:E934)*(E949=E$2:E934)))))-COUNTBLANK(OFFSET(M$1,,,SUMPRODUCT(MAX(ROW(Q$1:Q933)*(E949=Q$1:Q933))))))</f>
        <v/>
      </c>
      <c r="K949" s="25" t="str">
        <f aca="false">IF(OR(E949="",E949="!!!",F949="NEW"),"",INDEX(V$1:V933,SUMPRODUCT(MAX(ROW(Q$1:Q933)*(E949=Q$1:Q933)))))</f>
        <v/>
      </c>
      <c r="L949" s="26"/>
      <c r="M949" s="27"/>
    </row>
    <row r="950" customFormat="false" ht="15" hidden="false" customHeight="false" outlineLevel="0" collapsed="false">
      <c r="A950" s="19" t="s">
        <v>483</v>
      </c>
      <c r="B950" s="28" t="s">
        <v>263</v>
      </c>
      <c r="C950" s="28" t="s">
        <v>264</v>
      </c>
      <c r="D950" s="28" t="s">
        <v>253</v>
      </c>
      <c r="E950" s="20" t="s">
        <v>413</v>
      </c>
      <c r="F950" s="21" t="str">
        <f aca="false">IF(OR(E950="",E950="!!!"),"",IF(NOT(ISNA(VLOOKUP(E950,Q$1:Q934,1,FALSE()))),"OLD",IF(AND(E950&lt;&gt;"",E950&lt;&gt;"!!!"),"NEW","")))</f>
        <v>NEW</v>
      </c>
      <c r="G950" s="22" t="s">
        <v>296</v>
      </c>
      <c r="H950" s="23" t="str">
        <f aca="false">IF(J950&lt;&gt;1,"",IF(I950="SBJ","CB","?"))</f>
        <v/>
      </c>
      <c r="I950" s="24" t="str">
        <f aca="false">IF(OR(E950="",E950="!!!",F950="NEW"),"",INDEX(N$2:N934,-1+SUMPRODUCT(MAX(ROW(E$2:E934)*(E950=E$2:E934)))))</f>
        <v/>
      </c>
      <c r="J950" s="25" t="str">
        <f aca="true">IF(OR(E950="",E950="!!!",F950="NEW"),"",COUNTBLANK(OFFSET(M$1,,,SUMPRODUCT(MAX(ROW(E$2:E935)*(E950=E$2:E935)))))-COUNTBLANK(OFFSET(M$1,,,SUMPRODUCT(MAX(ROW(Q$1:Q934)*(E950=Q$1:Q934))))))</f>
        <v/>
      </c>
      <c r="K950" s="25" t="str">
        <f aca="false">IF(OR(E950="",E950="!!!",F950="NEW"),"",INDEX(V$1:V934,SUMPRODUCT(MAX(ROW(Q$1:Q934)*(E950=Q$1:Q934)))))</f>
        <v/>
      </c>
      <c r="L950" s="26"/>
      <c r="M950" s="27"/>
      <c r="N950" s="29"/>
      <c r="O950" s="29"/>
      <c r="P950" s="29"/>
    </row>
    <row r="951" customFormat="false" ht="15" hidden="false" customHeight="false" outlineLevel="0" collapsed="false">
      <c r="A951" s="19" t="s">
        <v>153</v>
      </c>
      <c r="E951" s="20" t="str">
        <f aca="false">IF(P951="?OLD","!!!","")</f>
        <v/>
      </c>
      <c r="F951" s="21" t="str">
        <f aca="false">IF(OR(E951="",E951="!!!"),"",IF(NOT(ISNA(VLOOKUP(E951,Q$1:Q935,1,FALSE()))),"OLD",IF(AND(E951&lt;&gt;"",E951&lt;&gt;"!!!"),"NEW","")))</f>
        <v/>
      </c>
      <c r="G951" s="22" t="str">
        <f aca="false">IF(OR(E951="",E951="!!!"),"",IF(OR(J951=0,AND(J951=1,K951=1),AND(J951=1,I951="SBJ"),AND(J951=1,I951=0)),"?IN_FOCUS",IF(J951&lt;=2,"?ACTIVATED",IF(J951&lt;&gt;"","?FAMILIAR",IF(F951="NEW",IF(ISNA(VLOOKUP(E951,#REF!,1,FALSE())),"?TYPE_IDENTIFIABLE","?REFERENTIAL"),"_")))))</f>
        <v/>
      </c>
      <c r="H951" s="23" t="str">
        <f aca="false">IF(J951&lt;&gt;1,"",IF(I951="SBJ","CB","?"))</f>
        <v/>
      </c>
      <c r="I951" s="24" t="str">
        <f aca="false">IF(OR(E951="",E951="!!!",F951="NEW"),"",INDEX(N$2:N935,-1+SUMPRODUCT(MAX(ROW(E$2:E935)*(E951=E$2:E935)))))</f>
        <v/>
      </c>
      <c r="J951" s="25" t="str">
        <f aca="true">IF(OR(E951="",E951="!!!",F951="NEW"),"",COUNTBLANK(OFFSET(M$1,,,SUMPRODUCT(MAX(ROW(E$2:E936)*(E951=E$2:E936)))))-COUNTBLANK(OFFSET(M$1,,,SUMPRODUCT(MAX(ROW(Q$1:Q935)*(E951=Q$1:Q935))))))</f>
        <v/>
      </c>
      <c r="K951" s="25" t="str">
        <f aca="false">IF(OR(E951="",E951="!!!",F951="NEW"),"",INDEX(V$1:V935,SUMPRODUCT(MAX(ROW(Q$1:Q935)*(E951=Q$1:Q935)))))</f>
        <v/>
      </c>
      <c r="L951" s="26"/>
      <c r="M951" s="27"/>
    </row>
    <row r="952" customFormat="false" ht="15" hidden="false" customHeight="false" outlineLevel="0" collapsed="false">
      <c r="A952" s="19" t="s">
        <v>489</v>
      </c>
      <c r="B952" s="28" t="s">
        <v>306</v>
      </c>
      <c r="C952" s="28" t="s">
        <v>358</v>
      </c>
      <c r="D952" s="28" t="s">
        <v>253</v>
      </c>
      <c r="E952" s="20" t="s">
        <v>546</v>
      </c>
      <c r="F952" s="21" t="str">
        <f aca="false">IF(OR(E952="",E952="!!!"),"",IF(NOT(ISNA(VLOOKUP(E952,Q$1:Q936,1,FALSE()))),"OLD",IF(AND(E952&lt;&gt;"",E952&lt;&gt;"!!!"),"NEW","")))</f>
        <v>NEW</v>
      </c>
      <c r="G952" s="22" t="s">
        <v>296</v>
      </c>
      <c r="H952" s="23" t="str">
        <f aca="false">IF(J952&lt;&gt;1,"",IF(I952="SBJ","CB","?"))</f>
        <v/>
      </c>
      <c r="I952" s="24" t="str">
        <f aca="false">IF(OR(E952="",E952="!!!",F952="NEW"),"",INDEX(N$2:N936,-1+SUMPRODUCT(MAX(ROW(E$2:E936)*(E952=E$2:E936)))))</f>
        <v/>
      </c>
      <c r="J952" s="25" t="str">
        <f aca="true">IF(OR(E952="",E952="!!!",F952="NEW"),"",COUNTBLANK(OFFSET(M$1,,,SUMPRODUCT(MAX(ROW(E$2:E937)*(E952=E$2:E937)))))-COUNTBLANK(OFFSET(M$1,,,SUMPRODUCT(MAX(ROW(Q$1:Q936)*(E952=Q$1:Q936))))))</f>
        <v/>
      </c>
      <c r="K952" s="25" t="str">
        <f aca="false">IF(OR(E952="",E952="!!!",F952="NEW"),"",INDEX(V$1:V936,SUMPRODUCT(MAX(ROW(Q$1:Q936)*(E952=Q$1:Q936)))))</f>
        <v/>
      </c>
      <c r="L952" s="26"/>
      <c r="M952" s="27"/>
      <c r="N952" s="29"/>
      <c r="O952" s="29"/>
      <c r="P952" s="29"/>
    </row>
    <row r="953" customFormat="false" ht="15" hidden="false" customHeight="false" outlineLevel="0" collapsed="false">
      <c r="A953" s="19" t="s">
        <v>687</v>
      </c>
      <c r="B953" s="28" t="s">
        <v>380</v>
      </c>
      <c r="C953" s="28" t="s">
        <v>314</v>
      </c>
      <c r="D953" s="28" t="s">
        <v>253</v>
      </c>
      <c r="E953" s="20" t="s">
        <v>688</v>
      </c>
      <c r="F953" s="21" t="str">
        <f aca="false">IF(OR(E953="",E953="!!!"),"",IF(NOT(ISNA(VLOOKUP(E953,Q$1:Q937,1,FALSE()))),"OLD",IF(AND(E953&lt;&gt;"",E953&lt;&gt;"!!!"),"NEW","")))</f>
        <v>NEW</v>
      </c>
      <c r="G953" s="22" t="s">
        <v>255</v>
      </c>
      <c r="H953" s="23" t="str">
        <f aca="false">IF(J953&lt;&gt;1,"",IF(I953="SBJ","CB","?"))</f>
        <v/>
      </c>
      <c r="I953" s="24" t="str">
        <f aca="false">IF(OR(E953="",E953="!!!",F953="NEW"),"",INDEX(N$2:N937,-1+SUMPRODUCT(MAX(ROW(E$2:E937)*(E953=E$2:E937)))))</f>
        <v/>
      </c>
      <c r="J953" s="25" t="str">
        <f aca="true">IF(OR(E953="",E953="!!!",F953="NEW"),"",COUNTBLANK(OFFSET(M$1,,,SUMPRODUCT(MAX(ROW(E$2:E938)*(E953=E$2:E938)))))-COUNTBLANK(OFFSET(M$1,,,SUMPRODUCT(MAX(ROW(Q$1:Q937)*(E953=Q$1:Q937))))))</f>
        <v/>
      </c>
      <c r="K953" s="25" t="str">
        <f aca="false">IF(OR(E953="",E953="!!!",F953="NEW"),"",INDEX(V$1:V937,SUMPRODUCT(MAX(ROW(Q$1:Q937)*(E953=Q$1:Q937)))))</f>
        <v/>
      </c>
      <c r="L953" s="26"/>
      <c r="M953" s="27"/>
      <c r="N953" s="29"/>
      <c r="O953" s="29"/>
      <c r="P953" s="29"/>
    </row>
    <row r="954" customFormat="false" ht="15" hidden="false" customHeight="false" outlineLevel="0" collapsed="false">
      <c r="A954" s="19" t="s">
        <v>284</v>
      </c>
      <c r="E954" s="20" t="str">
        <f aca="false">IF(P954="?OLD","!!!","")</f>
        <v/>
      </c>
      <c r="F954" s="21" t="str">
        <f aca="false">IF(OR(E954="",E954="!!!"),"",IF(NOT(ISNA(VLOOKUP(E954,Q$1:Q938,1,FALSE()))),"OLD",IF(AND(E954&lt;&gt;"",E954&lt;&gt;"!!!"),"NEW","")))</f>
        <v/>
      </c>
      <c r="G954" s="22" t="str">
        <f aca="false">IF(OR(E954="",E954="!!!"),"",IF(OR(J954=0,AND(J954=1,K954=1),AND(J954=1,I954="SBJ"),AND(J954=1,I954=0)),"?IN_FOCUS",IF(J954&lt;=2,"?ACTIVATED",IF(J954&lt;&gt;"","?FAMILIAR",IF(F954="NEW",IF(ISNA(VLOOKUP(E954,#REF!,1,FALSE())),"?TYPE_IDENTIFIABLE","?REFERENTIAL"),"_")))))</f>
        <v/>
      </c>
      <c r="H954" s="23" t="str">
        <f aca="false">IF(J954&lt;&gt;1,"",IF(I954="SBJ","CB","?"))</f>
        <v/>
      </c>
      <c r="I954" s="24" t="str">
        <f aca="false">IF(OR(E954="",E954="!!!",F954="NEW"),"",INDEX(N$2:N938,-1+SUMPRODUCT(MAX(ROW(E$2:E938)*(E954=E$2:E938)))))</f>
        <v/>
      </c>
      <c r="J954" s="25" t="str">
        <f aca="true">IF(OR(E954="",E954="!!!",F954="NEW"),"",COUNTBLANK(OFFSET(M$1,,,SUMPRODUCT(MAX(ROW(E$2:E939)*(E954=E$2:E939)))))-COUNTBLANK(OFFSET(M$1,,,SUMPRODUCT(MAX(ROW(Q$1:Q938)*(E954=Q$1:Q938))))))</f>
        <v/>
      </c>
      <c r="K954" s="25" t="str">
        <f aca="false">IF(OR(E954="",E954="!!!",F954="NEW"),"",INDEX(V$1:V938,SUMPRODUCT(MAX(ROW(Q$1:Q938)*(E954=Q$1:Q938)))))</f>
        <v/>
      </c>
      <c r="L954" s="26"/>
      <c r="M954" s="27"/>
    </row>
    <row r="955" customFormat="false" ht="15" hidden="false" customHeight="false" outlineLevel="0" collapsed="false">
      <c r="A955" s="19" t="s">
        <v>689</v>
      </c>
      <c r="B955" s="28" t="s">
        <v>271</v>
      </c>
      <c r="C955" s="28" t="s">
        <v>287</v>
      </c>
      <c r="E955" s="20" t="str">
        <f aca="false">IF(P955="?OLD","!!!","")</f>
        <v/>
      </c>
      <c r="F955" s="21" t="str">
        <f aca="false">IF(OR(E955="",E955="!!!"),"",IF(NOT(ISNA(VLOOKUP(E955,Q$1:Q939,1,FALSE()))),"OLD",IF(AND(E955&lt;&gt;"",E955&lt;&gt;"!!!"),"NEW","")))</f>
        <v/>
      </c>
      <c r="G955" s="22" t="str">
        <f aca="false">IF(OR(E955="",E955="!!!"),"",IF(OR(J955=0,AND(J955=1,K955=1),AND(J955=1,I955="SBJ"),AND(J955=1,I955=0)),"?IN_FOCUS",IF(J955&lt;=2,"?ACTIVATED",IF(J955&lt;&gt;"","?FAMILIAR",IF(F955="NEW",IF(ISNA(VLOOKUP(E955,#REF!,1,FALSE())),"?TYPE_IDENTIFIABLE","?REFERENTIAL"),"_")))))</f>
        <v/>
      </c>
      <c r="H955" s="23" t="str">
        <f aca="false">IF(J955&lt;&gt;1,"",IF(I955="SBJ","CB","?"))</f>
        <v/>
      </c>
      <c r="I955" s="24" t="str">
        <f aca="false">IF(OR(E955="",E955="!!!",F955="NEW"),"",INDEX(N$2:N939,-1+SUMPRODUCT(MAX(ROW(E$2:E939)*(E955=E$2:E939)))))</f>
        <v/>
      </c>
      <c r="J955" s="25" t="str">
        <f aca="true">IF(OR(E955="",E955="!!!",F955="NEW"),"",COUNTBLANK(OFFSET(M$1,,,SUMPRODUCT(MAX(ROW(E$2:E940)*(E955=E$2:E940)))))-COUNTBLANK(OFFSET(M$1,,,SUMPRODUCT(MAX(ROW(Q$1:Q939)*(E955=Q$1:Q939))))))</f>
        <v/>
      </c>
      <c r="K955" s="25" t="str">
        <f aca="false">IF(OR(E955="",E955="!!!",F955="NEW"),"",INDEX(V$1:V939,SUMPRODUCT(MAX(ROW(Q$1:Q939)*(E955=Q$1:Q939)))))</f>
        <v/>
      </c>
      <c r="L955" s="26"/>
      <c r="M955" s="27"/>
      <c r="N955" s="29"/>
      <c r="O955" s="29"/>
    </row>
    <row r="956" customFormat="false" ht="15" hidden="false" customHeight="false" outlineLevel="0" collapsed="false">
      <c r="A956" s="19" t="s">
        <v>690</v>
      </c>
      <c r="E956" s="20" t="str">
        <f aca="false">IF(P956="?OLD","!!!","")</f>
        <v/>
      </c>
      <c r="F956" s="21" t="str">
        <f aca="false">IF(OR(E956="",E956="!!!"),"",IF(NOT(ISNA(VLOOKUP(E956,Q$1:Q940,1,FALSE()))),"OLD",IF(AND(E956&lt;&gt;"",E956&lt;&gt;"!!!"),"NEW","")))</f>
        <v/>
      </c>
      <c r="G956" s="22" t="str">
        <f aca="false">IF(OR(E956="",E956="!!!"),"",IF(OR(J956=0,AND(J956=1,K956=1),AND(J956=1,I956="SBJ"),AND(J956=1,I956=0)),"?IN_FOCUS",IF(J956&lt;=2,"?ACTIVATED",IF(J956&lt;&gt;"","?FAMILIAR",IF(F956="NEW",IF(ISNA(VLOOKUP(E956,#REF!,1,FALSE())),"?TYPE_IDENTIFIABLE","?REFERENTIAL"),"_")))))</f>
        <v/>
      </c>
      <c r="H956" s="23" t="str">
        <f aca="false">IF(J956&lt;&gt;1,"",IF(I956="SBJ","CB","?"))</f>
        <v/>
      </c>
      <c r="I956" s="24" t="str">
        <f aca="false">IF(OR(E956="",E956="!!!",F956="NEW"),"",INDEX(N$2:N940,-1+SUMPRODUCT(MAX(ROW(E$2:E940)*(E956=E$2:E940)))))</f>
        <v/>
      </c>
      <c r="J956" s="25" t="str">
        <f aca="true">IF(OR(E956="",E956="!!!",F956="NEW"),"",COUNTBLANK(OFFSET(M$1,,,SUMPRODUCT(MAX(ROW(E$2:E941)*(E956=E$2:E941)))))-COUNTBLANK(OFFSET(M$1,,,SUMPRODUCT(MAX(ROW(Q$1:Q940)*(E956=Q$1:Q940))))))</f>
        <v/>
      </c>
      <c r="K956" s="25" t="str">
        <f aca="false">IF(OR(E956="",E956="!!!",F956="NEW"),"",INDEX(V$1:V940,SUMPRODUCT(MAX(ROW(Q$1:Q940)*(E956=Q$1:Q940)))))</f>
        <v/>
      </c>
      <c r="L956" s="26"/>
      <c r="M956" s="27"/>
    </row>
    <row r="957" customFormat="false" ht="15" hidden="false" customHeight="false" outlineLevel="0" collapsed="false">
      <c r="A957" s="19" t="s">
        <v>489</v>
      </c>
      <c r="B957" s="28" t="s">
        <v>258</v>
      </c>
      <c r="C957" s="28" t="s">
        <v>358</v>
      </c>
      <c r="D957" s="28" t="s">
        <v>253</v>
      </c>
      <c r="E957" s="20" t="s">
        <v>546</v>
      </c>
      <c r="F957" s="21" t="str">
        <f aca="false">IF(OR(E957="",E957="!!!"),"",IF(NOT(ISNA(VLOOKUP(E957,Q$1:Q941,1,FALSE()))),"OLD",IF(AND(E957&lt;&gt;"",E957&lt;&gt;"!!!"),"NEW","")))</f>
        <v>NEW</v>
      </c>
      <c r="G957" s="22" t="s">
        <v>296</v>
      </c>
      <c r="H957" s="23" t="str">
        <f aca="false">IF(J957&lt;&gt;1,"",IF(I957="SBJ","CB","?"))</f>
        <v/>
      </c>
      <c r="I957" s="24" t="str">
        <f aca="false">IF(OR(E957="",E957="!!!",F957="NEW"),"",INDEX(N$2:N941,-1+SUMPRODUCT(MAX(ROW(E$2:E941)*(E957=E$2:E941)))))</f>
        <v/>
      </c>
      <c r="J957" s="25" t="str">
        <f aca="true">IF(OR(E957="",E957="!!!",F957="NEW"),"",COUNTBLANK(OFFSET(M$1,,,SUMPRODUCT(MAX(ROW(E$2:E942)*(E957=E$2:E942)))))-COUNTBLANK(OFFSET(M$1,,,SUMPRODUCT(MAX(ROW(Q$1:Q941)*(E957=Q$1:Q941))))))</f>
        <v/>
      </c>
      <c r="K957" s="25" t="str">
        <f aca="false">IF(OR(E957="",E957="!!!",F957="NEW"),"",INDEX(V$1:V941,SUMPRODUCT(MAX(ROW(Q$1:Q941)*(E957=Q$1:Q941)))))</f>
        <v/>
      </c>
      <c r="L957" s="26"/>
      <c r="M957" s="27"/>
      <c r="N957" s="29"/>
      <c r="O957" s="29"/>
      <c r="P957" s="29"/>
    </row>
    <row r="958" customFormat="false" ht="15" hidden="false" customHeight="false" outlineLevel="0" collapsed="false">
      <c r="A958" s="19" t="s">
        <v>691</v>
      </c>
      <c r="B958" s="28" t="s">
        <v>306</v>
      </c>
      <c r="C958" s="28" t="s">
        <v>314</v>
      </c>
      <c r="D958" s="28" t="s">
        <v>253</v>
      </c>
      <c r="E958" s="20" t="s">
        <v>692</v>
      </c>
      <c r="F958" s="21" t="str">
        <f aca="false">IF(OR(E958="",E958="!!!"),"",IF(NOT(ISNA(VLOOKUP(E958,Q$1:Q942,1,FALSE()))),"OLD",IF(AND(E958&lt;&gt;"",E958&lt;&gt;"!!!"),"NEW","")))</f>
        <v>NEW</v>
      </c>
      <c r="G958" s="22" t="s">
        <v>255</v>
      </c>
      <c r="H958" s="23" t="str">
        <f aca="false">IF(J958&lt;&gt;1,"",IF(I958="SBJ","CB","?"))</f>
        <v/>
      </c>
      <c r="I958" s="24" t="str">
        <f aca="false">IF(OR(E958="",E958="!!!",F958="NEW"),"",INDEX(N$2:N942,-1+SUMPRODUCT(MAX(ROW(E$2:E942)*(E958=E$2:E942)))))</f>
        <v/>
      </c>
      <c r="J958" s="25" t="str">
        <f aca="true">IF(OR(E958="",E958="!!!",F958="NEW"),"",COUNTBLANK(OFFSET(M$1,,,SUMPRODUCT(MAX(ROW(E$2:E943)*(E958=E$2:E943)))))-COUNTBLANK(OFFSET(M$1,,,SUMPRODUCT(MAX(ROW(Q$1:Q942)*(E958=Q$1:Q942))))))</f>
        <v/>
      </c>
      <c r="K958" s="25" t="str">
        <f aca="false">IF(OR(E958="",E958="!!!",F958="NEW"),"",INDEX(V$1:V942,SUMPRODUCT(MAX(ROW(Q$1:Q942)*(E958=Q$1:Q942)))))</f>
        <v/>
      </c>
      <c r="L958" s="26"/>
      <c r="M958" s="27"/>
      <c r="N958" s="29"/>
      <c r="O958" s="29"/>
      <c r="P958" s="29"/>
    </row>
    <row r="959" customFormat="false" ht="15" hidden="false" customHeight="false" outlineLevel="0" collapsed="false">
      <c r="A959" s="19" t="s">
        <v>275</v>
      </c>
      <c r="E959" s="20" t="str">
        <f aca="false">IF(P959="?OLD","!!!","")</f>
        <v/>
      </c>
      <c r="F959" s="21" t="str">
        <f aca="false">IF(OR(E959="",E959="!!!"),"",IF(NOT(ISNA(VLOOKUP(E959,Q$1:Q943,1,FALSE()))),"OLD",IF(AND(E959&lt;&gt;"",E959&lt;&gt;"!!!"),"NEW","")))</f>
        <v/>
      </c>
      <c r="G959" s="22" t="str">
        <f aca="false">IF(OR(E959="",E959="!!!"),"",IF(OR(J959=0,AND(J959=1,K959=1),AND(J959=1,I959="SBJ"),AND(J959=1,I959=0)),"?IN_FOCUS",IF(J959&lt;=2,"?ACTIVATED",IF(J959&lt;&gt;"","?FAMILIAR",IF(F959="NEW",IF(ISNA(VLOOKUP(E959,#REF!,1,FALSE())),"?TYPE_IDENTIFIABLE","?REFERENTIAL"),"_")))))</f>
        <v/>
      </c>
      <c r="H959" s="23" t="str">
        <f aca="false">IF(J959&lt;&gt;1,"",IF(I959="SBJ","CB","?"))</f>
        <v/>
      </c>
      <c r="I959" s="24" t="str">
        <f aca="false">IF(OR(E959="",E959="!!!",F959="NEW"),"",INDEX(N$2:N943,-1+SUMPRODUCT(MAX(ROW(E$2:E943)*(E959=E$2:E943)))))</f>
        <v/>
      </c>
      <c r="J959" s="25" t="str">
        <f aca="true">IF(OR(E959="",E959="!!!",F959="NEW"),"",COUNTBLANK(OFFSET(M$1,,,SUMPRODUCT(MAX(ROW(E$2:E944)*(E959=E$2:E944)))))-COUNTBLANK(OFFSET(M$1,,,SUMPRODUCT(MAX(ROW(Q$1:Q943)*(E959=Q$1:Q943))))))</f>
        <v/>
      </c>
      <c r="K959" s="25" t="str">
        <f aca="false">IF(OR(E959="",E959="!!!",F959="NEW"),"",INDEX(V$1:V943,SUMPRODUCT(MAX(ROW(Q$1:Q943)*(E959=Q$1:Q943)))))</f>
        <v/>
      </c>
      <c r="L959" s="26"/>
      <c r="M959" s="27"/>
    </row>
    <row r="960" customFormat="false" ht="15" hidden="false" customHeight="false" outlineLevel="0" collapsed="false">
      <c r="A960" s="19" t="s">
        <v>367</v>
      </c>
      <c r="E960" s="20" t="str">
        <f aca="false">IF(P960="?OLD","!!!","")</f>
        <v/>
      </c>
      <c r="F960" s="21" t="str">
        <f aca="false">IF(OR(E960="",E960="!!!"),"",IF(NOT(ISNA(VLOOKUP(E960,Q$1:Q944,1,FALSE()))),"OLD",IF(AND(E960&lt;&gt;"",E960&lt;&gt;"!!!"),"NEW","")))</f>
        <v/>
      </c>
      <c r="G960" s="22" t="str">
        <f aca="false">IF(OR(E960="",E960="!!!"),"",IF(OR(J960=0,AND(J960=1,K960=1),AND(J960=1,I960="SBJ"),AND(J960=1,I960=0)),"?IN_FOCUS",IF(J960&lt;=2,"?ACTIVATED",IF(J960&lt;&gt;"","?FAMILIAR",IF(F960="NEW",IF(ISNA(VLOOKUP(E960,#REF!,1,FALSE())),"?TYPE_IDENTIFIABLE","?REFERENTIAL"),"_")))))</f>
        <v/>
      </c>
      <c r="H960" s="23" t="str">
        <f aca="false">IF(J960&lt;&gt;1,"",IF(I960="SBJ","CB","?"))</f>
        <v/>
      </c>
      <c r="I960" s="24" t="str">
        <f aca="false">IF(OR(E960="",E960="!!!",F960="NEW"),"",INDEX(N$2:N944,-1+SUMPRODUCT(MAX(ROW(E$2:E944)*(E960=E$2:E944)))))</f>
        <v/>
      </c>
      <c r="J960" s="25" t="str">
        <f aca="true">IF(OR(E960="",E960="!!!",F960="NEW"),"",COUNTBLANK(OFFSET(M$1,,,SUMPRODUCT(MAX(ROW(E$2:E945)*(E960=E$2:E945)))))-COUNTBLANK(OFFSET(M$1,,,SUMPRODUCT(MAX(ROW(Q$1:Q944)*(E960=Q$1:Q944))))))</f>
        <v/>
      </c>
      <c r="K960" s="25" t="str">
        <f aca="false">IF(OR(E960="",E960="!!!",F960="NEW"),"",INDEX(V$1:V944,SUMPRODUCT(MAX(ROW(Q$1:Q944)*(E960=Q$1:Q944)))))</f>
        <v/>
      </c>
      <c r="L960" s="26"/>
      <c r="M960" s="27"/>
    </row>
    <row r="961" customFormat="false" ht="15" hidden="false" customHeight="false" outlineLevel="0" collapsed="false">
      <c r="A961" s="19" t="s">
        <v>475</v>
      </c>
      <c r="E961" s="20" t="str">
        <f aca="false">IF(P961="?OLD","!!!","")</f>
        <v/>
      </c>
      <c r="F961" s="21" t="str">
        <f aca="false">IF(OR(E961="",E961="!!!"),"",IF(NOT(ISNA(VLOOKUP(E961,Q$1:Q945,1,FALSE()))),"OLD",IF(AND(E961&lt;&gt;"",E961&lt;&gt;"!!!"),"NEW","")))</f>
        <v/>
      </c>
      <c r="G961" s="22" t="str">
        <f aca="false">IF(OR(E961="",E961="!!!"),"",IF(OR(J961=0,AND(J961=1,K961=1),AND(J961=1,I961="SBJ"),AND(J961=1,I961=0)),"?IN_FOCUS",IF(J961&lt;=2,"?ACTIVATED",IF(J961&lt;&gt;"","?FAMILIAR",IF(F961="NEW",IF(ISNA(VLOOKUP(E961,#REF!,1,FALSE())),"?TYPE_IDENTIFIABLE","?REFERENTIAL"),"_")))))</f>
        <v/>
      </c>
      <c r="H961" s="23" t="str">
        <f aca="false">IF(J961&lt;&gt;1,"",IF(I961="SBJ","CB","?"))</f>
        <v/>
      </c>
      <c r="I961" s="24" t="str">
        <f aca="false">IF(OR(E961="",E961="!!!",F961="NEW"),"",INDEX(N$2:N945,-1+SUMPRODUCT(MAX(ROW(E$2:E945)*(E961=E$2:E945)))))</f>
        <v/>
      </c>
      <c r="J961" s="25" t="str">
        <f aca="true">IF(OR(E961="",E961="!!!",F961="NEW"),"",COUNTBLANK(OFFSET(M$1,,,SUMPRODUCT(MAX(ROW(E$2:E946)*(E961=E$2:E946)))))-COUNTBLANK(OFFSET(M$1,,,SUMPRODUCT(MAX(ROW(Q$1:Q945)*(E961=Q$1:Q945))))))</f>
        <v/>
      </c>
      <c r="K961" s="25" t="str">
        <f aca="false">IF(OR(E961="",E961="!!!",F961="NEW"),"",INDEX(V$1:V945,SUMPRODUCT(MAX(ROW(Q$1:Q945)*(E961=Q$1:Q945)))))</f>
        <v/>
      </c>
      <c r="L961" s="26"/>
    </row>
    <row r="962" customFormat="false" ht="15" hidden="false" customHeight="false" outlineLevel="0" collapsed="false">
      <c r="A962" s="19"/>
      <c r="E962" s="20" t="str">
        <f aca="false">IF(P962="?OLD","!!!","")</f>
        <v/>
      </c>
      <c r="F962" s="21" t="str">
        <f aca="false">IF(OR(E962="",E962="!!!"),"",IF(NOT(ISNA(VLOOKUP(E962,Q$1:Q946,1,FALSE()))),"OLD",IF(AND(E962&lt;&gt;"",E962&lt;&gt;"!!!"),"NEW","")))</f>
        <v/>
      </c>
      <c r="G962" s="22" t="str">
        <f aca="false">IF(OR(E962="",E962="!!!"),"",IF(OR(J962=0,AND(J962=1,K962=1),AND(J962=1,I962="SBJ"),AND(J962=1,I962=0)),"?IN_FOCUS",IF(J962&lt;=2,"?ACTIVATED",IF(J962&lt;&gt;"","?FAMILIAR",IF(F962="NEW",IF(ISNA(VLOOKUP(E962,#REF!,1,FALSE())),"?TYPE_IDENTIFIABLE","?REFERENTIAL"),"_")))))</f>
        <v/>
      </c>
      <c r="H962" s="23" t="str">
        <f aca="false">IF(J962&lt;&gt;1,"",IF(I962="SBJ","CB","?"))</f>
        <v/>
      </c>
      <c r="I962" s="24" t="str">
        <f aca="false">IF(OR(E962="",E962="!!!",F962="NEW"),"",INDEX(N$2:N946,-1+SUMPRODUCT(MAX(ROW(E$2:E946)*(E962=E$2:E946)))))</f>
        <v/>
      </c>
      <c r="J962" s="25" t="str">
        <f aca="true">IF(OR(E962="",E962="!!!",F962="NEW"),"",COUNTBLANK(OFFSET(M$1,,,SUMPRODUCT(MAX(ROW(E$2:E947)*(E962=E$2:E947)))))-COUNTBLANK(OFFSET(M$1,,,SUMPRODUCT(MAX(ROW(Q$1:Q946)*(E962=Q$1:Q946))))))</f>
        <v/>
      </c>
      <c r="K962" s="25" t="str">
        <f aca="false">IF(OR(E962="",E962="!!!",F962="NEW"),"",INDEX(V$1:V946,SUMPRODUCT(MAX(ROW(Q$1:Q946)*(E962=Q$1:Q946)))))</f>
        <v/>
      </c>
      <c r="L962" s="26"/>
      <c r="M962" s="27"/>
    </row>
    <row r="963" customFormat="false" ht="15" hidden="false" customHeight="false" outlineLevel="0" collapsed="false">
      <c r="A963" s="19" t="s">
        <v>362</v>
      </c>
    </row>
    <row r="964" customFormat="false" ht="15" hidden="false" customHeight="false" outlineLevel="0" collapsed="false">
      <c r="A964" s="19" t="s">
        <v>693</v>
      </c>
      <c r="E964" s="20" t="str">
        <f aca="false">IF(P964="?OLD","!!!","")</f>
        <v/>
      </c>
      <c r="F964" s="21" t="str">
        <f aca="false">IF(OR(E964="",E964="!!!"),"",IF(NOT(ISNA(VLOOKUP(E964,Q$1:Q947,1,FALSE()))),"OLD",IF(AND(E964&lt;&gt;"",E964&lt;&gt;"!!!"),"NEW","")))</f>
        <v/>
      </c>
      <c r="G964" s="22" t="str">
        <f aca="false">IF(OR(E964="",E964="!!!"),"",IF(OR(J964=0,AND(J964=1,K964=1),AND(J964=1,I964="SBJ"),AND(J964=1,I964=0)),"?IN_FOCUS",IF(J964&lt;=2,"?ACTIVATED",IF(J964&lt;&gt;"","?FAMILIAR",IF(F964="NEW",IF(ISNA(VLOOKUP(E964,#REF!,1,FALSE())),"?TYPE_IDENTIFIABLE","?REFERENTIAL"),"_")))))</f>
        <v/>
      </c>
      <c r="H964" s="23" t="str">
        <f aca="false">IF(J964&lt;&gt;1,"",IF(I964="SBJ","CB","?"))</f>
        <v/>
      </c>
      <c r="I964" s="24" t="str">
        <f aca="false">IF(OR(E964="",E964="!!!",F964="NEW"),"",INDEX(N$2:N947,-1+SUMPRODUCT(MAX(ROW(E$2:E947)*(E964=E$2:E947)))))</f>
        <v/>
      </c>
      <c r="J964" s="25" t="str">
        <f aca="true">IF(OR(E964="",E964="!!!",F964="NEW"),"",COUNTBLANK(OFFSET(M$1,,,SUMPRODUCT(MAX(ROW(E$2:E948)*(E964=E$2:E948)))))-COUNTBLANK(OFFSET(M$1,,,SUMPRODUCT(MAX(ROW(Q$1:Q947)*(E964=Q$1:Q947))))))</f>
        <v/>
      </c>
      <c r="K964" s="25" t="str">
        <f aca="false">IF(OR(E964="",E964="!!!",F964="NEW"),"",INDEX(V$1:V947,SUMPRODUCT(MAX(ROW(Q$1:Q947)*(E964=Q$1:Q947)))))</f>
        <v/>
      </c>
      <c r="L964" s="26"/>
      <c r="M964" s="27"/>
    </row>
    <row r="965" customFormat="false" ht="15" hidden="false" customHeight="false" outlineLevel="0" collapsed="false">
      <c r="A965" s="19" t="s">
        <v>367</v>
      </c>
      <c r="E965" s="20" t="str">
        <f aca="false">IF(P965="?OLD","!!!","")</f>
        <v/>
      </c>
      <c r="F965" s="21" t="str">
        <f aca="false">IF(OR(E965="",E965="!!!"),"",IF(NOT(ISNA(VLOOKUP(E965,Q$1:Q948,1,FALSE()))),"OLD",IF(AND(E965&lt;&gt;"",E965&lt;&gt;"!!!"),"NEW","")))</f>
        <v/>
      </c>
      <c r="G965" s="22" t="str">
        <f aca="false">IF(OR(E965="",E965="!!!"),"",IF(OR(J965=0,AND(J965=1,K965=1),AND(J965=1,I965="SBJ"),AND(J965=1,I965=0)),"?IN_FOCUS",IF(J965&lt;=2,"?ACTIVATED",IF(J965&lt;&gt;"","?FAMILIAR",IF(F965="NEW",IF(ISNA(VLOOKUP(E965,#REF!,1,FALSE())),"?TYPE_IDENTIFIABLE","?REFERENTIAL"),"_")))))</f>
        <v/>
      </c>
      <c r="H965" s="23" t="str">
        <f aca="false">IF(J965&lt;&gt;1,"",IF(I965="SBJ","CB","?"))</f>
        <v/>
      </c>
      <c r="I965" s="24" t="str">
        <f aca="false">IF(OR(E965="",E965="!!!",F965="NEW"),"",INDEX(N$2:N948,-1+SUMPRODUCT(MAX(ROW(E$2:E948)*(E965=E$2:E948)))))</f>
        <v/>
      </c>
      <c r="J965" s="25" t="str">
        <f aca="true">IF(OR(E965="",E965="!!!",F965="NEW"),"",COUNTBLANK(OFFSET(M$1,,,SUMPRODUCT(MAX(ROW(E$2:E949)*(E965=E$2:E949)))))-COUNTBLANK(OFFSET(M$1,,,SUMPRODUCT(MAX(ROW(Q$1:Q948)*(E965=Q$1:Q948))))))</f>
        <v/>
      </c>
      <c r="K965" s="25" t="str">
        <f aca="false">IF(OR(E965="",E965="!!!",F965="NEW"),"",INDEX(V$1:V948,SUMPRODUCT(MAX(ROW(Q$1:Q948)*(E965=Q$1:Q948)))))</f>
        <v/>
      </c>
      <c r="L965" s="26"/>
      <c r="M965" s="27"/>
    </row>
    <row r="966" customFormat="false" ht="15" hidden="false" customHeight="false" outlineLevel="0" collapsed="false">
      <c r="A966" s="19" t="s">
        <v>694</v>
      </c>
      <c r="E966" s="20" t="str">
        <f aca="false">IF(P966="?OLD","!!!","")</f>
        <v/>
      </c>
      <c r="F966" s="21" t="str">
        <f aca="false">IF(OR(E966="",E966="!!!"),"",IF(NOT(ISNA(VLOOKUP(E966,Q$1:Q949,1,FALSE()))),"OLD",IF(AND(E966&lt;&gt;"",E966&lt;&gt;"!!!"),"NEW","")))</f>
        <v/>
      </c>
      <c r="G966" s="22" t="str">
        <f aca="false">IF(OR(E966="",E966="!!!"),"",IF(OR(J966=0,AND(J966=1,K966=1),AND(J966=1,I966="SBJ"),AND(J966=1,I966=0)),"?IN_FOCUS",IF(J966&lt;=2,"?ACTIVATED",IF(J966&lt;&gt;"","?FAMILIAR",IF(F966="NEW",IF(ISNA(VLOOKUP(E966,#REF!,1,FALSE())),"?TYPE_IDENTIFIABLE","?REFERENTIAL"),"_")))))</f>
        <v/>
      </c>
      <c r="H966" s="23" t="str">
        <f aca="false">IF(J966&lt;&gt;1,"",IF(I966="SBJ","CB","?"))</f>
        <v/>
      </c>
      <c r="I966" s="24" t="str">
        <f aca="false">IF(OR(E966="",E966="!!!",F966="NEW"),"",INDEX(N$2:N949,-1+SUMPRODUCT(MAX(ROW(E$2:E949)*(E966=E$2:E949)))))</f>
        <v/>
      </c>
      <c r="J966" s="25" t="str">
        <f aca="true">IF(OR(E966="",E966="!!!",F966="NEW"),"",COUNTBLANK(OFFSET(M$1,,,SUMPRODUCT(MAX(ROW(E$2:E950)*(E966=E$2:E950)))))-COUNTBLANK(OFFSET(M$1,,,SUMPRODUCT(MAX(ROW(Q$1:Q949)*(E966=Q$1:Q949))))))</f>
        <v/>
      </c>
      <c r="K966" s="25" t="str">
        <f aca="false">IF(OR(E966="",E966="!!!",F966="NEW"),"",INDEX(V$1:V949,SUMPRODUCT(MAX(ROW(Q$1:Q949)*(E966=Q$1:Q949)))))</f>
        <v/>
      </c>
      <c r="L966" s="26"/>
      <c r="M966" s="27"/>
    </row>
    <row r="967" customFormat="false" ht="15" hidden="false" customHeight="false" outlineLevel="0" collapsed="false">
      <c r="A967" s="19" t="s">
        <v>218</v>
      </c>
      <c r="E967" s="20" t="str">
        <f aca="false">IF(P967="?OLD","!!!","")</f>
        <v/>
      </c>
      <c r="F967" s="21" t="str">
        <f aca="false">IF(OR(E967="",E967="!!!"),"",IF(NOT(ISNA(VLOOKUP(E967,Q$1:Q950,1,FALSE()))),"OLD",IF(AND(E967&lt;&gt;"",E967&lt;&gt;"!!!"),"NEW","")))</f>
        <v/>
      </c>
      <c r="G967" s="22" t="str">
        <f aca="false">IF(OR(E967="",E967="!!!"),"",IF(OR(J967=0,AND(J967=1,K967=1),AND(J967=1,I967="SBJ"),AND(J967=1,I967=0)),"?IN_FOCUS",IF(J967&lt;=2,"?ACTIVATED",IF(J967&lt;&gt;"","?FAMILIAR",IF(F967="NEW",IF(ISNA(VLOOKUP(E967,#REF!,1,FALSE())),"?TYPE_IDENTIFIABLE","?REFERENTIAL"),"_")))))</f>
        <v/>
      </c>
      <c r="H967" s="23" t="str">
        <f aca="false">IF(J967&lt;&gt;1,"",IF(I967="SBJ","CB","?"))</f>
        <v/>
      </c>
      <c r="I967" s="24" t="str">
        <f aca="false">IF(OR(E967="",E967="!!!",F967="NEW"),"",INDEX(N$2:N950,-1+SUMPRODUCT(MAX(ROW(E$2:E950)*(E967=E$2:E950)))))</f>
        <v/>
      </c>
      <c r="J967" s="25" t="str">
        <f aca="true">IF(OR(E967="",E967="!!!",F967="NEW"),"",COUNTBLANK(OFFSET(M$1,,,SUMPRODUCT(MAX(ROW(E$2:E951)*(E967=E$2:E951)))))-COUNTBLANK(OFFSET(M$1,,,SUMPRODUCT(MAX(ROW(Q$1:Q950)*(E967=Q$1:Q950))))))</f>
        <v/>
      </c>
      <c r="K967" s="25" t="str">
        <f aca="false">IF(OR(E967="",E967="!!!",F967="NEW"),"",INDEX(V$1:V950,SUMPRODUCT(MAX(ROW(Q$1:Q950)*(E967=Q$1:Q950)))))</f>
        <v/>
      </c>
      <c r="L967" s="26"/>
      <c r="M967" s="27"/>
    </row>
    <row r="968" customFormat="false" ht="15" hidden="false" customHeight="false" outlineLevel="0" collapsed="false">
      <c r="A968" s="19" t="s">
        <v>250</v>
      </c>
      <c r="E968" s="20" t="str">
        <f aca="false">IF(P968="?OLD","!!!","")</f>
        <v/>
      </c>
      <c r="F968" s="21" t="str">
        <f aca="false">IF(OR(E968="",E968="!!!"),"",IF(NOT(ISNA(VLOOKUP(E968,Q$1:Q951,1,FALSE()))),"OLD",IF(AND(E968&lt;&gt;"",E968&lt;&gt;"!!!"),"NEW","")))</f>
        <v/>
      </c>
      <c r="G968" s="22" t="str">
        <f aca="false">IF(OR(E968="",E968="!!!"),"",IF(OR(J968=0,AND(J968=1,K968=1),AND(J968=1,I968="SBJ"),AND(J968=1,I968=0)),"?IN_FOCUS",IF(J968&lt;=2,"?ACTIVATED",IF(J968&lt;&gt;"","?FAMILIAR",IF(F968="NEW",IF(ISNA(VLOOKUP(E968,#REF!,1,FALSE())),"?TYPE_IDENTIFIABLE","?REFERENTIAL"),"_")))))</f>
        <v/>
      </c>
      <c r="H968" s="23" t="str">
        <f aca="false">IF(J968&lt;&gt;1,"",IF(I968="SBJ","CB","?"))</f>
        <v/>
      </c>
      <c r="I968" s="24" t="str">
        <f aca="false">IF(OR(E968="",E968="!!!",F968="NEW"),"",INDEX(N$2:N951,-1+SUMPRODUCT(MAX(ROW(E$2:E951)*(E968=E$2:E951)))))</f>
        <v/>
      </c>
      <c r="J968" s="25" t="str">
        <f aca="true">IF(OR(E968="",E968="!!!",F968="NEW"),"",COUNTBLANK(OFFSET(M$1,,,SUMPRODUCT(MAX(ROW(E$2:E952)*(E968=E$2:E952)))))-COUNTBLANK(OFFSET(M$1,,,SUMPRODUCT(MAX(ROW(Q$1:Q951)*(E968=Q$1:Q951))))))</f>
        <v/>
      </c>
      <c r="K968" s="25" t="str">
        <f aca="false">IF(OR(E968="",E968="!!!",F968="NEW"),"",INDEX(V$1:V951,SUMPRODUCT(MAX(ROW(Q$1:Q951)*(E968=Q$1:Q951)))))</f>
        <v/>
      </c>
      <c r="L968" s="26"/>
      <c r="M968" s="27"/>
    </row>
    <row r="969" customFormat="false" ht="15" hidden="false" customHeight="false" outlineLevel="0" collapsed="false">
      <c r="A969" s="19" t="s">
        <v>298</v>
      </c>
      <c r="B969" s="28" t="s">
        <v>380</v>
      </c>
      <c r="C969" s="28" t="s">
        <v>314</v>
      </c>
      <c r="D969" s="28" t="s">
        <v>253</v>
      </c>
      <c r="E969" s="20" t="s">
        <v>299</v>
      </c>
      <c r="F969" s="21" t="str">
        <f aca="false">IF(OR(E969="",E969="!!!"),"",IF(NOT(ISNA(VLOOKUP(E969,Q$1:Q952,1,FALSE()))),"OLD",IF(AND(E969&lt;&gt;"",E969&lt;&gt;"!!!"),"NEW","")))</f>
        <v>NEW</v>
      </c>
      <c r="G969" s="22" t="s">
        <v>283</v>
      </c>
      <c r="H969" s="23" t="str">
        <f aca="false">IF(J969&lt;&gt;1,"",IF(I969="SBJ","CB","?"))</f>
        <v/>
      </c>
      <c r="I969" s="24" t="str">
        <f aca="false">IF(OR(E969="",E969="!!!",F969="NEW"),"",INDEX(N$2:N952,-1+SUMPRODUCT(MAX(ROW(E$2:E952)*(E969=E$2:E952)))))</f>
        <v/>
      </c>
      <c r="J969" s="25" t="str">
        <f aca="true">IF(OR(E969="",E969="!!!",F969="NEW"),"",COUNTBLANK(OFFSET(M$1,,,SUMPRODUCT(MAX(ROW(E$2:E953)*(E969=E$2:E953)))))-COUNTBLANK(OFFSET(M$1,,,SUMPRODUCT(MAX(ROW(Q$1:Q952)*(E969=Q$1:Q952))))))</f>
        <v/>
      </c>
      <c r="K969" s="25" t="str">
        <f aca="false">IF(OR(E969="",E969="!!!",F969="NEW"),"",INDEX(V$1:V952,SUMPRODUCT(MAX(ROW(Q$1:Q952)*(E969=Q$1:Q952)))))</f>
        <v/>
      </c>
      <c r="L969" s="26"/>
      <c r="M969" s="27"/>
      <c r="N969" s="29"/>
      <c r="O969" s="29"/>
      <c r="P969" s="29"/>
    </row>
    <row r="970" customFormat="false" ht="15" hidden="false" customHeight="false" outlineLevel="0" collapsed="false">
      <c r="A970" s="19" t="s">
        <v>256</v>
      </c>
      <c r="E970" s="20" t="str">
        <f aca="false">IF(P970="?OLD","!!!","")</f>
        <v/>
      </c>
      <c r="F970" s="21" t="str">
        <f aca="false">IF(OR(E970="",E970="!!!"),"",IF(NOT(ISNA(VLOOKUP(E970,Q$1:Q953,1,FALSE()))),"OLD",IF(AND(E970&lt;&gt;"",E970&lt;&gt;"!!!"),"NEW","")))</f>
        <v/>
      </c>
      <c r="G970" s="22" t="str">
        <f aca="false">IF(OR(E970="",E970="!!!"),"",IF(OR(J970=0,AND(J970=1,K970=1),AND(J970=1,I970="SBJ"),AND(J970=1,I970=0)),"?IN_FOCUS",IF(J970&lt;=2,"?ACTIVATED",IF(J970&lt;&gt;"","?FAMILIAR",IF(F970="NEW",IF(ISNA(VLOOKUP(E970,#REF!,1,FALSE())),"?TYPE_IDENTIFIABLE","?REFERENTIAL"),"_")))))</f>
        <v/>
      </c>
      <c r="H970" s="23" t="str">
        <f aca="false">IF(J970&lt;&gt;1,"",IF(I970="SBJ","CB","?"))</f>
        <v/>
      </c>
      <c r="I970" s="24" t="str">
        <f aca="false">IF(OR(E970="",E970="!!!",F970="NEW"),"",INDEX(N$2:N953,-1+SUMPRODUCT(MAX(ROW(E$2:E953)*(E970=E$2:E953)))))</f>
        <v/>
      </c>
      <c r="J970" s="25" t="str">
        <f aca="true">IF(OR(E970="",E970="!!!",F970="NEW"),"",COUNTBLANK(OFFSET(M$1,,,SUMPRODUCT(MAX(ROW(E$2:E954)*(E970=E$2:E954)))))-COUNTBLANK(OFFSET(M$1,,,SUMPRODUCT(MAX(ROW(Q$1:Q953)*(E970=Q$1:Q953))))))</f>
        <v/>
      </c>
      <c r="K970" s="25" t="str">
        <f aca="false">IF(OR(E970="",E970="!!!",F970="NEW"),"",INDEX(V$1:V953,SUMPRODUCT(MAX(ROW(Q$1:Q953)*(E970=Q$1:Q953)))))</f>
        <v/>
      </c>
      <c r="L970" s="26"/>
      <c r="M970" s="27"/>
    </row>
    <row r="971" customFormat="false" ht="15" hidden="false" customHeight="false" outlineLevel="0" collapsed="false">
      <c r="A971" s="19" t="s">
        <v>544</v>
      </c>
      <c r="B971" s="28" t="s">
        <v>306</v>
      </c>
      <c r="C971" s="28" t="s">
        <v>333</v>
      </c>
      <c r="D971" s="28" t="s">
        <v>253</v>
      </c>
      <c r="E971" s="20" t="s">
        <v>544</v>
      </c>
      <c r="F971" s="21" t="str">
        <f aca="false">IF(OR(E971="",E971="!!!"),"",IF(NOT(ISNA(VLOOKUP(E971,Q$1:Q954,1,FALSE()))),"OLD",IF(AND(E971&lt;&gt;"",E971&lt;&gt;"!!!"),"NEW","")))</f>
        <v>NEW</v>
      </c>
      <c r="G971" s="22" t="s">
        <v>283</v>
      </c>
      <c r="H971" s="23" t="str">
        <f aca="false">IF(J971&lt;&gt;1,"",IF(I971="SBJ","CB","?"))</f>
        <v/>
      </c>
      <c r="I971" s="24" t="str">
        <f aca="false">IF(OR(E971="",E971="!!!",F971="NEW"),"",INDEX(N$2:N954,-1+SUMPRODUCT(MAX(ROW(E$2:E954)*(E971=E$2:E954)))))</f>
        <v/>
      </c>
      <c r="J971" s="25" t="str">
        <f aca="true">IF(OR(E971="",E971="!!!",F971="NEW"),"",COUNTBLANK(OFFSET(M$1,,,SUMPRODUCT(MAX(ROW(E$2:E955)*(E971=E$2:E955)))))-COUNTBLANK(OFFSET(M$1,,,SUMPRODUCT(MAX(ROW(Q$1:Q954)*(E971=Q$1:Q954))))))</f>
        <v/>
      </c>
      <c r="K971" s="25" t="str">
        <f aca="false">IF(OR(E971="",E971="!!!",F971="NEW"),"",INDEX(V$1:V954,SUMPRODUCT(MAX(ROW(Q$1:Q954)*(E971=Q$1:Q954)))))</f>
        <v/>
      </c>
      <c r="L971" s="26"/>
      <c r="M971" s="27"/>
      <c r="N971" s="29"/>
      <c r="O971" s="29"/>
      <c r="P971" s="29"/>
    </row>
    <row r="972" customFormat="false" ht="15" hidden="false" customHeight="false" outlineLevel="0" collapsed="false">
      <c r="A972" s="19" t="s">
        <v>670</v>
      </c>
      <c r="E972" s="20" t="str">
        <f aca="false">IF(P972="?OLD","!!!","")</f>
        <v/>
      </c>
      <c r="F972" s="21" t="str">
        <f aca="false">IF(OR(E972="",E972="!!!"),"",IF(NOT(ISNA(VLOOKUP(E972,Q$1:Q955,1,FALSE()))),"OLD",IF(AND(E972&lt;&gt;"",E972&lt;&gt;"!!!"),"NEW","")))</f>
        <v/>
      </c>
      <c r="G972" s="22" t="str">
        <f aca="false">IF(OR(E972="",E972="!!!"),"",IF(OR(J972=0,AND(J972=1,K972=1),AND(J972=1,I972="SBJ"),AND(J972=1,I972=0)),"?IN_FOCUS",IF(J972&lt;=2,"?ACTIVATED",IF(J972&lt;&gt;"","?FAMILIAR",IF(F972="NEW",IF(ISNA(VLOOKUP(E972,#REF!,1,FALSE())),"?TYPE_IDENTIFIABLE","?REFERENTIAL"),"_")))))</f>
        <v/>
      </c>
      <c r="H972" s="23" t="str">
        <f aca="false">IF(J972&lt;&gt;1,"",IF(I972="SBJ","CB","?"))</f>
        <v/>
      </c>
      <c r="I972" s="24" t="str">
        <f aca="false">IF(OR(E972="",E972="!!!",F972="NEW"),"",INDEX(N$2:N955,-1+SUMPRODUCT(MAX(ROW(E$2:E955)*(E972=E$2:E955)))))</f>
        <v/>
      </c>
      <c r="J972" s="25" t="str">
        <f aca="true">IF(OR(E972="",E972="!!!",F972="NEW"),"",COUNTBLANK(OFFSET(M$1,,,SUMPRODUCT(MAX(ROW(E$2:E956)*(E972=E$2:E956)))))-COUNTBLANK(OFFSET(M$1,,,SUMPRODUCT(MAX(ROW(Q$1:Q955)*(E972=Q$1:Q955))))))</f>
        <v/>
      </c>
      <c r="K972" s="25" t="str">
        <f aca="false">IF(OR(E972="",E972="!!!",F972="NEW"),"",INDEX(V$1:V955,SUMPRODUCT(MAX(ROW(Q$1:Q955)*(E972=Q$1:Q955)))))</f>
        <v/>
      </c>
      <c r="L972" s="26"/>
      <c r="M972" s="27"/>
    </row>
    <row r="973" customFormat="false" ht="15" hidden="false" customHeight="false" outlineLevel="0" collapsed="false">
      <c r="A973" s="19" t="s">
        <v>149</v>
      </c>
      <c r="E973" s="20" t="str">
        <f aca="false">IF(P973="?OLD","!!!","")</f>
        <v/>
      </c>
      <c r="F973" s="21" t="str">
        <f aca="false">IF(OR(E973="",E973="!!!"),"",IF(NOT(ISNA(VLOOKUP(E973,Q$1:Q956,1,FALSE()))),"OLD",IF(AND(E973&lt;&gt;"",E973&lt;&gt;"!!!"),"NEW","")))</f>
        <v/>
      </c>
      <c r="G973" s="22" t="str">
        <f aca="false">IF(OR(E973="",E973="!!!"),"",IF(OR(J973=0,AND(J973=1,K973=1),AND(J973=1,I973="SBJ"),AND(J973=1,I973=0)),"?IN_FOCUS",IF(J973&lt;=2,"?ACTIVATED",IF(J973&lt;&gt;"","?FAMILIAR",IF(F973="NEW",IF(ISNA(VLOOKUP(E973,#REF!,1,FALSE())),"?TYPE_IDENTIFIABLE","?REFERENTIAL"),"_")))))</f>
        <v/>
      </c>
      <c r="H973" s="23" t="str">
        <f aca="false">IF(J973&lt;&gt;1,"",IF(I973="SBJ","CB","?"))</f>
        <v/>
      </c>
      <c r="I973" s="24" t="str">
        <f aca="false">IF(OR(E973="",E973="!!!",F973="NEW"),"",INDEX(N$2:N956,-1+SUMPRODUCT(MAX(ROW(E$2:E956)*(E973=E$2:E956)))))</f>
        <v/>
      </c>
      <c r="J973" s="25" t="str">
        <f aca="true">IF(OR(E973="",E973="!!!",F973="NEW"),"",COUNTBLANK(OFFSET(M$1,,,SUMPRODUCT(MAX(ROW(E$2:E957)*(E973=E$2:E957)))))-COUNTBLANK(OFFSET(M$1,,,SUMPRODUCT(MAX(ROW(Q$1:Q956)*(E973=Q$1:Q956))))))</f>
        <v/>
      </c>
      <c r="K973" s="25" t="str">
        <f aca="false">IF(OR(E973="",E973="!!!",F973="NEW"),"",INDEX(V$1:V956,SUMPRODUCT(MAX(ROW(Q$1:Q956)*(E973=Q$1:Q956)))))</f>
        <v/>
      </c>
      <c r="L973" s="26"/>
      <c r="M973" s="27"/>
    </row>
    <row r="974" customFormat="false" ht="15" hidden="false" customHeight="false" outlineLevel="0" collapsed="false">
      <c r="A974" s="19" t="s">
        <v>695</v>
      </c>
      <c r="E974" s="20" t="str">
        <f aca="false">IF(P974="?OLD","!!!","")</f>
        <v/>
      </c>
      <c r="F974" s="21" t="str">
        <f aca="false">IF(OR(E974="",E974="!!!"),"",IF(NOT(ISNA(VLOOKUP(E974,Q$1:Q957,1,FALSE()))),"OLD",IF(AND(E974&lt;&gt;"",E974&lt;&gt;"!!!"),"NEW","")))</f>
        <v/>
      </c>
      <c r="G974" s="22" t="str">
        <f aca="false">IF(OR(E974="",E974="!!!"),"",IF(OR(J974=0,AND(J974=1,K974=1),AND(J974=1,I974="SBJ"),AND(J974=1,I974=0)),"?IN_FOCUS",IF(J974&lt;=2,"?ACTIVATED",IF(J974&lt;&gt;"","?FAMILIAR",IF(F974="NEW",IF(ISNA(VLOOKUP(E974,#REF!,1,FALSE())),"?TYPE_IDENTIFIABLE","?REFERENTIAL"),"_")))))</f>
        <v/>
      </c>
      <c r="H974" s="23" t="str">
        <f aca="false">IF(J974&lt;&gt;1,"",IF(I974="SBJ","CB","?"))</f>
        <v/>
      </c>
      <c r="I974" s="24" t="str">
        <f aca="false">IF(OR(E974="",E974="!!!",F974="NEW"),"",INDEX(N$2:N957,-1+SUMPRODUCT(MAX(ROW(E$2:E957)*(E974=E$2:E957)))))</f>
        <v/>
      </c>
      <c r="J974" s="25" t="str">
        <f aca="true">IF(OR(E974="",E974="!!!",F974="NEW"),"",COUNTBLANK(OFFSET(M$1,,,SUMPRODUCT(MAX(ROW(E$2:E958)*(E974=E$2:E958)))))-COUNTBLANK(OFFSET(M$1,,,SUMPRODUCT(MAX(ROW(Q$1:Q957)*(E974=Q$1:Q957))))))</f>
        <v/>
      </c>
      <c r="K974" s="25" t="str">
        <f aca="false">IF(OR(E974="",E974="!!!",F974="NEW"),"",INDEX(V$1:V957,SUMPRODUCT(MAX(ROW(Q$1:Q957)*(E974=Q$1:Q957)))))</f>
        <v/>
      </c>
      <c r="L974" s="26"/>
      <c r="M974" s="27"/>
    </row>
    <row r="975" customFormat="false" ht="15" hidden="false" customHeight="false" outlineLevel="0" collapsed="false">
      <c r="A975" s="19" t="s">
        <v>482</v>
      </c>
      <c r="E975" s="20" t="str">
        <f aca="false">IF(P975="?OLD","!!!","")</f>
        <v/>
      </c>
      <c r="F975" s="21" t="str">
        <f aca="false">IF(OR(E975="",E975="!!!"),"",IF(NOT(ISNA(VLOOKUP(E975,Q$1:Q958,1,FALSE()))),"OLD",IF(AND(E975&lt;&gt;"",E975&lt;&gt;"!!!"),"NEW","")))</f>
        <v/>
      </c>
      <c r="G975" s="22" t="str">
        <f aca="false">IF(OR(E975="",E975="!!!"),"",IF(OR(J975=0,AND(J975=1,K975=1),AND(J975=1,I975="SBJ"),AND(J975=1,I975=0)),"?IN_FOCUS",IF(J975&lt;=2,"?ACTIVATED",IF(J975&lt;&gt;"","?FAMILIAR",IF(F975="NEW",IF(ISNA(VLOOKUP(E975,#REF!,1,FALSE())),"?TYPE_IDENTIFIABLE","?REFERENTIAL"),"_")))))</f>
        <v/>
      </c>
      <c r="H975" s="23" t="str">
        <f aca="false">IF(J975&lt;&gt;1,"",IF(I975="SBJ","CB","?"))</f>
        <v/>
      </c>
      <c r="I975" s="24" t="str">
        <f aca="false">IF(OR(E975="",E975="!!!",F975="NEW"),"",INDEX(N$2:N958,-1+SUMPRODUCT(MAX(ROW(E$2:E958)*(E975=E$2:E958)))))</f>
        <v/>
      </c>
      <c r="J975" s="25" t="str">
        <f aca="true">IF(OR(E975="",E975="!!!",F975="NEW"),"",COUNTBLANK(OFFSET(M$1,,,SUMPRODUCT(MAX(ROW(E$2:E959)*(E975=E$2:E959)))))-COUNTBLANK(OFFSET(M$1,,,SUMPRODUCT(MAX(ROW(Q$1:Q958)*(E975=Q$1:Q958))))))</f>
        <v/>
      </c>
      <c r="K975" s="25" t="str">
        <f aca="false">IF(OR(E975="",E975="!!!",F975="NEW"),"",INDEX(V$1:V958,SUMPRODUCT(MAX(ROW(Q$1:Q958)*(E975=Q$1:Q958)))))</f>
        <v/>
      </c>
      <c r="L975" s="26"/>
      <c r="M975" s="27"/>
    </row>
    <row r="976" customFormat="false" ht="15" hidden="false" customHeight="false" outlineLevel="0" collapsed="false">
      <c r="A976" s="19" t="s">
        <v>413</v>
      </c>
      <c r="B976" s="28" t="s">
        <v>324</v>
      </c>
      <c r="C976" s="28" t="s">
        <v>333</v>
      </c>
      <c r="D976" s="28" t="s">
        <v>253</v>
      </c>
      <c r="E976" s="20" t="s">
        <v>413</v>
      </c>
      <c r="F976" s="21" t="str">
        <f aca="false">IF(OR(E976="",E976="!!!"),"",IF(NOT(ISNA(VLOOKUP(E976,Q$1:Q959,1,FALSE()))),"OLD",IF(AND(E976&lt;&gt;"",E976&lt;&gt;"!!!"),"NEW","")))</f>
        <v>NEW</v>
      </c>
      <c r="G976" s="22" t="s">
        <v>266</v>
      </c>
      <c r="H976" s="23" t="s">
        <v>243</v>
      </c>
      <c r="I976" s="24" t="str">
        <f aca="false">IF(OR(E976="",E976="!!!",F976="NEW"),"",INDEX(N$2:N959,-1+SUMPRODUCT(MAX(ROW(E$2:E959)*(E976=E$2:E959)))))</f>
        <v/>
      </c>
      <c r="J976" s="25" t="str">
        <f aca="true">IF(OR(E976="",E976="!!!",F976="NEW"),"",COUNTBLANK(OFFSET(M$1,,,SUMPRODUCT(MAX(ROW(E$2:E960)*(E976=E$2:E960)))))-COUNTBLANK(OFFSET(M$1,,,SUMPRODUCT(MAX(ROW(Q$1:Q959)*(E976=Q$1:Q959))))))</f>
        <v/>
      </c>
      <c r="K976" s="25" t="str">
        <f aca="false">IF(OR(E976="",E976="!!!",F976="NEW"),"",INDEX(V$1:V959,SUMPRODUCT(MAX(ROW(Q$1:Q959)*(E976=Q$1:Q959)))))</f>
        <v/>
      </c>
      <c r="L976" s="26"/>
      <c r="M976" s="27"/>
      <c r="N976" s="29"/>
      <c r="O976" s="29"/>
      <c r="P976" s="29"/>
    </row>
    <row r="977" customFormat="false" ht="15" hidden="false" customHeight="false" outlineLevel="0" collapsed="false">
      <c r="A977" s="19" t="s">
        <v>468</v>
      </c>
      <c r="E977" s="20" t="str">
        <f aca="false">IF(P977="?OLD","!!!","")</f>
        <v/>
      </c>
      <c r="F977" s="21" t="str">
        <f aca="false">IF(OR(E977="",E977="!!!"),"",IF(NOT(ISNA(VLOOKUP(E977,Q$1:Q960,1,FALSE()))),"OLD",IF(AND(E977&lt;&gt;"",E977&lt;&gt;"!!!"),"NEW","")))</f>
        <v/>
      </c>
      <c r="G977" s="22" t="str">
        <f aca="false">IF(OR(E977="",E977="!!!"),"",IF(OR(J977=0,AND(J977=1,K977=1),AND(J977=1,I977="SBJ"),AND(J977=1,I977=0)),"?IN_FOCUS",IF(J977&lt;=2,"?ACTIVATED",IF(J977&lt;&gt;"","?FAMILIAR",IF(F977="NEW",IF(ISNA(VLOOKUP(E977,#REF!,1,FALSE())),"?TYPE_IDENTIFIABLE","?REFERENTIAL"),"_")))))</f>
        <v/>
      </c>
      <c r="H977" s="23" t="str">
        <f aca="false">IF(J977&lt;&gt;1,"",IF(I977="SBJ","CB","?"))</f>
        <v/>
      </c>
      <c r="I977" s="24" t="str">
        <f aca="false">IF(OR(E977="",E977="!!!",F977="NEW"),"",INDEX(N$2:N960,-1+SUMPRODUCT(MAX(ROW(E$2:E960)*(E977=E$2:E960)))))</f>
        <v/>
      </c>
      <c r="J977" s="25" t="str">
        <f aca="true">IF(OR(E977="",E977="!!!",F977="NEW"),"",COUNTBLANK(OFFSET(M$1,,,SUMPRODUCT(MAX(ROW(E$2:E961)*(E977=E$2:E961)))))-COUNTBLANK(OFFSET(M$1,,,SUMPRODUCT(MAX(ROW(Q$1:Q960)*(E977=Q$1:Q960))))))</f>
        <v/>
      </c>
      <c r="K977" s="25" t="str">
        <f aca="false">IF(OR(E977="",E977="!!!",F977="NEW"),"",INDEX(V$1:V960,SUMPRODUCT(MAX(ROW(Q$1:Q960)*(E977=Q$1:Q960)))))</f>
        <v/>
      </c>
      <c r="L977" s="26"/>
      <c r="M977" s="27"/>
    </row>
    <row r="978" customFormat="false" ht="15" hidden="false" customHeight="false" outlineLevel="0" collapsed="false">
      <c r="A978" s="19" t="s">
        <v>620</v>
      </c>
      <c r="E978" s="20" t="str">
        <f aca="false">IF(P978="?OLD","!!!","")</f>
        <v/>
      </c>
      <c r="F978" s="21" t="str">
        <f aca="false">IF(OR(E978="",E978="!!!"),"",IF(NOT(ISNA(VLOOKUP(E978,Q$1:Q961,1,FALSE()))),"OLD",IF(AND(E978&lt;&gt;"",E978&lt;&gt;"!!!"),"NEW","")))</f>
        <v/>
      </c>
      <c r="G978" s="22" t="str">
        <f aca="false">IF(OR(E978="",E978="!!!"),"",IF(OR(J978=0,AND(J978=1,K978=1),AND(J978=1,I978="SBJ"),AND(J978=1,I978=0)),"?IN_FOCUS",IF(J978&lt;=2,"?ACTIVATED",IF(J978&lt;&gt;"","?FAMILIAR",IF(F978="NEW",IF(ISNA(VLOOKUP(E978,#REF!,1,FALSE())),"?TYPE_IDENTIFIABLE","?REFERENTIAL"),"_")))))</f>
        <v/>
      </c>
      <c r="H978" s="23" t="str">
        <f aca="false">IF(J978&lt;&gt;1,"",IF(I978="SBJ","CB","?"))</f>
        <v/>
      </c>
      <c r="I978" s="24" t="str">
        <f aca="false">IF(OR(E978="",E978="!!!",F978="NEW"),"",INDEX(N$2:N961,-1+SUMPRODUCT(MAX(ROW(E$2:E961)*(E978=E$2:E961)))))</f>
        <v/>
      </c>
      <c r="J978" s="25" t="str">
        <f aca="true">IF(OR(E978="",E978="!!!",F978="NEW"),"",COUNTBLANK(OFFSET(M$1,,,SUMPRODUCT(MAX(ROW(E$2:E962)*(E978=E$2:E962)))))-COUNTBLANK(OFFSET(M$1,,,SUMPRODUCT(MAX(ROW(Q$1:Q961)*(E978=Q$1:Q961))))))</f>
        <v/>
      </c>
      <c r="K978" s="25" t="str">
        <f aca="false">IF(OR(E978="",E978="!!!",F978="NEW"),"",INDEX(V$1:V961,SUMPRODUCT(MAX(ROW(Q$1:Q961)*(E978=Q$1:Q961)))))</f>
        <v/>
      </c>
      <c r="L978" s="26"/>
      <c r="M978" s="27"/>
    </row>
    <row r="979" customFormat="false" ht="15" hidden="false" customHeight="false" outlineLevel="0" collapsed="false">
      <c r="A979" s="19" t="s">
        <v>552</v>
      </c>
      <c r="B979" s="28" t="s">
        <v>326</v>
      </c>
      <c r="C979" s="28" t="s">
        <v>264</v>
      </c>
      <c r="D979" s="28" t="s">
        <v>253</v>
      </c>
      <c r="E979" s="20" t="s">
        <v>546</v>
      </c>
      <c r="F979" s="21" t="str">
        <f aca="false">IF(OR(E979="",E979="!!!"),"",IF(NOT(ISNA(VLOOKUP(E979,Q$1:Q962,1,FALSE()))),"OLD",IF(AND(E979&lt;&gt;"",E979&lt;&gt;"!!!"),"NEW","")))</f>
        <v>NEW</v>
      </c>
      <c r="G979" s="22" t="s">
        <v>266</v>
      </c>
      <c r="H979" s="23"/>
      <c r="I979" s="24" t="str">
        <f aca="false">IF(OR(E979="",E979="!!!",F979="NEW"),"",INDEX(N$2:N962,-1+SUMPRODUCT(MAX(ROW(E$2:E962)*(E979=E$2:E962)))))</f>
        <v/>
      </c>
      <c r="J979" s="25" t="str">
        <f aca="true">IF(OR(E979="",E979="!!!",F979="NEW"),"",COUNTBLANK(OFFSET(M$1,,,SUMPRODUCT(MAX(ROW(E$2:E963)*(E979=E$2:E963)))))-COUNTBLANK(OFFSET(M$1,,,SUMPRODUCT(MAX(ROW(Q$1:Q962)*(E979=Q$1:Q962))))))</f>
        <v/>
      </c>
      <c r="K979" s="25" t="str">
        <f aca="false">IF(OR(E979="",E979="!!!",F979="NEW"),"",INDEX(V$1:V962,SUMPRODUCT(MAX(ROW(Q$1:Q962)*(E979=Q$1:Q962)))))</f>
        <v/>
      </c>
      <c r="L979" s="26"/>
      <c r="M979" s="27"/>
      <c r="N979" s="29"/>
      <c r="O979" s="29"/>
      <c r="P979" s="29"/>
    </row>
    <row r="980" customFormat="false" ht="15" hidden="false" customHeight="false" outlineLevel="0" collapsed="false">
      <c r="A980" s="19" t="s">
        <v>404</v>
      </c>
      <c r="E980" s="20" t="str">
        <f aca="false">IF(P980="?OLD","!!!","")</f>
        <v/>
      </c>
      <c r="F980" s="21" t="str">
        <f aca="false">IF(OR(E980="",E980="!!!"),"",IF(NOT(ISNA(VLOOKUP(E980,Q$1:Q963,1,FALSE()))),"OLD",IF(AND(E980&lt;&gt;"",E980&lt;&gt;"!!!"),"NEW","")))</f>
        <v/>
      </c>
      <c r="G980" s="22" t="str">
        <f aca="false">IF(OR(E980="",E980="!!!"),"",IF(OR(J980=0,AND(J980=1,K980=1),AND(J980=1,I980="SBJ"),AND(J980=1,I980=0)),"?IN_FOCUS",IF(J980&lt;=2,"?ACTIVATED",IF(J980&lt;&gt;"","?FAMILIAR",IF(F980="NEW",IF(ISNA(VLOOKUP(E980,#REF!,1,FALSE())),"?TYPE_IDENTIFIABLE","?REFERENTIAL"),"_")))))</f>
        <v/>
      </c>
      <c r="H980" s="23" t="str">
        <f aca="false">IF(J980&lt;&gt;1,"",IF(I980="SBJ","CB","?"))</f>
        <v/>
      </c>
      <c r="I980" s="24" t="str">
        <f aca="false">IF(OR(E980="",E980="!!!",F980="NEW"),"",INDEX(N$2:N963,-1+SUMPRODUCT(MAX(ROW(E$2:E963)*(E980=E$2:E963)))))</f>
        <v/>
      </c>
      <c r="J980" s="25" t="str">
        <f aca="true">IF(OR(E980="",E980="!!!",F980="NEW"),"",COUNTBLANK(OFFSET(M$1,,,SUMPRODUCT(MAX(ROW(E$2:E964)*(E980=E$2:E964)))))-COUNTBLANK(OFFSET(M$1,,,SUMPRODUCT(MAX(ROW(Q$1:Q963)*(E980=Q$1:Q963))))))</f>
        <v/>
      </c>
      <c r="K980" s="25" t="str">
        <f aca="false">IF(OR(E980="",E980="!!!",F980="NEW"),"",INDEX(V$1:V963,SUMPRODUCT(MAX(ROW(Q$1:Q963)*(E980=Q$1:Q963)))))</f>
        <v/>
      </c>
      <c r="L980" s="26"/>
      <c r="M980" s="27"/>
    </row>
    <row r="981" customFormat="false" ht="15" hidden="false" customHeight="false" outlineLevel="0" collapsed="false">
      <c r="A981" s="19" t="s">
        <v>534</v>
      </c>
      <c r="B981" s="28" t="s">
        <v>258</v>
      </c>
      <c r="C981" s="28" t="s">
        <v>333</v>
      </c>
      <c r="D981" s="28" t="s">
        <v>253</v>
      </c>
      <c r="E981" s="20" t="s">
        <v>534</v>
      </c>
      <c r="F981" s="21" t="str">
        <f aca="false">IF(OR(E981="",E981="!!!"),"",IF(NOT(ISNA(VLOOKUP(E981,Q$1:Q964,1,FALSE()))),"OLD",IF(AND(E981&lt;&gt;"",E981&lt;&gt;"!!!"),"NEW","")))</f>
        <v>NEW</v>
      </c>
      <c r="G981" s="22" t="s">
        <v>255</v>
      </c>
      <c r="H981" s="23" t="str">
        <f aca="false">IF(J981&lt;&gt;1,"",IF(I981="SBJ","CB","?"))</f>
        <v/>
      </c>
      <c r="I981" s="24" t="str">
        <f aca="false">IF(OR(E981="",E981="!!!",F981="NEW"),"",INDEX(N$2:N964,-1+SUMPRODUCT(MAX(ROW(E$2:E964)*(E981=E$2:E964)))))</f>
        <v/>
      </c>
      <c r="J981" s="25" t="str">
        <f aca="true">IF(OR(E981="",E981="!!!",F981="NEW"),"",COUNTBLANK(OFFSET(M$1,,,SUMPRODUCT(MAX(ROW(E$2:E965)*(E981=E$2:E965)))))-COUNTBLANK(OFFSET(M$1,,,SUMPRODUCT(MAX(ROW(Q$1:Q964)*(E981=Q$1:Q964))))))</f>
        <v/>
      </c>
      <c r="K981" s="25" t="str">
        <f aca="false">IF(OR(E981="",E981="!!!",F981="NEW"),"",INDEX(V$1:V964,SUMPRODUCT(MAX(ROW(Q$1:Q964)*(E981=Q$1:Q964)))))</f>
        <v/>
      </c>
      <c r="L981" s="26"/>
      <c r="M981" s="27"/>
      <c r="N981" s="29"/>
      <c r="O981" s="29"/>
      <c r="P981" s="29"/>
    </row>
    <row r="982" customFormat="false" ht="15" hidden="false" customHeight="false" outlineLevel="0" collapsed="false">
      <c r="A982" s="19" t="s">
        <v>294</v>
      </c>
      <c r="E982" s="20" t="str">
        <f aca="false">IF(P982="?OLD","!!!","")</f>
        <v/>
      </c>
      <c r="F982" s="21" t="str">
        <f aca="false">IF(OR(E982="",E982="!!!"),"",IF(NOT(ISNA(VLOOKUP(E982,Q$1:Q965,1,FALSE()))),"OLD",IF(AND(E982&lt;&gt;"",E982&lt;&gt;"!!!"),"NEW","")))</f>
        <v/>
      </c>
      <c r="G982" s="22" t="str">
        <f aca="false">IF(OR(E982="",E982="!!!"),"",IF(OR(J982=0,AND(J982=1,K982=1),AND(J982=1,I982="SBJ"),AND(J982=1,I982=0)),"?IN_FOCUS",IF(J982&lt;=2,"?ACTIVATED",IF(J982&lt;&gt;"","?FAMILIAR",IF(F982="NEW",IF(ISNA(VLOOKUP(E982,#REF!,1,FALSE())),"?TYPE_IDENTIFIABLE","?REFERENTIAL"),"_")))))</f>
        <v/>
      </c>
      <c r="H982" s="23" t="str">
        <f aca="false">IF(J982&lt;&gt;1,"",IF(I982="SBJ","CB","?"))</f>
        <v/>
      </c>
      <c r="I982" s="24" t="str">
        <f aca="false">IF(OR(E982="",E982="!!!",F982="NEW"),"",INDEX(N$2:N965,-1+SUMPRODUCT(MAX(ROW(E$2:E965)*(E982=E$2:E965)))))</f>
        <v/>
      </c>
      <c r="J982" s="25" t="str">
        <f aca="true">IF(OR(E982="",E982="!!!",F982="NEW"),"",COUNTBLANK(OFFSET(M$1,,,SUMPRODUCT(MAX(ROW(E$2:E966)*(E982=E$2:E966)))))-COUNTBLANK(OFFSET(M$1,,,SUMPRODUCT(MAX(ROW(Q$1:Q965)*(E982=Q$1:Q965))))))</f>
        <v/>
      </c>
      <c r="K982" s="25" t="str">
        <f aca="false">IF(OR(E982="",E982="!!!",F982="NEW"),"",INDEX(V$1:V965,SUMPRODUCT(MAX(ROW(Q$1:Q965)*(E982=Q$1:Q965)))))</f>
        <v/>
      </c>
      <c r="L982" s="26"/>
      <c r="M982" s="27"/>
    </row>
    <row r="983" customFormat="false" ht="15" hidden="false" customHeight="false" outlineLevel="0" collapsed="false">
      <c r="A983" s="19" t="s">
        <v>652</v>
      </c>
      <c r="B983" s="28" t="s">
        <v>293</v>
      </c>
      <c r="C983" s="28" t="s">
        <v>333</v>
      </c>
      <c r="D983" s="28" t="s">
        <v>253</v>
      </c>
      <c r="E983" s="20" t="s">
        <v>652</v>
      </c>
      <c r="F983" s="21" t="str">
        <f aca="false">IF(OR(E983="",E983="!!!"),"",IF(NOT(ISNA(VLOOKUP(E983,Q$1:Q966,1,FALSE()))),"OLD",IF(AND(E983&lt;&gt;"",E983&lt;&gt;"!!!"),"NEW","")))</f>
        <v>NEW</v>
      </c>
      <c r="G983" s="22" t="s">
        <v>255</v>
      </c>
      <c r="H983" s="23" t="str">
        <f aca="false">IF(J983&lt;&gt;1,"",IF(I983="SBJ","CB","?"))</f>
        <v/>
      </c>
      <c r="I983" s="24" t="str">
        <f aca="false">IF(OR(E983="",E983="!!!",F983="NEW"),"",INDEX(N$2:N966,-1+SUMPRODUCT(MAX(ROW(E$2:E966)*(E983=E$2:E966)))))</f>
        <v/>
      </c>
      <c r="J983" s="25" t="str">
        <f aca="true">IF(OR(E983="",E983="!!!",F983="NEW"),"",COUNTBLANK(OFFSET(M$1,,,SUMPRODUCT(MAX(ROW(E$2:E967)*(E983=E$2:E967)))))-COUNTBLANK(OFFSET(M$1,,,SUMPRODUCT(MAX(ROW(Q$1:Q966)*(E983=Q$1:Q966))))))</f>
        <v/>
      </c>
      <c r="K983" s="25" t="str">
        <f aca="false">IF(OR(E983="",E983="!!!",F983="NEW"),"",INDEX(V$1:V966,SUMPRODUCT(MAX(ROW(Q$1:Q966)*(E983=Q$1:Q966)))))</f>
        <v/>
      </c>
      <c r="L983" s="26"/>
      <c r="M983" s="27"/>
      <c r="N983" s="29"/>
      <c r="O983" s="29"/>
      <c r="P983" s="29"/>
    </row>
    <row r="984" customFormat="false" ht="15" hidden="false" customHeight="false" outlineLevel="0" collapsed="false">
      <c r="A984" s="19" t="s">
        <v>261</v>
      </c>
      <c r="E984" s="20" t="str">
        <f aca="false">IF(P984="?OLD","!!!","")</f>
        <v/>
      </c>
      <c r="F984" s="21" t="str">
        <f aca="false">IF(OR(E984="",E984="!!!"),"",IF(NOT(ISNA(VLOOKUP(E984,Q$1:Q967,1,FALSE()))),"OLD",IF(AND(E984&lt;&gt;"",E984&lt;&gt;"!!!"),"NEW","")))</f>
        <v/>
      </c>
      <c r="G984" s="22" t="str">
        <f aca="false">IF(OR(E984="",E984="!!!"),"",IF(OR(J984=0,AND(J984=1,K984=1),AND(J984=1,I984="SBJ"),AND(J984=1,I984=0)),"?IN_FOCUS",IF(J984&lt;=2,"?ACTIVATED",IF(J984&lt;&gt;"","?FAMILIAR",IF(F984="NEW",IF(ISNA(VLOOKUP(E984,#REF!,1,FALSE())),"?TYPE_IDENTIFIABLE","?REFERENTIAL"),"_")))))</f>
        <v/>
      </c>
      <c r="H984" s="23" t="str">
        <f aca="false">IF(J984&lt;&gt;1,"",IF(I984="SBJ","CB","?"))</f>
        <v/>
      </c>
      <c r="I984" s="24" t="str">
        <f aca="false">IF(OR(E984="",E984="!!!",F984="NEW"),"",INDEX(N$2:N967,-1+SUMPRODUCT(MAX(ROW(E$2:E967)*(E984=E$2:E967)))))</f>
        <v/>
      </c>
      <c r="J984" s="25" t="str">
        <f aca="true">IF(OR(E984="",E984="!!!",F984="NEW"),"",COUNTBLANK(OFFSET(M$1,,,SUMPRODUCT(MAX(ROW(E$2:E968)*(E984=E$2:E968)))))-COUNTBLANK(OFFSET(M$1,,,SUMPRODUCT(MAX(ROW(Q$1:Q967)*(E984=Q$1:Q967))))))</f>
        <v/>
      </c>
      <c r="K984" s="25" t="str">
        <f aca="false">IF(OR(E984="",E984="!!!",F984="NEW"),"",INDEX(V$1:V967,SUMPRODUCT(MAX(ROW(Q$1:Q967)*(E984=Q$1:Q967)))))</f>
        <v/>
      </c>
      <c r="L984" s="26"/>
      <c r="M984" s="27"/>
    </row>
    <row r="985" customFormat="false" ht="15" hidden="false" customHeight="false" outlineLevel="0" collapsed="false">
      <c r="A985" s="19" t="s">
        <v>343</v>
      </c>
      <c r="E985" s="20" t="str">
        <f aca="false">IF(P985="?OLD","!!!","")</f>
        <v/>
      </c>
      <c r="F985" s="21" t="str">
        <f aca="false">IF(OR(E985="",E985="!!!"),"",IF(NOT(ISNA(VLOOKUP(E985,Q$1:Q968,1,FALSE()))),"OLD",IF(AND(E985&lt;&gt;"",E985&lt;&gt;"!!!"),"NEW","")))</f>
        <v/>
      </c>
      <c r="G985" s="22" t="str">
        <f aca="false">IF(OR(E985="",E985="!!!"),"",IF(OR(J985=0,AND(J985=1,K985=1),AND(J985=1,I985="SBJ"),AND(J985=1,I985=0)),"?IN_FOCUS",IF(J985&lt;=2,"?ACTIVATED",IF(J985&lt;&gt;"","?FAMILIAR",IF(F985="NEW",IF(ISNA(VLOOKUP(E985,#REF!,1,FALSE())),"?TYPE_IDENTIFIABLE","?REFERENTIAL"),"_")))))</f>
        <v/>
      </c>
      <c r="H985" s="23" t="str">
        <f aca="false">IF(J985&lt;&gt;1,"",IF(I985="SBJ","CB","?"))</f>
        <v/>
      </c>
      <c r="I985" s="24" t="str">
        <f aca="false">IF(OR(E985="",E985="!!!",F985="NEW"),"",INDEX(N$2:N968,-1+SUMPRODUCT(MAX(ROW(E$2:E968)*(E985=E$2:E968)))))</f>
        <v/>
      </c>
      <c r="J985" s="25" t="str">
        <f aca="true">IF(OR(E985="",E985="!!!",F985="NEW"),"",COUNTBLANK(OFFSET(M$1,,,SUMPRODUCT(MAX(ROW(E$2:E969)*(E985=E$2:E969)))))-COUNTBLANK(OFFSET(M$1,,,SUMPRODUCT(MAX(ROW(Q$1:Q968)*(E985=Q$1:Q968))))))</f>
        <v/>
      </c>
      <c r="K985" s="25" t="str">
        <f aca="false">IF(OR(E985="",E985="!!!",F985="NEW"),"",INDEX(V$1:V968,SUMPRODUCT(MAX(ROW(Q$1:Q968)*(E985=Q$1:Q968)))))</f>
        <v/>
      </c>
      <c r="L985" s="26"/>
      <c r="M985" s="27"/>
    </row>
    <row r="986" customFormat="false" ht="15" hidden="false" customHeight="false" outlineLevel="0" collapsed="false">
      <c r="A986" s="19" t="s">
        <v>546</v>
      </c>
      <c r="B986" s="28" t="s">
        <v>293</v>
      </c>
      <c r="C986" s="28" t="s">
        <v>333</v>
      </c>
      <c r="D986" s="28" t="s">
        <v>253</v>
      </c>
      <c r="E986" s="20" t="s">
        <v>546</v>
      </c>
      <c r="F986" s="21" t="str">
        <f aca="false">IF(OR(E986="",E986="!!!"),"",IF(NOT(ISNA(VLOOKUP(E986,Q$1:Q969,1,FALSE()))),"OLD",IF(AND(E986&lt;&gt;"",E986&lt;&gt;"!!!"),"NEW","")))</f>
        <v>NEW</v>
      </c>
      <c r="G986" s="22" t="s">
        <v>296</v>
      </c>
      <c r="H986" s="23" t="str">
        <f aca="false">IF(J986&lt;&gt;1,"",IF(I986="SBJ","CB","?"))</f>
        <v/>
      </c>
      <c r="I986" s="24" t="str">
        <f aca="false">IF(OR(E986="",E986="!!!",F986="NEW"),"",INDEX(N$2:N969,-1+SUMPRODUCT(MAX(ROW(E$2:E969)*(E986=E$2:E969)))))</f>
        <v/>
      </c>
      <c r="J986" s="25" t="str">
        <f aca="true">IF(OR(E986="",E986="!!!",F986="NEW"),"",COUNTBLANK(OFFSET(M$1,,,SUMPRODUCT(MAX(ROW(E$2:E970)*(E986=E$2:E970)))))-COUNTBLANK(OFFSET(M$1,,,SUMPRODUCT(MAX(ROW(Q$1:Q969)*(E986=Q$1:Q969))))))</f>
        <v/>
      </c>
      <c r="K986" s="25" t="str">
        <f aca="false">IF(OR(E986="",E986="!!!",F986="NEW"),"",INDEX(V$1:V969,SUMPRODUCT(MAX(ROW(Q$1:Q969)*(E986=Q$1:Q969)))))</f>
        <v/>
      </c>
      <c r="L986" s="26"/>
      <c r="M986" s="27"/>
      <c r="N986" s="29"/>
      <c r="O986" s="29"/>
      <c r="P986" s="29"/>
    </row>
    <row r="987" customFormat="false" ht="15" hidden="false" customHeight="false" outlineLevel="0" collapsed="false">
      <c r="A987" s="19" t="s">
        <v>572</v>
      </c>
      <c r="B987" s="28" t="s">
        <v>696</v>
      </c>
      <c r="E987" s="20" t="str">
        <f aca="false">IF(P987="?OLD","!!!","")</f>
        <v/>
      </c>
      <c r="F987" s="21" t="str">
        <f aca="false">IF(OR(E987="",E987="!!!"),"",IF(NOT(ISNA(VLOOKUP(E987,Q$1:Q970,1,FALSE()))),"OLD",IF(AND(E987&lt;&gt;"",E987&lt;&gt;"!!!"),"NEW","")))</f>
        <v/>
      </c>
      <c r="G987" s="22" t="str">
        <f aca="false">IF(OR(E987="",E987="!!!"),"",IF(OR(J987=0,AND(J987=1,K987=1),AND(J987=1,I987="SBJ"),AND(J987=1,I987=0)),"?IN_FOCUS",IF(J987&lt;=2,"?ACTIVATED",IF(J987&lt;&gt;"","?FAMILIAR",IF(F987="NEW",IF(ISNA(VLOOKUP(E987,#REF!,1,FALSE())),"?TYPE_IDENTIFIABLE","?REFERENTIAL"),"_")))))</f>
        <v/>
      </c>
      <c r="H987" s="23" t="str">
        <f aca="false">IF(J987&lt;&gt;1,"",IF(I987="SBJ","CB","?"))</f>
        <v/>
      </c>
      <c r="I987" s="24" t="str">
        <f aca="false">IF(OR(E987="",E987="!!!",F987="NEW"),"",INDEX(N$2:N970,-1+SUMPRODUCT(MAX(ROW(E$2:E970)*(E987=E$2:E970)))))</f>
        <v/>
      </c>
      <c r="J987" s="25" t="str">
        <f aca="true">IF(OR(E987="",E987="!!!",F987="NEW"),"",COUNTBLANK(OFFSET(M$1,,,SUMPRODUCT(MAX(ROW(E$2:E971)*(E987=E$2:E971)))))-COUNTBLANK(OFFSET(M$1,,,SUMPRODUCT(MAX(ROW(Q$1:Q970)*(E987=Q$1:Q970))))))</f>
        <v/>
      </c>
      <c r="K987" s="25" t="str">
        <f aca="false">IF(OR(E987="",E987="!!!",F987="NEW"),"",INDEX(V$1:V970,SUMPRODUCT(MAX(ROW(Q$1:Q970)*(E987=Q$1:Q970)))))</f>
        <v/>
      </c>
      <c r="L987" s="26"/>
      <c r="M987" s="27"/>
      <c r="N987" s="29"/>
    </row>
    <row r="988" customFormat="false" ht="15" hidden="false" customHeight="false" outlineLevel="0" collapsed="false">
      <c r="A988" s="19" t="s">
        <v>441</v>
      </c>
      <c r="B988" s="28" t="s">
        <v>447</v>
      </c>
      <c r="C988" s="28" t="s">
        <v>264</v>
      </c>
      <c r="D988" s="28" t="s">
        <v>253</v>
      </c>
      <c r="E988" s="20" t="s">
        <v>440</v>
      </c>
      <c r="F988" s="21" t="str">
        <f aca="false">IF(OR(E988="",E988="!!!"),"",IF(NOT(ISNA(VLOOKUP(E988,Q$1:Q971,1,FALSE()))),"OLD",IF(AND(E988&lt;&gt;"",E988&lt;&gt;"!!!"),"NEW","")))</f>
        <v>NEW</v>
      </c>
      <c r="G988" s="22" t="s">
        <v>283</v>
      </c>
      <c r="H988" s="23" t="str">
        <f aca="false">IF(J988&lt;&gt;1,"",IF(I988="SBJ","CB","?"))</f>
        <v/>
      </c>
      <c r="I988" s="24" t="str">
        <f aca="false">IF(OR(E988="",E988="!!!",F988="NEW"),"",INDEX(N$2:N971,-1+SUMPRODUCT(MAX(ROW(E$2:E971)*(E988=E$2:E971)))))</f>
        <v/>
      </c>
      <c r="J988" s="25" t="str">
        <f aca="true">IF(OR(E988="",E988="!!!",F988="NEW"),"",COUNTBLANK(OFFSET(M$1,,,SUMPRODUCT(MAX(ROW(E$2:E972)*(E988=E$2:E972)))))-COUNTBLANK(OFFSET(M$1,,,SUMPRODUCT(MAX(ROW(Q$1:Q971)*(E988=Q$1:Q971))))))</f>
        <v/>
      </c>
      <c r="K988" s="25" t="str">
        <f aca="false">IF(OR(E988="",E988="!!!",F988="NEW"),"",INDEX(V$1:V971,SUMPRODUCT(MAX(ROW(Q$1:Q971)*(E988=Q$1:Q971)))))</f>
        <v/>
      </c>
      <c r="L988" s="26"/>
      <c r="M988" s="27"/>
      <c r="N988" s="29"/>
      <c r="O988" s="29"/>
      <c r="P988" s="29"/>
    </row>
    <row r="989" customFormat="false" ht="15" hidden="false" customHeight="false" outlineLevel="0" collapsed="false">
      <c r="A989" s="19" t="s">
        <v>569</v>
      </c>
      <c r="E989" s="20" t="str">
        <f aca="false">IF(P989="?OLD","!!!","")</f>
        <v/>
      </c>
      <c r="F989" s="21" t="str">
        <f aca="false">IF(OR(E989="",E989="!!!"),"",IF(NOT(ISNA(VLOOKUP(E989,Q$1:Q972,1,FALSE()))),"OLD",IF(AND(E989&lt;&gt;"",E989&lt;&gt;"!!!"),"NEW","")))</f>
        <v/>
      </c>
      <c r="G989" s="22" t="str">
        <f aca="false">IF(OR(E989="",E989="!!!"),"",IF(OR(J989=0,AND(J989=1,K989=1),AND(J989=1,I989="SBJ"),AND(J989=1,I989=0)),"?IN_FOCUS",IF(J989&lt;=2,"?ACTIVATED",IF(J989&lt;&gt;"","?FAMILIAR",IF(F989="NEW",IF(ISNA(VLOOKUP(E989,#REF!,1,FALSE())),"?TYPE_IDENTIFIABLE","?REFERENTIAL"),"_")))))</f>
        <v/>
      </c>
      <c r="H989" s="23" t="str">
        <f aca="false">IF(J989&lt;&gt;1,"",IF(I989="SBJ","CB","?"))</f>
        <v/>
      </c>
      <c r="I989" s="24" t="str">
        <f aca="false">IF(OR(E989="",E989="!!!",F989="NEW"),"",INDEX(N$2:N972,-1+SUMPRODUCT(MAX(ROW(E$2:E972)*(E989=E$2:E972)))))</f>
        <v/>
      </c>
      <c r="J989" s="25" t="str">
        <f aca="true">IF(OR(E989="",E989="!!!",F989="NEW"),"",COUNTBLANK(OFFSET(M$1,,,SUMPRODUCT(MAX(ROW(E$2:E973)*(E989=E$2:E973)))))-COUNTBLANK(OFFSET(M$1,,,SUMPRODUCT(MAX(ROW(Q$1:Q972)*(E989=Q$1:Q972))))))</f>
        <v/>
      </c>
      <c r="K989" s="25" t="str">
        <f aca="false">IF(OR(E989="",E989="!!!",F989="NEW"),"",INDEX(V$1:V972,SUMPRODUCT(MAX(ROW(Q$1:Q972)*(E989=Q$1:Q972)))))</f>
        <v/>
      </c>
      <c r="L989" s="26"/>
      <c r="M989" s="27"/>
    </row>
    <row r="990" customFormat="false" ht="15" hidden="false" customHeight="false" outlineLevel="0" collapsed="false">
      <c r="A990" s="19" t="s">
        <v>275</v>
      </c>
      <c r="E990" s="20" t="str">
        <f aca="false">IF(P990="?OLD","!!!","")</f>
        <v/>
      </c>
      <c r="F990" s="21" t="str">
        <f aca="false">IF(OR(E990="",E990="!!!"),"",IF(NOT(ISNA(VLOOKUP(E990,Q$1:Q973,1,FALSE()))),"OLD",IF(AND(E990&lt;&gt;"",E990&lt;&gt;"!!!"),"NEW","")))</f>
        <v/>
      </c>
      <c r="G990" s="22" t="str">
        <f aca="false">IF(OR(E990="",E990="!!!"),"",IF(OR(J990=0,AND(J990=1,K990=1),AND(J990=1,I990="SBJ"),AND(J990=1,I990=0)),"?IN_FOCUS",IF(J990&lt;=2,"?ACTIVATED",IF(J990&lt;&gt;"","?FAMILIAR",IF(F990="NEW",IF(ISNA(VLOOKUP(E990,#REF!,1,FALSE())),"?TYPE_IDENTIFIABLE","?REFERENTIAL"),"_")))))</f>
        <v/>
      </c>
      <c r="H990" s="23" t="str">
        <f aca="false">IF(J990&lt;&gt;1,"",IF(I990="SBJ","CB","?"))</f>
        <v/>
      </c>
      <c r="I990" s="24" t="str">
        <f aca="false">IF(OR(E990="",E990="!!!",F990="NEW"),"",INDEX(N$2:N973,-1+SUMPRODUCT(MAX(ROW(E$2:E973)*(E990=E$2:E973)))))</f>
        <v/>
      </c>
      <c r="J990" s="25" t="str">
        <f aca="true">IF(OR(E990="",E990="!!!",F990="NEW"),"",COUNTBLANK(OFFSET(M$1,,,SUMPRODUCT(MAX(ROW(E$2:E974)*(E990=E$2:E974)))))-COUNTBLANK(OFFSET(M$1,,,SUMPRODUCT(MAX(ROW(Q$1:Q973)*(E990=Q$1:Q973))))))</f>
        <v/>
      </c>
      <c r="K990" s="25" t="str">
        <f aca="false">IF(OR(E990="",E990="!!!",F990="NEW"),"",INDEX(V$1:V973,SUMPRODUCT(MAX(ROW(Q$1:Q973)*(E990=Q$1:Q973)))))</f>
        <v/>
      </c>
      <c r="L990" s="26"/>
      <c r="M990" s="27"/>
    </row>
    <row r="991" customFormat="false" ht="15" hidden="false" customHeight="false" outlineLevel="0" collapsed="false">
      <c r="A991" s="19" t="s">
        <v>367</v>
      </c>
      <c r="E991" s="20" t="str">
        <f aca="false">IF(P991="?OLD","!!!","")</f>
        <v/>
      </c>
      <c r="F991" s="21" t="str">
        <f aca="false">IF(OR(E991="",E991="!!!"),"",IF(NOT(ISNA(VLOOKUP(E991,Q$1:Q974,1,FALSE()))),"OLD",IF(AND(E991&lt;&gt;"",E991&lt;&gt;"!!!"),"NEW","")))</f>
        <v/>
      </c>
      <c r="G991" s="22" t="str">
        <f aca="false">IF(OR(E991="",E991="!!!"),"",IF(OR(J991=0,AND(J991=1,K991=1),AND(J991=1,I991="SBJ"),AND(J991=1,I991=0)),"?IN_FOCUS",IF(J991&lt;=2,"?ACTIVATED",IF(J991&lt;&gt;"","?FAMILIAR",IF(F991="NEW",IF(ISNA(VLOOKUP(E991,#REF!,1,FALSE())),"?TYPE_IDENTIFIABLE","?REFERENTIAL"),"_")))))</f>
        <v/>
      </c>
      <c r="H991" s="23" t="str">
        <f aca="false">IF(J991&lt;&gt;1,"",IF(I991="SBJ","CB","?"))</f>
        <v/>
      </c>
      <c r="I991" s="24" t="str">
        <f aca="false">IF(OR(E991="",E991="!!!",F991="NEW"),"",INDEX(N$2:N974,-1+SUMPRODUCT(MAX(ROW(E$2:E974)*(E991=E$2:E974)))))</f>
        <v/>
      </c>
      <c r="J991" s="25" t="str">
        <f aca="true">IF(OR(E991="",E991="!!!",F991="NEW"),"",COUNTBLANK(OFFSET(M$1,,,SUMPRODUCT(MAX(ROW(E$2:E975)*(E991=E$2:E975)))))-COUNTBLANK(OFFSET(M$1,,,SUMPRODUCT(MAX(ROW(Q$1:Q974)*(E991=Q$1:Q974))))))</f>
        <v/>
      </c>
      <c r="K991" s="25" t="str">
        <f aca="false">IF(OR(E991="",E991="!!!",F991="NEW"),"",INDEX(V$1:V974,SUMPRODUCT(MAX(ROW(Q$1:Q974)*(E991=Q$1:Q974)))))</f>
        <v/>
      </c>
      <c r="L991" s="26"/>
      <c r="M991" s="27"/>
    </row>
    <row r="992" customFormat="false" ht="15" hidden="false" customHeight="false" outlineLevel="0" collapsed="false">
      <c r="A992" s="19"/>
      <c r="E992" s="20" t="str">
        <f aca="false">IF(P992="?OLD","!!!","")</f>
        <v/>
      </c>
      <c r="F992" s="21" t="str">
        <f aca="false">IF(OR(E992="",E992="!!!"),"",IF(NOT(ISNA(VLOOKUP(E992,Q$1:Q975,1,FALSE()))),"OLD",IF(AND(E992&lt;&gt;"",E992&lt;&gt;"!!!"),"NEW","")))</f>
        <v/>
      </c>
      <c r="G992" s="22" t="str">
        <f aca="false">IF(OR(E992="",E992="!!!"),"",IF(OR(J992=0,AND(J992=1,K992=1),AND(J992=1,I992="SBJ"),AND(J992=1,I992=0)),"?IN_FOCUS",IF(J992&lt;=2,"?ACTIVATED",IF(J992&lt;&gt;"","?FAMILIAR",IF(F992="NEW",IF(ISNA(VLOOKUP(E992,#REF!,1,FALSE())),"?TYPE_IDENTIFIABLE","?REFERENTIAL"),"_")))))</f>
        <v/>
      </c>
      <c r="H992" s="23" t="str">
        <f aca="false">IF(J992&lt;&gt;1,"",IF(I992="SBJ","CB","?"))</f>
        <v/>
      </c>
      <c r="I992" s="24" t="str">
        <f aca="false">IF(OR(E992="",E992="!!!",F992="NEW"),"",INDEX(N$2:N975,-1+SUMPRODUCT(MAX(ROW(E$2:E975)*(E992=E$2:E975)))))</f>
        <v/>
      </c>
      <c r="J992" s="25" t="str">
        <f aca="true">IF(OR(E992="",E992="!!!",F992="NEW"),"",COUNTBLANK(OFFSET(M$1,,,SUMPRODUCT(MAX(ROW(E$2:E976)*(E992=E$2:E976)))))-COUNTBLANK(OFFSET(M$1,,,SUMPRODUCT(MAX(ROW(Q$1:Q975)*(E992=Q$1:Q975))))))</f>
        <v/>
      </c>
      <c r="K992" s="25" t="str">
        <f aca="false">IF(OR(E992="",E992="!!!",F992="NEW"),"",INDEX(V$1:V975,SUMPRODUCT(MAX(ROW(Q$1:Q975)*(E992=Q$1:Q975)))))</f>
        <v/>
      </c>
      <c r="L992" s="26"/>
    </row>
    <row r="993" customFormat="false" ht="15" hidden="false" customHeight="false" outlineLevel="0" collapsed="false">
      <c r="A993" s="19" t="s">
        <v>362</v>
      </c>
      <c r="E993" s="20" t="str">
        <f aca="false">IF(P993="?OLD","!!!","")</f>
        <v/>
      </c>
      <c r="F993" s="21" t="str">
        <f aca="false">IF(OR(E993="",E993="!!!"),"",IF(NOT(ISNA(VLOOKUP(E993,Q$1:Q976,1,FALSE()))),"OLD",IF(AND(E993&lt;&gt;"",E993&lt;&gt;"!!!"),"NEW","")))</f>
        <v/>
      </c>
      <c r="G993" s="22" t="str">
        <f aca="false">IF(OR(E993="",E993="!!!"),"",IF(OR(J993=0,AND(J993=1,K993=1),AND(J993=1,I993="SBJ"),AND(J993=1,I993=0)),"?IN_FOCUS",IF(J993&lt;=2,"?ACTIVATED",IF(J993&lt;&gt;"","?FAMILIAR",IF(F993="NEW",IF(ISNA(VLOOKUP(E993,#REF!,1,FALSE())),"?TYPE_IDENTIFIABLE","?REFERENTIAL"),"_")))))</f>
        <v/>
      </c>
      <c r="H993" s="23" t="str">
        <f aca="false">IF(J993&lt;&gt;1,"",IF(I993="SBJ","CB","?"))</f>
        <v/>
      </c>
      <c r="I993" s="24" t="str">
        <f aca="false">IF(OR(E993="",E993="!!!",F993="NEW"),"",INDEX(N$2:N976,-1+SUMPRODUCT(MAX(ROW(E$2:E976)*(E993=E$2:E976)))))</f>
        <v/>
      </c>
      <c r="J993" s="25" t="str">
        <f aca="true">IF(OR(E993="",E993="!!!",F993="NEW"),"",COUNTBLANK(OFFSET(M$1,,,SUMPRODUCT(MAX(ROW(E$2:E977)*(E993=E$2:E977)))))-COUNTBLANK(OFFSET(M$1,,,SUMPRODUCT(MAX(ROW(Q$1:Q976)*(E993=Q$1:Q976))))))</f>
        <v/>
      </c>
      <c r="K993" s="25" t="str">
        <f aca="false">IF(OR(E993="",E993="!!!",F993="NEW"),"",INDEX(V$1:V976,SUMPRODUCT(MAX(ROW(Q$1:Q976)*(E993=Q$1:Q976)))))</f>
        <v/>
      </c>
      <c r="L993" s="26"/>
      <c r="M993" s="27"/>
    </row>
    <row r="994" customFormat="false" ht="15" hidden="false" customHeight="false" outlineLevel="0" collapsed="false">
      <c r="A994" s="19" t="s">
        <v>697</v>
      </c>
      <c r="E994" s="20" t="str">
        <f aca="false">IF(P994="?OLD","!!!","")</f>
        <v/>
      </c>
      <c r="F994" s="21" t="str">
        <f aca="false">IF(OR(E994="",E994="!!!"),"",IF(NOT(ISNA(VLOOKUP(E994,Q$1:Q977,1,FALSE()))),"OLD",IF(AND(E994&lt;&gt;"",E994&lt;&gt;"!!!"),"NEW","")))</f>
        <v/>
      </c>
      <c r="G994" s="22" t="str">
        <f aca="false">IF(OR(E994="",E994="!!!"),"",IF(OR(J994=0,AND(J994=1,K994=1),AND(J994=1,I994="SBJ"),AND(J994=1,I994=0)),"?IN_FOCUS",IF(J994&lt;=2,"?ACTIVATED",IF(J994&lt;&gt;"","?FAMILIAR",IF(F994="NEW",IF(ISNA(VLOOKUP(E994,#REF!,1,FALSE())),"?TYPE_IDENTIFIABLE","?REFERENTIAL"),"_")))))</f>
        <v/>
      </c>
      <c r="H994" s="23" t="str">
        <f aca="false">IF(J994&lt;&gt;1,"",IF(I994="SBJ","CB","?"))</f>
        <v/>
      </c>
      <c r="I994" s="24" t="str">
        <f aca="false">IF(OR(E994="",E994="!!!",F994="NEW"),"",INDEX(N$2:N977,-1+SUMPRODUCT(MAX(ROW(E$2:E977)*(E994=E$2:E977)))))</f>
        <v/>
      </c>
      <c r="J994" s="25" t="str">
        <f aca="true">IF(OR(E994="",E994="!!!",F994="NEW"),"",COUNTBLANK(OFFSET(M$1,,,SUMPRODUCT(MAX(ROW(E$2:E978)*(E994=E$2:E978)))))-COUNTBLANK(OFFSET(M$1,,,SUMPRODUCT(MAX(ROW(Q$1:Q977)*(E994=Q$1:Q977))))))</f>
        <v/>
      </c>
      <c r="K994" s="25" t="str">
        <f aca="false">IF(OR(E994="",E994="!!!",F994="NEW"),"",INDEX(V$1:V977,SUMPRODUCT(MAX(ROW(Q$1:Q977)*(E994=Q$1:Q977)))))</f>
        <v/>
      </c>
      <c r="L994" s="26"/>
      <c r="M994" s="27"/>
    </row>
    <row r="995" customFormat="false" ht="15" hidden="false" customHeight="false" outlineLevel="0" collapsed="false">
      <c r="A995" s="19" t="s">
        <v>248</v>
      </c>
      <c r="E995" s="20" t="str">
        <f aca="false">IF(P995="?OLD","!!!","")</f>
        <v/>
      </c>
      <c r="F995" s="21" t="str">
        <f aca="false">IF(OR(E995="",E995="!!!"),"",IF(NOT(ISNA(VLOOKUP(E995,Q$1:Q978,1,FALSE()))),"OLD",IF(AND(E995&lt;&gt;"",E995&lt;&gt;"!!!"),"NEW","")))</f>
        <v/>
      </c>
      <c r="G995" s="22" t="str">
        <f aca="false">IF(OR(E995="",E995="!!!"),"",IF(OR(J995=0,AND(J995=1,K995=1),AND(J995=1,I995="SBJ"),AND(J995=1,I995=0)),"?IN_FOCUS",IF(J995&lt;=2,"?ACTIVATED",IF(J995&lt;&gt;"","?FAMILIAR",IF(F995="NEW",IF(ISNA(VLOOKUP(E995,#REF!,1,FALSE())),"?TYPE_IDENTIFIABLE","?REFERENTIAL"),"_")))))</f>
        <v/>
      </c>
      <c r="H995" s="23" t="str">
        <f aca="false">IF(J995&lt;&gt;1,"",IF(I995="SBJ","CB","?"))</f>
        <v/>
      </c>
      <c r="I995" s="24" t="str">
        <f aca="false">IF(OR(E995="",E995="!!!",F995="NEW"),"",INDEX(N$2:N978,-1+SUMPRODUCT(MAX(ROW(E$2:E978)*(E995=E$2:E978)))))</f>
        <v/>
      </c>
      <c r="J995" s="25" t="str">
        <f aca="true">IF(OR(E995="",E995="!!!",F995="NEW"),"",COUNTBLANK(OFFSET(M$1,,,SUMPRODUCT(MAX(ROW(E$2:E979)*(E995=E$2:E979)))))-COUNTBLANK(OFFSET(M$1,,,SUMPRODUCT(MAX(ROW(Q$1:Q978)*(E995=Q$1:Q978))))))</f>
        <v/>
      </c>
      <c r="K995" s="25" t="str">
        <f aca="false">IF(OR(E995="",E995="!!!",F995="NEW"),"",INDEX(V$1:V978,SUMPRODUCT(MAX(ROW(Q$1:Q978)*(E995=Q$1:Q978)))))</f>
        <v/>
      </c>
      <c r="L995" s="26"/>
      <c r="M995" s="27"/>
    </row>
    <row r="996" customFormat="false" ht="15" hidden="false" customHeight="false" outlineLevel="0" collapsed="false">
      <c r="A996" s="19" t="s">
        <v>249</v>
      </c>
      <c r="E996" s="20" t="str">
        <f aca="false">IF(P996="?OLD","!!!","")</f>
        <v/>
      </c>
      <c r="F996" s="21" t="str">
        <f aca="false">IF(OR(E996="",E996="!!!"),"",IF(NOT(ISNA(VLOOKUP(E996,Q$1:Q979,1,FALSE()))),"OLD",IF(AND(E996&lt;&gt;"",E996&lt;&gt;"!!!"),"NEW","")))</f>
        <v/>
      </c>
      <c r="G996" s="22" t="str">
        <f aca="false">IF(OR(E996="",E996="!!!"),"",IF(OR(J996=0,AND(J996=1,K996=1),AND(J996=1,I996="SBJ"),AND(J996=1,I996=0)),"?IN_FOCUS",IF(J996&lt;=2,"?ACTIVATED",IF(J996&lt;&gt;"","?FAMILIAR",IF(F996="NEW",IF(ISNA(VLOOKUP(E996,#REF!,1,FALSE())),"?TYPE_IDENTIFIABLE","?REFERENTIAL"),"_")))))</f>
        <v/>
      </c>
      <c r="H996" s="23" t="str">
        <f aca="false">IF(J996&lt;&gt;1,"",IF(I996="SBJ","CB","?"))</f>
        <v/>
      </c>
      <c r="I996" s="24" t="str">
        <f aca="false">IF(OR(E996="",E996="!!!",F996="NEW"),"",INDEX(N$2:N979,-1+SUMPRODUCT(MAX(ROW(E$2:E979)*(E996=E$2:E979)))))</f>
        <v/>
      </c>
      <c r="J996" s="25" t="str">
        <f aca="true">IF(OR(E996="",E996="!!!",F996="NEW"),"",COUNTBLANK(OFFSET(M$1,,,SUMPRODUCT(MAX(ROW(E$2:E980)*(E996=E$2:E980)))))-COUNTBLANK(OFFSET(M$1,,,SUMPRODUCT(MAX(ROW(Q$1:Q979)*(E996=Q$1:Q979))))))</f>
        <v/>
      </c>
      <c r="K996" s="25" t="str">
        <f aca="false">IF(OR(E996="",E996="!!!",F996="NEW"),"",INDEX(V$1:V979,SUMPRODUCT(MAX(ROW(Q$1:Q979)*(E996=Q$1:Q979)))))</f>
        <v/>
      </c>
      <c r="L996" s="26"/>
      <c r="M996" s="27"/>
    </row>
    <row r="997" customFormat="false" ht="15" hidden="false" customHeight="false" outlineLevel="0" collapsed="false">
      <c r="A997" s="19" t="s">
        <v>262</v>
      </c>
      <c r="B997" s="28" t="s">
        <v>251</v>
      </c>
      <c r="C997" s="28" t="s">
        <v>264</v>
      </c>
      <c r="D997" s="28" t="s">
        <v>253</v>
      </c>
      <c r="E997" s="20" t="s">
        <v>440</v>
      </c>
      <c r="F997" s="21" t="str">
        <f aca="false">IF(OR(E997="",E997="!!!"),"",IF(NOT(ISNA(VLOOKUP(E997,Q$1:Q980,1,FALSE()))),"OLD",IF(AND(E997&lt;&gt;"",E997&lt;&gt;"!!!"),"NEW","")))</f>
        <v>NEW</v>
      </c>
      <c r="G997" s="22" t="s">
        <v>266</v>
      </c>
      <c r="H997" s="23" t="s">
        <v>243</v>
      </c>
      <c r="I997" s="24" t="str">
        <f aca="false">IF(OR(E997="",E997="!!!",F997="NEW"),"",INDEX(N$2:N980,-1+SUMPRODUCT(MAX(ROW(E$2:E980)*(E997=E$2:E980)))))</f>
        <v/>
      </c>
      <c r="J997" s="25" t="str">
        <f aca="true">IF(OR(E997="",E997="!!!",F997="NEW"),"",COUNTBLANK(OFFSET(M$1,,,SUMPRODUCT(MAX(ROW(E$2:E981)*(E997=E$2:E981)))))-COUNTBLANK(OFFSET(M$1,,,SUMPRODUCT(MAX(ROW(Q$1:Q980)*(E997=Q$1:Q980))))))</f>
        <v/>
      </c>
      <c r="K997" s="25" t="str">
        <f aca="false">IF(OR(E997="",E997="!!!",F997="NEW"),"",INDEX(V$1:V980,SUMPRODUCT(MAX(ROW(Q$1:Q980)*(E997=Q$1:Q980)))))</f>
        <v/>
      </c>
      <c r="L997" s="26"/>
      <c r="M997" s="27"/>
      <c r="N997" s="29"/>
      <c r="O997" s="29"/>
      <c r="P997" s="29"/>
    </row>
    <row r="998" customFormat="false" ht="15" hidden="false" customHeight="false" outlineLevel="0" collapsed="false">
      <c r="A998" s="19" t="s">
        <v>347</v>
      </c>
      <c r="E998" s="20" t="str">
        <f aca="false">IF(P998="?OLD","!!!","")</f>
        <v/>
      </c>
      <c r="F998" s="21" t="str">
        <f aca="false">IF(OR(E998="",E998="!!!"),"",IF(NOT(ISNA(VLOOKUP(E998,Q$1:Q981,1,FALSE()))),"OLD",IF(AND(E998&lt;&gt;"",E998&lt;&gt;"!!!"),"NEW","")))</f>
        <v/>
      </c>
      <c r="G998" s="22" t="str">
        <f aca="false">IF(OR(E998="",E998="!!!"),"",IF(OR(J998=0,AND(J998=1,K998=1),AND(J998=1,I998="SBJ"),AND(J998=1,I998=0)),"?IN_FOCUS",IF(J998&lt;=2,"?ACTIVATED",IF(J998&lt;&gt;"","?FAMILIAR",IF(F998="NEW",IF(ISNA(VLOOKUP(E998,#REF!,1,FALSE())),"?TYPE_IDENTIFIABLE","?REFERENTIAL"),"_")))))</f>
        <v/>
      </c>
      <c r="H998" s="23" t="str">
        <f aca="false">IF(J998&lt;&gt;1,"",IF(I998="SBJ","CB","?"))</f>
        <v/>
      </c>
      <c r="I998" s="24" t="str">
        <f aca="false">IF(OR(E998="",E998="!!!",F998="NEW"),"",INDEX(N$2:N981,-1+SUMPRODUCT(MAX(ROW(E$2:E981)*(E998=E$2:E981)))))</f>
        <v/>
      </c>
      <c r="J998" s="25" t="str">
        <f aca="true">IF(OR(E998="",E998="!!!",F998="NEW"),"",COUNTBLANK(OFFSET(M$1,,,SUMPRODUCT(MAX(ROW(E$2:E982)*(E998=E$2:E982)))))-COUNTBLANK(OFFSET(M$1,,,SUMPRODUCT(MAX(ROW(Q$1:Q981)*(E998=Q$1:Q981))))))</f>
        <v/>
      </c>
      <c r="K998" s="25" t="str">
        <f aca="false">IF(OR(E998="",E998="!!!",F998="NEW"),"",INDEX(V$1:V981,SUMPRODUCT(MAX(ROW(Q$1:Q981)*(E998=Q$1:Q981)))))</f>
        <v/>
      </c>
      <c r="L998" s="26"/>
      <c r="M998" s="27"/>
    </row>
    <row r="999" customFormat="false" ht="35.05" hidden="false" customHeight="false" outlineLevel="0" collapsed="false">
      <c r="A999" s="19" t="s">
        <v>343</v>
      </c>
      <c r="B999" s="28" t="s">
        <v>286</v>
      </c>
      <c r="C999" s="28" t="s">
        <v>420</v>
      </c>
      <c r="D999" s="28" t="s">
        <v>253</v>
      </c>
      <c r="E999" s="20"/>
      <c r="F999" s="21" t="str">
        <f aca="false">IF(OR(E999="",E999="!!!"),"",IF(NOT(ISNA(VLOOKUP(E999,Q$1:Q982,1,FALSE()))),"OLD",IF(AND(E999&lt;&gt;"",E999&lt;&gt;"!!!"),"NEW","")))</f>
        <v/>
      </c>
      <c r="G999" s="22" t="str">
        <f aca="false">IF(OR(E999="",E999="!!!"),"",IF(OR(J999=0,AND(J999=1,K999=1),AND(J999=1,I999="SBJ"),AND(J999=1,I999=0)),"?IN_FOCUS",IF(J999&lt;=2,"?ACTIVATED",IF(J999&lt;&gt;"","?FAMILIAR",IF(F999="NEW",IF(ISNA(VLOOKUP(E999,#REF!,1,FALSE())),"?TYPE_IDENTIFIABLE","?REFERENTIAL"),"_")))))</f>
        <v/>
      </c>
      <c r="H999" s="23" t="str">
        <f aca="false">IF(J999&lt;&gt;1,"",IF(I999="SBJ","CB","?"))</f>
        <v/>
      </c>
      <c r="I999" s="24" t="str">
        <f aca="false">IF(OR(E999="",E999="!!!",F999="NEW"),"",INDEX(N$2:N982,-1+SUMPRODUCT(MAX(ROW(E$2:E982)*(E999=E$2:E982)))))</f>
        <v/>
      </c>
      <c r="J999" s="25" t="str">
        <f aca="true">IF(OR(E999="",E999="!!!",F999="NEW"),"",COUNTBLANK(OFFSET(M$1,,,SUMPRODUCT(MAX(ROW(E$2:E983)*(E999=E$2:E983)))))-COUNTBLANK(OFFSET(M$1,,,SUMPRODUCT(MAX(ROW(Q$1:Q982)*(E999=Q$1:Q982))))))</f>
        <v/>
      </c>
      <c r="K999" s="25" t="str">
        <f aca="false">IF(OR(E999="",E999="!!!",F999="NEW"),"",INDEX(V$1:V982,SUMPRODUCT(MAX(ROW(Q$1:Q982)*(E999=Q$1:Q982)))))</f>
        <v/>
      </c>
      <c r="L999" s="26" t="s">
        <v>698</v>
      </c>
      <c r="M999" s="27"/>
      <c r="N999" s="29"/>
      <c r="O999" s="29"/>
      <c r="P999" s="29"/>
    </row>
    <row r="1000" customFormat="false" ht="15" hidden="false" customHeight="false" outlineLevel="0" collapsed="false">
      <c r="A1000" s="19" t="s">
        <v>261</v>
      </c>
      <c r="E1000" s="20" t="str">
        <f aca="false">IF(P1000="?OLD","!!!","")</f>
        <v/>
      </c>
      <c r="F1000" s="21" t="str">
        <f aca="false">IF(OR(E1000="",E1000="!!!"),"",IF(NOT(ISNA(VLOOKUP(E1000,Q$1:Q983,1,FALSE()))),"OLD",IF(AND(E1000&lt;&gt;"",E1000&lt;&gt;"!!!"),"NEW","")))</f>
        <v/>
      </c>
      <c r="G1000" s="22" t="str">
        <f aca="false">IF(OR(E1000="",E1000="!!!"),"",IF(OR(J1000=0,AND(J1000=1,K1000=1),AND(J1000=1,I1000="SBJ"),AND(J1000=1,I1000=0)),"?IN_FOCUS",IF(J1000&lt;=2,"?ACTIVATED",IF(J1000&lt;&gt;"","?FAMILIAR",IF(F1000="NEW",IF(ISNA(VLOOKUP(E1000,#REF!,1,FALSE())),"?TYPE_IDENTIFIABLE","?REFERENTIAL"),"_")))))</f>
        <v/>
      </c>
      <c r="H1000" s="23" t="str">
        <f aca="false">IF(J1000&lt;&gt;1,"",IF(I1000="SBJ","CB","?"))</f>
        <v/>
      </c>
      <c r="I1000" s="24" t="str">
        <f aca="false">IF(OR(E1000="",E1000="!!!",F1000="NEW"),"",INDEX(N$2:N983,-1+SUMPRODUCT(MAX(ROW(E$2:E983)*(E1000=E$2:E983)))))</f>
        <v/>
      </c>
      <c r="J1000" s="25" t="str">
        <f aca="true">IF(OR(E1000="",E1000="!!!",F1000="NEW"),"",COUNTBLANK(OFFSET(M$1,,,SUMPRODUCT(MAX(ROW(E$2:E984)*(E1000=E$2:E984)))))-COUNTBLANK(OFFSET(M$1,,,SUMPRODUCT(MAX(ROW(Q$1:Q983)*(E1000=Q$1:Q983))))))</f>
        <v/>
      </c>
      <c r="K1000" s="25" t="str">
        <f aca="false">IF(OR(E1000="",E1000="!!!",F1000="NEW"),"",INDEX(V$1:V983,SUMPRODUCT(MAX(ROW(Q$1:Q983)*(E1000=Q$1:Q983)))))</f>
        <v/>
      </c>
      <c r="L1000" s="26"/>
      <c r="M1000" s="27"/>
    </row>
    <row r="1001" customFormat="false" ht="15" hidden="false" customHeight="false" outlineLevel="0" collapsed="false">
      <c r="A1001" s="19" t="s">
        <v>262</v>
      </c>
      <c r="B1001" s="28" t="s">
        <v>263</v>
      </c>
      <c r="C1001" s="28" t="s">
        <v>264</v>
      </c>
      <c r="D1001" s="28" t="s">
        <v>253</v>
      </c>
      <c r="E1001" s="20" t="s">
        <v>440</v>
      </c>
      <c r="F1001" s="21" t="str">
        <f aca="false">IF(OR(E1001="",E1001="!!!"),"",IF(NOT(ISNA(VLOOKUP(E1001,Q$1:Q984,1,FALSE()))),"OLD",IF(AND(E1001&lt;&gt;"",E1001&lt;&gt;"!!!"),"NEW","")))</f>
        <v>NEW</v>
      </c>
      <c r="G1001" s="22" t="s">
        <v>296</v>
      </c>
      <c r="H1001" s="23" t="str">
        <f aca="false">IF(J1001&lt;&gt;1,"",IF(I1001="SBJ","CB","?"))</f>
        <v/>
      </c>
      <c r="I1001" s="24" t="str">
        <f aca="false">IF(OR(E1001="",E1001="!!!",F1001="NEW"),"",INDEX(N$2:N984,-1+SUMPRODUCT(MAX(ROW(E$2:E984)*(E1001=E$2:E984)))))</f>
        <v/>
      </c>
      <c r="J1001" s="25" t="str">
        <f aca="true">IF(OR(E1001="",E1001="!!!",F1001="NEW"),"",COUNTBLANK(OFFSET(M$1,,,SUMPRODUCT(MAX(ROW(E$2:E985)*(E1001=E$2:E985)))))-COUNTBLANK(OFFSET(M$1,,,SUMPRODUCT(MAX(ROW(Q$1:Q984)*(E1001=Q$1:Q984))))))</f>
        <v/>
      </c>
      <c r="K1001" s="25" t="str">
        <f aca="false">IF(OR(E1001="",E1001="!!!",F1001="NEW"),"",INDEX(V$1:V984,SUMPRODUCT(MAX(ROW(Q$1:Q984)*(E1001=Q$1:Q984)))))</f>
        <v/>
      </c>
      <c r="L1001" s="26"/>
      <c r="M1001" s="27"/>
      <c r="N1001" s="29"/>
      <c r="O1001" s="29"/>
      <c r="P1001" s="29"/>
    </row>
    <row r="1002" customFormat="false" ht="15" hidden="false" customHeight="false" outlineLevel="0" collapsed="false">
      <c r="A1002" s="19" t="s">
        <v>268</v>
      </c>
      <c r="E1002" s="20" t="str">
        <f aca="false">IF(P1002="?OLD","!!!","")</f>
        <v/>
      </c>
      <c r="F1002" s="21" t="str">
        <f aca="false">IF(OR(E1002="",E1002="!!!"),"",IF(NOT(ISNA(VLOOKUP(E1002,Q$1:Q985,1,FALSE()))),"OLD",IF(AND(E1002&lt;&gt;"",E1002&lt;&gt;"!!!"),"NEW","")))</f>
        <v/>
      </c>
      <c r="G1002" s="22" t="str">
        <f aca="false">IF(OR(E1002="",E1002="!!!"),"",IF(OR(J1002=0,AND(J1002=1,K1002=1),AND(J1002=1,I1002="SBJ"),AND(J1002=1,I1002=0)),"?IN_FOCUS",IF(J1002&lt;=2,"?ACTIVATED",IF(J1002&lt;&gt;"","?FAMILIAR",IF(F1002="NEW",IF(ISNA(VLOOKUP(E1002,#REF!,1,FALSE())),"?TYPE_IDENTIFIABLE","?REFERENTIAL"),"_")))))</f>
        <v/>
      </c>
      <c r="H1002" s="23" t="str">
        <f aca="false">IF(J1002&lt;&gt;1,"",IF(I1002="SBJ","CB","?"))</f>
        <v/>
      </c>
      <c r="I1002" s="24" t="str">
        <f aca="false">IF(OR(E1002="",E1002="!!!",F1002="NEW"),"",INDEX(N$2:N985,-1+SUMPRODUCT(MAX(ROW(E$2:E985)*(E1002=E$2:E985)))))</f>
        <v/>
      </c>
      <c r="J1002" s="25" t="str">
        <f aca="true">IF(OR(E1002="",E1002="!!!",F1002="NEW"),"",COUNTBLANK(OFFSET(M$1,,,SUMPRODUCT(MAX(ROW(E$2:E986)*(E1002=E$2:E986)))))-COUNTBLANK(OFFSET(M$1,,,SUMPRODUCT(MAX(ROW(Q$1:Q985)*(E1002=Q$1:Q985))))))</f>
        <v/>
      </c>
      <c r="K1002" s="25" t="str">
        <f aca="false">IF(OR(E1002="",E1002="!!!",F1002="NEW"),"",INDEX(V$1:V985,SUMPRODUCT(MAX(ROW(Q$1:Q985)*(E1002=Q$1:Q985)))))</f>
        <v/>
      </c>
      <c r="L1002" s="26"/>
      <c r="M1002" s="27"/>
    </row>
    <row r="1003" customFormat="false" ht="15" hidden="false" customHeight="false" outlineLevel="0" collapsed="false">
      <c r="A1003" s="19" t="s">
        <v>187</v>
      </c>
      <c r="E1003" s="20" t="str">
        <f aca="false">IF(P1003="?OLD","!!!","")</f>
        <v/>
      </c>
      <c r="F1003" s="21" t="str">
        <f aca="false">IF(OR(E1003="",E1003="!!!"),"",IF(NOT(ISNA(VLOOKUP(E1003,Q$1:Q986,1,FALSE()))),"OLD",IF(AND(E1003&lt;&gt;"",E1003&lt;&gt;"!!!"),"NEW","")))</f>
        <v/>
      </c>
      <c r="G1003" s="22" t="str">
        <f aca="false">IF(OR(E1003="",E1003="!!!"),"",IF(OR(J1003=0,AND(J1003=1,K1003=1),AND(J1003=1,I1003="SBJ"),AND(J1003=1,I1003=0)),"?IN_FOCUS",IF(J1003&lt;=2,"?ACTIVATED",IF(J1003&lt;&gt;"","?FAMILIAR",IF(F1003="NEW",IF(ISNA(VLOOKUP(E1003,#REF!,1,FALSE())),"?TYPE_IDENTIFIABLE","?REFERENTIAL"),"_")))))</f>
        <v/>
      </c>
      <c r="H1003" s="23" t="str">
        <f aca="false">IF(J1003&lt;&gt;1,"",IF(I1003="SBJ","CB","?"))</f>
        <v/>
      </c>
      <c r="I1003" s="24" t="str">
        <f aca="false">IF(OR(E1003="",E1003="!!!",F1003="NEW"),"",INDEX(N$2:N986,-1+SUMPRODUCT(MAX(ROW(E$2:E986)*(E1003=E$2:E986)))))</f>
        <v/>
      </c>
      <c r="J1003" s="25" t="str">
        <f aca="true">IF(OR(E1003="",E1003="!!!",F1003="NEW"),"",COUNTBLANK(OFFSET(M$1,,,SUMPRODUCT(MAX(ROW(E$2:E987)*(E1003=E$2:E987)))))-COUNTBLANK(OFFSET(M$1,,,SUMPRODUCT(MAX(ROW(Q$1:Q986)*(E1003=Q$1:Q986))))))</f>
        <v/>
      </c>
      <c r="K1003" s="25" t="str">
        <f aca="false">IF(OR(E1003="",E1003="!!!",F1003="NEW"),"",INDEX(V$1:V986,SUMPRODUCT(MAX(ROW(Q$1:Q986)*(E1003=Q$1:Q986)))))</f>
        <v/>
      </c>
      <c r="L1003" s="26"/>
      <c r="M1003" s="27"/>
    </row>
    <row r="1004" customFormat="false" ht="15" hidden="false" customHeight="false" outlineLevel="0" collapsed="false">
      <c r="A1004" s="19" t="s">
        <v>309</v>
      </c>
      <c r="E1004" s="20" t="str">
        <f aca="false">IF(P1004="?OLD","!!!","")</f>
        <v/>
      </c>
      <c r="F1004" s="21" t="str">
        <f aca="false">IF(OR(E1004="",E1004="!!!"),"",IF(NOT(ISNA(VLOOKUP(E1004,Q$1:Q987,1,FALSE()))),"OLD",IF(AND(E1004&lt;&gt;"",E1004&lt;&gt;"!!!"),"NEW","")))</f>
        <v/>
      </c>
      <c r="G1004" s="22" t="str">
        <f aca="false">IF(OR(E1004="",E1004="!!!"),"",IF(OR(J1004=0,AND(J1004=1,K1004=1),AND(J1004=1,I1004="SBJ"),AND(J1004=1,I1004=0)),"?IN_FOCUS",IF(J1004&lt;=2,"?ACTIVATED",IF(J1004&lt;&gt;"","?FAMILIAR",IF(F1004="NEW",IF(ISNA(VLOOKUP(E1004,#REF!,1,FALSE())),"?TYPE_IDENTIFIABLE","?REFERENTIAL"),"_")))))</f>
        <v/>
      </c>
      <c r="H1004" s="23" t="str">
        <f aca="false">IF(J1004&lt;&gt;1,"",IF(I1004="SBJ","CB","?"))</f>
        <v/>
      </c>
      <c r="I1004" s="24" t="str">
        <f aca="false">IF(OR(E1004="",E1004="!!!",F1004="NEW"),"",INDEX(N$2:N987,-1+SUMPRODUCT(MAX(ROW(E$2:E987)*(E1004=E$2:E987)))))</f>
        <v/>
      </c>
      <c r="J1004" s="25" t="str">
        <f aca="true">IF(OR(E1004="",E1004="!!!",F1004="NEW"),"",COUNTBLANK(OFFSET(M$1,,,SUMPRODUCT(MAX(ROW(E$2:E988)*(E1004=E$2:E988)))))-COUNTBLANK(OFFSET(M$1,,,SUMPRODUCT(MAX(ROW(Q$1:Q987)*(E1004=Q$1:Q987))))))</f>
        <v/>
      </c>
      <c r="K1004" s="25" t="str">
        <f aca="false">IF(OR(E1004="",E1004="!!!",F1004="NEW"),"",INDEX(V$1:V987,SUMPRODUCT(MAX(ROW(Q$1:Q987)*(E1004=Q$1:Q987)))))</f>
        <v/>
      </c>
      <c r="L1004" s="26"/>
      <c r="M1004" s="27"/>
    </row>
    <row r="1005" customFormat="false" ht="15" hidden="false" customHeight="false" outlineLevel="0" collapsed="false">
      <c r="A1005" s="19" t="s">
        <v>250</v>
      </c>
      <c r="E1005" s="20" t="str">
        <f aca="false">IF(P1005="?OLD","!!!","")</f>
        <v/>
      </c>
      <c r="F1005" s="21" t="str">
        <f aca="false">IF(OR(E1005="",E1005="!!!"),"",IF(NOT(ISNA(VLOOKUP(E1005,Q$1:Q988,1,FALSE()))),"OLD",IF(AND(E1005&lt;&gt;"",E1005&lt;&gt;"!!!"),"NEW","")))</f>
        <v/>
      </c>
      <c r="G1005" s="22" t="str">
        <f aca="false">IF(OR(E1005="",E1005="!!!"),"",IF(OR(J1005=0,AND(J1005=1,K1005=1),AND(J1005=1,I1005="SBJ"),AND(J1005=1,I1005=0)),"?IN_FOCUS",IF(J1005&lt;=2,"?ACTIVATED",IF(J1005&lt;&gt;"","?FAMILIAR",IF(F1005="NEW",IF(ISNA(VLOOKUP(E1005,#REF!,1,FALSE())),"?TYPE_IDENTIFIABLE","?REFERENTIAL"),"_")))))</f>
        <v/>
      </c>
      <c r="H1005" s="23" t="str">
        <f aca="false">IF(J1005&lt;&gt;1,"",IF(I1005="SBJ","CB","?"))</f>
        <v/>
      </c>
      <c r="I1005" s="24" t="str">
        <f aca="false">IF(OR(E1005="",E1005="!!!",F1005="NEW"),"",INDEX(N$2:N988,-1+SUMPRODUCT(MAX(ROW(E$2:E988)*(E1005=E$2:E988)))))</f>
        <v/>
      </c>
      <c r="J1005" s="25" t="str">
        <f aca="true">IF(OR(E1005="",E1005="!!!",F1005="NEW"),"",COUNTBLANK(OFFSET(M$1,,,SUMPRODUCT(MAX(ROW(E$2:E989)*(E1005=E$2:E989)))))-COUNTBLANK(OFFSET(M$1,,,SUMPRODUCT(MAX(ROW(Q$1:Q988)*(E1005=Q$1:Q988))))))</f>
        <v/>
      </c>
      <c r="K1005" s="25" t="str">
        <f aca="false">IF(OR(E1005="",E1005="!!!",F1005="NEW"),"",INDEX(V$1:V988,SUMPRODUCT(MAX(ROW(Q$1:Q988)*(E1005=Q$1:Q988)))))</f>
        <v/>
      </c>
      <c r="L1005" s="26"/>
      <c r="M1005" s="27"/>
    </row>
    <row r="1006" customFormat="false" ht="15" hidden="false" customHeight="false" outlineLevel="0" collapsed="false">
      <c r="A1006" s="19" t="s">
        <v>599</v>
      </c>
      <c r="B1006" s="28" t="s">
        <v>271</v>
      </c>
      <c r="C1006" s="28" t="s">
        <v>252</v>
      </c>
      <c r="D1006" s="28" t="s">
        <v>253</v>
      </c>
      <c r="E1006" s="20" t="s">
        <v>699</v>
      </c>
      <c r="F1006" s="21" t="str">
        <f aca="false">IF(OR(E1006="",E1006="!!!"),"",IF(NOT(ISNA(VLOOKUP(E1006,Q$1:Q989,1,FALSE()))),"OLD",IF(AND(E1006&lt;&gt;"",E1006&lt;&gt;"!!!"),"NEW","")))</f>
        <v>NEW</v>
      </c>
      <c r="G1006" s="22" t="s">
        <v>255</v>
      </c>
      <c r="H1006" s="23" t="str">
        <f aca="false">IF(J1006&lt;&gt;1,"",IF(I1006="SBJ","CB","?"))</f>
        <v/>
      </c>
      <c r="I1006" s="24" t="str">
        <f aca="false">IF(OR(E1006="",E1006="!!!",F1006="NEW"),"",INDEX(N$2:N989,-1+SUMPRODUCT(MAX(ROW(E$2:E989)*(E1006=E$2:E989)))))</f>
        <v/>
      </c>
      <c r="J1006" s="25" t="str">
        <f aca="true">IF(OR(E1006="",E1006="!!!",F1006="NEW"),"",COUNTBLANK(OFFSET(M$1,,,SUMPRODUCT(MAX(ROW(E$2:E990)*(E1006=E$2:E990)))))-COUNTBLANK(OFFSET(M$1,,,SUMPRODUCT(MAX(ROW(Q$1:Q989)*(E1006=Q$1:Q989))))))</f>
        <v/>
      </c>
      <c r="K1006" s="25" t="str">
        <f aca="false">IF(OR(E1006="",E1006="!!!",F1006="NEW"),"",INDEX(V$1:V989,SUMPRODUCT(MAX(ROW(Q$1:Q989)*(E1006=Q$1:Q989)))))</f>
        <v/>
      </c>
      <c r="L1006" s="26"/>
      <c r="M1006" s="27"/>
      <c r="N1006" s="29"/>
      <c r="O1006" s="29"/>
      <c r="P1006" s="29"/>
    </row>
    <row r="1007" customFormat="false" ht="15" hidden="false" customHeight="false" outlineLevel="0" collapsed="false">
      <c r="A1007" s="19" t="s">
        <v>261</v>
      </c>
      <c r="E1007" s="20" t="str">
        <f aca="false">IF(P1007="?OLD","!!!","")</f>
        <v/>
      </c>
      <c r="F1007" s="21" t="str">
        <f aca="false">IF(OR(E1007="",E1007="!!!"),"",IF(NOT(ISNA(VLOOKUP(E1007,Q$1:Q990,1,FALSE()))),"OLD",IF(AND(E1007&lt;&gt;"",E1007&lt;&gt;"!!!"),"NEW","")))</f>
        <v/>
      </c>
      <c r="G1007" s="22" t="str">
        <f aca="false">IF(OR(E1007="",E1007="!!!"),"",IF(OR(J1007=0,AND(J1007=1,K1007=1),AND(J1007=1,I1007="SBJ"),AND(J1007=1,I1007=0)),"?IN_FOCUS",IF(J1007&lt;=2,"?ACTIVATED",IF(J1007&lt;&gt;"","?FAMILIAR",IF(F1007="NEW",IF(ISNA(VLOOKUP(E1007,#REF!,1,FALSE())),"?TYPE_IDENTIFIABLE","?REFERENTIAL"),"_")))))</f>
        <v/>
      </c>
      <c r="H1007" s="23" t="str">
        <f aca="false">IF(J1007&lt;&gt;1,"",IF(I1007="SBJ","CB","?"))</f>
        <v/>
      </c>
      <c r="I1007" s="24" t="str">
        <f aca="false">IF(OR(E1007="",E1007="!!!",F1007="NEW"),"",INDEX(N$2:N990,-1+SUMPRODUCT(MAX(ROW(E$2:E990)*(E1007=E$2:E990)))))</f>
        <v/>
      </c>
      <c r="J1007" s="25" t="str">
        <f aca="true">IF(OR(E1007="",E1007="!!!",F1007="NEW"),"",COUNTBLANK(OFFSET(M$1,,,SUMPRODUCT(MAX(ROW(E$2:E991)*(E1007=E$2:E991)))))-COUNTBLANK(OFFSET(M$1,,,SUMPRODUCT(MAX(ROW(Q$1:Q990)*(E1007=Q$1:Q990))))))</f>
        <v/>
      </c>
      <c r="K1007" s="25" t="str">
        <f aca="false">IF(OR(E1007="",E1007="!!!",F1007="NEW"),"",INDEX(V$1:V990,SUMPRODUCT(MAX(ROW(Q$1:Q990)*(E1007=Q$1:Q990)))))</f>
        <v/>
      </c>
      <c r="L1007" s="26"/>
      <c r="M1007" s="27"/>
    </row>
    <row r="1008" customFormat="false" ht="15" hidden="false" customHeight="false" outlineLevel="0" collapsed="false">
      <c r="A1008" s="19" t="s">
        <v>294</v>
      </c>
      <c r="E1008" s="20" t="str">
        <f aca="false">IF(P1008="?OLD","!!!","")</f>
        <v/>
      </c>
      <c r="F1008" s="21" t="str">
        <f aca="false">IF(OR(E1008="",E1008="!!!"),"",IF(NOT(ISNA(VLOOKUP(E1008,Q$1:Q991,1,FALSE()))),"OLD",IF(AND(E1008&lt;&gt;"",E1008&lt;&gt;"!!!"),"NEW","")))</f>
        <v/>
      </c>
      <c r="G1008" s="22" t="str">
        <f aca="false">IF(OR(E1008="",E1008="!!!"),"",IF(OR(J1008=0,AND(J1008=1,K1008=1),AND(J1008=1,I1008="SBJ"),AND(J1008=1,I1008=0)),"?IN_FOCUS",IF(J1008&lt;=2,"?ACTIVATED",IF(J1008&lt;&gt;"","?FAMILIAR",IF(F1008="NEW",IF(ISNA(VLOOKUP(E1008,#REF!,1,FALSE())),"?TYPE_IDENTIFIABLE","?REFERENTIAL"),"_")))))</f>
        <v/>
      </c>
      <c r="H1008" s="23" t="str">
        <f aca="false">IF(J1008&lt;&gt;1,"",IF(I1008="SBJ","CB","?"))</f>
        <v/>
      </c>
      <c r="I1008" s="24" t="str">
        <f aca="false">IF(OR(E1008="",E1008="!!!",F1008="NEW"),"",INDEX(N$2:N991,-1+SUMPRODUCT(MAX(ROW(E$2:E991)*(E1008=E$2:E991)))))</f>
        <v/>
      </c>
      <c r="J1008" s="25" t="str">
        <f aca="true">IF(OR(E1008="",E1008="!!!",F1008="NEW"),"",COUNTBLANK(OFFSET(M$1,,,SUMPRODUCT(MAX(ROW(E$2:E992)*(E1008=E$2:E992)))))-COUNTBLANK(OFFSET(M$1,,,SUMPRODUCT(MAX(ROW(Q$1:Q991)*(E1008=Q$1:Q991))))))</f>
        <v/>
      </c>
      <c r="K1008" s="25" t="str">
        <f aca="false">IF(OR(E1008="",E1008="!!!",F1008="NEW"),"",INDEX(V$1:V991,SUMPRODUCT(MAX(ROW(Q$1:Q991)*(E1008=Q$1:Q991)))))</f>
        <v/>
      </c>
      <c r="L1008" s="26"/>
      <c r="M1008" s="27"/>
    </row>
    <row r="1009" customFormat="false" ht="15" hidden="false" customHeight="false" outlineLevel="0" collapsed="false">
      <c r="A1009" s="19" t="s">
        <v>426</v>
      </c>
      <c r="E1009" s="20" t="str">
        <f aca="false">IF(P1009="?OLD","!!!","")</f>
        <v/>
      </c>
      <c r="F1009" s="21" t="str">
        <f aca="false">IF(OR(E1009="",E1009="!!!"),"",IF(NOT(ISNA(VLOOKUP(E1009,Q$1:Q992,1,FALSE()))),"OLD",IF(AND(E1009&lt;&gt;"",E1009&lt;&gt;"!!!"),"NEW","")))</f>
        <v/>
      </c>
      <c r="G1009" s="22" t="str">
        <f aca="false">IF(OR(E1009="",E1009="!!!"),"",IF(OR(J1009=0,AND(J1009=1,K1009=1),AND(J1009=1,I1009="SBJ"),AND(J1009=1,I1009=0)),"?IN_FOCUS",IF(J1009&lt;=2,"?ACTIVATED",IF(J1009&lt;&gt;"","?FAMILIAR",IF(F1009="NEW",IF(ISNA(VLOOKUP(E1009,#REF!,1,FALSE())),"?TYPE_IDENTIFIABLE","?REFERENTIAL"),"_")))))</f>
        <v/>
      </c>
      <c r="H1009" s="23" t="str">
        <f aca="false">IF(J1009&lt;&gt;1,"",IF(I1009="SBJ","CB","?"))</f>
        <v/>
      </c>
      <c r="I1009" s="24" t="str">
        <f aca="false">IF(OR(E1009="",E1009="!!!",F1009="NEW"),"",INDEX(N$2:N992,-1+SUMPRODUCT(MAX(ROW(E$2:E992)*(E1009=E$2:E992)))))</f>
        <v/>
      </c>
      <c r="J1009" s="25" t="str">
        <f aca="true">IF(OR(E1009="",E1009="!!!",F1009="NEW"),"",COUNTBLANK(OFFSET(M$1,,,SUMPRODUCT(MAX(ROW(E$2:E993)*(E1009=E$2:E993)))))-COUNTBLANK(OFFSET(M$1,,,SUMPRODUCT(MAX(ROW(Q$1:Q992)*(E1009=Q$1:Q992))))))</f>
        <v/>
      </c>
      <c r="K1009" s="25" t="str">
        <f aca="false">IF(OR(E1009="",E1009="!!!",F1009="NEW"),"",INDEX(V$1:V992,SUMPRODUCT(MAX(ROW(Q$1:Q992)*(E1009=Q$1:Q992)))))</f>
        <v/>
      </c>
      <c r="L1009" s="26"/>
      <c r="M1009" s="27"/>
    </row>
    <row r="1010" customFormat="false" ht="15" hidden="false" customHeight="false" outlineLevel="0" collapsed="false">
      <c r="A1010" s="19" t="s">
        <v>309</v>
      </c>
      <c r="E1010" s="20" t="str">
        <f aca="false">IF(P1010="?OLD","!!!","")</f>
        <v/>
      </c>
      <c r="F1010" s="21" t="str">
        <f aca="false">IF(OR(E1010="",E1010="!!!"),"",IF(NOT(ISNA(VLOOKUP(E1010,Q$1:Q993,1,FALSE()))),"OLD",IF(AND(E1010&lt;&gt;"",E1010&lt;&gt;"!!!"),"NEW","")))</f>
        <v/>
      </c>
      <c r="G1010" s="22" t="str">
        <f aca="false">IF(OR(E1010="",E1010="!!!"),"",IF(OR(J1010=0,AND(J1010=1,K1010=1),AND(J1010=1,I1010="SBJ"),AND(J1010=1,I1010=0)),"?IN_FOCUS",IF(J1010&lt;=2,"?ACTIVATED",IF(J1010&lt;&gt;"","?FAMILIAR",IF(F1010="NEW",IF(ISNA(VLOOKUP(E1010,#REF!,1,FALSE())),"?TYPE_IDENTIFIABLE","?REFERENTIAL"),"_")))))</f>
        <v/>
      </c>
      <c r="H1010" s="23" t="str">
        <f aca="false">IF(J1010&lt;&gt;1,"",IF(I1010="SBJ","CB","?"))</f>
        <v/>
      </c>
      <c r="I1010" s="24" t="str">
        <f aca="false">IF(OR(E1010="",E1010="!!!",F1010="NEW"),"",INDEX(N$2:N993,-1+SUMPRODUCT(MAX(ROW(E$2:E993)*(E1010=E$2:E993)))))</f>
        <v/>
      </c>
      <c r="J1010" s="25" t="str">
        <f aca="true">IF(OR(E1010="",E1010="!!!",F1010="NEW"),"",COUNTBLANK(OFFSET(M$1,,,SUMPRODUCT(MAX(ROW(E$2:E994)*(E1010=E$2:E994)))))-COUNTBLANK(OFFSET(M$1,,,SUMPRODUCT(MAX(ROW(Q$1:Q993)*(E1010=Q$1:Q993))))))</f>
        <v/>
      </c>
      <c r="K1010" s="25" t="str">
        <f aca="false">IF(OR(E1010="",E1010="!!!",F1010="NEW"),"",INDEX(V$1:V993,SUMPRODUCT(MAX(ROW(Q$1:Q993)*(E1010=Q$1:Q993)))))</f>
        <v/>
      </c>
      <c r="L1010" s="26"/>
      <c r="M1010" s="27"/>
    </row>
    <row r="1011" customFormat="false" ht="15" hidden="false" customHeight="false" outlineLevel="0" collapsed="false">
      <c r="A1011" s="19" t="s">
        <v>66</v>
      </c>
      <c r="B1011" s="28" t="s">
        <v>306</v>
      </c>
      <c r="C1011" s="28" t="s">
        <v>333</v>
      </c>
      <c r="D1011" s="28" t="s">
        <v>253</v>
      </c>
      <c r="E1011" s="20" t="s">
        <v>66</v>
      </c>
      <c r="F1011" s="21" t="str">
        <f aca="false">IF(OR(E1011="",E1011="!!!"),"",IF(NOT(ISNA(VLOOKUP(E1011,Q$1:Q994,1,FALSE()))),"OLD",IF(AND(E1011&lt;&gt;"",E1011&lt;&gt;"!!!"),"NEW","")))</f>
        <v>NEW</v>
      </c>
      <c r="G1011" s="22" t="s">
        <v>283</v>
      </c>
      <c r="H1011" s="23" t="str">
        <f aca="false">IF(J1011&lt;&gt;1,"",IF(I1011="SBJ","CB","?"))</f>
        <v/>
      </c>
      <c r="I1011" s="24" t="str">
        <f aca="false">IF(OR(E1011="",E1011="!!!",F1011="NEW"),"",INDEX(N$2:N994,-1+SUMPRODUCT(MAX(ROW(E$2:E994)*(E1011=E$2:E994)))))</f>
        <v/>
      </c>
      <c r="J1011" s="25" t="str">
        <f aca="true">IF(OR(E1011="",E1011="!!!",F1011="NEW"),"",COUNTBLANK(OFFSET(M$1,,,SUMPRODUCT(MAX(ROW(E$2:E995)*(E1011=E$2:E995)))))-COUNTBLANK(OFFSET(M$1,,,SUMPRODUCT(MAX(ROW(Q$1:Q994)*(E1011=Q$1:Q994))))))</f>
        <v/>
      </c>
      <c r="K1011" s="25" t="str">
        <f aca="false">IF(OR(E1011="",E1011="!!!",F1011="NEW"),"",INDEX(V$1:V994,SUMPRODUCT(MAX(ROW(Q$1:Q994)*(E1011=Q$1:Q994)))))</f>
        <v/>
      </c>
      <c r="L1011" s="26"/>
      <c r="M1011" s="27"/>
      <c r="N1011" s="29"/>
      <c r="O1011" s="29"/>
      <c r="P1011" s="29"/>
    </row>
    <row r="1012" customFormat="false" ht="15" hidden="false" customHeight="false" outlineLevel="0" collapsed="false">
      <c r="A1012" s="19" t="s">
        <v>294</v>
      </c>
      <c r="E1012" s="20" t="str">
        <f aca="false">IF(P1012="?OLD","!!!","")</f>
        <v/>
      </c>
      <c r="F1012" s="21" t="str">
        <f aca="false">IF(OR(E1012="",E1012="!!!"),"",IF(NOT(ISNA(VLOOKUP(E1012,Q$1:Q995,1,FALSE()))),"OLD",IF(AND(E1012&lt;&gt;"",E1012&lt;&gt;"!!!"),"NEW","")))</f>
        <v/>
      </c>
      <c r="G1012" s="22" t="str">
        <f aca="false">IF(OR(E1012="",E1012="!!!"),"",IF(OR(J1012=0,AND(J1012=1,K1012=1),AND(J1012=1,I1012="SBJ"),AND(J1012=1,I1012=0)),"?IN_FOCUS",IF(J1012&lt;=2,"?ACTIVATED",IF(J1012&lt;&gt;"","?FAMILIAR",IF(F1012="NEW",IF(ISNA(VLOOKUP(E1012,#REF!,1,FALSE())),"?TYPE_IDENTIFIABLE","?REFERENTIAL"),"_")))))</f>
        <v/>
      </c>
      <c r="H1012" s="23" t="str">
        <f aca="false">IF(J1012&lt;&gt;1,"",IF(I1012="SBJ","CB","?"))</f>
        <v/>
      </c>
      <c r="I1012" s="24" t="str">
        <f aca="false">IF(OR(E1012="",E1012="!!!",F1012="NEW"),"",INDEX(N$2:N995,-1+SUMPRODUCT(MAX(ROW(E$2:E995)*(E1012=E$2:E995)))))</f>
        <v/>
      </c>
      <c r="J1012" s="25" t="str">
        <f aca="true">IF(OR(E1012="",E1012="!!!",F1012="NEW"),"",COUNTBLANK(OFFSET(M$1,,,SUMPRODUCT(MAX(ROW(E$2:E996)*(E1012=E$2:E996)))))-COUNTBLANK(OFFSET(M$1,,,SUMPRODUCT(MAX(ROW(Q$1:Q995)*(E1012=Q$1:Q995))))))</f>
        <v/>
      </c>
      <c r="K1012" s="25" t="str">
        <f aca="false">IF(OR(E1012="",E1012="!!!",F1012="NEW"),"",INDEX(V$1:V995,SUMPRODUCT(MAX(ROW(Q$1:Q995)*(E1012=Q$1:Q995)))))</f>
        <v/>
      </c>
      <c r="L1012" s="26"/>
      <c r="M1012" s="27"/>
    </row>
    <row r="1013" customFormat="false" ht="15" hidden="false" customHeight="false" outlineLevel="0" collapsed="false">
      <c r="A1013" s="19" t="s">
        <v>250</v>
      </c>
      <c r="E1013" s="20" t="str">
        <f aca="false">IF(P1013="?OLD","!!!","")</f>
        <v/>
      </c>
      <c r="F1013" s="21" t="str">
        <f aca="false">IF(OR(E1013="",E1013="!!!"),"",IF(NOT(ISNA(VLOOKUP(E1013,Q$1:Q996,1,FALSE()))),"OLD",IF(AND(E1013&lt;&gt;"",E1013&lt;&gt;"!!!"),"NEW","")))</f>
        <v/>
      </c>
      <c r="G1013" s="22" t="str">
        <f aca="false">IF(OR(E1013="",E1013="!!!"),"",IF(OR(J1013=0,AND(J1013=1,K1013=1),AND(J1013=1,I1013="SBJ"),AND(J1013=1,I1013=0)),"?IN_FOCUS",IF(J1013&lt;=2,"?ACTIVATED",IF(J1013&lt;&gt;"","?FAMILIAR",IF(F1013="NEW",IF(ISNA(VLOOKUP(E1013,#REF!,1,FALSE())),"?TYPE_IDENTIFIABLE","?REFERENTIAL"),"_")))))</f>
        <v/>
      </c>
      <c r="H1013" s="23" t="str">
        <f aca="false">IF(J1013&lt;&gt;1,"",IF(I1013="SBJ","CB","?"))</f>
        <v/>
      </c>
      <c r="I1013" s="24" t="str">
        <f aca="false">IF(OR(E1013="",E1013="!!!",F1013="NEW"),"",INDEX(N$2:N996,-1+SUMPRODUCT(MAX(ROW(E$2:E996)*(E1013=E$2:E996)))))</f>
        <v/>
      </c>
      <c r="J1013" s="25" t="str">
        <f aca="true">IF(OR(E1013="",E1013="!!!",F1013="NEW"),"",COUNTBLANK(OFFSET(M$1,,,SUMPRODUCT(MAX(ROW(E$2:E997)*(E1013=E$2:E997)))))-COUNTBLANK(OFFSET(M$1,,,SUMPRODUCT(MAX(ROW(Q$1:Q996)*(E1013=Q$1:Q996))))))</f>
        <v/>
      </c>
      <c r="K1013" s="25" t="str">
        <f aca="false">IF(OR(E1013="",E1013="!!!",F1013="NEW"),"",INDEX(V$1:V996,SUMPRODUCT(MAX(ROW(Q$1:Q996)*(E1013=Q$1:Q996)))))</f>
        <v/>
      </c>
      <c r="L1013" s="26"/>
      <c r="M1013" s="27"/>
    </row>
    <row r="1014" customFormat="false" ht="15" hidden="false" customHeight="false" outlineLevel="0" collapsed="false">
      <c r="A1014" s="19" t="s">
        <v>700</v>
      </c>
      <c r="B1014" s="28" t="s">
        <v>258</v>
      </c>
      <c r="C1014" s="28" t="s">
        <v>252</v>
      </c>
      <c r="D1014" s="28" t="s">
        <v>253</v>
      </c>
      <c r="E1014" s="20" t="s">
        <v>701</v>
      </c>
      <c r="F1014" s="21" t="str">
        <f aca="false">IF(OR(E1014="",E1014="!!!"),"",IF(NOT(ISNA(VLOOKUP(E1014,Q$1:Q997,1,FALSE()))),"OLD",IF(AND(E1014&lt;&gt;"",E1014&lt;&gt;"!!!"),"NEW","")))</f>
        <v>NEW</v>
      </c>
      <c r="G1014" s="22" t="s">
        <v>255</v>
      </c>
      <c r="H1014" s="23" t="str">
        <f aca="false">IF(J1014&lt;&gt;1,"",IF(I1014="SBJ","CB","?"))</f>
        <v/>
      </c>
      <c r="I1014" s="24" t="str">
        <f aca="false">IF(OR(E1014="",E1014="!!!",F1014="NEW"),"",INDEX(N$2:N997,-1+SUMPRODUCT(MAX(ROW(E$2:E997)*(E1014=E$2:E997)))))</f>
        <v/>
      </c>
      <c r="J1014" s="25" t="str">
        <f aca="true">IF(OR(E1014="",E1014="!!!",F1014="NEW"),"",COUNTBLANK(OFFSET(M$1,,,SUMPRODUCT(MAX(ROW(E$2:E998)*(E1014=E$2:E998)))))-COUNTBLANK(OFFSET(M$1,,,SUMPRODUCT(MAX(ROW(Q$1:Q997)*(E1014=Q$1:Q997))))))</f>
        <v/>
      </c>
      <c r="K1014" s="25" t="str">
        <f aca="false">IF(OR(E1014="",E1014="!!!",F1014="NEW"),"",INDEX(V$1:V997,SUMPRODUCT(MAX(ROW(Q$1:Q997)*(E1014=Q$1:Q997)))))</f>
        <v/>
      </c>
      <c r="L1014" s="26"/>
      <c r="M1014" s="27"/>
      <c r="N1014" s="29"/>
      <c r="O1014" s="29"/>
      <c r="P1014" s="29"/>
    </row>
    <row r="1015" customFormat="false" ht="15" hidden="false" customHeight="false" outlineLevel="0" collapsed="false">
      <c r="A1015" s="19" t="s">
        <v>256</v>
      </c>
      <c r="E1015" s="20" t="str">
        <f aca="false">IF(P1015="?OLD","!!!","")</f>
        <v/>
      </c>
      <c r="F1015" s="21" t="str">
        <f aca="false">IF(OR(E1015="",E1015="!!!"),"",IF(NOT(ISNA(VLOOKUP(E1015,Q$1:Q998,1,FALSE()))),"OLD",IF(AND(E1015&lt;&gt;"",E1015&lt;&gt;"!!!"),"NEW","")))</f>
        <v/>
      </c>
      <c r="G1015" s="22" t="str">
        <f aca="false">IF(OR(E1015="",E1015="!!!"),"",IF(OR(J1015=0,AND(J1015=1,K1015=1),AND(J1015=1,I1015="SBJ"),AND(J1015=1,I1015=0)),"?IN_FOCUS",IF(J1015&lt;=2,"?ACTIVATED",IF(J1015&lt;&gt;"","?FAMILIAR",IF(F1015="NEW",IF(ISNA(VLOOKUP(E1015,#REF!,1,FALSE())),"?TYPE_IDENTIFIABLE","?REFERENTIAL"),"_")))))</f>
        <v/>
      </c>
      <c r="H1015" s="23" t="str">
        <f aca="false">IF(J1015&lt;&gt;1,"",IF(I1015="SBJ","CB","?"))</f>
        <v/>
      </c>
      <c r="I1015" s="24" t="str">
        <f aca="false">IF(OR(E1015="",E1015="!!!",F1015="NEW"),"",INDEX(N$2:N998,-1+SUMPRODUCT(MAX(ROW(E$2:E998)*(E1015=E$2:E998)))))</f>
        <v/>
      </c>
      <c r="J1015" s="25" t="str">
        <f aca="true">IF(OR(E1015="",E1015="!!!",F1015="NEW"),"",COUNTBLANK(OFFSET(M$1,,,SUMPRODUCT(MAX(ROW(E$2:E999)*(E1015=E$2:E999)))))-COUNTBLANK(OFFSET(M$1,,,SUMPRODUCT(MAX(ROW(Q$1:Q998)*(E1015=Q$1:Q998))))))</f>
        <v/>
      </c>
      <c r="K1015" s="25" t="str">
        <f aca="false">IF(OR(E1015="",E1015="!!!",F1015="NEW"),"",INDEX(V$1:V998,SUMPRODUCT(MAX(ROW(Q$1:Q998)*(E1015=Q$1:Q998)))))</f>
        <v/>
      </c>
      <c r="L1015" s="26"/>
      <c r="M1015" s="27"/>
    </row>
    <row r="1016" customFormat="false" ht="15" hidden="false" customHeight="false" outlineLevel="0" collapsed="false">
      <c r="A1016" s="19" t="s">
        <v>250</v>
      </c>
      <c r="E1016" s="20" t="str">
        <f aca="false">IF(P1016="?OLD","!!!","")</f>
        <v/>
      </c>
      <c r="F1016" s="21" t="str">
        <f aca="false">IF(OR(E1016="",E1016="!!!"),"",IF(NOT(ISNA(VLOOKUP(E1016,Q$1:Q999,1,FALSE()))),"OLD",IF(AND(E1016&lt;&gt;"",E1016&lt;&gt;"!!!"),"NEW","")))</f>
        <v/>
      </c>
      <c r="G1016" s="22" t="str">
        <f aca="false">IF(OR(E1016="",E1016="!!!"),"",IF(OR(J1016=0,AND(J1016=1,K1016=1),AND(J1016=1,I1016="SBJ"),AND(J1016=1,I1016=0)),"?IN_FOCUS",IF(J1016&lt;=2,"?ACTIVATED",IF(J1016&lt;&gt;"","?FAMILIAR",IF(F1016="NEW",IF(ISNA(VLOOKUP(E1016,#REF!,1,FALSE())),"?TYPE_IDENTIFIABLE","?REFERENTIAL"),"_")))))</f>
        <v/>
      </c>
      <c r="H1016" s="23" t="str">
        <f aca="false">IF(J1016&lt;&gt;1,"",IF(I1016="SBJ","CB","?"))</f>
        <v/>
      </c>
      <c r="I1016" s="24" t="str">
        <f aca="false">IF(OR(E1016="",E1016="!!!",F1016="NEW"),"",INDEX(N$2:N999,-1+SUMPRODUCT(MAX(ROW(E$2:E999)*(E1016=E$2:E999)))))</f>
        <v/>
      </c>
      <c r="J1016" s="25" t="str">
        <f aca="true">IF(OR(E1016="",E1016="!!!",F1016="NEW"),"",COUNTBLANK(OFFSET(M$1,,,SUMPRODUCT(MAX(ROW(E$2:E1000)*(E1016=E$2:E1000)))))-COUNTBLANK(OFFSET(M$1,,,SUMPRODUCT(MAX(ROW(Q$1:Q999)*(E1016=Q$1:Q999))))))</f>
        <v/>
      </c>
      <c r="K1016" s="25" t="str">
        <f aca="false">IF(OR(E1016="",E1016="!!!",F1016="NEW"),"",INDEX(V$1:V999,SUMPRODUCT(MAX(ROW(Q$1:Q999)*(E1016=Q$1:Q999)))))</f>
        <v/>
      </c>
      <c r="L1016" s="26"/>
      <c r="M1016" s="27"/>
    </row>
    <row r="1017" customFormat="false" ht="15" hidden="false" customHeight="false" outlineLevel="0" collapsed="false">
      <c r="A1017" s="19" t="s">
        <v>702</v>
      </c>
      <c r="B1017" s="28" t="s">
        <v>293</v>
      </c>
      <c r="C1017" s="28" t="s">
        <v>252</v>
      </c>
      <c r="D1017" s="28" t="s">
        <v>253</v>
      </c>
      <c r="E1017" s="20" t="s">
        <v>265</v>
      </c>
      <c r="F1017" s="21" t="str">
        <f aca="false">IF(OR(E1017="",E1017="!!!"),"",IF(NOT(ISNA(VLOOKUP(E1017,Q$1:Q1000,1,FALSE()))),"OLD",IF(AND(E1017&lt;&gt;"",E1017&lt;&gt;"!!!"),"NEW","")))</f>
        <v>NEW</v>
      </c>
      <c r="G1017" s="22" t="s">
        <v>283</v>
      </c>
      <c r="H1017" s="23" t="str">
        <f aca="false">IF(J1017&lt;&gt;1,"",IF(I1017="SBJ","CB","?"))</f>
        <v/>
      </c>
      <c r="I1017" s="24" t="str">
        <f aca="false">IF(OR(E1017="",E1017="!!!",F1017="NEW"),"",INDEX(N$2:N1000,-1+SUMPRODUCT(MAX(ROW(E$2:E1000)*(E1017=E$2:E1000)))))</f>
        <v/>
      </c>
      <c r="J1017" s="25" t="str">
        <f aca="true">IF(OR(E1017="",E1017="!!!",F1017="NEW"),"",COUNTBLANK(OFFSET(M$1,,,SUMPRODUCT(MAX(ROW(E$2:E1001)*(E1017=E$2:E1001)))))-COUNTBLANK(OFFSET(M$1,,,SUMPRODUCT(MAX(ROW(Q$1:Q1000)*(E1017=Q$1:Q1000))))))</f>
        <v/>
      </c>
      <c r="K1017" s="25" t="str">
        <f aca="false">IF(OR(E1017="",E1017="!!!",F1017="NEW"),"",INDEX(V$1:V1000,SUMPRODUCT(MAX(ROW(Q$1:Q1000)*(E1017=Q$1:Q1000)))))</f>
        <v/>
      </c>
      <c r="L1017" s="26"/>
      <c r="M1017" s="27"/>
      <c r="N1017" s="29"/>
      <c r="O1017" s="29"/>
      <c r="P1017" s="29"/>
    </row>
    <row r="1018" customFormat="false" ht="15" hidden="false" customHeight="false" outlineLevel="0" collapsed="false">
      <c r="A1018" s="19" t="s">
        <v>261</v>
      </c>
      <c r="E1018" s="20" t="str">
        <f aca="false">IF(P1018="?OLD","!!!","")</f>
        <v/>
      </c>
      <c r="F1018" s="21" t="str">
        <f aca="false">IF(OR(E1018="",E1018="!!!"),"",IF(NOT(ISNA(VLOOKUP(E1018,Q$1:Q1001,1,FALSE()))),"OLD",IF(AND(E1018&lt;&gt;"",E1018&lt;&gt;"!!!"),"NEW","")))</f>
        <v/>
      </c>
      <c r="G1018" s="22" t="str">
        <f aca="false">IF(OR(E1018="",E1018="!!!"),"",IF(OR(J1018=0,AND(J1018=1,K1018=1),AND(J1018=1,I1018="SBJ"),AND(J1018=1,I1018=0)),"?IN_FOCUS",IF(J1018&lt;=2,"?ACTIVATED",IF(J1018&lt;&gt;"","?FAMILIAR",IF(F1018="NEW",IF(ISNA(VLOOKUP(E1018,#REF!,1,FALSE())),"?TYPE_IDENTIFIABLE","?REFERENTIAL"),"_")))))</f>
        <v/>
      </c>
      <c r="H1018" s="23" t="str">
        <f aca="false">IF(J1018&lt;&gt;1,"",IF(I1018="SBJ","CB","?"))</f>
        <v/>
      </c>
      <c r="I1018" s="24" t="str">
        <f aca="false">IF(OR(E1018="",E1018="!!!",F1018="NEW"),"",INDEX(N$2:N1001,-1+SUMPRODUCT(MAX(ROW(E$2:E1001)*(E1018=E$2:E1001)))))</f>
        <v/>
      </c>
      <c r="J1018" s="25" t="str">
        <f aca="true">IF(OR(E1018="",E1018="!!!",F1018="NEW"),"",COUNTBLANK(OFFSET(M$1,,,SUMPRODUCT(MAX(ROW(E$2:E1002)*(E1018=E$2:E1002)))))-COUNTBLANK(OFFSET(M$1,,,SUMPRODUCT(MAX(ROW(Q$1:Q1001)*(E1018=Q$1:Q1001))))))</f>
        <v/>
      </c>
      <c r="K1018" s="25" t="str">
        <f aca="false">IF(OR(E1018="",E1018="!!!",F1018="NEW"),"",INDEX(V$1:V1001,SUMPRODUCT(MAX(ROW(Q$1:Q1001)*(E1018=Q$1:Q1001)))))</f>
        <v/>
      </c>
      <c r="L1018" s="26"/>
      <c r="M1018" s="27"/>
    </row>
    <row r="1019" customFormat="false" ht="15" hidden="false" customHeight="false" outlineLevel="0" collapsed="false">
      <c r="A1019" s="19" t="s">
        <v>367</v>
      </c>
      <c r="E1019" s="20" t="str">
        <f aca="false">IF(P1019="?OLD","!!!","")</f>
        <v/>
      </c>
      <c r="F1019" s="21" t="str">
        <f aca="false">IF(OR(E1019="",E1019="!!!"),"",IF(NOT(ISNA(VLOOKUP(E1019,Q$1:Q1002,1,FALSE()))),"OLD",IF(AND(E1019&lt;&gt;"",E1019&lt;&gt;"!!!"),"NEW","")))</f>
        <v/>
      </c>
      <c r="G1019" s="22" t="str">
        <f aca="false">IF(OR(E1019="",E1019="!!!"),"",IF(OR(J1019=0,AND(J1019=1,K1019=1),AND(J1019=1,I1019="SBJ"),AND(J1019=1,I1019=0)),"?IN_FOCUS",IF(J1019&lt;=2,"?ACTIVATED",IF(J1019&lt;&gt;"","?FAMILIAR",IF(F1019="NEW",IF(ISNA(VLOOKUP(E1019,#REF!,1,FALSE())),"?TYPE_IDENTIFIABLE","?REFERENTIAL"),"_")))))</f>
        <v/>
      </c>
      <c r="H1019" s="23" t="str">
        <f aca="false">IF(J1019&lt;&gt;1,"",IF(I1019="SBJ","CB","?"))</f>
        <v/>
      </c>
      <c r="I1019" s="24" t="str">
        <f aca="false">IF(OR(E1019="",E1019="!!!",F1019="NEW"),"",INDEX(N$2:N1002,-1+SUMPRODUCT(MAX(ROW(E$2:E1002)*(E1019=E$2:E1002)))))</f>
        <v/>
      </c>
      <c r="J1019" s="25" t="str">
        <f aca="true">IF(OR(E1019="",E1019="!!!",F1019="NEW"),"",COUNTBLANK(OFFSET(M$1,,,SUMPRODUCT(MAX(ROW(E$2:E1003)*(E1019=E$2:E1003)))))-COUNTBLANK(OFFSET(M$1,,,SUMPRODUCT(MAX(ROW(Q$1:Q1002)*(E1019=Q$1:Q1002))))))</f>
        <v/>
      </c>
      <c r="K1019" s="25" t="str">
        <f aca="false">IF(OR(E1019="",E1019="!!!",F1019="NEW"),"",INDEX(V$1:V1002,SUMPRODUCT(MAX(ROW(Q$1:Q1002)*(E1019=Q$1:Q1002)))))</f>
        <v/>
      </c>
      <c r="L1019" s="26"/>
      <c r="M1019" s="27"/>
    </row>
    <row r="1020" customFormat="false" ht="15" hidden="false" customHeight="false" outlineLevel="0" collapsed="false">
      <c r="A1020" s="19" t="s">
        <v>631</v>
      </c>
      <c r="B1020" s="28" t="s">
        <v>258</v>
      </c>
      <c r="C1020" s="28" t="s">
        <v>259</v>
      </c>
      <c r="E1020" s="20" t="str">
        <f aca="false">IF(P1020="?OLD","!!!","")</f>
        <v/>
      </c>
      <c r="F1020" s="21" t="str">
        <f aca="false">IF(OR(E1020="",E1020="!!!"),"",IF(NOT(ISNA(VLOOKUP(E1020,Q$1:Q1003,1,FALSE()))),"OLD",IF(AND(E1020&lt;&gt;"",E1020&lt;&gt;"!!!"),"NEW","")))</f>
        <v/>
      </c>
      <c r="G1020" s="22" t="str">
        <f aca="false">IF(OR(E1020="",E1020="!!!"),"",IF(OR(J1020=0,AND(J1020=1,K1020=1),AND(J1020=1,I1020="SBJ"),AND(J1020=1,I1020=0)),"?IN_FOCUS",IF(J1020&lt;=2,"?ACTIVATED",IF(J1020&lt;&gt;"","?FAMILIAR",IF(F1020="NEW",IF(ISNA(VLOOKUP(E1020,#REF!,1,FALSE())),"?TYPE_IDENTIFIABLE","?REFERENTIAL"),"_")))))</f>
        <v/>
      </c>
      <c r="H1020" s="23" t="str">
        <f aca="false">IF(J1020&lt;&gt;1,"",IF(I1020="SBJ","CB","?"))</f>
        <v/>
      </c>
      <c r="I1020" s="24" t="str">
        <f aca="false">IF(OR(E1020="",E1020="!!!",F1020="NEW"),"",INDEX(N$2:N1003,-1+SUMPRODUCT(MAX(ROW(E$2:E1003)*(E1020=E$2:E1003)))))</f>
        <v/>
      </c>
      <c r="J1020" s="25" t="str">
        <f aca="true">IF(OR(E1020="",E1020="!!!",F1020="NEW"),"",COUNTBLANK(OFFSET(M$1,,,SUMPRODUCT(MAX(ROW(E$2:E1004)*(E1020=E$2:E1004)))))-COUNTBLANK(OFFSET(M$1,,,SUMPRODUCT(MAX(ROW(Q$1:Q1003)*(E1020=Q$1:Q1003))))))</f>
        <v/>
      </c>
      <c r="K1020" s="25" t="str">
        <f aca="false">IF(OR(E1020="",E1020="!!!",F1020="NEW"),"",INDEX(V$1:V1003,SUMPRODUCT(MAX(ROW(Q$1:Q1003)*(E1020=Q$1:Q1003)))))</f>
        <v/>
      </c>
      <c r="L1020" s="26"/>
      <c r="M1020" s="27"/>
      <c r="N1020" s="29"/>
      <c r="O1020" s="29"/>
    </row>
    <row r="1021" customFormat="false" ht="15" hidden="false" customHeight="false" outlineLevel="0" collapsed="false">
      <c r="A1021" s="19" t="s">
        <v>261</v>
      </c>
      <c r="E1021" s="20" t="str">
        <f aca="false">IF(P1021="?OLD","!!!","")</f>
        <v/>
      </c>
      <c r="F1021" s="21" t="str">
        <f aca="false">IF(OR(E1021="",E1021="!!!"),"",IF(NOT(ISNA(VLOOKUP(E1021,Q$1:Q1004,1,FALSE()))),"OLD",IF(AND(E1021&lt;&gt;"",E1021&lt;&gt;"!!!"),"NEW","")))</f>
        <v/>
      </c>
      <c r="G1021" s="22" t="str">
        <f aca="false">IF(OR(E1021="",E1021="!!!"),"",IF(OR(J1021=0,AND(J1021=1,K1021=1),AND(J1021=1,I1021="SBJ"),AND(J1021=1,I1021=0)),"?IN_FOCUS",IF(J1021&lt;=2,"?ACTIVATED",IF(J1021&lt;&gt;"","?FAMILIAR",IF(F1021="NEW",IF(ISNA(VLOOKUP(E1021,#REF!,1,FALSE())),"?TYPE_IDENTIFIABLE","?REFERENTIAL"),"_")))))</f>
        <v/>
      </c>
      <c r="H1021" s="23" t="str">
        <f aca="false">IF(J1021&lt;&gt;1,"",IF(I1021="SBJ","CB","?"))</f>
        <v/>
      </c>
      <c r="I1021" s="24" t="str">
        <f aca="false">IF(OR(E1021="",E1021="!!!",F1021="NEW"),"",INDEX(N$2:N1004,-1+SUMPRODUCT(MAX(ROW(E$2:E1004)*(E1021=E$2:E1004)))))</f>
        <v/>
      </c>
      <c r="J1021" s="25" t="str">
        <f aca="true">IF(OR(E1021="",E1021="!!!",F1021="NEW"),"",COUNTBLANK(OFFSET(M$1,,,SUMPRODUCT(MAX(ROW(E$2:E1005)*(E1021=E$2:E1005)))))-COUNTBLANK(OFFSET(M$1,,,SUMPRODUCT(MAX(ROW(Q$1:Q1004)*(E1021=Q$1:Q1004))))))</f>
        <v/>
      </c>
      <c r="K1021" s="25" t="str">
        <f aca="false">IF(OR(E1021="",E1021="!!!",F1021="NEW"),"",INDEX(V$1:V1004,SUMPRODUCT(MAX(ROW(Q$1:Q1004)*(E1021=Q$1:Q1004)))))</f>
        <v/>
      </c>
      <c r="L1021" s="26"/>
      <c r="M1021" s="27"/>
    </row>
    <row r="1022" customFormat="false" ht="15" hidden="false" customHeight="false" outlineLevel="0" collapsed="false">
      <c r="A1022" s="19" t="s">
        <v>467</v>
      </c>
      <c r="B1022" s="28" t="s">
        <v>663</v>
      </c>
      <c r="C1022" s="28" t="s">
        <v>418</v>
      </c>
      <c r="E1022" s="20" t="str">
        <f aca="false">IF(P1022="?OLD","!!!","")</f>
        <v/>
      </c>
      <c r="F1022" s="21" t="str">
        <f aca="false">IF(OR(E1022="",E1022="!!!"),"",IF(NOT(ISNA(VLOOKUP(E1022,Q$1:Q1005,1,FALSE()))),"OLD",IF(AND(E1022&lt;&gt;"",E1022&lt;&gt;"!!!"),"NEW","")))</f>
        <v/>
      </c>
      <c r="G1022" s="22" t="str">
        <f aca="false">IF(OR(E1022="",E1022="!!!"),"",IF(OR(J1022=0,AND(J1022=1,K1022=1),AND(J1022=1,I1022="SBJ"),AND(J1022=1,I1022=0)),"?IN_FOCUS",IF(J1022&lt;=2,"?ACTIVATED",IF(J1022&lt;&gt;"","?FAMILIAR",IF(F1022="NEW",IF(ISNA(VLOOKUP(E1022,#REF!,1,FALSE())),"?TYPE_IDENTIFIABLE","?REFERENTIAL"),"_")))))</f>
        <v/>
      </c>
      <c r="H1022" s="23" t="str">
        <f aca="false">IF(J1022&lt;&gt;1,"",IF(I1022="SBJ","CB","?"))</f>
        <v/>
      </c>
      <c r="I1022" s="24" t="str">
        <f aca="false">IF(OR(E1022="",E1022="!!!",F1022="NEW"),"",INDEX(N$2:N1005,-1+SUMPRODUCT(MAX(ROW(E$2:E1005)*(E1022=E$2:E1005)))))</f>
        <v/>
      </c>
      <c r="J1022" s="25" t="str">
        <f aca="true">IF(OR(E1022="",E1022="!!!",F1022="NEW"),"",COUNTBLANK(OFFSET(M$1,,,SUMPRODUCT(MAX(ROW(E$2:E1006)*(E1022=E$2:E1006)))))-COUNTBLANK(OFFSET(M$1,,,SUMPRODUCT(MAX(ROW(Q$1:Q1005)*(E1022=Q$1:Q1005))))))</f>
        <v/>
      </c>
      <c r="K1022" s="25" t="str">
        <f aca="false">IF(OR(E1022="",E1022="!!!",F1022="NEW"),"",INDEX(V$1:V1005,SUMPRODUCT(MAX(ROW(Q$1:Q1005)*(E1022=Q$1:Q1005)))))</f>
        <v/>
      </c>
      <c r="L1022" s="26"/>
      <c r="M1022" s="27"/>
      <c r="N1022" s="29"/>
      <c r="O1022" s="29"/>
    </row>
    <row r="1023" customFormat="false" ht="15" hidden="false" customHeight="false" outlineLevel="0" collapsed="false">
      <c r="A1023" s="19" t="s">
        <v>703</v>
      </c>
      <c r="E1023" s="20" t="str">
        <f aca="false">IF(P1023="?OLD","!!!","")</f>
        <v/>
      </c>
      <c r="F1023" s="21" t="str">
        <f aca="false">IF(OR(E1023="",E1023="!!!"),"",IF(NOT(ISNA(VLOOKUP(E1023,Q$1:Q1006,1,FALSE()))),"OLD",IF(AND(E1023&lt;&gt;"",E1023&lt;&gt;"!!!"),"NEW","")))</f>
        <v/>
      </c>
      <c r="G1023" s="22" t="str">
        <f aca="false">IF(OR(E1023="",E1023="!!!"),"",IF(OR(J1023=0,AND(J1023=1,K1023=1),AND(J1023=1,I1023="SBJ"),AND(J1023=1,I1023=0)),"?IN_FOCUS",IF(J1023&lt;=2,"?ACTIVATED",IF(J1023&lt;&gt;"","?FAMILIAR",IF(F1023="NEW",IF(ISNA(VLOOKUP(E1023,#REF!,1,FALSE())),"?TYPE_IDENTIFIABLE","?REFERENTIAL"),"_")))))</f>
        <v/>
      </c>
      <c r="H1023" s="23" t="str">
        <f aca="false">IF(J1023&lt;&gt;1,"",IF(I1023="SBJ","CB","?"))</f>
        <v/>
      </c>
      <c r="I1023" s="24" t="str">
        <f aca="false">IF(OR(E1023="",E1023="!!!",F1023="NEW"),"",INDEX(N$2:N1006,-1+SUMPRODUCT(MAX(ROW(E$2:E1006)*(E1023=E$2:E1006)))))</f>
        <v/>
      </c>
      <c r="J1023" s="25" t="str">
        <f aca="true">IF(OR(E1023="",E1023="!!!",F1023="NEW"),"",COUNTBLANK(OFFSET(M$1,,,SUMPRODUCT(MAX(ROW(E$2:E1007)*(E1023=E$2:E1007)))))-COUNTBLANK(OFFSET(M$1,,,SUMPRODUCT(MAX(ROW(Q$1:Q1006)*(E1023=Q$1:Q1006))))))</f>
        <v/>
      </c>
      <c r="K1023" s="25" t="str">
        <f aca="false">IF(OR(E1023="",E1023="!!!",F1023="NEW"),"",INDEX(V$1:V1006,SUMPRODUCT(MAX(ROW(Q$1:Q1006)*(E1023=Q$1:Q1006)))))</f>
        <v/>
      </c>
      <c r="L1023" s="26"/>
      <c r="M1023" s="27"/>
    </row>
    <row r="1024" customFormat="false" ht="15" hidden="false" customHeight="false" outlineLevel="0" collapsed="false">
      <c r="A1024" s="19" t="s">
        <v>379</v>
      </c>
      <c r="B1024" s="28" t="s">
        <v>442</v>
      </c>
      <c r="C1024" s="28" t="s">
        <v>264</v>
      </c>
      <c r="D1024" s="28" t="s">
        <v>253</v>
      </c>
      <c r="E1024" s="20" t="s">
        <v>265</v>
      </c>
      <c r="F1024" s="21" t="str">
        <f aca="false">IF(OR(E1024="",E1024="!!!"),"",IF(NOT(ISNA(VLOOKUP(E1024,Q$1:Q1007,1,FALSE()))),"OLD",IF(AND(E1024&lt;&gt;"",E1024&lt;&gt;"!!!"),"NEW","")))</f>
        <v>NEW</v>
      </c>
      <c r="G1024" s="22" t="s">
        <v>296</v>
      </c>
      <c r="H1024" s="23" t="str">
        <f aca="false">IF(J1024&lt;&gt;1,"",IF(I1024="SBJ","CB","?"))</f>
        <v/>
      </c>
      <c r="I1024" s="24" t="str">
        <f aca="false">IF(OR(E1024="",E1024="!!!",F1024="NEW"),"",INDEX(N$2:N1007,-1+SUMPRODUCT(MAX(ROW(E$2:E1007)*(E1024=E$2:E1007)))))</f>
        <v/>
      </c>
      <c r="J1024" s="25" t="str">
        <f aca="true">IF(OR(E1024="",E1024="!!!",F1024="NEW"),"",COUNTBLANK(OFFSET(M$1,,,SUMPRODUCT(MAX(ROW(E$2:E1008)*(E1024=E$2:E1008)))))-COUNTBLANK(OFFSET(M$1,,,SUMPRODUCT(MAX(ROW(Q$1:Q1007)*(E1024=Q$1:Q1007))))))</f>
        <v/>
      </c>
      <c r="K1024" s="25" t="str">
        <f aca="false">IF(OR(E1024="",E1024="!!!",F1024="NEW"),"",INDEX(V$1:V1007,SUMPRODUCT(MAX(ROW(Q$1:Q1007)*(E1024=Q$1:Q1007)))))</f>
        <v/>
      </c>
      <c r="L1024" s="26"/>
      <c r="M1024" s="27"/>
      <c r="N1024" s="29"/>
      <c r="O1024" s="29"/>
      <c r="P1024" s="29"/>
    </row>
    <row r="1025" customFormat="false" ht="15" hidden="false" customHeight="false" outlineLevel="0" collapsed="false">
      <c r="A1025" s="19" t="s">
        <v>378</v>
      </c>
      <c r="E1025" s="20" t="str">
        <f aca="false">IF(P1025="?OLD","!!!","")</f>
        <v/>
      </c>
      <c r="F1025" s="21" t="str">
        <f aca="false">IF(OR(E1025="",E1025="!!!"),"",IF(NOT(ISNA(VLOOKUP(E1025,Q$1:Q1008,1,FALSE()))),"OLD",IF(AND(E1025&lt;&gt;"",E1025&lt;&gt;"!!!"),"NEW","")))</f>
        <v/>
      </c>
      <c r="G1025" s="22" t="str">
        <f aca="false">IF(OR(E1025="",E1025="!!!"),"",IF(OR(J1025=0,AND(J1025=1,K1025=1),AND(J1025=1,I1025="SBJ"),AND(J1025=1,I1025=0)),"?IN_FOCUS",IF(J1025&lt;=2,"?ACTIVATED",IF(J1025&lt;&gt;"","?FAMILIAR",IF(F1025="NEW",IF(ISNA(VLOOKUP(E1025,#REF!,1,FALSE())),"?TYPE_IDENTIFIABLE","?REFERENTIAL"),"_")))))</f>
        <v/>
      </c>
      <c r="H1025" s="23" t="str">
        <f aca="false">IF(J1025&lt;&gt;1,"",IF(I1025="SBJ","CB","?"))</f>
        <v/>
      </c>
      <c r="I1025" s="24" t="str">
        <f aca="false">IF(OR(E1025="",E1025="!!!",F1025="NEW"),"",INDEX(N$2:N1008,-1+SUMPRODUCT(MAX(ROW(E$2:E1008)*(E1025=E$2:E1008)))))</f>
        <v/>
      </c>
      <c r="J1025" s="25" t="str">
        <f aca="true">IF(OR(E1025="",E1025="!!!",F1025="NEW"),"",COUNTBLANK(OFFSET(M$1,,,SUMPRODUCT(MAX(ROW(E$2:E1009)*(E1025=E$2:E1009)))))-COUNTBLANK(OFFSET(M$1,,,SUMPRODUCT(MAX(ROW(Q$1:Q1008)*(E1025=Q$1:Q1008))))))</f>
        <v/>
      </c>
      <c r="K1025" s="25" t="str">
        <f aca="false">IF(OR(E1025="",E1025="!!!",F1025="NEW"),"",INDEX(V$1:V1008,SUMPRODUCT(MAX(ROW(Q$1:Q1008)*(E1025=Q$1:Q1008)))))</f>
        <v/>
      </c>
      <c r="L1025" s="26"/>
      <c r="M1025" s="27"/>
    </row>
    <row r="1026" customFormat="false" ht="15" hidden="false" customHeight="false" outlineLevel="0" collapsed="false">
      <c r="A1026" s="19" t="s">
        <v>375</v>
      </c>
      <c r="E1026" s="20" t="str">
        <f aca="false">IF(P1026="?OLD","!!!","")</f>
        <v/>
      </c>
      <c r="F1026" s="21" t="str">
        <f aca="false">IF(OR(E1026="",E1026="!!!"),"",IF(NOT(ISNA(VLOOKUP(E1026,Q$1:Q1009,1,FALSE()))),"OLD",IF(AND(E1026&lt;&gt;"",E1026&lt;&gt;"!!!"),"NEW","")))</f>
        <v/>
      </c>
      <c r="G1026" s="22" t="str">
        <f aca="false">IF(OR(E1026="",E1026="!!!"),"",IF(OR(J1026=0,AND(J1026=1,K1026=1),AND(J1026=1,I1026="SBJ"),AND(J1026=1,I1026=0)),"?IN_FOCUS",IF(J1026&lt;=2,"?ACTIVATED",IF(J1026&lt;&gt;"","?FAMILIAR",IF(F1026="NEW",IF(ISNA(VLOOKUP(E1026,#REF!,1,FALSE())),"?TYPE_IDENTIFIABLE","?REFERENTIAL"),"_")))))</f>
        <v/>
      </c>
      <c r="H1026" s="23" t="str">
        <f aca="false">IF(J1026&lt;&gt;1,"",IF(I1026="SBJ","CB","?"))</f>
        <v/>
      </c>
      <c r="I1026" s="24" t="str">
        <f aca="false">IF(OR(E1026="",E1026="!!!",F1026="NEW"),"",INDEX(N$2:N1009,-1+SUMPRODUCT(MAX(ROW(E$2:E1009)*(E1026=E$2:E1009)))))</f>
        <v/>
      </c>
      <c r="J1026" s="25" t="str">
        <f aca="true">IF(OR(E1026="",E1026="!!!",F1026="NEW"),"",COUNTBLANK(OFFSET(M$1,,,SUMPRODUCT(MAX(ROW(E$2:E1010)*(E1026=E$2:E1010)))))-COUNTBLANK(OFFSET(M$1,,,SUMPRODUCT(MAX(ROW(Q$1:Q1009)*(E1026=Q$1:Q1009))))))</f>
        <v/>
      </c>
      <c r="K1026" s="25" t="str">
        <f aca="false">IF(OR(E1026="",E1026="!!!",F1026="NEW"),"",INDEX(V$1:V1009,SUMPRODUCT(MAX(ROW(Q$1:Q1009)*(E1026=Q$1:Q1009)))))</f>
        <v/>
      </c>
      <c r="L1026" s="26"/>
      <c r="M1026" s="27"/>
    </row>
    <row r="1027" customFormat="false" ht="15" hidden="false" customHeight="false" outlineLevel="0" collapsed="false">
      <c r="A1027" s="19" t="s">
        <v>367</v>
      </c>
      <c r="E1027" s="20" t="str">
        <f aca="false">IF(P1027="?OLD","!!!","")</f>
        <v/>
      </c>
      <c r="F1027" s="21" t="str">
        <f aca="false">IF(OR(E1027="",E1027="!!!"),"",IF(NOT(ISNA(VLOOKUP(E1027,Q$1:Q1010,1,FALSE()))),"OLD",IF(AND(E1027&lt;&gt;"",E1027&lt;&gt;"!!!"),"NEW","")))</f>
        <v/>
      </c>
      <c r="G1027" s="22" t="str">
        <f aca="false">IF(OR(E1027="",E1027="!!!"),"",IF(OR(J1027=0,AND(J1027=1,K1027=1),AND(J1027=1,I1027="SBJ"),AND(J1027=1,I1027=0)),"?IN_FOCUS",IF(J1027&lt;=2,"?ACTIVATED",IF(J1027&lt;&gt;"","?FAMILIAR",IF(F1027="NEW",IF(ISNA(VLOOKUP(E1027,#REF!,1,FALSE())),"?TYPE_IDENTIFIABLE","?REFERENTIAL"),"_")))))</f>
        <v/>
      </c>
      <c r="H1027" s="23" t="str">
        <f aca="false">IF(J1027&lt;&gt;1,"",IF(I1027="SBJ","CB","?"))</f>
        <v/>
      </c>
      <c r="I1027" s="24" t="str">
        <f aca="false">IF(OR(E1027="",E1027="!!!",F1027="NEW"),"",INDEX(N$2:N1010,-1+SUMPRODUCT(MAX(ROW(E$2:E1010)*(E1027=E$2:E1010)))))</f>
        <v/>
      </c>
      <c r="J1027" s="25" t="str">
        <f aca="true">IF(OR(E1027="",E1027="!!!",F1027="NEW"),"",COUNTBLANK(OFFSET(M$1,,,SUMPRODUCT(MAX(ROW(E$2:E1011)*(E1027=E$2:E1011)))))-COUNTBLANK(OFFSET(M$1,,,SUMPRODUCT(MAX(ROW(Q$1:Q1010)*(E1027=Q$1:Q1010))))))</f>
        <v/>
      </c>
      <c r="K1027" s="25" t="str">
        <f aca="false">IF(OR(E1027="",E1027="!!!",F1027="NEW"),"",INDEX(V$1:V1010,SUMPRODUCT(MAX(ROW(Q$1:Q1010)*(E1027=Q$1:Q1010)))))</f>
        <v/>
      </c>
      <c r="L1027" s="26"/>
      <c r="M1027" s="27"/>
    </row>
    <row r="1028" customFormat="false" ht="15" hidden="false" customHeight="false" outlineLevel="0" collapsed="false">
      <c r="A1028" s="19"/>
      <c r="E1028" s="20" t="str">
        <f aca="false">IF(P1028="?OLD","!!!","")</f>
        <v/>
      </c>
      <c r="F1028" s="21" t="str">
        <f aca="false">IF(OR(E1028="",E1028="!!!"),"",IF(NOT(ISNA(VLOOKUP(E1028,Q$1:Q1011,1,FALSE()))),"OLD",IF(AND(E1028&lt;&gt;"",E1028&lt;&gt;"!!!"),"NEW","")))</f>
        <v/>
      </c>
      <c r="G1028" s="22" t="str">
        <f aca="false">IF(OR(E1028="",E1028="!!!"),"",IF(OR(J1028=0,AND(J1028=1,K1028=1),AND(J1028=1,I1028="SBJ"),AND(J1028=1,I1028=0)),"?IN_FOCUS",IF(J1028&lt;=2,"?ACTIVATED",IF(J1028&lt;&gt;"","?FAMILIAR",IF(F1028="NEW",IF(ISNA(VLOOKUP(E1028,#REF!,1,FALSE())),"?TYPE_IDENTIFIABLE","?REFERENTIAL"),"_")))))</f>
        <v/>
      </c>
      <c r="H1028" s="23" t="str">
        <f aca="false">IF(J1028&lt;&gt;1,"",IF(I1028="SBJ","CB","?"))</f>
        <v/>
      </c>
      <c r="I1028" s="24" t="str">
        <f aca="false">IF(OR(E1028="",E1028="!!!",F1028="NEW"),"",INDEX(N$2:N1011,-1+SUMPRODUCT(MAX(ROW(E$2:E1011)*(E1028=E$2:E1011)))))</f>
        <v/>
      </c>
      <c r="J1028" s="25" t="str">
        <f aca="true">IF(OR(E1028="",E1028="!!!",F1028="NEW"),"",COUNTBLANK(OFFSET(M$1,,,SUMPRODUCT(MAX(ROW(E$2:E1012)*(E1028=E$2:E1012)))))-COUNTBLANK(OFFSET(M$1,,,SUMPRODUCT(MAX(ROW(Q$1:Q1011)*(E1028=Q$1:Q1011))))))</f>
        <v/>
      </c>
      <c r="K1028" s="25" t="str">
        <f aca="false">IF(OR(E1028="",E1028="!!!",F1028="NEW"),"",INDEX(V$1:V1011,SUMPRODUCT(MAX(ROW(Q$1:Q1011)*(E1028=Q$1:Q1011)))))</f>
        <v/>
      </c>
      <c r="L1028" s="26"/>
    </row>
    <row r="1029" customFormat="false" ht="15" hidden="false" customHeight="false" outlineLevel="0" collapsed="false">
      <c r="A1029" s="19" t="s">
        <v>362</v>
      </c>
      <c r="E1029" s="20" t="str">
        <f aca="false">IF(P1029="?OLD","!!!","")</f>
        <v/>
      </c>
      <c r="F1029" s="21" t="str">
        <f aca="false">IF(OR(E1029="",E1029="!!!"),"",IF(NOT(ISNA(VLOOKUP(E1029,Q$1:Q1012,1,FALSE()))),"OLD",IF(AND(E1029&lt;&gt;"",E1029&lt;&gt;"!!!"),"NEW","")))</f>
        <v/>
      </c>
      <c r="G1029" s="22" t="str">
        <f aca="false">IF(OR(E1029="",E1029="!!!"),"",IF(OR(J1029=0,AND(J1029=1,K1029=1),AND(J1029=1,I1029="SBJ"),AND(J1029=1,I1029=0)),"?IN_FOCUS",IF(J1029&lt;=2,"?ACTIVATED",IF(J1029&lt;&gt;"","?FAMILIAR",IF(F1029="NEW",IF(ISNA(VLOOKUP(E1029,#REF!,1,FALSE())),"?TYPE_IDENTIFIABLE","?REFERENTIAL"),"_")))))</f>
        <v/>
      </c>
      <c r="H1029" s="23" t="str">
        <f aca="false">IF(J1029&lt;&gt;1,"",IF(I1029="SBJ","CB","?"))</f>
        <v/>
      </c>
      <c r="I1029" s="24" t="str">
        <f aca="false">IF(OR(E1029="",E1029="!!!",F1029="NEW"),"",INDEX(N$2:N1012,-1+SUMPRODUCT(MAX(ROW(E$2:E1012)*(E1029=E$2:E1012)))))</f>
        <v/>
      </c>
      <c r="J1029" s="25" t="str">
        <f aca="true">IF(OR(E1029="",E1029="!!!",F1029="NEW"),"",COUNTBLANK(OFFSET(M$1,,,SUMPRODUCT(MAX(ROW(E$2:E1013)*(E1029=E$2:E1013)))))-COUNTBLANK(OFFSET(M$1,,,SUMPRODUCT(MAX(ROW(Q$1:Q1012)*(E1029=Q$1:Q1012))))))</f>
        <v/>
      </c>
      <c r="K1029" s="25" t="str">
        <f aca="false">IF(OR(E1029="",E1029="!!!",F1029="NEW"),"",INDEX(V$1:V1012,SUMPRODUCT(MAX(ROW(Q$1:Q1012)*(E1029=Q$1:Q1012)))))</f>
        <v/>
      </c>
      <c r="L1029" s="26"/>
      <c r="M1029" s="27"/>
    </row>
    <row r="1030" customFormat="false" ht="15" hidden="false" customHeight="false" outlineLevel="0" collapsed="false">
      <c r="A1030" s="19" t="s">
        <v>704</v>
      </c>
      <c r="E1030" s="20" t="str">
        <f aca="false">IF(P1030="?OLD","!!!","")</f>
        <v/>
      </c>
      <c r="F1030" s="21" t="str">
        <f aca="false">IF(OR(E1030="",E1030="!!!"),"",IF(NOT(ISNA(VLOOKUP(E1030,Q$1:Q1013,1,FALSE()))),"OLD",IF(AND(E1030&lt;&gt;"",E1030&lt;&gt;"!!!"),"NEW","")))</f>
        <v/>
      </c>
      <c r="G1030" s="22" t="str">
        <f aca="false">IF(OR(E1030="",E1030="!!!"),"",IF(OR(J1030=0,AND(J1030=1,K1030=1),AND(J1030=1,I1030="SBJ"),AND(J1030=1,I1030=0)),"?IN_FOCUS",IF(J1030&lt;=2,"?ACTIVATED",IF(J1030&lt;&gt;"","?FAMILIAR",IF(F1030="NEW",IF(ISNA(VLOOKUP(E1030,#REF!,1,FALSE())),"?TYPE_IDENTIFIABLE","?REFERENTIAL"),"_")))))</f>
        <v/>
      </c>
      <c r="H1030" s="23" t="str">
        <f aca="false">IF(J1030&lt;&gt;1,"",IF(I1030="SBJ","CB","?"))</f>
        <v/>
      </c>
      <c r="I1030" s="24" t="str">
        <f aca="false">IF(OR(E1030="",E1030="!!!",F1030="NEW"),"",INDEX(N$2:N1013,-1+SUMPRODUCT(MAX(ROW(E$2:E1013)*(E1030=E$2:E1013)))))</f>
        <v/>
      </c>
      <c r="J1030" s="25" t="str">
        <f aca="true">IF(OR(E1030="",E1030="!!!",F1030="NEW"),"",COUNTBLANK(OFFSET(M$1,,,SUMPRODUCT(MAX(ROW(E$2:E1014)*(E1030=E$2:E1014)))))-COUNTBLANK(OFFSET(M$1,,,SUMPRODUCT(MAX(ROW(Q$1:Q1013)*(E1030=Q$1:Q1013))))))</f>
        <v/>
      </c>
      <c r="K1030" s="25" t="str">
        <f aca="false">IF(OR(E1030="",E1030="!!!",F1030="NEW"),"",INDEX(V$1:V1013,SUMPRODUCT(MAX(ROW(Q$1:Q1013)*(E1030=Q$1:Q1013)))))</f>
        <v/>
      </c>
      <c r="L1030" s="26"/>
      <c r="M1030" s="27"/>
    </row>
    <row r="1031" customFormat="false" ht="15" hidden="false" customHeight="false" outlineLevel="0" collapsed="false">
      <c r="A1031" s="19" t="s">
        <v>66</v>
      </c>
      <c r="B1031" s="28" t="s">
        <v>263</v>
      </c>
      <c r="C1031" s="28" t="s">
        <v>333</v>
      </c>
      <c r="D1031" s="28" t="s">
        <v>253</v>
      </c>
      <c r="E1031" s="20" t="s">
        <v>66</v>
      </c>
      <c r="F1031" s="21" t="str">
        <f aca="false">IF(OR(E1031="",E1031="!!!"),"",IF(NOT(ISNA(VLOOKUP(E1031,Q$1:Q1014,1,FALSE()))),"OLD",IF(AND(E1031&lt;&gt;"",E1031&lt;&gt;"!!!"),"NEW","")))</f>
        <v>NEW</v>
      </c>
      <c r="G1031" s="22" t="s">
        <v>266</v>
      </c>
      <c r="H1031" s="23"/>
      <c r="I1031" s="24" t="str">
        <f aca="false">IF(OR(E1031="",E1031="!!!",F1031="NEW"),"",INDEX(N$2:N1014,-1+SUMPRODUCT(MAX(ROW(E$2:E1014)*(E1031=E$2:E1014)))))</f>
        <v/>
      </c>
      <c r="J1031" s="25" t="str">
        <f aca="true">IF(OR(E1031="",E1031="!!!",F1031="NEW"),"",COUNTBLANK(OFFSET(M$1,,,SUMPRODUCT(MAX(ROW(E$2:E1015)*(E1031=E$2:E1015)))))-COUNTBLANK(OFFSET(M$1,,,SUMPRODUCT(MAX(ROW(Q$1:Q1014)*(E1031=Q$1:Q1014))))))</f>
        <v/>
      </c>
      <c r="K1031" s="25" t="str">
        <f aca="false">IF(OR(E1031="",E1031="!!!",F1031="NEW"),"",INDEX(V$1:V1014,SUMPRODUCT(MAX(ROW(Q$1:Q1014)*(E1031=Q$1:Q1014)))))</f>
        <v/>
      </c>
      <c r="L1031" s="26"/>
      <c r="M1031" s="27"/>
      <c r="N1031" s="29"/>
      <c r="O1031" s="29"/>
      <c r="P1031" s="29"/>
    </row>
    <row r="1032" customFormat="false" ht="15" hidden="false" customHeight="false" outlineLevel="0" collapsed="false">
      <c r="A1032" s="19" t="s">
        <v>426</v>
      </c>
      <c r="E1032" s="20" t="str">
        <f aca="false">IF(P1032="?OLD","!!!","")</f>
        <v/>
      </c>
      <c r="F1032" s="21" t="str">
        <f aca="false">IF(OR(E1032="",E1032="!!!"),"",IF(NOT(ISNA(VLOOKUP(E1032,Q$1:Q1015,1,FALSE()))),"OLD",IF(AND(E1032&lt;&gt;"",E1032&lt;&gt;"!!!"),"NEW","")))</f>
        <v/>
      </c>
      <c r="G1032" s="22" t="str">
        <f aca="false">IF(OR(E1032="",E1032="!!!"),"",IF(OR(J1032=0,AND(J1032=1,K1032=1),AND(J1032=1,I1032="SBJ"),AND(J1032=1,I1032=0)),"?IN_FOCUS",IF(J1032&lt;=2,"?ACTIVATED",IF(J1032&lt;&gt;"","?FAMILIAR",IF(F1032="NEW",IF(ISNA(VLOOKUP(E1032,#REF!,1,FALSE())),"?TYPE_IDENTIFIABLE","?REFERENTIAL"),"_")))))</f>
        <v/>
      </c>
      <c r="H1032" s="23" t="str">
        <f aca="false">IF(J1032&lt;&gt;1,"",IF(I1032="SBJ","CB","?"))</f>
        <v/>
      </c>
      <c r="I1032" s="24" t="str">
        <f aca="false">IF(OR(E1032="",E1032="!!!",F1032="NEW"),"",INDEX(N$2:N1015,-1+SUMPRODUCT(MAX(ROW(E$2:E1015)*(E1032=E$2:E1015)))))</f>
        <v/>
      </c>
      <c r="J1032" s="25" t="str">
        <f aca="true">IF(OR(E1032="",E1032="!!!",F1032="NEW"),"",COUNTBLANK(OFFSET(M$1,,,SUMPRODUCT(MAX(ROW(E$2:E1016)*(E1032=E$2:E1016)))))-COUNTBLANK(OFFSET(M$1,,,SUMPRODUCT(MAX(ROW(Q$1:Q1015)*(E1032=Q$1:Q1015))))))</f>
        <v/>
      </c>
      <c r="K1032" s="25" t="str">
        <f aca="false">IF(OR(E1032="",E1032="!!!",F1032="NEW"),"",INDEX(V$1:V1015,SUMPRODUCT(MAX(ROW(Q$1:Q1015)*(E1032=Q$1:Q1015)))))</f>
        <v/>
      </c>
      <c r="L1032" s="26"/>
      <c r="M1032" s="27"/>
    </row>
    <row r="1033" customFormat="false" ht="15" hidden="false" customHeight="false" outlineLevel="0" collapsed="false">
      <c r="A1033" s="19" t="s">
        <v>309</v>
      </c>
      <c r="E1033" s="20" t="str">
        <f aca="false">IF(P1033="?OLD","!!!","")</f>
        <v/>
      </c>
      <c r="F1033" s="21" t="str">
        <f aca="false">IF(OR(E1033="",E1033="!!!"),"",IF(NOT(ISNA(VLOOKUP(E1033,Q$1:Q1016,1,FALSE()))),"OLD",IF(AND(E1033&lt;&gt;"",E1033&lt;&gt;"!!!"),"NEW","")))</f>
        <v/>
      </c>
      <c r="G1033" s="22" t="str">
        <f aca="false">IF(OR(E1033="",E1033="!!!"),"",IF(OR(J1033=0,AND(J1033=1,K1033=1),AND(J1033=1,I1033="SBJ"),AND(J1033=1,I1033=0)),"?IN_FOCUS",IF(J1033&lt;=2,"?ACTIVATED",IF(J1033&lt;&gt;"","?FAMILIAR",IF(F1033="NEW",IF(ISNA(VLOOKUP(E1033,#REF!,1,FALSE())),"?TYPE_IDENTIFIABLE","?REFERENTIAL"),"_")))))</f>
        <v/>
      </c>
      <c r="H1033" s="23" t="str">
        <f aca="false">IF(J1033&lt;&gt;1,"",IF(I1033="SBJ","CB","?"))</f>
        <v/>
      </c>
      <c r="I1033" s="24" t="str">
        <f aca="false">IF(OR(E1033="",E1033="!!!",F1033="NEW"),"",INDEX(N$2:N1016,-1+SUMPRODUCT(MAX(ROW(E$2:E1016)*(E1033=E$2:E1016)))))</f>
        <v/>
      </c>
      <c r="J1033" s="25" t="str">
        <f aca="true">IF(OR(E1033="",E1033="!!!",F1033="NEW"),"",COUNTBLANK(OFFSET(M$1,,,SUMPRODUCT(MAX(ROW(E$2:E1017)*(E1033=E$2:E1017)))))-COUNTBLANK(OFFSET(M$1,,,SUMPRODUCT(MAX(ROW(Q$1:Q1016)*(E1033=Q$1:Q1016))))))</f>
        <v/>
      </c>
      <c r="K1033" s="25" t="str">
        <f aca="false">IF(OR(E1033="",E1033="!!!",F1033="NEW"),"",INDEX(V$1:V1016,SUMPRODUCT(MAX(ROW(Q$1:Q1016)*(E1033=Q$1:Q1016)))))</f>
        <v/>
      </c>
      <c r="L1033" s="26"/>
      <c r="M1033" s="27"/>
    </row>
    <row r="1034" customFormat="false" ht="15" hidden="false" customHeight="false" outlineLevel="0" collapsed="false">
      <c r="A1034" s="19" t="s">
        <v>310</v>
      </c>
      <c r="B1034" s="28" t="s">
        <v>271</v>
      </c>
      <c r="C1034" s="28" t="s">
        <v>264</v>
      </c>
      <c r="D1034" s="28" t="s">
        <v>253</v>
      </c>
      <c r="E1034" s="20" t="s">
        <v>265</v>
      </c>
      <c r="F1034" s="21" t="str">
        <f aca="false">IF(OR(E1034="",E1034="!!!"),"",IF(NOT(ISNA(VLOOKUP(E1034,Q$1:Q1017,1,FALSE()))),"OLD",IF(AND(E1034&lt;&gt;"",E1034&lt;&gt;"!!!"),"NEW","")))</f>
        <v>NEW</v>
      </c>
      <c r="G1034" s="22" t="s">
        <v>266</v>
      </c>
      <c r="H1034" s="23" t="s">
        <v>243</v>
      </c>
      <c r="I1034" s="24" t="str">
        <f aca="false">IF(OR(E1034="",E1034="!!!",F1034="NEW"),"",INDEX(N$2:N1017,-1+SUMPRODUCT(MAX(ROW(E$2:E1017)*(E1034=E$2:E1017)))))</f>
        <v/>
      </c>
      <c r="J1034" s="25" t="str">
        <f aca="true">IF(OR(E1034="",E1034="!!!",F1034="NEW"),"",COUNTBLANK(OFFSET(M$1,,,SUMPRODUCT(MAX(ROW(E$2:E1018)*(E1034=E$2:E1018)))))-COUNTBLANK(OFFSET(M$1,,,SUMPRODUCT(MAX(ROW(Q$1:Q1017)*(E1034=Q$1:Q1017))))))</f>
        <v/>
      </c>
      <c r="K1034" s="25" t="str">
        <f aca="false">IF(OR(E1034="",E1034="!!!",F1034="NEW"),"",INDEX(V$1:V1017,SUMPRODUCT(MAX(ROW(Q$1:Q1017)*(E1034=Q$1:Q1017)))))</f>
        <v/>
      </c>
      <c r="L1034" s="26"/>
      <c r="M1034" s="27"/>
      <c r="N1034" s="29"/>
      <c r="O1034" s="29"/>
      <c r="P1034" s="29"/>
    </row>
    <row r="1035" customFormat="false" ht="15" hidden="false" customHeight="false" outlineLevel="0" collapsed="false">
      <c r="A1035" s="19" t="s">
        <v>261</v>
      </c>
      <c r="E1035" s="20" t="str">
        <f aca="false">IF(P1035="?OLD","!!!","")</f>
        <v/>
      </c>
      <c r="F1035" s="21" t="str">
        <f aca="false">IF(OR(E1035="",E1035="!!!"),"",IF(NOT(ISNA(VLOOKUP(E1035,Q$1:Q1018,1,FALSE()))),"OLD",IF(AND(E1035&lt;&gt;"",E1035&lt;&gt;"!!!"),"NEW","")))</f>
        <v/>
      </c>
      <c r="G1035" s="22" t="str">
        <f aca="false">IF(OR(E1035="",E1035="!!!"),"",IF(OR(J1035=0,AND(J1035=1,K1035=1),AND(J1035=1,I1035="SBJ"),AND(J1035=1,I1035=0)),"?IN_FOCUS",IF(J1035&lt;=2,"?ACTIVATED",IF(J1035&lt;&gt;"","?FAMILIAR",IF(F1035="NEW",IF(ISNA(VLOOKUP(E1035,#REF!,1,FALSE())),"?TYPE_IDENTIFIABLE","?REFERENTIAL"),"_")))))</f>
        <v/>
      </c>
      <c r="H1035" s="23" t="str">
        <f aca="false">IF(J1035&lt;&gt;1,"",IF(I1035="SBJ","CB","?"))</f>
        <v/>
      </c>
      <c r="I1035" s="24" t="str">
        <f aca="false">IF(OR(E1035="",E1035="!!!",F1035="NEW"),"",INDEX(N$2:N1018,-1+SUMPRODUCT(MAX(ROW(E$2:E1018)*(E1035=E$2:E1018)))))</f>
        <v/>
      </c>
      <c r="J1035" s="25" t="str">
        <f aca="true">IF(OR(E1035="",E1035="!!!",F1035="NEW"),"",COUNTBLANK(OFFSET(M$1,,,SUMPRODUCT(MAX(ROW(E$2:E1019)*(E1035=E$2:E1019)))))-COUNTBLANK(OFFSET(M$1,,,SUMPRODUCT(MAX(ROW(Q$1:Q1018)*(E1035=Q$1:Q1018))))))</f>
        <v/>
      </c>
      <c r="K1035" s="25" t="str">
        <f aca="false">IF(OR(E1035="",E1035="!!!",F1035="NEW"),"",INDEX(V$1:V1018,SUMPRODUCT(MAX(ROW(Q$1:Q1018)*(E1035=Q$1:Q1018)))))</f>
        <v/>
      </c>
      <c r="L1035" s="26"/>
      <c r="M1035" s="27"/>
    </row>
    <row r="1036" customFormat="false" ht="15" hidden="false" customHeight="false" outlineLevel="0" collapsed="false">
      <c r="A1036" s="19" t="s">
        <v>367</v>
      </c>
      <c r="E1036" s="20" t="str">
        <f aca="false">IF(P1036="?OLD","!!!","")</f>
        <v/>
      </c>
      <c r="F1036" s="21" t="str">
        <f aca="false">IF(OR(E1036="",E1036="!!!"),"",IF(NOT(ISNA(VLOOKUP(E1036,Q$1:Q1019,1,FALSE()))),"OLD",IF(AND(E1036&lt;&gt;"",E1036&lt;&gt;"!!!"),"NEW","")))</f>
        <v/>
      </c>
      <c r="G1036" s="22" t="str">
        <f aca="false">IF(OR(E1036="",E1036="!!!"),"",IF(OR(J1036=0,AND(J1036=1,K1036=1),AND(J1036=1,I1036="SBJ"),AND(J1036=1,I1036=0)),"?IN_FOCUS",IF(J1036&lt;=2,"?ACTIVATED",IF(J1036&lt;&gt;"","?FAMILIAR",IF(F1036="NEW",IF(ISNA(VLOOKUP(E1036,#REF!,1,FALSE())),"?TYPE_IDENTIFIABLE","?REFERENTIAL"),"_")))))</f>
        <v/>
      </c>
      <c r="H1036" s="23" t="str">
        <f aca="false">IF(J1036&lt;&gt;1,"",IF(I1036="SBJ","CB","?"))</f>
        <v/>
      </c>
      <c r="I1036" s="24" t="str">
        <f aca="false">IF(OR(E1036="",E1036="!!!",F1036="NEW"),"",INDEX(N$2:N1019,-1+SUMPRODUCT(MAX(ROW(E$2:E1019)*(E1036=E$2:E1019)))))</f>
        <v/>
      </c>
      <c r="J1036" s="25" t="str">
        <f aca="true">IF(OR(E1036="",E1036="!!!",F1036="NEW"),"",COUNTBLANK(OFFSET(M$1,,,SUMPRODUCT(MAX(ROW(E$2:E1020)*(E1036=E$2:E1020)))))-COUNTBLANK(OFFSET(M$1,,,SUMPRODUCT(MAX(ROW(Q$1:Q1019)*(E1036=Q$1:Q1019))))))</f>
        <v/>
      </c>
      <c r="K1036" s="25" t="str">
        <f aca="false">IF(OR(E1036="",E1036="!!!",F1036="NEW"),"",INDEX(V$1:V1019,SUMPRODUCT(MAX(ROW(Q$1:Q1019)*(E1036=Q$1:Q1019)))))</f>
        <v/>
      </c>
      <c r="L1036" s="26"/>
      <c r="M1036" s="27"/>
    </row>
    <row r="1037" customFormat="false" ht="15" hidden="false" customHeight="false" outlineLevel="0" collapsed="false">
      <c r="A1037" s="19" t="s">
        <v>705</v>
      </c>
      <c r="B1037" s="28" t="s">
        <v>271</v>
      </c>
      <c r="C1037" s="28" t="s">
        <v>259</v>
      </c>
      <c r="E1037" s="20" t="str">
        <f aca="false">IF(P1037="?OLD","!!!","")</f>
        <v/>
      </c>
      <c r="F1037" s="21" t="str">
        <f aca="false">IF(OR(E1037="",E1037="!!!"),"",IF(NOT(ISNA(VLOOKUP(E1037,Q$1:Q1020,1,FALSE()))),"OLD",IF(AND(E1037&lt;&gt;"",E1037&lt;&gt;"!!!"),"NEW","")))</f>
        <v/>
      </c>
      <c r="G1037" s="22" t="str">
        <f aca="false">IF(OR(E1037="",E1037="!!!"),"",IF(OR(J1037=0,AND(J1037=1,K1037=1),AND(J1037=1,I1037="SBJ"),AND(J1037=1,I1037=0)),"?IN_FOCUS",IF(J1037&lt;=2,"?ACTIVATED",IF(J1037&lt;&gt;"","?FAMILIAR",IF(F1037="NEW",IF(ISNA(VLOOKUP(E1037,#REF!,1,FALSE())),"?TYPE_IDENTIFIABLE","?REFERENTIAL"),"_")))))</f>
        <v/>
      </c>
      <c r="H1037" s="23" t="str">
        <f aca="false">IF(J1037&lt;&gt;1,"",IF(I1037="SBJ","CB","?"))</f>
        <v/>
      </c>
      <c r="I1037" s="24" t="str">
        <f aca="false">IF(OR(E1037="",E1037="!!!",F1037="NEW"),"",INDEX(N$2:N1020,-1+SUMPRODUCT(MAX(ROW(E$2:E1020)*(E1037=E$2:E1020)))))</f>
        <v/>
      </c>
      <c r="J1037" s="25" t="str">
        <f aca="true">IF(OR(E1037="",E1037="!!!",F1037="NEW"),"",COUNTBLANK(OFFSET(M$1,,,SUMPRODUCT(MAX(ROW(E$2:E1021)*(E1037=E$2:E1021)))))-COUNTBLANK(OFFSET(M$1,,,SUMPRODUCT(MAX(ROW(Q$1:Q1020)*(E1037=Q$1:Q1020))))))</f>
        <v/>
      </c>
      <c r="K1037" s="25" t="str">
        <f aca="false">IF(OR(E1037="",E1037="!!!",F1037="NEW"),"",INDEX(V$1:V1020,SUMPRODUCT(MAX(ROW(Q$1:Q1020)*(E1037=Q$1:Q1020)))))</f>
        <v/>
      </c>
      <c r="L1037" s="26"/>
      <c r="M1037" s="27"/>
      <c r="N1037" s="29"/>
      <c r="O1037" s="29"/>
    </row>
    <row r="1038" customFormat="false" ht="15" hidden="false" customHeight="false" outlineLevel="0" collapsed="false">
      <c r="A1038" s="19" t="s">
        <v>261</v>
      </c>
      <c r="E1038" s="20" t="str">
        <f aca="false">IF(P1038="?OLD","!!!","")</f>
        <v/>
      </c>
      <c r="F1038" s="21" t="str">
        <f aca="false">IF(OR(E1038="",E1038="!!!"),"",IF(NOT(ISNA(VLOOKUP(E1038,Q$1:Q1021,1,FALSE()))),"OLD",IF(AND(E1038&lt;&gt;"",E1038&lt;&gt;"!!!"),"NEW","")))</f>
        <v/>
      </c>
      <c r="G1038" s="22" t="str">
        <f aca="false">IF(OR(E1038="",E1038="!!!"),"",IF(OR(J1038=0,AND(J1038=1,K1038=1),AND(J1038=1,I1038="SBJ"),AND(J1038=1,I1038=0)),"?IN_FOCUS",IF(J1038&lt;=2,"?ACTIVATED",IF(J1038&lt;&gt;"","?FAMILIAR",IF(F1038="NEW",IF(ISNA(VLOOKUP(E1038,#REF!,1,FALSE())),"?TYPE_IDENTIFIABLE","?REFERENTIAL"),"_")))))</f>
        <v/>
      </c>
      <c r="H1038" s="23" t="str">
        <f aca="false">IF(J1038&lt;&gt;1,"",IF(I1038="SBJ","CB","?"))</f>
        <v/>
      </c>
      <c r="I1038" s="24" t="str">
        <f aca="false">IF(OR(E1038="",E1038="!!!",F1038="NEW"),"",INDEX(N$2:N1021,-1+SUMPRODUCT(MAX(ROW(E$2:E1021)*(E1038=E$2:E1021)))))</f>
        <v/>
      </c>
      <c r="J1038" s="25" t="str">
        <f aca="true">IF(OR(E1038="",E1038="!!!",F1038="NEW"),"",COUNTBLANK(OFFSET(M$1,,,SUMPRODUCT(MAX(ROW(E$2:E1022)*(E1038=E$2:E1022)))))-COUNTBLANK(OFFSET(M$1,,,SUMPRODUCT(MAX(ROW(Q$1:Q1021)*(E1038=Q$1:Q1021))))))</f>
        <v/>
      </c>
      <c r="K1038" s="25" t="str">
        <f aca="false">IF(OR(E1038="",E1038="!!!",F1038="NEW"),"",INDEX(V$1:V1021,SUMPRODUCT(MAX(ROW(Q$1:Q1021)*(E1038=Q$1:Q1021)))))</f>
        <v/>
      </c>
      <c r="L1038" s="26"/>
      <c r="M1038" s="27"/>
    </row>
    <row r="1039" customFormat="false" ht="15" hidden="false" customHeight="false" outlineLevel="0" collapsed="false">
      <c r="A1039" s="19" t="s">
        <v>294</v>
      </c>
      <c r="E1039" s="20" t="str">
        <f aca="false">IF(P1039="?OLD","!!!","")</f>
        <v/>
      </c>
      <c r="F1039" s="21" t="str">
        <f aca="false">IF(OR(E1039="",E1039="!!!"),"",IF(NOT(ISNA(VLOOKUP(E1039,Q$1:Q1022,1,FALSE()))),"OLD",IF(AND(E1039&lt;&gt;"",E1039&lt;&gt;"!!!"),"NEW","")))</f>
        <v/>
      </c>
      <c r="G1039" s="22" t="str">
        <f aca="false">IF(OR(E1039="",E1039="!!!"),"",IF(OR(J1039=0,AND(J1039=1,K1039=1),AND(J1039=1,I1039="SBJ"),AND(J1039=1,I1039=0)),"?IN_FOCUS",IF(J1039&lt;=2,"?ACTIVATED",IF(J1039&lt;&gt;"","?FAMILIAR",IF(F1039="NEW",IF(ISNA(VLOOKUP(E1039,#REF!,1,FALSE())),"?TYPE_IDENTIFIABLE","?REFERENTIAL"),"_")))))</f>
        <v/>
      </c>
      <c r="H1039" s="23" t="str">
        <f aca="false">IF(J1039&lt;&gt;1,"",IF(I1039="SBJ","CB","?"))</f>
        <v/>
      </c>
      <c r="I1039" s="24" t="str">
        <f aca="false">IF(OR(E1039="",E1039="!!!",F1039="NEW"),"",INDEX(N$2:N1022,-1+SUMPRODUCT(MAX(ROW(E$2:E1022)*(E1039=E$2:E1022)))))</f>
        <v/>
      </c>
      <c r="J1039" s="25" t="str">
        <f aca="true">IF(OR(E1039="",E1039="!!!",F1039="NEW"),"",COUNTBLANK(OFFSET(M$1,,,SUMPRODUCT(MAX(ROW(E$2:E1023)*(E1039=E$2:E1023)))))-COUNTBLANK(OFFSET(M$1,,,SUMPRODUCT(MAX(ROW(Q$1:Q1022)*(E1039=Q$1:Q1022))))))</f>
        <v/>
      </c>
      <c r="K1039" s="25" t="str">
        <f aca="false">IF(OR(E1039="",E1039="!!!",F1039="NEW"),"",INDEX(V$1:V1022,SUMPRODUCT(MAX(ROW(Q$1:Q1022)*(E1039=Q$1:Q1022)))))</f>
        <v/>
      </c>
      <c r="L1039" s="26"/>
      <c r="M1039" s="27"/>
    </row>
    <row r="1040" customFormat="false" ht="15" hidden="false" customHeight="false" outlineLevel="0" collapsed="false">
      <c r="A1040" s="19" t="s">
        <v>31</v>
      </c>
      <c r="E1040" s="20" t="str">
        <f aca="false">IF(P1040="?OLD","!!!","")</f>
        <v/>
      </c>
      <c r="F1040" s="21" t="str">
        <f aca="false">IF(OR(E1040="",E1040="!!!"),"",IF(NOT(ISNA(VLOOKUP(E1040,Q$1:Q1023,1,FALSE()))),"OLD",IF(AND(E1040&lt;&gt;"",E1040&lt;&gt;"!!!"),"NEW","")))</f>
        <v/>
      </c>
      <c r="G1040" s="22" t="str">
        <f aca="false">IF(OR(E1040="",E1040="!!!"),"",IF(OR(J1040=0,AND(J1040=1,K1040=1),AND(J1040=1,I1040="SBJ"),AND(J1040=1,I1040=0)),"?IN_FOCUS",IF(J1040&lt;=2,"?ACTIVATED",IF(J1040&lt;&gt;"","?FAMILIAR",IF(F1040="NEW",IF(ISNA(VLOOKUP(E1040,#REF!,1,FALSE())),"?TYPE_IDENTIFIABLE","?REFERENTIAL"),"_")))))</f>
        <v/>
      </c>
      <c r="H1040" s="23" t="str">
        <f aca="false">IF(J1040&lt;&gt;1,"",IF(I1040="SBJ","CB","?"))</f>
        <v/>
      </c>
      <c r="I1040" s="24" t="str">
        <f aca="false">IF(OR(E1040="",E1040="!!!",F1040="NEW"),"",INDEX(N$2:N1023,-1+SUMPRODUCT(MAX(ROW(E$2:E1023)*(E1040=E$2:E1023)))))</f>
        <v/>
      </c>
      <c r="J1040" s="25" t="str">
        <f aca="true">IF(OR(E1040="",E1040="!!!",F1040="NEW"),"",COUNTBLANK(OFFSET(M$1,,,SUMPRODUCT(MAX(ROW(E$2:E1024)*(E1040=E$2:E1024)))))-COUNTBLANK(OFFSET(M$1,,,SUMPRODUCT(MAX(ROW(Q$1:Q1023)*(E1040=Q$1:Q1023))))))</f>
        <v/>
      </c>
      <c r="K1040" s="25" t="str">
        <f aca="false">IF(OR(E1040="",E1040="!!!",F1040="NEW"),"",INDEX(V$1:V1023,SUMPRODUCT(MAX(ROW(Q$1:Q1023)*(E1040=Q$1:Q1023)))))</f>
        <v/>
      </c>
      <c r="L1040" s="26"/>
      <c r="M1040" s="27"/>
    </row>
    <row r="1041" customFormat="false" ht="15" hidden="false" customHeight="false" outlineLevel="0" collapsed="false">
      <c r="A1041" s="19" t="s">
        <v>706</v>
      </c>
      <c r="E1041" s="20" t="str">
        <f aca="false">IF(P1041="?OLD","!!!","")</f>
        <v/>
      </c>
      <c r="F1041" s="21" t="str">
        <f aca="false">IF(OR(E1041="",E1041="!!!"),"",IF(NOT(ISNA(VLOOKUP(E1041,Q$1:Q1024,1,FALSE()))),"OLD",IF(AND(E1041&lt;&gt;"",E1041&lt;&gt;"!!!"),"NEW","")))</f>
        <v/>
      </c>
      <c r="G1041" s="22" t="str">
        <f aca="false">IF(OR(E1041="",E1041="!!!"),"",IF(OR(J1041=0,AND(J1041=1,K1041=1),AND(J1041=1,I1041="SBJ"),AND(J1041=1,I1041=0)),"?IN_FOCUS",IF(J1041&lt;=2,"?ACTIVATED",IF(J1041&lt;&gt;"","?FAMILIAR",IF(F1041="NEW",IF(ISNA(VLOOKUP(E1041,#REF!,1,FALSE())),"?TYPE_IDENTIFIABLE","?REFERENTIAL"),"_")))))</f>
        <v/>
      </c>
      <c r="H1041" s="23" t="str">
        <f aca="false">IF(J1041&lt;&gt;1,"",IF(I1041="SBJ","CB","?"))</f>
        <v/>
      </c>
      <c r="I1041" s="24" t="str">
        <f aca="false">IF(OR(E1041="",E1041="!!!",F1041="NEW"),"",INDEX(N$2:N1024,-1+SUMPRODUCT(MAX(ROW(E$2:E1024)*(E1041=E$2:E1024)))))</f>
        <v/>
      </c>
      <c r="J1041" s="25" t="str">
        <f aca="true">IF(OR(E1041="",E1041="!!!",F1041="NEW"),"",COUNTBLANK(OFFSET(M$1,,,SUMPRODUCT(MAX(ROW(E$2:E1025)*(E1041=E$2:E1025)))))-COUNTBLANK(OFFSET(M$1,,,SUMPRODUCT(MAX(ROW(Q$1:Q1024)*(E1041=Q$1:Q1024))))))</f>
        <v/>
      </c>
      <c r="K1041" s="25" t="str">
        <f aca="false">IF(OR(E1041="",E1041="!!!",F1041="NEW"),"",INDEX(V$1:V1024,SUMPRODUCT(MAX(ROW(Q$1:Q1024)*(E1041=Q$1:Q1024)))))</f>
        <v/>
      </c>
      <c r="L1041" s="26"/>
      <c r="M1041" s="27"/>
    </row>
    <row r="1042" customFormat="false" ht="15" hidden="false" customHeight="false" outlineLevel="0" collapsed="false">
      <c r="A1042" s="19" t="s">
        <v>261</v>
      </c>
      <c r="E1042" s="20" t="str">
        <f aca="false">IF(P1042="?OLD","!!!","")</f>
        <v/>
      </c>
      <c r="F1042" s="21" t="str">
        <f aca="false">IF(OR(E1042="",E1042="!!!"),"",IF(NOT(ISNA(VLOOKUP(E1042,Q$1:Q1025,1,FALSE()))),"OLD",IF(AND(E1042&lt;&gt;"",E1042&lt;&gt;"!!!"),"NEW","")))</f>
        <v/>
      </c>
      <c r="G1042" s="22" t="str">
        <f aca="false">IF(OR(E1042="",E1042="!!!"),"",IF(OR(J1042=0,AND(J1042=1,K1042=1),AND(J1042=1,I1042="SBJ"),AND(J1042=1,I1042=0)),"?IN_FOCUS",IF(J1042&lt;=2,"?ACTIVATED",IF(J1042&lt;&gt;"","?FAMILIAR",IF(F1042="NEW",IF(ISNA(VLOOKUP(E1042,#REF!,1,FALSE())),"?TYPE_IDENTIFIABLE","?REFERENTIAL"),"_")))))</f>
        <v/>
      </c>
      <c r="H1042" s="23" t="str">
        <f aca="false">IF(J1042&lt;&gt;1,"",IF(I1042="SBJ","CB","?"))</f>
        <v/>
      </c>
      <c r="I1042" s="24" t="str">
        <f aca="false">IF(OR(E1042="",E1042="!!!",F1042="NEW"),"",INDEX(N$2:N1025,-1+SUMPRODUCT(MAX(ROW(E$2:E1025)*(E1042=E$2:E1025)))))</f>
        <v/>
      </c>
      <c r="J1042" s="25" t="str">
        <f aca="true">IF(OR(E1042="",E1042="!!!",F1042="NEW"),"",COUNTBLANK(OFFSET(M$1,,,SUMPRODUCT(MAX(ROW(E$2:E1026)*(E1042=E$2:E1026)))))-COUNTBLANK(OFFSET(M$1,,,SUMPRODUCT(MAX(ROW(Q$1:Q1025)*(E1042=Q$1:Q1025))))))</f>
        <v/>
      </c>
      <c r="K1042" s="25" t="str">
        <f aca="false">IF(OR(E1042="",E1042="!!!",F1042="NEW"),"",INDEX(V$1:V1025,SUMPRODUCT(MAX(ROW(Q$1:Q1025)*(E1042=Q$1:Q1025)))))</f>
        <v/>
      </c>
      <c r="L1042" s="26"/>
      <c r="M1042" s="27"/>
    </row>
    <row r="1043" customFormat="false" ht="15" hidden="false" customHeight="false" outlineLevel="0" collapsed="false">
      <c r="A1043" s="19" t="s">
        <v>337</v>
      </c>
      <c r="E1043" s="20" t="str">
        <f aca="false">IF(P1043="?OLD","!!!","")</f>
        <v/>
      </c>
      <c r="F1043" s="21" t="str">
        <f aca="false">IF(OR(E1043="",E1043="!!!"),"",IF(NOT(ISNA(VLOOKUP(E1043,Q$1:Q1026,1,FALSE()))),"OLD",IF(AND(E1043&lt;&gt;"",E1043&lt;&gt;"!!!"),"NEW","")))</f>
        <v/>
      </c>
      <c r="G1043" s="22" t="str">
        <f aca="false">IF(OR(E1043="",E1043="!!!"),"",IF(OR(J1043=0,AND(J1043=1,K1043=1),AND(J1043=1,I1043="SBJ"),AND(J1043=1,I1043=0)),"?IN_FOCUS",IF(J1043&lt;=2,"?ACTIVATED",IF(J1043&lt;&gt;"","?FAMILIAR",IF(F1043="NEW",IF(ISNA(VLOOKUP(E1043,#REF!,1,FALSE())),"?TYPE_IDENTIFIABLE","?REFERENTIAL"),"_")))))</f>
        <v/>
      </c>
      <c r="H1043" s="23" t="str">
        <f aca="false">IF(J1043&lt;&gt;1,"",IF(I1043="SBJ","CB","?"))</f>
        <v/>
      </c>
      <c r="I1043" s="24" t="str">
        <f aca="false">IF(OR(E1043="",E1043="!!!",F1043="NEW"),"",INDEX(N$2:N1026,-1+SUMPRODUCT(MAX(ROW(E$2:E1026)*(E1043=E$2:E1026)))))</f>
        <v/>
      </c>
      <c r="J1043" s="25" t="str">
        <f aca="true">IF(OR(E1043="",E1043="!!!",F1043="NEW"),"",COUNTBLANK(OFFSET(M$1,,,SUMPRODUCT(MAX(ROW(E$2:E1027)*(E1043=E$2:E1027)))))-COUNTBLANK(OFFSET(M$1,,,SUMPRODUCT(MAX(ROW(Q$1:Q1026)*(E1043=Q$1:Q1026))))))</f>
        <v/>
      </c>
      <c r="K1043" s="25" t="str">
        <f aca="false">IF(OR(E1043="",E1043="!!!",F1043="NEW"),"",INDEX(V$1:V1026,SUMPRODUCT(MAX(ROW(Q$1:Q1026)*(E1043=Q$1:Q1026)))))</f>
        <v/>
      </c>
      <c r="L1043" s="26"/>
      <c r="M1043" s="27"/>
    </row>
    <row r="1044" customFormat="false" ht="15" hidden="false" customHeight="false" outlineLevel="0" collapsed="false">
      <c r="A1044" s="19" t="s">
        <v>145</v>
      </c>
      <c r="B1044" s="28" t="s">
        <v>326</v>
      </c>
      <c r="C1044" s="28" t="s">
        <v>314</v>
      </c>
      <c r="D1044" s="28" t="s">
        <v>253</v>
      </c>
      <c r="E1044" s="20" t="s">
        <v>265</v>
      </c>
      <c r="F1044" s="21" t="str">
        <f aca="false">IF(OR(E1044="",E1044="!!!"),"",IF(NOT(ISNA(VLOOKUP(E1044,Q$1:Q1027,1,FALSE()))),"OLD",IF(AND(E1044&lt;&gt;"",E1044&lt;&gt;"!!!"),"NEW","")))</f>
        <v>NEW</v>
      </c>
      <c r="G1044" s="22" t="s">
        <v>296</v>
      </c>
      <c r="H1044" s="23" t="str">
        <f aca="false">IF(J1044&lt;&gt;1,"",IF(I1044="SBJ","CB","?"))</f>
        <v/>
      </c>
      <c r="I1044" s="24" t="str">
        <f aca="false">IF(OR(E1044="",E1044="!!!",F1044="NEW"),"",INDEX(N$2:N1027,-1+SUMPRODUCT(MAX(ROW(E$2:E1027)*(E1044=E$2:E1027)))))</f>
        <v/>
      </c>
      <c r="J1044" s="25" t="str">
        <f aca="true">IF(OR(E1044="",E1044="!!!",F1044="NEW"),"",COUNTBLANK(OFFSET(M$1,,,SUMPRODUCT(MAX(ROW(E$2:E1028)*(E1044=E$2:E1028)))))-COUNTBLANK(OFFSET(M$1,,,SUMPRODUCT(MAX(ROW(Q$1:Q1027)*(E1044=Q$1:Q1027))))))</f>
        <v/>
      </c>
      <c r="K1044" s="25" t="str">
        <f aca="false">IF(OR(E1044="",E1044="!!!",F1044="NEW"),"",INDEX(V$1:V1027,SUMPRODUCT(MAX(ROW(Q$1:Q1027)*(E1044=Q$1:Q1027)))))</f>
        <v/>
      </c>
      <c r="L1044" s="26"/>
      <c r="M1044" s="27"/>
      <c r="N1044" s="29"/>
      <c r="O1044" s="29"/>
      <c r="P1044" s="29"/>
    </row>
    <row r="1045" customFormat="false" ht="15" hidden="false" customHeight="false" outlineLevel="0" collapsed="false">
      <c r="A1045" s="19" t="s">
        <v>256</v>
      </c>
      <c r="E1045" s="20" t="str">
        <f aca="false">IF(P1045="?OLD","!!!","")</f>
        <v/>
      </c>
      <c r="F1045" s="21" t="str">
        <f aca="false">IF(OR(E1045="",E1045="!!!"),"",IF(NOT(ISNA(VLOOKUP(E1045,Q$1:Q1028,1,FALSE()))),"OLD",IF(AND(E1045&lt;&gt;"",E1045&lt;&gt;"!!!"),"NEW","")))</f>
        <v/>
      </c>
      <c r="G1045" s="22" t="str">
        <f aca="false">IF(OR(E1045="",E1045="!!!"),"",IF(OR(J1045=0,AND(J1045=1,K1045=1),AND(J1045=1,I1045="SBJ"),AND(J1045=1,I1045=0)),"?IN_FOCUS",IF(J1045&lt;=2,"?ACTIVATED",IF(J1045&lt;&gt;"","?FAMILIAR",IF(F1045="NEW",IF(ISNA(VLOOKUP(E1045,#REF!,1,FALSE())),"?TYPE_IDENTIFIABLE","?REFERENTIAL"),"_")))))</f>
        <v/>
      </c>
      <c r="H1045" s="23" t="str">
        <f aca="false">IF(J1045&lt;&gt;1,"",IF(I1045="SBJ","CB","?"))</f>
        <v/>
      </c>
      <c r="I1045" s="24" t="str">
        <f aca="false">IF(OR(E1045="",E1045="!!!",F1045="NEW"),"",INDEX(N$2:N1028,-1+SUMPRODUCT(MAX(ROW(E$2:E1028)*(E1045=E$2:E1028)))))</f>
        <v/>
      </c>
      <c r="J1045" s="25" t="str">
        <f aca="true">IF(OR(E1045="",E1045="!!!",F1045="NEW"),"",COUNTBLANK(OFFSET(M$1,,,SUMPRODUCT(MAX(ROW(E$2:E1029)*(E1045=E$2:E1029)))))-COUNTBLANK(OFFSET(M$1,,,SUMPRODUCT(MAX(ROW(Q$1:Q1028)*(E1045=Q$1:Q1028))))))</f>
        <v/>
      </c>
      <c r="K1045" s="25" t="str">
        <f aca="false">IF(OR(E1045="",E1045="!!!",F1045="NEW"),"",INDEX(V$1:V1028,SUMPRODUCT(MAX(ROW(Q$1:Q1028)*(E1045=Q$1:Q1028)))))</f>
        <v/>
      </c>
      <c r="L1045" s="26"/>
      <c r="M1045" s="27"/>
    </row>
    <row r="1046" customFormat="false" ht="15" hidden="false" customHeight="false" outlineLevel="0" collapsed="false">
      <c r="A1046" s="19" t="s">
        <v>441</v>
      </c>
      <c r="B1046" s="28" t="s">
        <v>293</v>
      </c>
      <c r="C1046" s="28" t="s">
        <v>264</v>
      </c>
      <c r="D1046" s="28" t="s">
        <v>253</v>
      </c>
      <c r="E1046" s="20" t="s">
        <v>265</v>
      </c>
      <c r="F1046" s="21" t="str">
        <f aca="false">IF(OR(E1046="",E1046="!!!"),"",IF(NOT(ISNA(VLOOKUP(E1046,Q$1:Q1029,1,FALSE()))),"OLD",IF(AND(E1046&lt;&gt;"",E1046&lt;&gt;"!!!"),"NEW","")))</f>
        <v>NEW</v>
      </c>
      <c r="G1046" s="22" t="s">
        <v>296</v>
      </c>
      <c r="H1046" s="23" t="str">
        <f aca="false">IF(J1046&lt;&gt;1,"",IF(I1046="SBJ","CB","?"))</f>
        <v/>
      </c>
      <c r="I1046" s="24" t="str">
        <f aca="false">IF(OR(E1046="",E1046="!!!",F1046="NEW"),"",INDEX(N$2:N1029,-1+SUMPRODUCT(MAX(ROW(E$2:E1029)*(E1046=E$2:E1029)))))</f>
        <v/>
      </c>
      <c r="J1046" s="25" t="str">
        <f aca="true">IF(OR(E1046="",E1046="!!!",F1046="NEW"),"",COUNTBLANK(OFFSET(M$1,,,SUMPRODUCT(MAX(ROW(E$2:E1030)*(E1046=E$2:E1030)))))-COUNTBLANK(OFFSET(M$1,,,SUMPRODUCT(MAX(ROW(Q$1:Q1029)*(E1046=Q$1:Q1029))))))</f>
        <v/>
      </c>
      <c r="K1046" s="25" t="str">
        <f aca="false">IF(OR(E1046="",E1046="!!!",F1046="NEW"),"",INDEX(V$1:V1029,SUMPRODUCT(MAX(ROW(Q$1:Q1029)*(E1046=Q$1:Q1029)))))</f>
        <v/>
      </c>
      <c r="L1046" s="26"/>
      <c r="M1046" s="27"/>
      <c r="N1046" s="29"/>
      <c r="O1046" s="29"/>
      <c r="P1046" s="29"/>
    </row>
    <row r="1047" customFormat="false" ht="15" hidden="false" customHeight="false" outlineLevel="0" collapsed="false">
      <c r="A1047" s="19" t="s">
        <v>261</v>
      </c>
      <c r="E1047" s="20" t="str">
        <f aca="false">IF(P1047="?OLD","!!!","")</f>
        <v/>
      </c>
      <c r="F1047" s="21" t="str">
        <f aca="false">IF(OR(E1047="",E1047="!!!"),"",IF(NOT(ISNA(VLOOKUP(E1047,Q$1:Q1030,1,FALSE()))),"OLD",IF(AND(E1047&lt;&gt;"",E1047&lt;&gt;"!!!"),"NEW","")))</f>
        <v/>
      </c>
      <c r="G1047" s="22" t="str">
        <f aca="false">IF(OR(E1047="",E1047="!!!"),"",IF(OR(J1047=0,AND(J1047=1,K1047=1),AND(J1047=1,I1047="SBJ"),AND(J1047=1,I1047=0)),"?IN_FOCUS",IF(J1047&lt;=2,"?ACTIVATED",IF(J1047&lt;&gt;"","?FAMILIAR",IF(F1047="NEW",IF(ISNA(VLOOKUP(E1047,#REF!,1,FALSE())),"?TYPE_IDENTIFIABLE","?REFERENTIAL"),"_")))))</f>
        <v/>
      </c>
      <c r="H1047" s="23" t="str">
        <f aca="false">IF(J1047&lt;&gt;1,"",IF(I1047="SBJ","CB","?"))</f>
        <v/>
      </c>
      <c r="I1047" s="24" t="str">
        <f aca="false">IF(OR(E1047="",E1047="!!!",F1047="NEW"),"",INDEX(N$2:N1030,-1+SUMPRODUCT(MAX(ROW(E$2:E1030)*(E1047=E$2:E1030)))))</f>
        <v/>
      </c>
      <c r="J1047" s="25" t="str">
        <f aca="true">IF(OR(E1047="",E1047="!!!",F1047="NEW"),"",COUNTBLANK(OFFSET(M$1,,,SUMPRODUCT(MAX(ROW(E$2:E1031)*(E1047=E$2:E1031)))))-COUNTBLANK(OFFSET(M$1,,,SUMPRODUCT(MAX(ROW(Q$1:Q1030)*(E1047=Q$1:Q1030))))))</f>
        <v/>
      </c>
      <c r="K1047" s="25" t="str">
        <f aca="false">IF(OR(E1047="",E1047="!!!",F1047="NEW"),"",INDEX(V$1:V1030,SUMPRODUCT(MAX(ROW(Q$1:Q1030)*(E1047=Q$1:Q1030)))))</f>
        <v/>
      </c>
      <c r="L1047" s="26"/>
      <c r="M1047" s="27"/>
    </row>
    <row r="1048" customFormat="false" ht="15" hidden="false" customHeight="false" outlineLevel="0" collapsed="false">
      <c r="A1048" s="19" t="s">
        <v>273</v>
      </c>
      <c r="E1048" s="20" t="str">
        <f aca="false">IF(P1048="?OLD","!!!","")</f>
        <v/>
      </c>
      <c r="F1048" s="21" t="str">
        <f aca="false">IF(OR(E1048="",E1048="!!!"),"",IF(NOT(ISNA(VLOOKUP(E1048,Q$1:Q1031,1,FALSE()))),"OLD",IF(AND(E1048&lt;&gt;"",E1048&lt;&gt;"!!!"),"NEW","")))</f>
        <v/>
      </c>
      <c r="G1048" s="22" t="str">
        <f aca="false">IF(OR(E1048="",E1048="!!!"),"",IF(OR(J1048=0,AND(J1048=1,K1048=1),AND(J1048=1,I1048="SBJ"),AND(J1048=1,I1048=0)),"?IN_FOCUS",IF(J1048&lt;=2,"?ACTIVATED",IF(J1048&lt;&gt;"","?FAMILIAR",IF(F1048="NEW",IF(ISNA(VLOOKUP(E1048,#REF!,1,FALSE())),"?TYPE_IDENTIFIABLE","?REFERENTIAL"),"_")))))</f>
        <v/>
      </c>
      <c r="H1048" s="23" t="str">
        <f aca="false">IF(J1048&lt;&gt;1,"",IF(I1048="SBJ","CB","?"))</f>
        <v/>
      </c>
      <c r="I1048" s="24" t="str">
        <f aca="false">IF(OR(E1048="",E1048="!!!",F1048="NEW"),"",INDEX(N$2:N1031,-1+SUMPRODUCT(MAX(ROW(E$2:E1031)*(E1048=E$2:E1031)))))</f>
        <v/>
      </c>
      <c r="J1048" s="25" t="str">
        <f aca="true">IF(OR(E1048="",E1048="!!!",F1048="NEW"),"",COUNTBLANK(OFFSET(M$1,,,SUMPRODUCT(MAX(ROW(E$2:E1032)*(E1048=E$2:E1032)))))-COUNTBLANK(OFFSET(M$1,,,SUMPRODUCT(MAX(ROW(Q$1:Q1031)*(E1048=Q$1:Q1031))))))</f>
        <v/>
      </c>
      <c r="K1048" s="25" t="str">
        <f aca="false">IF(OR(E1048="",E1048="!!!",F1048="NEW"),"",INDEX(V$1:V1031,SUMPRODUCT(MAX(ROW(Q$1:Q1031)*(E1048=Q$1:Q1031)))))</f>
        <v/>
      </c>
      <c r="L1048" s="26"/>
      <c r="M1048" s="27"/>
    </row>
    <row r="1049" customFormat="false" ht="15" hidden="false" customHeight="false" outlineLevel="0" collapsed="false">
      <c r="A1049" s="19" t="s">
        <v>250</v>
      </c>
      <c r="E1049" s="20" t="str">
        <f aca="false">IF(P1049="?OLD","!!!","")</f>
        <v/>
      </c>
      <c r="F1049" s="21" t="str">
        <f aca="false">IF(OR(E1049="",E1049="!!!"),"",IF(NOT(ISNA(VLOOKUP(E1049,Q$1:Q1032,1,FALSE()))),"OLD",IF(AND(E1049&lt;&gt;"",E1049&lt;&gt;"!!!"),"NEW","")))</f>
        <v/>
      </c>
      <c r="G1049" s="22" t="str">
        <f aca="false">IF(OR(E1049="",E1049="!!!"),"",IF(OR(J1049=0,AND(J1049=1,K1049=1),AND(J1049=1,I1049="SBJ"),AND(J1049=1,I1049=0)),"?IN_FOCUS",IF(J1049&lt;=2,"?ACTIVATED",IF(J1049&lt;&gt;"","?FAMILIAR",IF(F1049="NEW",IF(ISNA(VLOOKUP(E1049,#REF!,1,FALSE())),"?TYPE_IDENTIFIABLE","?REFERENTIAL"),"_")))))</f>
        <v/>
      </c>
      <c r="H1049" s="23" t="str">
        <f aca="false">IF(J1049&lt;&gt;1,"",IF(I1049="SBJ","CB","?"))</f>
        <v/>
      </c>
      <c r="I1049" s="24" t="str">
        <f aca="false">IF(OR(E1049="",E1049="!!!",F1049="NEW"),"",INDEX(N$2:N1032,-1+SUMPRODUCT(MAX(ROW(E$2:E1032)*(E1049=E$2:E1032)))))</f>
        <v/>
      </c>
      <c r="J1049" s="25" t="str">
        <f aca="true">IF(OR(E1049="",E1049="!!!",F1049="NEW"),"",COUNTBLANK(OFFSET(M$1,,,SUMPRODUCT(MAX(ROW(E$2:E1033)*(E1049=E$2:E1033)))))-COUNTBLANK(OFFSET(M$1,,,SUMPRODUCT(MAX(ROW(Q$1:Q1032)*(E1049=Q$1:Q1032))))))</f>
        <v/>
      </c>
      <c r="K1049" s="25" t="str">
        <f aca="false">IF(OR(E1049="",E1049="!!!",F1049="NEW"),"",INDEX(V$1:V1032,SUMPRODUCT(MAX(ROW(Q$1:Q1032)*(E1049=Q$1:Q1032)))))</f>
        <v/>
      </c>
      <c r="L1049" s="26"/>
      <c r="M1049" s="27"/>
    </row>
    <row r="1050" customFormat="false" ht="15" hidden="false" customHeight="false" outlineLevel="0" collapsed="false">
      <c r="A1050" s="19" t="s">
        <v>538</v>
      </c>
      <c r="B1050" s="28" t="s">
        <v>258</v>
      </c>
      <c r="C1050" s="28" t="s">
        <v>314</v>
      </c>
      <c r="D1050" s="28" t="s">
        <v>253</v>
      </c>
      <c r="E1050" s="20" t="s">
        <v>546</v>
      </c>
      <c r="F1050" s="21" t="str">
        <f aca="false">IF(OR(E1050="",E1050="!!!"),"",IF(NOT(ISNA(VLOOKUP(E1050,Q$1:Q1033,1,FALSE()))),"OLD",IF(AND(E1050&lt;&gt;"",E1050&lt;&gt;"!!!"),"NEW","")))</f>
        <v>NEW</v>
      </c>
      <c r="G1050" s="22" t="s">
        <v>266</v>
      </c>
      <c r="H1050" s="23" t="str">
        <f aca="false">IF(J1050&lt;&gt;1,"",IF(I1050="SBJ","CB","?"))</f>
        <v/>
      </c>
      <c r="I1050" s="24" t="str">
        <f aca="false">IF(OR(E1050="",E1050="!!!",F1050="NEW"),"",INDEX(N$2:N1033,-1+SUMPRODUCT(MAX(ROW(E$2:E1033)*(E1050=E$2:E1033)))))</f>
        <v/>
      </c>
      <c r="J1050" s="25" t="str">
        <f aca="true">IF(OR(E1050="",E1050="!!!",F1050="NEW"),"",COUNTBLANK(OFFSET(M$1,,,SUMPRODUCT(MAX(ROW(E$2:E1034)*(E1050=E$2:E1034)))))-COUNTBLANK(OFFSET(M$1,,,SUMPRODUCT(MAX(ROW(Q$1:Q1033)*(E1050=Q$1:Q1033))))))</f>
        <v/>
      </c>
      <c r="K1050" s="25" t="str">
        <f aca="false">IF(OR(E1050="",E1050="!!!",F1050="NEW"),"",INDEX(V$1:V1033,SUMPRODUCT(MAX(ROW(Q$1:Q1033)*(E1050=Q$1:Q1033)))))</f>
        <v/>
      </c>
      <c r="L1050" s="26"/>
      <c r="M1050" s="27"/>
      <c r="N1050" s="29"/>
      <c r="O1050" s="29"/>
      <c r="P1050" s="29"/>
    </row>
    <row r="1051" customFormat="false" ht="15" hidden="false" customHeight="false" outlineLevel="0" collapsed="false">
      <c r="A1051" s="19" t="s">
        <v>256</v>
      </c>
      <c r="E1051" s="20" t="str">
        <f aca="false">IF(P1051="?OLD","!!!","")</f>
        <v/>
      </c>
      <c r="F1051" s="21" t="str">
        <f aca="false">IF(OR(E1051="",E1051="!!!"),"",IF(NOT(ISNA(VLOOKUP(E1051,Q$1:Q1034,1,FALSE()))),"OLD",IF(AND(E1051&lt;&gt;"",E1051&lt;&gt;"!!!"),"NEW","")))</f>
        <v/>
      </c>
      <c r="G1051" s="22" t="str">
        <f aca="false">IF(OR(E1051="",E1051="!!!"),"",IF(OR(J1051=0,AND(J1051=1,K1051=1),AND(J1051=1,I1051="SBJ"),AND(J1051=1,I1051=0)),"?IN_FOCUS",IF(J1051&lt;=2,"?ACTIVATED",IF(J1051&lt;&gt;"","?FAMILIAR",IF(F1051="NEW",IF(ISNA(VLOOKUP(E1051,#REF!,1,FALSE())),"?TYPE_IDENTIFIABLE","?REFERENTIAL"),"_")))))</f>
        <v/>
      </c>
      <c r="H1051" s="23" t="str">
        <f aca="false">IF(J1051&lt;&gt;1,"",IF(I1051="SBJ","CB","?"))</f>
        <v/>
      </c>
      <c r="I1051" s="24" t="str">
        <f aca="false">IF(OR(E1051="",E1051="!!!",F1051="NEW"),"",INDEX(N$2:N1034,-1+SUMPRODUCT(MAX(ROW(E$2:E1034)*(E1051=E$2:E1034)))))</f>
        <v/>
      </c>
      <c r="J1051" s="25" t="str">
        <f aca="true">IF(OR(E1051="",E1051="!!!",F1051="NEW"),"",COUNTBLANK(OFFSET(M$1,,,SUMPRODUCT(MAX(ROW(E$2:E1035)*(E1051=E$2:E1035)))))-COUNTBLANK(OFFSET(M$1,,,SUMPRODUCT(MAX(ROW(Q$1:Q1034)*(E1051=Q$1:Q1034))))))</f>
        <v/>
      </c>
      <c r="K1051" s="25" t="str">
        <f aca="false">IF(OR(E1051="",E1051="!!!",F1051="NEW"),"",INDEX(V$1:V1034,SUMPRODUCT(MAX(ROW(Q$1:Q1034)*(E1051=Q$1:Q1034)))))</f>
        <v/>
      </c>
      <c r="L1051" s="26"/>
      <c r="M1051" s="27"/>
    </row>
    <row r="1052" customFormat="false" ht="15" hidden="false" customHeight="false" outlineLevel="0" collapsed="false">
      <c r="A1052" s="19" t="s">
        <v>546</v>
      </c>
      <c r="B1052" s="28" t="s">
        <v>293</v>
      </c>
      <c r="C1052" s="28" t="s">
        <v>333</v>
      </c>
      <c r="D1052" s="28" t="s">
        <v>253</v>
      </c>
      <c r="E1052" s="20" t="s">
        <v>546</v>
      </c>
      <c r="F1052" s="21" t="str">
        <f aca="false">IF(OR(E1052="",E1052="!!!"),"",IF(NOT(ISNA(VLOOKUP(E1052,Q$1:Q1035,1,FALSE()))),"OLD",IF(AND(E1052&lt;&gt;"",E1052&lt;&gt;"!!!"),"NEW","")))</f>
        <v>NEW</v>
      </c>
      <c r="G1052" s="22" t="s">
        <v>266</v>
      </c>
      <c r="H1052" s="23" t="str">
        <f aca="false">IF(J1052&lt;&gt;1,"",IF(I1052="SBJ","CB","?"))</f>
        <v/>
      </c>
      <c r="I1052" s="24" t="str">
        <f aca="false">IF(OR(E1052="",E1052="!!!",F1052="NEW"),"",INDEX(N$2:N1035,-1+SUMPRODUCT(MAX(ROW(E$2:E1035)*(E1052=E$2:E1035)))))</f>
        <v/>
      </c>
      <c r="J1052" s="25" t="str">
        <f aca="true">IF(OR(E1052="",E1052="!!!",F1052="NEW"),"",COUNTBLANK(OFFSET(M$1,,,SUMPRODUCT(MAX(ROW(E$2:E1036)*(E1052=E$2:E1036)))))-COUNTBLANK(OFFSET(M$1,,,SUMPRODUCT(MAX(ROW(Q$1:Q1035)*(E1052=Q$1:Q1035))))))</f>
        <v/>
      </c>
      <c r="K1052" s="25" t="str">
        <f aca="false">IF(OR(E1052="",E1052="!!!",F1052="NEW"),"",INDEX(V$1:V1035,SUMPRODUCT(MAX(ROW(Q$1:Q1035)*(E1052=Q$1:Q1035)))))</f>
        <v/>
      </c>
      <c r="L1052" s="26"/>
      <c r="M1052" s="27"/>
      <c r="N1052" s="29"/>
      <c r="O1052" s="29"/>
      <c r="P1052" s="29"/>
    </row>
    <row r="1053" customFormat="false" ht="15" hidden="false" customHeight="false" outlineLevel="0" collapsed="false">
      <c r="A1053" s="19" t="s">
        <v>652</v>
      </c>
      <c r="E1053" s="20" t="str">
        <f aca="false">IF(P1053="?OLD","!!!","")</f>
        <v/>
      </c>
      <c r="F1053" s="21" t="str">
        <f aca="false">IF(OR(E1053="",E1053="!!!"),"",IF(NOT(ISNA(VLOOKUP(E1053,Q$1:Q1036,1,FALSE()))),"OLD",IF(AND(E1053&lt;&gt;"",E1053&lt;&gt;"!!!"),"NEW","")))</f>
        <v/>
      </c>
      <c r="G1053" s="22" t="str">
        <f aca="false">IF(OR(E1053="",E1053="!!!"),"",IF(OR(J1053=0,AND(J1053=1,K1053=1),AND(J1053=1,I1053="SBJ"),AND(J1053=1,I1053=0)),"?IN_FOCUS",IF(J1053&lt;=2,"?ACTIVATED",IF(J1053&lt;&gt;"","?FAMILIAR",IF(F1053="NEW",IF(ISNA(VLOOKUP(E1053,#REF!,1,FALSE())),"?TYPE_IDENTIFIABLE","?REFERENTIAL"),"_")))))</f>
        <v/>
      </c>
      <c r="H1053" s="23" t="str">
        <f aca="false">IF(J1053&lt;&gt;1,"",IF(I1053="SBJ","CB","?"))</f>
        <v/>
      </c>
      <c r="I1053" s="24" t="str">
        <f aca="false">IF(OR(E1053="",E1053="!!!",F1053="NEW"),"",INDEX(N$2:N1036,-1+SUMPRODUCT(MAX(ROW(E$2:E1036)*(E1053=E$2:E1036)))))</f>
        <v/>
      </c>
      <c r="J1053" s="25" t="str">
        <f aca="true">IF(OR(E1053="",E1053="!!!",F1053="NEW"),"",COUNTBLANK(OFFSET(M$1,,,SUMPRODUCT(MAX(ROW(E$2:E1037)*(E1053=E$2:E1037)))))-COUNTBLANK(OFFSET(M$1,,,SUMPRODUCT(MAX(ROW(Q$1:Q1036)*(E1053=Q$1:Q1036))))))</f>
        <v/>
      </c>
      <c r="K1053" s="25" t="str">
        <f aca="false">IF(OR(E1053="",E1053="!!!",F1053="NEW"),"",INDEX(V$1:V1036,SUMPRODUCT(MAX(ROW(Q$1:Q1036)*(E1053=Q$1:Q1036)))))</f>
        <v/>
      </c>
      <c r="L1053" s="26"/>
      <c r="M1053" s="27"/>
    </row>
    <row r="1054" customFormat="false" ht="15" hidden="false" customHeight="false" outlineLevel="0" collapsed="false">
      <c r="A1054" s="19" t="s">
        <v>690</v>
      </c>
      <c r="E1054" s="20" t="str">
        <f aca="false">IF(P1054="?OLD","!!!","")</f>
        <v/>
      </c>
      <c r="F1054" s="21" t="str">
        <f aca="false">IF(OR(E1054="",E1054="!!!"),"",IF(NOT(ISNA(VLOOKUP(E1054,Q$1:Q1037,1,FALSE()))),"OLD",IF(AND(E1054&lt;&gt;"",E1054&lt;&gt;"!!!"),"NEW","")))</f>
        <v/>
      </c>
      <c r="G1054" s="22" t="str">
        <f aca="false">IF(OR(E1054="",E1054="!!!"),"",IF(OR(J1054=0,AND(J1054=1,K1054=1),AND(J1054=1,I1054="SBJ"),AND(J1054=1,I1054=0)),"?IN_FOCUS",IF(J1054&lt;=2,"?ACTIVATED",IF(J1054&lt;&gt;"","?FAMILIAR",IF(F1054="NEW",IF(ISNA(VLOOKUP(E1054,#REF!,1,FALSE())),"?TYPE_IDENTIFIABLE","?REFERENTIAL"),"_")))))</f>
        <v/>
      </c>
      <c r="H1054" s="23" t="str">
        <f aca="false">IF(J1054&lt;&gt;1,"",IF(I1054="SBJ","CB","?"))</f>
        <v/>
      </c>
      <c r="I1054" s="24" t="str">
        <f aca="false">IF(OR(E1054="",E1054="!!!",F1054="NEW"),"",INDEX(N$2:N1037,-1+SUMPRODUCT(MAX(ROW(E$2:E1037)*(E1054=E$2:E1037)))))</f>
        <v/>
      </c>
      <c r="J1054" s="25" t="str">
        <f aca="true">IF(OR(E1054="",E1054="!!!",F1054="NEW"),"",COUNTBLANK(OFFSET(M$1,,,SUMPRODUCT(MAX(ROW(E$2:E1038)*(E1054=E$2:E1038)))))-COUNTBLANK(OFFSET(M$1,,,SUMPRODUCT(MAX(ROW(Q$1:Q1037)*(E1054=Q$1:Q1037))))))</f>
        <v/>
      </c>
      <c r="K1054" s="25" t="str">
        <f aca="false">IF(OR(E1054="",E1054="!!!",F1054="NEW"),"",INDEX(V$1:V1037,SUMPRODUCT(MAX(ROW(Q$1:Q1037)*(E1054=Q$1:Q1037)))))</f>
        <v/>
      </c>
      <c r="L1054" s="26"/>
      <c r="M1054" s="27"/>
    </row>
    <row r="1055" customFormat="false" ht="15" hidden="false" customHeight="false" outlineLevel="0" collapsed="false">
      <c r="A1055" s="19" t="s">
        <v>250</v>
      </c>
      <c r="E1055" s="20" t="str">
        <f aca="false">IF(P1055="?OLD","!!!","")</f>
        <v/>
      </c>
      <c r="F1055" s="21" t="str">
        <f aca="false">IF(OR(E1055="",E1055="!!!"),"",IF(NOT(ISNA(VLOOKUP(E1055,Q$1:Q1038,1,FALSE()))),"OLD",IF(AND(E1055&lt;&gt;"",E1055&lt;&gt;"!!!"),"NEW","")))</f>
        <v/>
      </c>
      <c r="G1055" s="22" t="str">
        <f aca="false">IF(OR(E1055="",E1055="!!!"),"",IF(OR(J1055=0,AND(J1055=1,K1055=1),AND(J1055=1,I1055="SBJ"),AND(J1055=1,I1055=0)),"?IN_FOCUS",IF(J1055&lt;=2,"?ACTIVATED",IF(J1055&lt;&gt;"","?FAMILIAR",IF(F1055="NEW",IF(ISNA(VLOOKUP(E1055,#REF!,1,FALSE())),"?TYPE_IDENTIFIABLE","?REFERENTIAL"),"_")))))</f>
        <v/>
      </c>
      <c r="H1055" s="23" t="str">
        <f aca="false">IF(J1055&lt;&gt;1,"",IF(I1055="SBJ","CB","?"))</f>
        <v/>
      </c>
      <c r="I1055" s="24" t="str">
        <f aca="false">IF(OR(E1055="",E1055="!!!",F1055="NEW"),"",INDEX(N$2:N1038,-1+SUMPRODUCT(MAX(ROW(E$2:E1038)*(E1055=E$2:E1038)))))</f>
        <v/>
      </c>
      <c r="J1055" s="25" t="str">
        <f aca="true">IF(OR(E1055="",E1055="!!!",F1055="NEW"),"",COUNTBLANK(OFFSET(M$1,,,SUMPRODUCT(MAX(ROW(E$2:E1039)*(E1055=E$2:E1039)))))-COUNTBLANK(OFFSET(M$1,,,SUMPRODUCT(MAX(ROW(Q$1:Q1038)*(E1055=Q$1:Q1038))))))</f>
        <v/>
      </c>
      <c r="K1055" s="25" t="str">
        <f aca="false">IF(OR(E1055="",E1055="!!!",F1055="NEW"),"",INDEX(V$1:V1038,SUMPRODUCT(MAX(ROW(Q$1:Q1038)*(E1055=Q$1:Q1038)))))</f>
        <v/>
      </c>
      <c r="L1055" s="26"/>
      <c r="M1055" s="27"/>
    </row>
    <row r="1056" customFormat="false" ht="15" hidden="false" customHeight="false" outlineLevel="0" collapsed="false">
      <c r="A1056" s="19" t="s">
        <v>707</v>
      </c>
      <c r="B1056" s="28" t="s">
        <v>293</v>
      </c>
      <c r="C1056" s="28" t="s">
        <v>252</v>
      </c>
      <c r="D1056" s="28" t="s">
        <v>253</v>
      </c>
      <c r="E1056" s="20" t="s">
        <v>708</v>
      </c>
      <c r="F1056" s="21" t="str">
        <f aca="false">IF(OR(E1056="",E1056="!!!"),"",IF(NOT(ISNA(VLOOKUP(E1056,Q$1:Q1039,1,FALSE()))),"OLD",IF(AND(E1056&lt;&gt;"",E1056&lt;&gt;"!!!"),"NEW","")))</f>
        <v>NEW</v>
      </c>
      <c r="G1056" s="22" t="s">
        <v>255</v>
      </c>
      <c r="H1056" s="23" t="str">
        <f aca="false">IF(J1056&lt;&gt;1,"",IF(I1056="SBJ","CB","?"))</f>
        <v/>
      </c>
      <c r="I1056" s="24" t="str">
        <f aca="false">IF(OR(E1056="",E1056="!!!",F1056="NEW"),"",INDEX(N$2:N1039,-1+SUMPRODUCT(MAX(ROW(E$2:E1039)*(E1056=E$2:E1039)))))</f>
        <v/>
      </c>
      <c r="J1056" s="25" t="str">
        <f aca="true">IF(OR(E1056="",E1056="!!!",F1056="NEW"),"",COUNTBLANK(OFFSET(M$1,,,SUMPRODUCT(MAX(ROW(E$2:E1040)*(E1056=E$2:E1040)))))-COUNTBLANK(OFFSET(M$1,,,SUMPRODUCT(MAX(ROW(Q$1:Q1039)*(E1056=Q$1:Q1039))))))</f>
        <v/>
      </c>
      <c r="K1056" s="25" t="str">
        <f aca="false">IF(OR(E1056="",E1056="!!!",F1056="NEW"),"",INDEX(V$1:V1039,SUMPRODUCT(MAX(ROW(Q$1:Q1039)*(E1056=Q$1:Q1039)))))</f>
        <v/>
      </c>
      <c r="L1056" s="26"/>
      <c r="M1056" s="27"/>
      <c r="N1056" s="29"/>
      <c r="O1056" s="29"/>
      <c r="P1056" s="29"/>
    </row>
    <row r="1057" customFormat="false" ht="15" hidden="false" customHeight="false" outlineLevel="0" collapsed="false">
      <c r="A1057" s="19" t="s">
        <v>256</v>
      </c>
      <c r="E1057" s="20" t="str">
        <f aca="false">IF(P1057="?OLD","!!!","")</f>
        <v/>
      </c>
      <c r="F1057" s="21" t="str">
        <f aca="false">IF(OR(E1057="",E1057="!!!"),"",IF(NOT(ISNA(VLOOKUP(E1057,Q$1:Q1040,1,FALSE()))),"OLD",IF(AND(E1057&lt;&gt;"",E1057&lt;&gt;"!!!"),"NEW","")))</f>
        <v/>
      </c>
      <c r="G1057" s="22" t="str">
        <f aca="false">IF(OR(E1057="",E1057="!!!"),"",IF(OR(J1057=0,AND(J1057=1,K1057=1),AND(J1057=1,I1057="SBJ"),AND(J1057=1,I1057=0)),"?IN_FOCUS",IF(J1057&lt;=2,"?ACTIVATED",IF(J1057&lt;&gt;"","?FAMILIAR",IF(F1057="NEW",IF(ISNA(VLOOKUP(E1057,#REF!,1,FALSE())),"?TYPE_IDENTIFIABLE","?REFERENTIAL"),"_")))))</f>
        <v/>
      </c>
      <c r="H1057" s="23" t="str">
        <f aca="false">IF(J1057&lt;&gt;1,"",IF(I1057="SBJ","CB","?"))</f>
        <v/>
      </c>
      <c r="I1057" s="24" t="str">
        <f aca="false">IF(OR(E1057="",E1057="!!!",F1057="NEW"),"",INDEX(N$2:N1040,-1+SUMPRODUCT(MAX(ROW(E$2:E1040)*(E1057=E$2:E1040)))))</f>
        <v/>
      </c>
      <c r="J1057" s="25" t="str">
        <f aca="true">IF(OR(E1057="",E1057="!!!",F1057="NEW"),"",COUNTBLANK(OFFSET(M$1,,,SUMPRODUCT(MAX(ROW(E$2:E1041)*(E1057=E$2:E1041)))))-COUNTBLANK(OFFSET(M$1,,,SUMPRODUCT(MAX(ROW(Q$1:Q1040)*(E1057=Q$1:Q1040))))))</f>
        <v/>
      </c>
      <c r="K1057" s="25" t="str">
        <f aca="false">IF(OR(E1057="",E1057="!!!",F1057="NEW"),"",INDEX(V$1:V1040,SUMPRODUCT(MAX(ROW(Q$1:Q1040)*(E1057=Q$1:Q1040)))))</f>
        <v/>
      </c>
      <c r="L1057" s="26"/>
      <c r="M1057" s="27"/>
    </row>
    <row r="1058" customFormat="false" ht="15" hidden="false" customHeight="false" outlineLevel="0" collapsed="false">
      <c r="A1058" s="19" t="s">
        <v>709</v>
      </c>
      <c r="B1058" s="28" t="s">
        <v>357</v>
      </c>
      <c r="C1058" s="28" t="s">
        <v>259</v>
      </c>
      <c r="E1058" s="20" t="str">
        <f aca="false">IF(P1058="?OLD","!!!","")</f>
        <v/>
      </c>
      <c r="F1058" s="21" t="str">
        <f aca="false">IF(OR(E1058="",E1058="!!!"),"",IF(NOT(ISNA(VLOOKUP(E1058,Q$1:Q1041,1,FALSE()))),"OLD",IF(AND(E1058&lt;&gt;"",E1058&lt;&gt;"!!!"),"NEW","")))</f>
        <v/>
      </c>
      <c r="G1058" s="22" t="str">
        <f aca="false">IF(OR(E1058="",E1058="!!!"),"",IF(OR(J1058=0,AND(J1058=1,K1058=1),AND(J1058=1,I1058="SBJ"),AND(J1058=1,I1058=0)),"?IN_FOCUS",IF(J1058&lt;=2,"?ACTIVATED",IF(J1058&lt;&gt;"","?FAMILIAR",IF(F1058="NEW",IF(ISNA(VLOOKUP(E1058,#REF!,1,FALSE())),"?TYPE_IDENTIFIABLE","?REFERENTIAL"),"_")))))</f>
        <v/>
      </c>
      <c r="H1058" s="23" t="str">
        <f aca="false">IF(J1058&lt;&gt;1,"",IF(I1058="SBJ","CB","?"))</f>
        <v/>
      </c>
      <c r="I1058" s="24" t="str">
        <f aca="false">IF(OR(E1058="",E1058="!!!",F1058="NEW"),"",INDEX(N$2:N1041,-1+SUMPRODUCT(MAX(ROW(E$2:E1041)*(E1058=E$2:E1041)))))</f>
        <v/>
      </c>
      <c r="J1058" s="25" t="str">
        <f aca="true">IF(OR(E1058="",E1058="!!!",F1058="NEW"),"",COUNTBLANK(OFFSET(M$1,,,SUMPRODUCT(MAX(ROW(E$2:E1042)*(E1058=E$2:E1042)))))-COUNTBLANK(OFFSET(M$1,,,SUMPRODUCT(MAX(ROW(Q$1:Q1041)*(E1058=Q$1:Q1041))))))</f>
        <v/>
      </c>
      <c r="K1058" s="25" t="str">
        <f aca="false">IF(OR(E1058="",E1058="!!!",F1058="NEW"),"",INDEX(V$1:V1041,SUMPRODUCT(MAX(ROW(Q$1:Q1041)*(E1058=Q$1:Q1041)))))</f>
        <v/>
      </c>
      <c r="L1058" s="26"/>
      <c r="M1058" s="27"/>
      <c r="N1058" s="29"/>
      <c r="O1058" s="29"/>
    </row>
    <row r="1059" customFormat="false" ht="15" hidden="false" customHeight="false" outlineLevel="0" collapsed="false">
      <c r="A1059" s="19" t="s">
        <v>261</v>
      </c>
      <c r="E1059" s="20" t="str">
        <f aca="false">IF(P1059="?OLD","!!!","")</f>
        <v/>
      </c>
      <c r="F1059" s="21" t="str">
        <f aca="false">IF(OR(E1059="",E1059="!!!"),"",IF(NOT(ISNA(VLOOKUP(E1059,Q$1:Q1042,1,FALSE()))),"OLD",IF(AND(E1059&lt;&gt;"",E1059&lt;&gt;"!!!"),"NEW","")))</f>
        <v/>
      </c>
      <c r="G1059" s="22" t="str">
        <f aca="false">IF(OR(E1059="",E1059="!!!"),"",IF(OR(J1059=0,AND(J1059=1,K1059=1),AND(J1059=1,I1059="SBJ"),AND(J1059=1,I1059=0)),"?IN_FOCUS",IF(J1059&lt;=2,"?ACTIVATED",IF(J1059&lt;&gt;"","?FAMILIAR",IF(F1059="NEW",IF(ISNA(VLOOKUP(E1059,#REF!,1,FALSE())),"?TYPE_IDENTIFIABLE","?REFERENTIAL"),"_")))))</f>
        <v/>
      </c>
      <c r="H1059" s="23" t="str">
        <f aca="false">IF(J1059&lt;&gt;1,"",IF(I1059="SBJ","CB","?"))</f>
        <v/>
      </c>
      <c r="I1059" s="24" t="str">
        <f aca="false">IF(OR(E1059="",E1059="!!!",F1059="NEW"),"",INDEX(N$2:N1042,-1+SUMPRODUCT(MAX(ROW(E$2:E1042)*(E1059=E$2:E1042)))))</f>
        <v/>
      </c>
      <c r="J1059" s="25" t="str">
        <f aca="true">IF(OR(E1059="",E1059="!!!",F1059="NEW"),"",COUNTBLANK(OFFSET(M$1,,,SUMPRODUCT(MAX(ROW(E$2:E1043)*(E1059=E$2:E1043)))))-COUNTBLANK(OFFSET(M$1,,,SUMPRODUCT(MAX(ROW(Q$1:Q1042)*(E1059=Q$1:Q1042))))))</f>
        <v/>
      </c>
      <c r="K1059" s="25" t="str">
        <f aca="false">IF(OR(E1059="",E1059="!!!",F1059="NEW"),"",INDEX(V$1:V1042,SUMPRODUCT(MAX(ROW(Q$1:Q1042)*(E1059=Q$1:Q1042)))))</f>
        <v/>
      </c>
      <c r="L1059" s="26"/>
      <c r="M1059" s="27"/>
    </row>
    <row r="1060" customFormat="false" ht="15" hidden="false" customHeight="false" outlineLevel="0" collapsed="false">
      <c r="A1060" s="19" t="s">
        <v>294</v>
      </c>
      <c r="E1060" s="20" t="str">
        <f aca="false">IF(P1060="?OLD","!!!","")</f>
        <v/>
      </c>
      <c r="F1060" s="21" t="str">
        <f aca="false">IF(OR(E1060="",E1060="!!!"),"",IF(NOT(ISNA(VLOOKUP(E1060,Q$1:Q1043,1,FALSE()))),"OLD",IF(AND(E1060&lt;&gt;"",E1060&lt;&gt;"!!!"),"NEW","")))</f>
        <v/>
      </c>
      <c r="G1060" s="22" t="str">
        <f aca="false">IF(OR(E1060="",E1060="!!!"),"",IF(OR(J1060=0,AND(J1060=1,K1060=1),AND(J1060=1,I1060="SBJ"),AND(J1060=1,I1060=0)),"?IN_FOCUS",IF(J1060&lt;=2,"?ACTIVATED",IF(J1060&lt;&gt;"","?FAMILIAR",IF(F1060="NEW",IF(ISNA(VLOOKUP(E1060,#REF!,1,FALSE())),"?TYPE_IDENTIFIABLE","?REFERENTIAL"),"_")))))</f>
        <v/>
      </c>
      <c r="H1060" s="23" t="str">
        <f aca="false">IF(J1060&lt;&gt;1,"",IF(I1060="SBJ","CB","?"))</f>
        <v/>
      </c>
      <c r="I1060" s="24" t="str">
        <f aca="false">IF(OR(E1060="",E1060="!!!",F1060="NEW"),"",INDEX(N$2:N1043,-1+SUMPRODUCT(MAX(ROW(E$2:E1043)*(E1060=E$2:E1043)))))</f>
        <v/>
      </c>
      <c r="J1060" s="25" t="str">
        <f aca="true">IF(OR(E1060="",E1060="!!!",F1060="NEW"),"",COUNTBLANK(OFFSET(M$1,,,SUMPRODUCT(MAX(ROW(E$2:E1044)*(E1060=E$2:E1044)))))-COUNTBLANK(OFFSET(M$1,,,SUMPRODUCT(MAX(ROW(Q$1:Q1043)*(E1060=Q$1:Q1043))))))</f>
        <v/>
      </c>
      <c r="K1060" s="25" t="str">
        <f aca="false">IF(OR(E1060="",E1060="!!!",F1060="NEW"),"",INDEX(V$1:V1043,SUMPRODUCT(MAX(ROW(Q$1:Q1043)*(E1060=Q$1:Q1043)))))</f>
        <v/>
      </c>
      <c r="L1060" s="26"/>
      <c r="M1060" s="27"/>
    </row>
    <row r="1061" customFormat="false" ht="15" hidden="false" customHeight="false" outlineLevel="0" collapsed="false">
      <c r="A1061" s="19" t="s">
        <v>441</v>
      </c>
      <c r="B1061" s="28" t="s">
        <v>324</v>
      </c>
      <c r="C1061" s="28" t="s">
        <v>264</v>
      </c>
      <c r="D1061" s="28" t="s">
        <v>253</v>
      </c>
      <c r="E1061" s="20" t="s">
        <v>265</v>
      </c>
      <c r="F1061" s="21" t="str">
        <f aca="false">IF(OR(E1061="",E1061="!!!"),"",IF(NOT(ISNA(VLOOKUP(E1061,Q$1:Q1044,1,FALSE()))),"OLD",IF(AND(E1061&lt;&gt;"",E1061&lt;&gt;"!!!"),"NEW","")))</f>
        <v>NEW</v>
      </c>
      <c r="G1061" s="22" t="s">
        <v>296</v>
      </c>
      <c r="H1061" s="23" t="str">
        <f aca="false">IF(J1061&lt;&gt;1,"",IF(I1061="SBJ","CB","?"))</f>
        <v/>
      </c>
      <c r="I1061" s="24" t="str">
        <f aca="false">IF(OR(E1061="",E1061="!!!",F1061="NEW"),"",INDEX(N$2:N1044,-1+SUMPRODUCT(MAX(ROW(E$2:E1044)*(E1061=E$2:E1044)))))</f>
        <v/>
      </c>
      <c r="J1061" s="25" t="str">
        <f aca="true">IF(OR(E1061="",E1061="!!!",F1061="NEW"),"",COUNTBLANK(OFFSET(M$1,,,SUMPRODUCT(MAX(ROW(E$2:E1045)*(E1061=E$2:E1045)))))-COUNTBLANK(OFFSET(M$1,,,SUMPRODUCT(MAX(ROW(Q$1:Q1044)*(E1061=Q$1:Q1044))))))</f>
        <v/>
      </c>
      <c r="K1061" s="25" t="str">
        <f aca="false">IF(OR(E1061="",E1061="!!!",F1061="NEW"),"",INDEX(V$1:V1044,SUMPRODUCT(MAX(ROW(Q$1:Q1044)*(E1061=Q$1:Q1044)))))</f>
        <v/>
      </c>
      <c r="L1061" s="26"/>
      <c r="M1061" s="27"/>
      <c r="N1061" s="29"/>
      <c r="O1061" s="29"/>
      <c r="P1061" s="29"/>
    </row>
    <row r="1062" customFormat="false" ht="15" hidden="false" customHeight="false" outlineLevel="0" collapsed="false">
      <c r="A1062" s="19" t="s">
        <v>477</v>
      </c>
      <c r="E1062" s="20" t="str">
        <f aca="false">IF(P1062="?OLD","!!!","")</f>
        <v/>
      </c>
      <c r="F1062" s="21" t="str">
        <f aca="false">IF(OR(E1062="",E1062="!!!"),"",IF(NOT(ISNA(VLOOKUP(E1062,Q$1:Q1045,1,FALSE()))),"OLD",IF(AND(E1062&lt;&gt;"",E1062&lt;&gt;"!!!"),"NEW","")))</f>
        <v/>
      </c>
      <c r="G1062" s="22" t="str">
        <f aca="false">IF(OR(E1062="",E1062="!!!"),"",IF(OR(J1062=0,AND(J1062=1,K1062=1),AND(J1062=1,I1062="SBJ"),AND(J1062=1,I1062=0)),"?IN_FOCUS",IF(J1062&lt;=2,"?ACTIVATED",IF(J1062&lt;&gt;"","?FAMILIAR",IF(F1062="NEW",IF(ISNA(VLOOKUP(E1062,#REF!,1,FALSE())),"?TYPE_IDENTIFIABLE","?REFERENTIAL"),"_")))))</f>
        <v/>
      </c>
      <c r="H1062" s="23" t="str">
        <f aca="false">IF(J1062&lt;&gt;1,"",IF(I1062="SBJ","CB","?"))</f>
        <v/>
      </c>
      <c r="I1062" s="24" t="str">
        <f aca="false">IF(OR(E1062="",E1062="!!!",F1062="NEW"),"",INDEX(N$2:N1045,-1+SUMPRODUCT(MAX(ROW(E$2:E1045)*(E1062=E$2:E1045)))))</f>
        <v/>
      </c>
      <c r="J1062" s="25" t="str">
        <f aca="true">IF(OR(E1062="",E1062="!!!",F1062="NEW"),"",COUNTBLANK(OFFSET(M$1,,,SUMPRODUCT(MAX(ROW(E$2:E1046)*(E1062=E$2:E1046)))))-COUNTBLANK(OFFSET(M$1,,,SUMPRODUCT(MAX(ROW(Q$1:Q1045)*(E1062=Q$1:Q1045))))))</f>
        <v/>
      </c>
      <c r="K1062" s="25" t="str">
        <f aca="false">IF(OR(E1062="",E1062="!!!",F1062="NEW"),"",INDEX(V$1:V1045,SUMPRODUCT(MAX(ROW(Q$1:Q1045)*(E1062=Q$1:Q1045)))))</f>
        <v/>
      </c>
      <c r="L1062" s="26"/>
      <c r="M1062" s="27"/>
    </row>
    <row r="1063" customFormat="false" ht="15" hidden="false" customHeight="false" outlineLevel="0" collapsed="false">
      <c r="A1063" s="19" t="s">
        <v>710</v>
      </c>
      <c r="E1063" s="20" t="str">
        <f aca="false">IF(P1063="?OLD","!!!","")</f>
        <v/>
      </c>
      <c r="F1063" s="21" t="str">
        <f aca="false">IF(OR(E1063="",E1063="!!!"),"",IF(NOT(ISNA(VLOOKUP(E1063,Q$1:Q1046,1,FALSE()))),"OLD",IF(AND(E1063&lt;&gt;"",E1063&lt;&gt;"!!!"),"NEW","")))</f>
        <v/>
      </c>
      <c r="G1063" s="22" t="str">
        <f aca="false">IF(OR(E1063="",E1063="!!!"),"",IF(OR(J1063=0,AND(J1063=1,K1063=1),AND(J1063=1,I1063="SBJ"),AND(J1063=1,I1063=0)),"?IN_FOCUS",IF(J1063&lt;=2,"?ACTIVATED",IF(J1063&lt;&gt;"","?FAMILIAR",IF(F1063="NEW",IF(ISNA(VLOOKUP(E1063,#REF!,1,FALSE())),"?TYPE_IDENTIFIABLE","?REFERENTIAL"),"_")))))</f>
        <v/>
      </c>
      <c r="H1063" s="23" t="str">
        <f aca="false">IF(J1063&lt;&gt;1,"",IF(I1063="SBJ","CB","?"))</f>
        <v/>
      </c>
      <c r="I1063" s="24" t="str">
        <f aca="false">IF(OR(E1063="",E1063="!!!",F1063="NEW"),"",INDEX(N$2:N1046,-1+SUMPRODUCT(MAX(ROW(E$2:E1046)*(E1063=E$2:E1046)))))</f>
        <v/>
      </c>
      <c r="J1063" s="25" t="str">
        <f aca="true">IF(OR(E1063="",E1063="!!!",F1063="NEW"),"",COUNTBLANK(OFFSET(M$1,,,SUMPRODUCT(MAX(ROW(E$2:E1047)*(E1063=E$2:E1047)))))-COUNTBLANK(OFFSET(M$1,,,SUMPRODUCT(MAX(ROW(Q$1:Q1046)*(E1063=Q$1:Q1046))))))</f>
        <v/>
      </c>
      <c r="K1063" s="25" t="str">
        <f aca="false">IF(OR(E1063="",E1063="!!!",F1063="NEW"),"",INDEX(V$1:V1046,SUMPRODUCT(MAX(ROW(Q$1:Q1046)*(E1063=Q$1:Q1046)))))</f>
        <v/>
      </c>
      <c r="L1063" s="26"/>
      <c r="M1063" s="27"/>
    </row>
    <row r="1064" customFormat="false" ht="15" hidden="false" customHeight="false" outlineLevel="0" collapsed="false">
      <c r="A1064" s="19" t="s">
        <v>250</v>
      </c>
      <c r="E1064" s="20" t="str">
        <f aca="false">IF(P1064="?OLD","!!!","")</f>
        <v/>
      </c>
      <c r="F1064" s="21" t="str">
        <f aca="false">IF(OR(E1064="",E1064="!!!"),"",IF(NOT(ISNA(VLOOKUP(E1064,Q$1:Q1047,1,FALSE()))),"OLD",IF(AND(E1064&lt;&gt;"",E1064&lt;&gt;"!!!"),"NEW","")))</f>
        <v/>
      </c>
      <c r="G1064" s="22" t="str">
        <f aca="false">IF(OR(E1064="",E1064="!!!"),"",IF(OR(J1064=0,AND(J1064=1,K1064=1),AND(J1064=1,I1064="SBJ"),AND(J1064=1,I1064=0)),"?IN_FOCUS",IF(J1064&lt;=2,"?ACTIVATED",IF(J1064&lt;&gt;"","?FAMILIAR",IF(F1064="NEW",IF(ISNA(VLOOKUP(E1064,#REF!,1,FALSE())),"?TYPE_IDENTIFIABLE","?REFERENTIAL"),"_")))))</f>
        <v/>
      </c>
      <c r="H1064" s="23" t="str">
        <f aca="false">IF(J1064&lt;&gt;1,"",IF(I1064="SBJ","CB","?"))</f>
        <v/>
      </c>
      <c r="I1064" s="24" t="str">
        <f aca="false">IF(OR(E1064="",E1064="!!!",F1064="NEW"),"",INDEX(N$2:N1047,-1+SUMPRODUCT(MAX(ROW(E$2:E1047)*(E1064=E$2:E1047)))))</f>
        <v/>
      </c>
      <c r="J1064" s="25" t="str">
        <f aca="true">IF(OR(E1064="",E1064="!!!",F1064="NEW"),"",COUNTBLANK(OFFSET(M$1,,,SUMPRODUCT(MAX(ROW(E$2:E1048)*(E1064=E$2:E1048)))))-COUNTBLANK(OFFSET(M$1,,,SUMPRODUCT(MAX(ROW(Q$1:Q1047)*(E1064=Q$1:Q1047))))))</f>
        <v/>
      </c>
      <c r="K1064" s="25" t="str">
        <f aca="false">IF(OR(E1064="",E1064="!!!",F1064="NEW"),"",INDEX(V$1:V1047,SUMPRODUCT(MAX(ROW(Q$1:Q1047)*(E1064=Q$1:Q1047)))))</f>
        <v/>
      </c>
      <c r="L1064" s="26"/>
      <c r="M1064" s="27"/>
    </row>
    <row r="1065" customFormat="false" ht="15" hidden="false" customHeight="false" outlineLevel="0" collapsed="false">
      <c r="A1065" s="19" t="s">
        <v>711</v>
      </c>
      <c r="B1065" s="28" t="s">
        <v>326</v>
      </c>
      <c r="C1065" s="28" t="s">
        <v>314</v>
      </c>
      <c r="D1065" s="28" t="s">
        <v>253</v>
      </c>
      <c r="E1065" s="20" t="s">
        <v>712</v>
      </c>
      <c r="F1065" s="21" t="str">
        <f aca="false">IF(OR(E1065="",E1065="!!!"),"",IF(NOT(ISNA(VLOOKUP(E1065,Q$1:Q1048,1,FALSE()))),"OLD",IF(AND(E1065&lt;&gt;"",E1065&lt;&gt;"!!!"),"NEW","")))</f>
        <v>NEW</v>
      </c>
      <c r="G1065" s="22" t="s">
        <v>255</v>
      </c>
      <c r="H1065" s="23" t="str">
        <f aca="false">IF(J1065&lt;&gt;1,"",IF(I1065="SBJ","CB","?"))</f>
        <v/>
      </c>
      <c r="I1065" s="24" t="str">
        <f aca="false">IF(OR(E1065="",E1065="!!!",F1065="NEW"),"",INDEX(N$2:N1048,-1+SUMPRODUCT(MAX(ROW(E$2:E1048)*(E1065=E$2:E1048)))))</f>
        <v/>
      </c>
      <c r="J1065" s="25" t="str">
        <f aca="true">IF(OR(E1065="",E1065="!!!",F1065="NEW"),"",COUNTBLANK(OFFSET(M$1,,,SUMPRODUCT(MAX(ROW(E$2:E1049)*(E1065=E$2:E1049)))))-COUNTBLANK(OFFSET(M$1,,,SUMPRODUCT(MAX(ROW(Q$1:Q1048)*(E1065=Q$1:Q1048))))))</f>
        <v/>
      </c>
      <c r="K1065" s="25" t="str">
        <f aca="false">IF(OR(E1065="",E1065="!!!",F1065="NEW"),"",INDEX(V$1:V1048,SUMPRODUCT(MAX(ROW(Q$1:Q1048)*(E1065=Q$1:Q1048)))))</f>
        <v/>
      </c>
      <c r="L1065" s="26"/>
      <c r="M1065" s="27"/>
      <c r="N1065" s="29"/>
      <c r="O1065" s="29"/>
      <c r="P1065" s="29"/>
    </row>
    <row r="1066" customFormat="false" ht="15" hidden="false" customHeight="false" outlineLevel="0" collapsed="false">
      <c r="A1066" s="19" t="s">
        <v>256</v>
      </c>
      <c r="E1066" s="20" t="str">
        <f aca="false">IF(P1066="?OLD","!!!","")</f>
        <v/>
      </c>
      <c r="F1066" s="21" t="str">
        <f aca="false">IF(OR(E1066="",E1066="!!!"),"",IF(NOT(ISNA(VLOOKUP(E1066,Q$1:Q1049,1,FALSE()))),"OLD",IF(AND(E1066&lt;&gt;"",E1066&lt;&gt;"!!!"),"NEW","")))</f>
        <v/>
      </c>
      <c r="G1066" s="22" t="str">
        <f aca="false">IF(OR(E1066="",E1066="!!!"),"",IF(OR(J1066=0,AND(J1066=1,K1066=1),AND(J1066=1,I1066="SBJ"),AND(J1066=1,I1066=0)),"?IN_FOCUS",IF(J1066&lt;=2,"?ACTIVATED",IF(J1066&lt;&gt;"","?FAMILIAR",IF(F1066="NEW",IF(ISNA(VLOOKUP(E1066,#REF!,1,FALSE())),"?TYPE_IDENTIFIABLE","?REFERENTIAL"),"_")))))</f>
        <v/>
      </c>
      <c r="H1066" s="23" t="str">
        <f aca="false">IF(J1066&lt;&gt;1,"",IF(I1066="SBJ","CB","?"))</f>
        <v/>
      </c>
      <c r="I1066" s="24" t="str">
        <f aca="false">IF(OR(E1066="",E1066="!!!",F1066="NEW"),"",INDEX(N$2:N1049,-1+SUMPRODUCT(MAX(ROW(E$2:E1049)*(E1066=E$2:E1049)))))</f>
        <v/>
      </c>
      <c r="J1066" s="25" t="str">
        <f aca="true">IF(OR(E1066="",E1066="!!!",F1066="NEW"),"",COUNTBLANK(OFFSET(M$1,,,SUMPRODUCT(MAX(ROW(E$2:E1050)*(E1066=E$2:E1050)))))-COUNTBLANK(OFFSET(M$1,,,SUMPRODUCT(MAX(ROW(Q$1:Q1049)*(E1066=Q$1:Q1049))))))</f>
        <v/>
      </c>
      <c r="K1066" s="25" t="str">
        <f aca="false">IF(OR(E1066="",E1066="!!!",F1066="NEW"),"",INDEX(V$1:V1049,SUMPRODUCT(MAX(ROW(Q$1:Q1049)*(E1066=Q$1:Q1049)))))</f>
        <v/>
      </c>
      <c r="L1066" s="26"/>
      <c r="M1066" s="27"/>
    </row>
    <row r="1067" customFormat="false" ht="15" hidden="false" customHeight="false" outlineLevel="0" collapsed="false">
      <c r="A1067" s="19" t="s">
        <v>250</v>
      </c>
      <c r="E1067" s="20" t="str">
        <f aca="false">IF(P1067="?OLD","!!!","")</f>
        <v/>
      </c>
      <c r="F1067" s="21" t="str">
        <f aca="false">IF(OR(E1067="",E1067="!!!"),"",IF(NOT(ISNA(VLOOKUP(E1067,Q$1:Q1050,1,FALSE()))),"OLD",IF(AND(E1067&lt;&gt;"",E1067&lt;&gt;"!!!"),"NEW","")))</f>
        <v/>
      </c>
      <c r="G1067" s="22" t="str">
        <f aca="false">IF(OR(E1067="",E1067="!!!"),"",IF(OR(J1067=0,AND(J1067=1,K1067=1),AND(J1067=1,I1067="SBJ"),AND(J1067=1,I1067=0)),"?IN_FOCUS",IF(J1067&lt;=2,"?ACTIVATED",IF(J1067&lt;&gt;"","?FAMILIAR",IF(F1067="NEW",IF(ISNA(VLOOKUP(E1067,#REF!,1,FALSE())),"?TYPE_IDENTIFIABLE","?REFERENTIAL"),"_")))))</f>
        <v/>
      </c>
      <c r="H1067" s="23" t="str">
        <f aca="false">IF(J1067&lt;&gt;1,"",IF(I1067="SBJ","CB","?"))</f>
        <v/>
      </c>
      <c r="I1067" s="24" t="str">
        <f aca="false">IF(OR(E1067="",E1067="!!!",F1067="NEW"),"",INDEX(N$2:N1050,-1+SUMPRODUCT(MAX(ROW(E$2:E1050)*(E1067=E$2:E1050)))))</f>
        <v/>
      </c>
      <c r="J1067" s="25" t="str">
        <f aca="true">IF(OR(E1067="",E1067="!!!",F1067="NEW"),"",COUNTBLANK(OFFSET(M$1,,,SUMPRODUCT(MAX(ROW(E$2:E1051)*(E1067=E$2:E1051)))))-COUNTBLANK(OFFSET(M$1,,,SUMPRODUCT(MAX(ROW(Q$1:Q1050)*(E1067=Q$1:Q1050))))))</f>
        <v/>
      </c>
      <c r="K1067" s="25" t="str">
        <f aca="false">IF(OR(E1067="",E1067="!!!",F1067="NEW"),"",INDEX(V$1:V1050,SUMPRODUCT(MAX(ROW(Q$1:Q1050)*(E1067=Q$1:Q1050)))))</f>
        <v/>
      </c>
      <c r="L1067" s="26"/>
      <c r="M1067" s="27"/>
    </row>
    <row r="1068" customFormat="false" ht="15" hidden="false" customHeight="false" outlineLevel="0" collapsed="false">
      <c r="A1068" s="19" t="s">
        <v>318</v>
      </c>
      <c r="E1068" s="20" t="str">
        <f aca="false">IF(P1068="?OLD","!!!","")</f>
        <v/>
      </c>
      <c r="F1068" s="21" t="str">
        <f aca="false">IF(OR(E1068="",E1068="!!!"),"",IF(NOT(ISNA(VLOOKUP(E1068,Q$1:Q1051,1,FALSE()))),"OLD",IF(AND(E1068&lt;&gt;"",E1068&lt;&gt;"!!!"),"NEW","")))</f>
        <v/>
      </c>
      <c r="G1068" s="22" t="str">
        <f aca="false">IF(OR(E1068="",E1068="!!!"),"",IF(OR(J1068=0,AND(J1068=1,K1068=1),AND(J1068=1,I1068="SBJ"),AND(J1068=1,I1068=0)),"?IN_FOCUS",IF(J1068&lt;=2,"?ACTIVATED",IF(J1068&lt;&gt;"","?FAMILIAR",IF(F1068="NEW",IF(ISNA(VLOOKUP(E1068,#REF!,1,FALSE())),"?TYPE_IDENTIFIABLE","?REFERENTIAL"),"_")))))</f>
        <v/>
      </c>
      <c r="H1068" s="23" t="str">
        <f aca="false">IF(J1068&lt;&gt;1,"",IF(I1068="SBJ","CB","?"))</f>
        <v/>
      </c>
      <c r="I1068" s="24" t="str">
        <f aca="false">IF(OR(E1068="",E1068="!!!",F1068="NEW"),"",INDEX(N$2:N1051,-1+SUMPRODUCT(MAX(ROW(E$2:E1051)*(E1068=E$2:E1051)))))</f>
        <v/>
      </c>
      <c r="J1068" s="25" t="str">
        <f aca="true">IF(OR(E1068="",E1068="!!!",F1068="NEW"),"",COUNTBLANK(OFFSET(M$1,,,SUMPRODUCT(MAX(ROW(E$2:E1052)*(E1068=E$2:E1052)))))-COUNTBLANK(OFFSET(M$1,,,SUMPRODUCT(MAX(ROW(Q$1:Q1051)*(E1068=Q$1:Q1051))))))</f>
        <v/>
      </c>
      <c r="K1068" s="25" t="str">
        <f aca="false">IF(OR(E1068="",E1068="!!!",F1068="NEW"),"",INDEX(V$1:V1051,SUMPRODUCT(MAX(ROW(Q$1:Q1051)*(E1068=Q$1:Q1051)))))</f>
        <v/>
      </c>
      <c r="L1068" s="26"/>
      <c r="M1068" s="27"/>
    </row>
    <row r="1069" customFormat="false" ht="15" hidden="false" customHeight="false" outlineLevel="0" collapsed="false">
      <c r="A1069" s="19" t="s">
        <v>319</v>
      </c>
      <c r="B1069" s="28" t="s">
        <v>293</v>
      </c>
      <c r="C1069" s="28" t="s">
        <v>333</v>
      </c>
      <c r="D1069" s="28" t="s">
        <v>253</v>
      </c>
      <c r="E1069" s="20" t="s">
        <v>320</v>
      </c>
      <c r="F1069" s="21" t="str">
        <f aca="false">IF(OR(E1069="",E1069="!!!"),"",IF(NOT(ISNA(VLOOKUP(E1069,Q$1:Q1052,1,FALSE()))),"OLD",IF(AND(E1069&lt;&gt;"",E1069&lt;&gt;"!!!"),"NEW","")))</f>
        <v>NEW</v>
      </c>
      <c r="G1069" s="22" t="s">
        <v>283</v>
      </c>
      <c r="H1069" s="23" t="str">
        <f aca="false">IF(J1069&lt;&gt;1,"",IF(I1069="SBJ","CB","?"))</f>
        <v/>
      </c>
      <c r="I1069" s="24" t="str">
        <f aca="false">IF(OR(E1069="",E1069="!!!",F1069="NEW"),"",INDEX(N$2:N1052,-1+SUMPRODUCT(MAX(ROW(E$2:E1052)*(E1069=E$2:E1052)))))</f>
        <v/>
      </c>
      <c r="J1069" s="25" t="str">
        <f aca="true">IF(OR(E1069="",E1069="!!!",F1069="NEW"),"",COUNTBLANK(OFFSET(M$1,,,SUMPRODUCT(MAX(ROW(E$2:E1053)*(E1069=E$2:E1053)))))-COUNTBLANK(OFFSET(M$1,,,SUMPRODUCT(MAX(ROW(Q$1:Q1052)*(E1069=Q$1:Q1052))))))</f>
        <v/>
      </c>
      <c r="K1069" s="25" t="str">
        <f aca="false">IF(OR(E1069="",E1069="!!!",F1069="NEW"),"",INDEX(V$1:V1052,SUMPRODUCT(MAX(ROW(Q$1:Q1052)*(E1069=Q$1:Q1052)))))</f>
        <v/>
      </c>
      <c r="L1069" s="26"/>
      <c r="M1069" s="27"/>
      <c r="N1069" s="29"/>
      <c r="O1069" s="29"/>
      <c r="P1069" s="29"/>
    </row>
    <row r="1070" customFormat="false" ht="15" hidden="false" customHeight="false" outlineLevel="0" collapsed="false">
      <c r="A1070" s="19" t="s">
        <v>275</v>
      </c>
      <c r="E1070" s="20" t="str">
        <f aca="false">IF(P1070="?OLD","!!!","")</f>
        <v/>
      </c>
      <c r="F1070" s="21" t="str">
        <f aca="false">IF(OR(E1070="",E1070="!!!"),"",IF(NOT(ISNA(VLOOKUP(E1070,Q$1:Q1053,1,FALSE()))),"OLD",IF(AND(E1070&lt;&gt;"",E1070&lt;&gt;"!!!"),"NEW","")))</f>
        <v/>
      </c>
      <c r="G1070" s="22" t="str">
        <f aca="false">IF(OR(E1070="",E1070="!!!"),"",IF(OR(J1070=0,AND(J1070=1,K1070=1),AND(J1070=1,I1070="SBJ"),AND(J1070=1,I1070=0)),"?IN_FOCUS",IF(J1070&lt;=2,"?ACTIVATED",IF(J1070&lt;&gt;"","?FAMILIAR",IF(F1070="NEW",IF(ISNA(VLOOKUP(E1070,#REF!,1,FALSE())),"?TYPE_IDENTIFIABLE","?REFERENTIAL"),"_")))))</f>
        <v/>
      </c>
      <c r="H1070" s="23" t="str">
        <f aca="false">IF(J1070&lt;&gt;1,"",IF(I1070="SBJ","CB","?"))</f>
        <v/>
      </c>
      <c r="I1070" s="24" t="str">
        <f aca="false">IF(OR(E1070="",E1070="!!!",F1070="NEW"),"",INDEX(N$2:N1053,-1+SUMPRODUCT(MAX(ROW(E$2:E1053)*(E1070=E$2:E1053)))))</f>
        <v/>
      </c>
      <c r="J1070" s="25" t="str">
        <f aca="true">IF(OR(E1070="",E1070="!!!",F1070="NEW"),"",COUNTBLANK(OFFSET(M$1,,,SUMPRODUCT(MAX(ROW(E$2:E1054)*(E1070=E$2:E1054)))))-COUNTBLANK(OFFSET(M$1,,,SUMPRODUCT(MAX(ROW(Q$1:Q1053)*(E1070=Q$1:Q1053))))))</f>
        <v/>
      </c>
      <c r="K1070" s="25" t="str">
        <f aca="false">IF(OR(E1070="",E1070="!!!",F1070="NEW"),"",INDEX(V$1:V1053,SUMPRODUCT(MAX(ROW(Q$1:Q1053)*(E1070=Q$1:Q1053)))))</f>
        <v/>
      </c>
      <c r="L1070" s="26"/>
      <c r="M1070" s="27"/>
    </row>
    <row r="1071" customFormat="false" ht="15" hidden="false" customHeight="false" outlineLevel="0" collapsed="false">
      <c r="A1071" s="19"/>
      <c r="E1071" s="20" t="str">
        <f aca="false">IF(P1071="?OLD","!!!","")</f>
        <v/>
      </c>
      <c r="F1071" s="21" t="str">
        <f aca="false">IF(OR(E1071="",E1071="!!!"),"",IF(NOT(ISNA(VLOOKUP(E1071,Q$1:Q1054,1,FALSE()))),"OLD",IF(AND(E1071&lt;&gt;"",E1071&lt;&gt;"!!!"),"NEW","")))</f>
        <v/>
      </c>
      <c r="G1071" s="22" t="str">
        <f aca="false">IF(OR(E1071="",E1071="!!!"),"",IF(OR(J1071=0,AND(J1071=1,K1071=1),AND(J1071=1,I1071="SBJ"),AND(J1071=1,I1071=0)),"?IN_FOCUS",IF(J1071&lt;=2,"?ACTIVATED",IF(J1071&lt;&gt;"","?FAMILIAR",IF(F1071="NEW",IF(ISNA(VLOOKUP(E1071,#REF!,1,FALSE())),"?TYPE_IDENTIFIABLE","?REFERENTIAL"),"_")))))</f>
        <v/>
      </c>
      <c r="H1071" s="23" t="str">
        <f aca="false">IF(J1071&lt;&gt;1,"",IF(I1071="SBJ","CB","?"))</f>
        <v/>
      </c>
      <c r="I1071" s="24" t="str">
        <f aca="false">IF(OR(E1071="",E1071="!!!",F1071="NEW"),"",INDEX(N$2:N1054,-1+SUMPRODUCT(MAX(ROW(E$2:E1054)*(E1071=E$2:E1054)))))</f>
        <v/>
      </c>
      <c r="J1071" s="25" t="str">
        <f aca="true">IF(OR(E1071="",E1071="!!!",F1071="NEW"),"",COUNTBLANK(OFFSET(M$1,,,SUMPRODUCT(MAX(ROW(E$2:E1055)*(E1071=E$2:E1055)))))-COUNTBLANK(OFFSET(M$1,,,SUMPRODUCT(MAX(ROW(Q$1:Q1054)*(E1071=Q$1:Q1054))))))</f>
        <v/>
      </c>
      <c r="K1071" s="25" t="str">
        <f aca="false">IF(OR(E1071="",E1071="!!!",F1071="NEW"),"",INDEX(V$1:V1054,SUMPRODUCT(MAX(ROW(Q$1:Q1054)*(E1071=Q$1:Q1054)))))</f>
        <v/>
      </c>
      <c r="L1071" s="26"/>
    </row>
    <row r="1072" customFormat="false" ht="15" hidden="false" customHeight="false" outlineLevel="0" collapsed="false">
      <c r="A1072" s="19" t="s">
        <v>362</v>
      </c>
      <c r="E1072" s="20" t="str">
        <f aca="false">IF(P1072="?OLD","!!!","")</f>
        <v/>
      </c>
      <c r="F1072" s="21" t="str">
        <f aca="false">IF(OR(E1072="",E1072="!!!"),"",IF(NOT(ISNA(VLOOKUP(E1072,Q$1:Q1055,1,FALSE()))),"OLD",IF(AND(E1072&lt;&gt;"",E1072&lt;&gt;"!!!"),"NEW","")))</f>
        <v/>
      </c>
      <c r="G1072" s="22" t="str">
        <f aca="false">IF(OR(E1072="",E1072="!!!"),"",IF(OR(J1072=0,AND(J1072=1,K1072=1),AND(J1072=1,I1072="SBJ"),AND(J1072=1,I1072=0)),"?IN_FOCUS",IF(J1072&lt;=2,"?ACTIVATED",IF(J1072&lt;&gt;"","?FAMILIAR",IF(F1072="NEW",IF(ISNA(VLOOKUP(E1072,#REF!,1,FALSE())),"?TYPE_IDENTIFIABLE","?REFERENTIAL"),"_")))))</f>
        <v/>
      </c>
      <c r="H1072" s="23" t="str">
        <f aca="false">IF(J1072&lt;&gt;1,"",IF(I1072="SBJ","CB","?"))</f>
        <v/>
      </c>
      <c r="I1072" s="24" t="str">
        <f aca="false">IF(OR(E1072="",E1072="!!!",F1072="NEW"),"",INDEX(N$2:N1055,-1+SUMPRODUCT(MAX(ROW(E$2:E1055)*(E1072=E$2:E1055)))))</f>
        <v/>
      </c>
      <c r="J1072" s="25" t="str">
        <f aca="true">IF(OR(E1072="",E1072="!!!",F1072="NEW"),"",COUNTBLANK(OFFSET(M$1,,,SUMPRODUCT(MAX(ROW(E$2:E1056)*(E1072=E$2:E1056)))))-COUNTBLANK(OFFSET(M$1,,,SUMPRODUCT(MAX(ROW(Q$1:Q1055)*(E1072=Q$1:Q1055))))))</f>
        <v/>
      </c>
      <c r="K1072" s="25" t="str">
        <f aca="false">IF(OR(E1072="",E1072="!!!",F1072="NEW"),"",INDEX(V$1:V1055,SUMPRODUCT(MAX(ROW(Q$1:Q1055)*(E1072=Q$1:Q1055)))))</f>
        <v/>
      </c>
      <c r="L1072" s="26"/>
      <c r="M1072" s="27"/>
    </row>
    <row r="1073" customFormat="false" ht="15" hidden="false" customHeight="false" outlineLevel="0" collapsed="false">
      <c r="A1073" s="19" t="s">
        <v>713</v>
      </c>
      <c r="E1073" s="20" t="str">
        <f aca="false">IF(P1073="?OLD","!!!","")</f>
        <v/>
      </c>
      <c r="F1073" s="21" t="str">
        <f aca="false">IF(OR(E1073="",E1073="!!!"),"",IF(NOT(ISNA(VLOOKUP(E1073,Q$1:Q1056,1,FALSE()))),"OLD",IF(AND(E1073&lt;&gt;"",E1073&lt;&gt;"!!!"),"NEW","")))</f>
        <v/>
      </c>
      <c r="G1073" s="22" t="str">
        <f aca="false">IF(OR(E1073="",E1073="!!!"),"",IF(OR(J1073=0,AND(J1073=1,K1073=1),AND(J1073=1,I1073="SBJ"),AND(J1073=1,I1073=0)),"?IN_FOCUS",IF(J1073&lt;=2,"?ACTIVATED",IF(J1073&lt;&gt;"","?FAMILIAR",IF(F1073="NEW",IF(ISNA(VLOOKUP(E1073,#REF!,1,FALSE())),"?TYPE_IDENTIFIABLE","?REFERENTIAL"),"_")))))</f>
        <v/>
      </c>
      <c r="H1073" s="23" t="str">
        <f aca="false">IF(J1073&lt;&gt;1,"",IF(I1073="SBJ","CB","?"))</f>
        <v/>
      </c>
      <c r="I1073" s="24" t="str">
        <f aca="false">IF(OR(E1073="",E1073="!!!",F1073="NEW"),"",INDEX(N$2:N1056,-1+SUMPRODUCT(MAX(ROW(E$2:E1056)*(E1073=E$2:E1056)))))</f>
        <v/>
      </c>
      <c r="J1073" s="25" t="str">
        <f aca="true">IF(OR(E1073="",E1073="!!!",F1073="NEW"),"",COUNTBLANK(OFFSET(M$1,,,SUMPRODUCT(MAX(ROW(E$2:E1057)*(E1073=E$2:E1057)))))-COUNTBLANK(OFFSET(M$1,,,SUMPRODUCT(MAX(ROW(Q$1:Q1056)*(E1073=Q$1:Q1056))))))</f>
        <v/>
      </c>
      <c r="K1073" s="25" t="str">
        <f aca="false">IF(OR(E1073="",E1073="!!!",F1073="NEW"),"",INDEX(V$1:V1056,SUMPRODUCT(MAX(ROW(Q$1:Q1056)*(E1073=Q$1:Q1056)))))</f>
        <v/>
      </c>
      <c r="L1073" s="26"/>
      <c r="M1073" s="27"/>
    </row>
    <row r="1074" customFormat="false" ht="15" hidden="false" customHeight="false" outlineLevel="0" collapsed="false">
      <c r="A1074" s="19" t="s">
        <v>456</v>
      </c>
      <c r="E1074" s="20" t="str">
        <f aca="false">IF(P1074="?OLD","!!!","")</f>
        <v/>
      </c>
      <c r="F1074" s="21" t="str">
        <f aca="false">IF(OR(E1074="",E1074="!!!"),"",IF(NOT(ISNA(VLOOKUP(E1074,Q$1:Q1057,1,FALSE()))),"OLD",IF(AND(E1074&lt;&gt;"",E1074&lt;&gt;"!!!"),"NEW","")))</f>
        <v/>
      </c>
      <c r="G1074" s="22" t="str">
        <f aca="false">IF(OR(E1074="",E1074="!!!"),"",IF(OR(J1074=0,AND(J1074=1,K1074=1),AND(J1074=1,I1074="SBJ"),AND(J1074=1,I1074=0)),"?IN_FOCUS",IF(J1074&lt;=2,"?ACTIVATED",IF(J1074&lt;&gt;"","?FAMILIAR",IF(F1074="NEW",IF(ISNA(VLOOKUP(E1074,#REF!,1,FALSE())),"?TYPE_IDENTIFIABLE","?REFERENTIAL"),"_")))))</f>
        <v/>
      </c>
      <c r="H1074" s="23" t="str">
        <f aca="false">IF(J1074&lt;&gt;1,"",IF(I1074="SBJ","CB","?"))</f>
        <v/>
      </c>
      <c r="I1074" s="24" t="str">
        <f aca="false">IF(OR(E1074="",E1074="!!!",F1074="NEW"),"",INDEX(N$2:N1057,-1+SUMPRODUCT(MAX(ROW(E$2:E1057)*(E1074=E$2:E1057)))))</f>
        <v/>
      </c>
      <c r="J1074" s="25" t="str">
        <f aca="true">IF(OR(E1074="",E1074="!!!",F1074="NEW"),"",COUNTBLANK(OFFSET(M$1,,,SUMPRODUCT(MAX(ROW(E$2:E1058)*(E1074=E$2:E1058)))))-COUNTBLANK(OFFSET(M$1,,,SUMPRODUCT(MAX(ROW(Q$1:Q1057)*(E1074=Q$1:Q1057))))))</f>
        <v/>
      </c>
      <c r="K1074" s="25" t="str">
        <f aca="false">IF(OR(E1074="",E1074="!!!",F1074="NEW"),"",INDEX(V$1:V1057,SUMPRODUCT(MAX(ROW(Q$1:Q1057)*(E1074=Q$1:Q1057)))))</f>
        <v/>
      </c>
      <c r="L1074" s="26"/>
      <c r="M1074" s="27"/>
    </row>
    <row r="1075" customFormat="false" ht="15" hidden="false" customHeight="false" outlineLevel="0" collapsed="false">
      <c r="A1075" s="19" t="s">
        <v>250</v>
      </c>
      <c r="E1075" s="20" t="str">
        <f aca="false">IF(P1075="?OLD","!!!","")</f>
        <v/>
      </c>
      <c r="F1075" s="21" t="str">
        <f aca="false">IF(OR(E1075="",E1075="!!!"),"",IF(NOT(ISNA(VLOOKUP(E1075,Q$1:Q1058,1,FALSE()))),"OLD",IF(AND(E1075&lt;&gt;"",E1075&lt;&gt;"!!!"),"NEW","")))</f>
        <v/>
      </c>
      <c r="G1075" s="22" t="str">
        <f aca="false">IF(OR(E1075="",E1075="!!!"),"",IF(OR(J1075=0,AND(J1075=1,K1075=1),AND(J1075=1,I1075="SBJ"),AND(J1075=1,I1075=0)),"?IN_FOCUS",IF(J1075&lt;=2,"?ACTIVATED",IF(J1075&lt;&gt;"","?FAMILIAR",IF(F1075="NEW",IF(ISNA(VLOOKUP(E1075,#REF!,1,FALSE())),"?TYPE_IDENTIFIABLE","?REFERENTIAL"),"_")))))</f>
        <v/>
      </c>
      <c r="H1075" s="23" t="str">
        <f aca="false">IF(J1075&lt;&gt;1,"",IF(I1075="SBJ","CB","?"))</f>
        <v/>
      </c>
      <c r="I1075" s="24" t="str">
        <f aca="false">IF(OR(E1075="",E1075="!!!",F1075="NEW"),"",INDEX(N$2:N1058,-1+SUMPRODUCT(MAX(ROW(E$2:E1058)*(E1075=E$2:E1058)))))</f>
        <v/>
      </c>
      <c r="J1075" s="25" t="str">
        <f aca="true">IF(OR(E1075="",E1075="!!!",F1075="NEW"),"",COUNTBLANK(OFFSET(M$1,,,SUMPRODUCT(MAX(ROW(E$2:E1059)*(E1075=E$2:E1059)))))-COUNTBLANK(OFFSET(M$1,,,SUMPRODUCT(MAX(ROW(Q$1:Q1058)*(E1075=Q$1:Q1058))))))</f>
        <v/>
      </c>
      <c r="K1075" s="25" t="str">
        <f aca="false">IF(OR(E1075="",E1075="!!!",F1075="NEW"),"",INDEX(V$1:V1058,SUMPRODUCT(MAX(ROW(Q$1:Q1058)*(E1075=Q$1:Q1058)))))</f>
        <v/>
      </c>
      <c r="L1075" s="26"/>
      <c r="M1075" s="27"/>
    </row>
    <row r="1076" customFormat="false" ht="15" hidden="false" customHeight="false" outlineLevel="0" collapsed="false">
      <c r="A1076" s="19" t="s">
        <v>674</v>
      </c>
      <c r="B1076" s="28" t="s">
        <v>271</v>
      </c>
      <c r="C1076" s="28" t="s">
        <v>252</v>
      </c>
      <c r="D1076" s="28" t="s">
        <v>253</v>
      </c>
      <c r="E1076" s="20" t="s">
        <v>675</v>
      </c>
      <c r="F1076" s="21" t="str">
        <f aca="false">IF(OR(E1076="",E1076="!!!"),"",IF(NOT(ISNA(VLOOKUP(E1076,Q$1:Q1059,1,FALSE()))),"OLD",IF(AND(E1076&lt;&gt;"",E1076&lt;&gt;"!!!"),"NEW","")))</f>
        <v>NEW</v>
      </c>
      <c r="G1076" s="22" t="s">
        <v>283</v>
      </c>
      <c r="H1076" s="23" t="str">
        <f aca="false">IF(J1076&lt;&gt;1,"",IF(I1076="SBJ","CB","?"))</f>
        <v/>
      </c>
      <c r="I1076" s="24" t="str">
        <f aca="false">IF(OR(E1076="",E1076="!!!",F1076="NEW"),"",INDEX(N$2:N1059,-1+SUMPRODUCT(MAX(ROW(E$2:E1059)*(E1076=E$2:E1059)))))</f>
        <v/>
      </c>
      <c r="J1076" s="25" t="str">
        <f aca="true">IF(OR(E1076="",E1076="!!!",F1076="NEW"),"",COUNTBLANK(OFFSET(M$1,,,SUMPRODUCT(MAX(ROW(E$2:E1060)*(E1076=E$2:E1060)))))-COUNTBLANK(OFFSET(M$1,,,SUMPRODUCT(MAX(ROW(Q$1:Q1059)*(E1076=Q$1:Q1059))))))</f>
        <v/>
      </c>
      <c r="K1076" s="25" t="str">
        <f aca="false">IF(OR(E1076="",E1076="!!!",F1076="NEW"),"",INDEX(V$1:V1059,SUMPRODUCT(MAX(ROW(Q$1:Q1059)*(E1076=Q$1:Q1059)))))</f>
        <v/>
      </c>
      <c r="L1076" s="26"/>
      <c r="M1076" s="27"/>
      <c r="N1076" s="29"/>
      <c r="O1076" s="29"/>
      <c r="P1076" s="29"/>
    </row>
    <row r="1077" customFormat="false" ht="15" hidden="false" customHeight="false" outlineLevel="0" collapsed="false">
      <c r="A1077" s="19" t="s">
        <v>460</v>
      </c>
      <c r="E1077" s="20" t="str">
        <f aca="false">IF(P1077="?OLD","!!!","")</f>
        <v/>
      </c>
      <c r="F1077" s="21" t="str">
        <f aca="false">IF(OR(E1077="",E1077="!!!"),"",IF(NOT(ISNA(VLOOKUP(E1077,Q$1:Q1060,1,FALSE()))),"OLD",IF(AND(E1077&lt;&gt;"",E1077&lt;&gt;"!!!"),"NEW","")))</f>
        <v/>
      </c>
      <c r="G1077" s="22" t="str">
        <f aca="false">IF(OR(E1077="",E1077="!!!"),"",IF(OR(J1077=0,AND(J1077=1,K1077=1),AND(J1077=1,I1077="SBJ"),AND(J1077=1,I1077=0)),"?IN_FOCUS",IF(J1077&lt;=2,"?ACTIVATED",IF(J1077&lt;&gt;"","?FAMILIAR",IF(F1077="NEW",IF(ISNA(VLOOKUP(E1077,#REF!,1,FALSE())),"?TYPE_IDENTIFIABLE","?REFERENTIAL"),"_")))))</f>
        <v/>
      </c>
      <c r="H1077" s="23" t="str">
        <f aca="false">IF(J1077&lt;&gt;1,"",IF(I1077="SBJ","CB","?"))</f>
        <v/>
      </c>
      <c r="I1077" s="24" t="str">
        <f aca="false">IF(OR(E1077="",E1077="!!!",F1077="NEW"),"",INDEX(N$2:N1060,-1+SUMPRODUCT(MAX(ROW(E$2:E1060)*(E1077=E$2:E1060)))))</f>
        <v/>
      </c>
      <c r="J1077" s="25" t="str">
        <f aca="true">IF(OR(E1077="",E1077="!!!",F1077="NEW"),"",COUNTBLANK(OFFSET(M$1,,,SUMPRODUCT(MAX(ROW(E$2:E1061)*(E1077=E$2:E1061)))))-COUNTBLANK(OFFSET(M$1,,,SUMPRODUCT(MAX(ROW(Q$1:Q1060)*(E1077=Q$1:Q1060))))))</f>
        <v/>
      </c>
      <c r="K1077" s="25" t="str">
        <f aca="false">IF(OR(E1077="",E1077="!!!",F1077="NEW"),"",INDEX(V$1:V1060,SUMPRODUCT(MAX(ROW(Q$1:Q1060)*(E1077=Q$1:Q1060)))))</f>
        <v/>
      </c>
      <c r="L1077" s="26"/>
      <c r="M1077" s="27"/>
    </row>
    <row r="1078" customFormat="false" ht="15" hidden="false" customHeight="false" outlineLevel="0" collapsed="false">
      <c r="A1078" s="19" t="s">
        <v>309</v>
      </c>
      <c r="E1078" s="20" t="str">
        <f aca="false">IF(P1078="?OLD","!!!","")</f>
        <v/>
      </c>
      <c r="F1078" s="21" t="str">
        <f aca="false">IF(OR(E1078="",E1078="!!!"),"",IF(NOT(ISNA(VLOOKUP(E1078,Q$1:Q1061,1,FALSE()))),"OLD",IF(AND(E1078&lt;&gt;"",E1078&lt;&gt;"!!!"),"NEW","")))</f>
        <v/>
      </c>
      <c r="G1078" s="22" t="str">
        <f aca="false">IF(OR(E1078="",E1078="!!!"),"",IF(OR(J1078=0,AND(J1078=1,K1078=1),AND(J1078=1,I1078="SBJ"),AND(J1078=1,I1078=0)),"?IN_FOCUS",IF(J1078&lt;=2,"?ACTIVATED",IF(J1078&lt;&gt;"","?FAMILIAR",IF(F1078="NEW",IF(ISNA(VLOOKUP(E1078,#REF!,1,FALSE())),"?TYPE_IDENTIFIABLE","?REFERENTIAL"),"_")))))</f>
        <v/>
      </c>
      <c r="H1078" s="23" t="str">
        <f aca="false">IF(J1078&lt;&gt;1,"",IF(I1078="SBJ","CB","?"))</f>
        <v/>
      </c>
      <c r="I1078" s="24" t="str">
        <f aca="false">IF(OR(E1078="",E1078="!!!",F1078="NEW"),"",INDEX(N$2:N1061,-1+SUMPRODUCT(MAX(ROW(E$2:E1061)*(E1078=E$2:E1061)))))</f>
        <v/>
      </c>
      <c r="J1078" s="25" t="str">
        <f aca="true">IF(OR(E1078="",E1078="!!!",F1078="NEW"),"",COUNTBLANK(OFFSET(M$1,,,SUMPRODUCT(MAX(ROW(E$2:E1062)*(E1078=E$2:E1062)))))-COUNTBLANK(OFFSET(M$1,,,SUMPRODUCT(MAX(ROW(Q$1:Q1061)*(E1078=Q$1:Q1061))))))</f>
        <v/>
      </c>
      <c r="K1078" s="25" t="str">
        <f aca="false">IF(OR(E1078="",E1078="!!!",F1078="NEW"),"",INDEX(V$1:V1061,SUMPRODUCT(MAX(ROW(Q$1:Q1061)*(E1078=Q$1:Q1061)))))</f>
        <v/>
      </c>
      <c r="L1078" s="26"/>
      <c r="M1078" s="27"/>
    </row>
    <row r="1079" customFormat="false" ht="15" hidden="false" customHeight="false" outlineLevel="0" collapsed="false">
      <c r="A1079" s="19" t="s">
        <v>441</v>
      </c>
      <c r="B1079" s="28" t="s">
        <v>258</v>
      </c>
      <c r="C1079" s="28" t="s">
        <v>264</v>
      </c>
      <c r="D1079" s="28" t="s">
        <v>253</v>
      </c>
      <c r="E1079" s="20" t="s">
        <v>265</v>
      </c>
      <c r="F1079" s="21" t="str">
        <f aca="false">IF(OR(E1079="",E1079="!!!"),"",IF(NOT(ISNA(VLOOKUP(E1079,Q$1:Q1062,1,FALSE()))),"OLD",IF(AND(E1079&lt;&gt;"",E1079&lt;&gt;"!!!"),"NEW","")))</f>
        <v>NEW</v>
      </c>
      <c r="G1079" s="22" t="s">
        <v>266</v>
      </c>
      <c r="H1079" s="23" t="s">
        <v>243</v>
      </c>
      <c r="I1079" s="24" t="str">
        <f aca="false">IF(OR(E1079="",E1079="!!!",F1079="NEW"),"",INDEX(N$2:N1062,-1+SUMPRODUCT(MAX(ROW(E$2:E1062)*(E1079=E$2:E1062)))))</f>
        <v/>
      </c>
      <c r="J1079" s="25" t="str">
        <f aca="true">IF(OR(E1079="",E1079="!!!",F1079="NEW"),"",COUNTBLANK(OFFSET(M$1,,,SUMPRODUCT(MAX(ROW(E$2:E1063)*(E1079=E$2:E1063)))))-COUNTBLANK(OFFSET(M$1,,,SUMPRODUCT(MAX(ROW(Q$1:Q1062)*(E1079=Q$1:Q1062))))))</f>
        <v/>
      </c>
      <c r="K1079" s="25" t="str">
        <f aca="false">IF(OR(E1079="",E1079="!!!",F1079="NEW"),"",INDEX(V$1:V1062,SUMPRODUCT(MAX(ROW(Q$1:Q1062)*(E1079=Q$1:Q1062)))))</f>
        <v/>
      </c>
      <c r="L1079" s="26"/>
      <c r="M1079" s="27"/>
      <c r="N1079" s="29"/>
      <c r="O1079" s="29"/>
      <c r="P1079" s="29"/>
    </row>
    <row r="1080" customFormat="false" ht="15" hidden="false" customHeight="false" outlineLevel="0" collapsed="false">
      <c r="A1080" s="19" t="s">
        <v>261</v>
      </c>
      <c r="E1080" s="20" t="str">
        <f aca="false">IF(P1080="?OLD","!!!","")</f>
        <v/>
      </c>
      <c r="F1080" s="21" t="str">
        <f aca="false">IF(OR(E1080="",E1080="!!!"),"",IF(NOT(ISNA(VLOOKUP(E1080,Q$1:Q1063,1,FALSE()))),"OLD",IF(AND(E1080&lt;&gt;"",E1080&lt;&gt;"!!!"),"NEW","")))</f>
        <v/>
      </c>
      <c r="G1080" s="22" t="str">
        <f aca="false">IF(OR(E1080="",E1080="!!!"),"",IF(OR(J1080=0,AND(J1080=1,K1080=1),AND(J1080=1,I1080="SBJ"),AND(J1080=1,I1080=0)),"?IN_FOCUS",IF(J1080&lt;=2,"?ACTIVATED",IF(J1080&lt;&gt;"","?FAMILIAR",IF(F1080="NEW",IF(ISNA(VLOOKUP(E1080,#REF!,1,FALSE())),"?TYPE_IDENTIFIABLE","?REFERENTIAL"),"_")))))</f>
        <v/>
      </c>
      <c r="H1080" s="23" t="str">
        <f aca="false">IF(J1080&lt;&gt;1,"",IF(I1080="SBJ","CB","?"))</f>
        <v/>
      </c>
      <c r="I1080" s="24" t="str">
        <f aca="false">IF(OR(E1080="",E1080="!!!",F1080="NEW"),"",INDEX(N$2:N1063,-1+SUMPRODUCT(MAX(ROW(E$2:E1063)*(E1080=E$2:E1063)))))</f>
        <v/>
      </c>
      <c r="J1080" s="25" t="str">
        <f aca="true">IF(OR(E1080="",E1080="!!!",F1080="NEW"),"",COUNTBLANK(OFFSET(M$1,,,SUMPRODUCT(MAX(ROW(E$2:E1064)*(E1080=E$2:E1064)))))-COUNTBLANK(OFFSET(M$1,,,SUMPRODUCT(MAX(ROW(Q$1:Q1063)*(E1080=Q$1:Q1063))))))</f>
        <v/>
      </c>
      <c r="K1080" s="25" t="str">
        <f aca="false">IF(OR(E1080="",E1080="!!!",F1080="NEW"),"",INDEX(V$1:V1063,SUMPRODUCT(MAX(ROW(Q$1:Q1063)*(E1080=Q$1:Q1063)))))</f>
        <v/>
      </c>
      <c r="L1080" s="26"/>
      <c r="M1080" s="27"/>
    </row>
    <row r="1081" customFormat="false" ht="15" hidden="false" customHeight="false" outlineLevel="0" collapsed="false">
      <c r="A1081" s="19" t="s">
        <v>294</v>
      </c>
      <c r="E1081" s="20" t="str">
        <f aca="false">IF(P1081="?OLD","!!!","")</f>
        <v/>
      </c>
      <c r="F1081" s="21" t="str">
        <f aca="false">IF(OR(E1081="",E1081="!!!"),"",IF(NOT(ISNA(VLOOKUP(E1081,Q$1:Q1064,1,FALSE()))),"OLD",IF(AND(E1081&lt;&gt;"",E1081&lt;&gt;"!!!"),"NEW","")))</f>
        <v/>
      </c>
      <c r="G1081" s="22" t="str">
        <f aca="false">IF(OR(E1081="",E1081="!!!"),"",IF(OR(J1081=0,AND(J1081=1,K1081=1),AND(J1081=1,I1081="SBJ"),AND(J1081=1,I1081=0)),"?IN_FOCUS",IF(J1081&lt;=2,"?ACTIVATED",IF(J1081&lt;&gt;"","?FAMILIAR",IF(F1081="NEW",IF(ISNA(VLOOKUP(E1081,#REF!,1,FALSE())),"?TYPE_IDENTIFIABLE","?REFERENTIAL"),"_")))))</f>
        <v/>
      </c>
      <c r="H1081" s="23" t="str">
        <f aca="false">IF(J1081&lt;&gt;1,"",IF(I1081="SBJ","CB","?"))</f>
        <v/>
      </c>
      <c r="I1081" s="24" t="str">
        <f aca="false">IF(OR(E1081="",E1081="!!!",F1081="NEW"),"",INDEX(N$2:N1064,-1+SUMPRODUCT(MAX(ROW(E$2:E1064)*(E1081=E$2:E1064)))))</f>
        <v/>
      </c>
      <c r="J1081" s="25" t="str">
        <f aca="true">IF(OR(E1081="",E1081="!!!",F1081="NEW"),"",COUNTBLANK(OFFSET(M$1,,,SUMPRODUCT(MAX(ROW(E$2:E1065)*(E1081=E$2:E1065)))))-COUNTBLANK(OFFSET(M$1,,,SUMPRODUCT(MAX(ROW(Q$1:Q1064)*(E1081=Q$1:Q1064))))))</f>
        <v/>
      </c>
      <c r="K1081" s="25" t="str">
        <f aca="false">IF(OR(E1081="",E1081="!!!",F1081="NEW"),"",INDEX(V$1:V1064,SUMPRODUCT(MAX(ROW(Q$1:Q1064)*(E1081=Q$1:Q1064)))))</f>
        <v/>
      </c>
      <c r="L1081" s="26"/>
      <c r="M1081" s="27"/>
    </row>
    <row r="1082" customFormat="false" ht="15" hidden="false" customHeight="false" outlineLevel="0" collapsed="false">
      <c r="A1082" s="19" t="s">
        <v>309</v>
      </c>
      <c r="E1082" s="20" t="str">
        <f aca="false">IF(P1082="?OLD","!!!","")</f>
        <v/>
      </c>
      <c r="F1082" s="21" t="str">
        <f aca="false">IF(OR(E1082="",E1082="!!!"),"",IF(NOT(ISNA(VLOOKUP(E1082,Q$1:Q1065,1,FALSE()))),"OLD",IF(AND(E1082&lt;&gt;"",E1082&lt;&gt;"!!!"),"NEW","")))</f>
        <v/>
      </c>
      <c r="G1082" s="22" t="str">
        <f aca="false">IF(OR(E1082="",E1082="!!!"),"",IF(OR(J1082=0,AND(J1082=1,K1082=1),AND(J1082=1,I1082="SBJ"),AND(J1082=1,I1082=0)),"?IN_FOCUS",IF(J1082&lt;=2,"?ACTIVATED",IF(J1082&lt;&gt;"","?FAMILIAR",IF(F1082="NEW",IF(ISNA(VLOOKUP(E1082,#REF!,1,FALSE())),"?TYPE_IDENTIFIABLE","?REFERENTIAL"),"_")))))</f>
        <v/>
      </c>
      <c r="H1082" s="23" t="str">
        <f aca="false">IF(J1082&lt;&gt;1,"",IF(I1082="SBJ","CB","?"))</f>
        <v/>
      </c>
      <c r="I1082" s="24" t="str">
        <f aca="false">IF(OR(E1082="",E1082="!!!",F1082="NEW"),"",INDEX(N$2:N1065,-1+SUMPRODUCT(MAX(ROW(E$2:E1065)*(E1082=E$2:E1065)))))</f>
        <v/>
      </c>
      <c r="J1082" s="25" t="str">
        <f aca="true">IF(OR(E1082="",E1082="!!!",F1082="NEW"),"",COUNTBLANK(OFFSET(M$1,,,SUMPRODUCT(MAX(ROW(E$2:E1066)*(E1082=E$2:E1066)))))-COUNTBLANK(OFFSET(M$1,,,SUMPRODUCT(MAX(ROW(Q$1:Q1065)*(E1082=Q$1:Q1065))))))</f>
        <v/>
      </c>
      <c r="K1082" s="25" t="str">
        <f aca="false">IF(OR(E1082="",E1082="!!!",F1082="NEW"),"",INDEX(V$1:V1065,SUMPRODUCT(MAX(ROW(Q$1:Q1065)*(E1082=Q$1:Q1065)))))</f>
        <v/>
      </c>
      <c r="L1082" s="26"/>
      <c r="M1082" s="27"/>
    </row>
    <row r="1083" customFormat="false" ht="15" hidden="false" customHeight="false" outlineLevel="0" collapsed="false">
      <c r="A1083" s="19" t="s">
        <v>489</v>
      </c>
      <c r="B1083" s="28" t="s">
        <v>258</v>
      </c>
      <c r="C1083" s="28" t="s">
        <v>358</v>
      </c>
      <c r="D1083" s="28" t="s">
        <v>253</v>
      </c>
      <c r="E1083" s="20" t="s">
        <v>265</v>
      </c>
      <c r="F1083" s="21" t="str">
        <f aca="false">IF(OR(E1083="",E1083="!!!"),"",IF(NOT(ISNA(VLOOKUP(E1083,Q$1:Q1066,1,FALSE()))),"OLD",IF(AND(E1083&lt;&gt;"",E1083&lt;&gt;"!!!"),"NEW","")))</f>
        <v>NEW</v>
      </c>
      <c r="G1083" s="22" t="s">
        <v>296</v>
      </c>
      <c r="H1083" s="23" t="str">
        <f aca="false">IF(J1083&lt;&gt;1,"",IF(I1083="SBJ","CB","?"))</f>
        <v/>
      </c>
      <c r="I1083" s="24" t="str">
        <f aca="false">IF(OR(E1083="",E1083="!!!",F1083="NEW"),"",INDEX(N$2:N1066,-1+SUMPRODUCT(MAX(ROW(E$2:E1066)*(E1083=E$2:E1066)))))</f>
        <v/>
      </c>
      <c r="J1083" s="25" t="str">
        <f aca="true">IF(OR(E1083="",E1083="!!!",F1083="NEW"),"",COUNTBLANK(OFFSET(M$1,,,SUMPRODUCT(MAX(ROW(E$2:E1067)*(E1083=E$2:E1067)))))-COUNTBLANK(OFFSET(M$1,,,SUMPRODUCT(MAX(ROW(Q$1:Q1066)*(E1083=Q$1:Q1066))))))</f>
        <v/>
      </c>
      <c r="K1083" s="25" t="str">
        <f aca="false">IF(OR(E1083="",E1083="!!!",F1083="NEW"),"",INDEX(V$1:V1066,SUMPRODUCT(MAX(ROW(Q$1:Q1066)*(E1083=Q$1:Q1066)))))</f>
        <v/>
      </c>
      <c r="L1083" s="26"/>
      <c r="M1083" s="27"/>
      <c r="N1083" s="29"/>
      <c r="O1083" s="29"/>
      <c r="P1083" s="29"/>
    </row>
    <row r="1084" customFormat="false" ht="15" hidden="false" customHeight="false" outlineLevel="0" collapsed="false">
      <c r="A1084" s="19" t="s">
        <v>714</v>
      </c>
      <c r="B1084" s="28" t="s">
        <v>306</v>
      </c>
      <c r="C1084" s="28" t="s">
        <v>314</v>
      </c>
      <c r="D1084" s="28" t="s">
        <v>253</v>
      </c>
      <c r="E1084" s="20" t="s">
        <v>715</v>
      </c>
      <c r="F1084" s="21" t="str">
        <f aca="false">IF(OR(E1084="",E1084="!!!"),"",IF(NOT(ISNA(VLOOKUP(E1084,Q$1:Q1067,1,FALSE()))),"OLD",IF(AND(E1084&lt;&gt;"",E1084&lt;&gt;"!!!"),"NEW","")))</f>
        <v>NEW</v>
      </c>
      <c r="G1084" s="22" t="s">
        <v>255</v>
      </c>
      <c r="H1084" s="23" t="str">
        <f aca="false">IF(J1084&lt;&gt;1,"",IF(I1084="SBJ","CB","?"))</f>
        <v/>
      </c>
      <c r="I1084" s="24" t="str">
        <f aca="false">IF(OR(E1084="",E1084="!!!",F1084="NEW"),"",INDEX(N$2:N1067,-1+SUMPRODUCT(MAX(ROW(E$2:E1067)*(E1084=E$2:E1067)))))</f>
        <v/>
      </c>
      <c r="J1084" s="25" t="str">
        <f aca="true">IF(OR(E1084="",E1084="!!!",F1084="NEW"),"",COUNTBLANK(OFFSET(M$1,,,SUMPRODUCT(MAX(ROW(E$2:E1068)*(E1084=E$2:E1068)))))-COUNTBLANK(OFFSET(M$1,,,SUMPRODUCT(MAX(ROW(Q$1:Q1067)*(E1084=Q$1:Q1067))))))</f>
        <v/>
      </c>
      <c r="K1084" s="25" t="str">
        <f aca="false">IF(OR(E1084="",E1084="!!!",F1084="NEW"),"",INDEX(V$1:V1067,SUMPRODUCT(MAX(ROW(Q$1:Q1067)*(E1084=Q$1:Q1067)))))</f>
        <v/>
      </c>
      <c r="L1084" s="26"/>
      <c r="M1084" s="27"/>
      <c r="N1084" s="29"/>
      <c r="O1084" s="29"/>
      <c r="P1084" s="29"/>
    </row>
    <row r="1085" customFormat="false" ht="15" hidden="false" customHeight="false" outlineLevel="0" collapsed="false">
      <c r="A1085" s="19" t="s">
        <v>261</v>
      </c>
      <c r="E1085" s="20" t="str">
        <f aca="false">IF(P1085="?OLD","!!!","")</f>
        <v/>
      </c>
      <c r="F1085" s="21" t="str">
        <f aca="false">IF(OR(E1085="",E1085="!!!"),"",IF(NOT(ISNA(VLOOKUP(E1085,Q$1:Q1068,1,FALSE()))),"OLD",IF(AND(E1085&lt;&gt;"",E1085&lt;&gt;"!!!"),"NEW","")))</f>
        <v/>
      </c>
      <c r="G1085" s="22" t="str">
        <f aca="false">IF(OR(E1085="",E1085="!!!"),"",IF(OR(J1085=0,AND(J1085=1,K1085=1),AND(J1085=1,I1085="SBJ"),AND(J1085=1,I1085=0)),"?IN_FOCUS",IF(J1085&lt;=2,"?ACTIVATED",IF(J1085&lt;&gt;"","?FAMILIAR",IF(F1085="NEW",IF(ISNA(VLOOKUP(E1085,#REF!,1,FALSE())),"?TYPE_IDENTIFIABLE","?REFERENTIAL"),"_")))))</f>
        <v/>
      </c>
      <c r="H1085" s="23" t="str">
        <f aca="false">IF(J1085&lt;&gt;1,"",IF(I1085="SBJ","CB","?"))</f>
        <v/>
      </c>
      <c r="I1085" s="24" t="str">
        <f aca="false">IF(OR(E1085="",E1085="!!!",F1085="NEW"),"",INDEX(N$2:N1068,-1+SUMPRODUCT(MAX(ROW(E$2:E1068)*(E1085=E$2:E1068)))))</f>
        <v/>
      </c>
      <c r="J1085" s="25" t="str">
        <f aca="true">IF(OR(E1085="",E1085="!!!",F1085="NEW"),"",COUNTBLANK(OFFSET(M$1,,,SUMPRODUCT(MAX(ROW(E$2:E1069)*(E1085=E$2:E1069)))))-COUNTBLANK(OFFSET(M$1,,,SUMPRODUCT(MAX(ROW(Q$1:Q1068)*(E1085=Q$1:Q1068))))))</f>
        <v/>
      </c>
      <c r="K1085" s="25" t="str">
        <f aca="false">IF(OR(E1085="",E1085="!!!",F1085="NEW"),"",INDEX(V$1:V1068,SUMPRODUCT(MAX(ROW(Q$1:Q1068)*(E1085=Q$1:Q1068)))))</f>
        <v/>
      </c>
      <c r="L1085" s="26"/>
      <c r="M1085" s="27"/>
    </row>
    <row r="1086" customFormat="false" ht="15" hidden="false" customHeight="false" outlineLevel="0" collapsed="false">
      <c r="A1086" s="19" t="s">
        <v>294</v>
      </c>
      <c r="E1086" s="20" t="str">
        <f aca="false">IF(P1086="?OLD","!!!","")</f>
        <v/>
      </c>
      <c r="F1086" s="21" t="str">
        <f aca="false">IF(OR(E1086="",E1086="!!!"),"",IF(NOT(ISNA(VLOOKUP(E1086,Q$1:Q1069,1,FALSE()))),"OLD",IF(AND(E1086&lt;&gt;"",E1086&lt;&gt;"!!!"),"NEW","")))</f>
        <v/>
      </c>
      <c r="G1086" s="22" t="str">
        <f aca="false">IF(OR(E1086="",E1086="!!!"),"",IF(OR(J1086=0,AND(J1086=1,K1086=1),AND(J1086=1,I1086="SBJ"),AND(J1086=1,I1086=0)),"?IN_FOCUS",IF(J1086&lt;=2,"?ACTIVATED",IF(J1086&lt;&gt;"","?FAMILIAR",IF(F1086="NEW",IF(ISNA(VLOOKUP(E1086,#REF!,1,FALSE())),"?TYPE_IDENTIFIABLE","?REFERENTIAL"),"_")))))</f>
        <v/>
      </c>
      <c r="H1086" s="23" t="str">
        <f aca="false">IF(J1086&lt;&gt;1,"",IF(I1086="SBJ","CB","?"))</f>
        <v/>
      </c>
      <c r="I1086" s="24" t="str">
        <f aca="false">IF(OR(E1086="",E1086="!!!",F1086="NEW"),"",INDEX(N$2:N1069,-1+SUMPRODUCT(MAX(ROW(E$2:E1069)*(E1086=E$2:E1069)))))</f>
        <v/>
      </c>
      <c r="J1086" s="25" t="str">
        <f aca="true">IF(OR(E1086="",E1086="!!!",F1086="NEW"),"",COUNTBLANK(OFFSET(M$1,,,SUMPRODUCT(MAX(ROW(E$2:E1070)*(E1086=E$2:E1070)))))-COUNTBLANK(OFFSET(M$1,,,SUMPRODUCT(MAX(ROW(Q$1:Q1069)*(E1086=Q$1:Q1069))))))</f>
        <v/>
      </c>
      <c r="K1086" s="25" t="str">
        <f aca="false">IF(OR(E1086="",E1086="!!!",F1086="NEW"),"",INDEX(V$1:V1069,SUMPRODUCT(MAX(ROW(Q$1:Q1069)*(E1086=Q$1:Q1069)))))</f>
        <v/>
      </c>
      <c r="L1086" s="26"/>
      <c r="M1086" s="27"/>
    </row>
    <row r="1087" customFormat="false" ht="15" hidden="false" customHeight="false" outlineLevel="0" collapsed="false">
      <c r="A1087" s="19" t="s">
        <v>309</v>
      </c>
      <c r="E1087" s="20" t="str">
        <f aca="false">IF(P1087="?OLD","!!!","")</f>
        <v/>
      </c>
      <c r="F1087" s="21" t="str">
        <f aca="false">IF(OR(E1087="",E1087="!!!"),"",IF(NOT(ISNA(VLOOKUP(E1087,Q$1:Q1070,1,FALSE()))),"OLD",IF(AND(E1087&lt;&gt;"",E1087&lt;&gt;"!!!"),"NEW","")))</f>
        <v/>
      </c>
      <c r="G1087" s="22" t="str">
        <f aca="false">IF(OR(E1087="",E1087="!!!"),"",IF(OR(J1087=0,AND(J1087=1,K1087=1),AND(J1087=1,I1087="SBJ"),AND(J1087=1,I1087=0)),"?IN_FOCUS",IF(J1087&lt;=2,"?ACTIVATED",IF(J1087&lt;&gt;"","?FAMILIAR",IF(F1087="NEW",IF(ISNA(VLOOKUP(E1087,#REF!,1,FALSE())),"?TYPE_IDENTIFIABLE","?REFERENTIAL"),"_")))))</f>
        <v/>
      </c>
      <c r="H1087" s="23" t="str">
        <f aca="false">IF(J1087&lt;&gt;1,"",IF(I1087="SBJ","CB","?"))</f>
        <v/>
      </c>
      <c r="I1087" s="24" t="str">
        <f aca="false">IF(OR(E1087="",E1087="!!!",F1087="NEW"),"",INDEX(N$2:N1070,-1+SUMPRODUCT(MAX(ROW(E$2:E1070)*(E1087=E$2:E1070)))))</f>
        <v/>
      </c>
      <c r="J1087" s="25" t="str">
        <f aca="true">IF(OR(E1087="",E1087="!!!",F1087="NEW"),"",COUNTBLANK(OFFSET(M$1,,,SUMPRODUCT(MAX(ROW(E$2:E1071)*(E1087=E$2:E1071)))))-COUNTBLANK(OFFSET(M$1,,,SUMPRODUCT(MAX(ROW(Q$1:Q1070)*(E1087=Q$1:Q1070))))))</f>
        <v/>
      </c>
      <c r="K1087" s="25" t="str">
        <f aca="false">IF(OR(E1087="",E1087="!!!",F1087="NEW"),"",INDEX(V$1:V1070,SUMPRODUCT(MAX(ROW(Q$1:Q1070)*(E1087=Q$1:Q1070)))))</f>
        <v/>
      </c>
      <c r="L1087" s="26"/>
      <c r="M1087" s="27"/>
    </row>
    <row r="1088" customFormat="false" ht="15" hidden="false" customHeight="false" outlineLevel="0" collapsed="false">
      <c r="A1088" s="19" t="s">
        <v>218</v>
      </c>
      <c r="B1088" s="28" t="s">
        <v>263</v>
      </c>
      <c r="E1088" s="20" t="str">
        <f aca="false">IF(P1088="?OLD","!!!","")</f>
        <v/>
      </c>
      <c r="F1088" s="21" t="str">
        <f aca="false">IF(OR(E1088="",E1088="!!!"),"",IF(NOT(ISNA(VLOOKUP(E1088,Q$1:Q1071,1,FALSE()))),"OLD",IF(AND(E1088&lt;&gt;"",E1088&lt;&gt;"!!!"),"NEW","")))</f>
        <v/>
      </c>
      <c r="G1088" s="22" t="str">
        <f aca="false">IF(OR(E1088="",E1088="!!!"),"",IF(OR(J1088=0,AND(J1088=1,K1088=1),AND(J1088=1,I1088="SBJ"),AND(J1088=1,I1088=0)),"?IN_FOCUS",IF(J1088&lt;=2,"?ACTIVATED",IF(J1088&lt;&gt;"","?FAMILIAR",IF(F1088="NEW",IF(ISNA(VLOOKUP(E1088,#REF!,1,FALSE())),"?TYPE_IDENTIFIABLE","?REFERENTIAL"),"_")))))</f>
        <v/>
      </c>
      <c r="H1088" s="23" t="str">
        <f aca="false">IF(J1088&lt;&gt;1,"",IF(I1088="SBJ","CB","?"))</f>
        <v/>
      </c>
      <c r="I1088" s="24" t="str">
        <f aca="false">IF(OR(E1088="",E1088="!!!",F1088="NEW"),"",INDEX(N$2:N1071,-1+SUMPRODUCT(MAX(ROW(E$2:E1071)*(E1088=E$2:E1071)))))</f>
        <v/>
      </c>
      <c r="J1088" s="25" t="str">
        <f aca="true">IF(OR(E1088="",E1088="!!!",F1088="NEW"),"",COUNTBLANK(OFFSET(M$1,,,SUMPRODUCT(MAX(ROW(E$2:E1072)*(E1088=E$2:E1072)))))-COUNTBLANK(OFFSET(M$1,,,SUMPRODUCT(MAX(ROW(Q$1:Q1071)*(E1088=Q$1:Q1071))))))</f>
        <v/>
      </c>
      <c r="K1088" s="25" t="str">
        <f aca="false">IF(OR(E1088="",E1088="!!!",F1088="NEW"),"",INDEX(V$1:V1071,SUMPRODUCT(MAX(ROW(Q$1:Q1071)*(E1088=Q$1:Q1071)))))</f>
        <v/>
      </c>
      <c r="L1088" s="26"/>
      <c r="M1088" s="27"/>
      <c r="N1088" s="29"/>
    </row>
    <row r="1089" customFormat="false" ht="15" hidden="false" customHeight="false" outlineLevel="0" collapsed="false">
      <c r="A1089" s="19" t="s">
        <v>372</v>
      </c>
      <c r="B1089" s="28" t="s">
        <v>324</v>
      </c>
      <c r="E1089" s="20" t="str">
        <f aca="false">IF(P1089="?OLD","!!!","")</f>
        <v/>
      </c>
      <c r="F1089" s="21" t="str">
        <f aca="false">IF(OR(E1089="",E1089="!!!"),"",IF(NOT(ISNA(VLOOKUP(E1089,Q$1:Q1072,1,FALSE()))),"OLD",IF(AND(E1089&lt;&gt;"",E1089&lt;&gt;"!!!"),"NEW","")))</f>
        <v/>
      </c>
      <c r="G1089" s="22" t="str">
        <f aca="false">IF(OR(E1089="",E1089="!!!"),"",IF(OR(J1089=0,AND(J1089=1,K1089=1),AND(J1089=1,I1089="SBJ"),AND(J1089=1,I1089=0)),"?IN_FOCUS",IF(J1089&lt;=2,"?ACTIVATED",IF(J1089&lt;&gt;"","?FAMILIAR",IF(F1089="NEW",IF(ISNA(VLOOKUP(E1089,#REF!,1,FALSE())),"?TYPE_IDENTIFIABLE","?REFERENTIAL"),"_")))))</f>
        <v/>
      </c>
      <c r="H1089" s="23" t="str">
        <f aca="false">IF(J1089&lt;&gt;1,"",IF(I1089="SBJ","CB","?"))</f>
        <v/>
      </c>
      <c r="I1089" s="24" t="str">
        <f aca="false">IF(OR(E1089="",E1089="!!!",F1089="NEW"),"",INDEX(N$2:N1072,-1+SUMPRODUCT(MAX(ROW(E$2:E1072)*(E1089=E$2:E1072)))))</f>
        <v/>
      </c>
      <c r="J1089" s="25" t="str">
        <f aca="true">IF(OR(E1089="",E1089="!!!",F1089="NEW"),"",COUNTBLANK(OFFSET(M$1,,,SUMPRODUCT(MAX(ROW(E$2:E1073)*(E1089=E$2:E1073)))))-COUNTBLANK(OFFSET(M$1,,,SUMPRODUCT(MAX(ROW(Q$1:Q1072)*(E1089=Q$1:Q1072))))))</f>
        <v/>
      </c>
      <c r="K1089" s="25" t="str">
        <f aca="false">IF(OR(E1089="",E1089="!!!",F1089="NEW"),"",INDEX(V$1:V1072,SUMPRODUCT(MAX(ROW(Q$1:Q1072)*(E1089=Q$1:Q1072)))))</f>
        <v/>
      </c>
      <c r="L1089" s="26"/>
      <c r="M1089" s="27"/>
      <c r="N1089" s="29"/>
    </row>
    <row r="1090" customFormat="false" ht="15" hidden="false" customHeight="false" outlineLevel="0" collapsed="false">
      <c r="A1090" s="19" t="s">
        <v>369</v>
      </c>
      <c r="E1090" s="20" t="str">
        <f aca="false">IF(P1090="?OLD","!!!","")</f>
        <v/>
      </c>
      <c r="F1090" s="21" t="str">
        <f aca="false">IF(OR(E1090="",E1090="!!!"),"",IF(NOT(ISNA(VLOOKUP(E1090,Q$1:Q1073,1,FALSE()))),"OLD",IF(AND(E1090&lt;&gt;"",E1090&lt;&gt;"!!!"),"NEW","")))</f>
        <v/>
      </c>
      <c r="G1090" s="22" t="str">
        <f aca="false">IF(OR(E1090="",E1090="!!!"),"",IF(OR(J1090=0,AND(J1090=1,K1090=1),AND(J1090=1,I1090="SBJ"),AND(J1090=1,I1090=0)),"?IN_FOCUS",IF(J1090&lt;=2,"?ACTIVATED",IF(J1090&lt;&gt;"","?FAMILIAR",IF(F1090="NEW",IF(ISNA(VLOOKUP(E1090,#REF!,1,FALSE())),"?TYPE_IDENTIFIABLE","?REFERENTIAL"),"_")))))</f>
        <v/>
      </c>
      <c r="H1090" s="23" t="str">
        <f aca="false">IF(J1090&lt;&gt;1,"",IF(I1090="SBJ","CB","?"))</f>
        <v/>
      </c>
      <c r="I1090" s="24" t="str">
        <f aca="false">IF(OR(E1090="",E1090="!!!",F1090="NEW"),"",INDEX(N$2:N1073,-1+SUMPRODUCT(MAX(ROW(E$2:E1073)*(E1090=E$2:E1073)))))</f>
        <v/>
      </c>
      <c r="J1090" s="25" t="str">
        <f aca="true">IF(OR(E1090="",E1090="!!!",F1090="NEW"),"",COUNTBLANK(OFFSET(M$1,,,SUMPRODUCT(MAX(ROW(E$2:E1074)*(E1090=E$2:E1074)))))-COUNTBLANK(OFFSET(M$1,,,SUMPRODUCT(MAX(ROW(Q$1:Q1073)*(E1090=Q$1:Q1073))))))</f>
        <v/>
      </c>
      <c r="K1090" s="25" t="str">
        <f aca="false">IF(OR(E1090="",E1090="!!!",F1090="NEW"),"",INDEX(V$1:V1073,SUMPRODUCT(MAX(ROW(Q$1:Q1073)*(E1090=Q$1:Q1073)))))</f>
        <v/>
      </c>
      <c r="L1090" s="26"/>
      <c r="M1090" s="27"/>
    </row>
    <row r="1091" customFormat="false" ht="15" hidden="false" customHeight="false" outlineLevel="0" collapsed="false">
      <c r="A1091" s="19" t="s">
        <v>716</v>
      </c>
      <c r="E1091" s="20" t="str">
        <f aca="false">IF(P1091="?OLD","!!!","")</f>
        <v/>
      </c>
      <c r="F1091" s="21" t="str">
        <f aca="false">IF(OR(E1091="",E1091="!!!"),"",IF(NOT(ISNA(VLOOKUP(E1091,Q$1:Q1074,1,FALSE()))),"OLD",IF(AND(E1091&lt;&gt;"",E1091&lt;&gt;"!!!"),"NEW","")))</f>
        <v/>
      </c>
      <c r="G1091" s="22" t="str">
        <f aca="false">IF(OR(E1091="",E1091="!!!"),"",IF(OR(J1091=0,AND(J1091=1,K1091=1),AND(J1091=1,I1091="SBJ"),AND(J1091=1,I1091=0)),"?IN_FOCUS",IF(J1091&lt;=2,"?ACTIVATED",IF(J1091&lt;&gt;"","?FAMILIAR",IF(F1091="NEW",IF(ISNA(VLOOKUP(E1091,#REF!,1,FALSE())),"?TYPE_IDENTIFIABLE","?REFERENTIAL"),"_")))))</f>
        <v/>
      </c>
      <c r="H1091" s="23" t="str">
        <f aca="false">IF(J1091&lt;&gt;1,"",IF(I1091="SBJ","CB","?"))</f>
        <v/>
      </c>
      <c r="I1091" s="24" t="str">
        <f aca="false">IF(OR(E1091="",E1091="!!!",F1091="NEW"),"",INDEX(N$2:N1074,-1+SUMPRODUCT(MAX(ROW(E$2:E1074)*(E1091=E$2:E1074)))))</f>
        <v/>
      </c>
      <c r="J1091" s="25" t="str">
        <f aca="true">IF(OR(E1091="",E1091="!!!",F1091="NEW"),"",COUNTBLANK(OFFSET(M$1,,,SUMPRODUCT(MAX(ROW(E$2:E1075)*(E1091=E$2:E1075)))))-COUNTBLANK(OFFSET(M$1,,,SUMPRODUCT(MAX(ROW(Q$1:Q1074)*(E1091=Q$1:Q1074))))))</f>
        <v/>
      </c>
      <c r="K1091" s="25" t="str">
        <f aca="false">IF(OR(E1091="",E1091="!!!",F1091="NEW"),"",INDEX(V$1:V1074,SUMPRODUCT(MAX(ROW(Q$1:Q1074)*(E1091=Q$1:Q1074)))))</f>
        <v/>
      </c>
      <c r="L1091" s="26"/>
      <c r="M1091" s="27"/>
    </row>
    <row r="1092" customFormat="false" ht="15" hidden="false" customHeight="false" outlineLevel="0" collapsed="false">
      <c r="A1092" s="19" t="s">
        <v>717</v>
      </c>
      <c r="E1092" s="20" t="str">
        <f aca="false">IF(P1092="?OLD","!!!","")</f>
        <v/>
      </c>
      <c r="F1092" s="21" t="str">
        <f aca="false">IF(OR(E1092="",E1092="!!!"),"",IF(NOT(ISNA(VLOOKUP(E1092,Q$1:Q1075,1,FALSE()))),"OLD",IF(AND(E1092&lt;&gt;"",E1092&lt;&gt;"!!!"),"NEW","")))</f>
        <v/>
      </c>
      <c r="G1092" s="22" t="str">
        <f aca="false">IF(OR(E1092="",E1092="!!!"),"",IF(OR(J1092=0,AND(J1092=1,K1092=1),AND(J1092=1,I1092="SBJ"),AND(J1092=1,I1092=0)),"?IN_FOCUS",IF(J1092&lt;=2,"?ACTIVATED",IF(J1092&lt;&gt;"","?FAMILIAR",IF(F1092="NEW",IF(ISNA(VLOOKUP(E1092,#REF!,1,FALSE())),"?TYPE_IDENTIFIABLE","?REFERENTIAL"),"_")))))</f>
        <v/>
      </c>
      <c r="H1092" s="23" t="str">
        <f aca="false">IF(J1092&lt;&gt;1,"",IF(I1092="SBJ","CB","?"))</f>
        <v/>
      </c>
      <c r="I1092" s="24" t="str">
        <f aca="false">IF(OR(E1092="",E1092="!!!",F1092="NEW"),"",INDEX(N$2:N1075,-1+SUMPRODUCT(MAX(ROW(E$2:E1075)*(E1092=E$2:E1075)))))</f>
        <v/>
      </c>
      <c r="J1092" s="25" t="str">
        <f aca="true">IF(OR(E1092="",E1092="!!!",F1092="NEW"),"",COUNTBLANK(OFFSET(M$1,,,SUMPRODUCT(MAX(ROW(E$2:E1076)*(E1092=E$2:E1076)))))-COUNTBLANK(OFFSET(M$1,,,SUMPRODUCT(MAX(ROW(Q$1:Q1075)*(E1092=Q$1:Q1075))))))</f>
        <v/>
      </c>
      <c r="K1092" s="25" t="str">
        <f aca="false">IF(OR(E1092="",E1092="!!!",F1092="NEW"),"",INDEX(V$1:V1075,SUMPRODUCT(MAX(ROW(Q$1:Q1075)*(E1092=Q$1:Q1075)))))</f>
        <v/>
      </c>
      <c r="L1092" s="26"/>
      <c r="M1092" s="27"/>
    </row>
    <row r="1093" customFormat="false" ht="15" hidden="false" customHeight="false" outlineLevel="0" collapsed="false">
      <c r="A1093" s="19" t="s">
        <v>261</v>
      </c>
      <c r="E1093" s="20" t="str">
        <f aca="false">IF(P1093="?OLD","!!!","")</f>
        <v/>
      </c>
      <c r="F1093" s="21" t="str">
        <f aca="false">IF(OR(E1093="",E1093="!!!"),"",IF(NOT(ISNA(VLOOKUP(E1093,Q$1:Q1076,1,FALSE()))),"OLD",IF(AND(E1093&lt;&gt;"",E1093&lt;&gt;"!!!"),"NEW","")))</f>
        <v/>
      </c>
      <c r="G1093" s="22" t="str">
        <f aca="false">IF(OR(E1093="",E1093="!!!"),"",IF(OR(J1093=0,AND(J1093=1,K1093=1),AND(J1093=1,I1093="SBJ"),AND(J1093=1,I1093=0)),"?IN_FOCUS",IF(J1093&lt;=2,"?ACTIVATED",IF(J1093&lt;&gt;"","?FAMILIAR",IF(F1093="NEW",IF(ISNA(VLOOKUP(E1093,#REF!,1,FALSE())),"?TYPE_IDENTIFIABLE","?REFERENTIAL"),"_")))))</f>
        <v/>
      </c>
      <c r="H1093" s="23" t="str">
        <f aca="false">IF(J1093&lt;&gt;1,"",IF(I1093="SBJ","CB","?"))</f>
        <v/>
      </c>
      <c r="I1093" s="24" t="str">
        <f aca="false">IF(OR(E1093="",E1093="!!!",F1093="NEW"),"",INDEX(N$2:N1076,-1+SUMPRODUCT(MAX(ROW(E$2:E1076)*(E1093=E$2:E1076)))))</f>
        <v/>
      </c>
      <c r="J1093" s="25" t="str">
        <f aca="true">IF(OR(E1093="",E1093="!!!",F1093="NEW"),"",COUNTBLANK(OFFSET(M$1,,,SUMPRODUCT(MAX(ROW(E$2:E1077)*(E1093=E$2:E1077)))))-COUNTBLANK(OFFSET(M$1,,,SUMPRODUCT(MAX(ROW(Q$1:Q1076)*(E1093=Q$1:Q1076))))))</f>
        <v/>
      </c>
      <c r="K1093" s="25" t="str">
        <f aca="false">IF(OR(E1093="",E1093="!!!",F1093="NEW"),"",INDEX(V$1:V1076,SUMPRODUCT(MAX(ROW(Q$1:Q1076)*(E1093=Q$1:Q1076)))))</f>
        <v/>
      </c>
      <c r="L1093" s="26"/>
      <c r="M1093" s="27"/>
    </row>
    <row r="1094" customFormat="false" ht="15" hidden="false" customHeight="false" outlineLevel="0" collapsed="false">
      <c r="A1094" s="19" t="s">
        <v>555</v>
      </c>
      <c r="E1094" s="20" t="str">
        <f aca="false">IF(P1094="?OLD","!!!","")</f>
        <v/>
      </c>
      <c r="F1094" s="21" t="str">
        <f aca="false">IF(OR(E1094="",E1094="!!!"),"",IF(NOT(ISNA(VLOOKUP(E1094,Q$1:Q1077,1,FALSE()))),"OLD",IF(AND(E1094&lt;&gt;"",E1094&lt;&gt;"!!!"),"NEW","")))</f>
        <v/>
      </c>
      <c r="G1094" s="22" t="str">
        <f aca="false">IF(OR(E1094="",E1094="!!!"),"",IF(OR(J1094=0,AND(J1094=1,K1094=1),AND(J1094=1,I1094="SBJ"),AND(J1094=1,I1094=0)),"?IN_FOCUS",IF(J1094&lt;=2,"?ACTIVATED",IF(J1094&lt;&gt;"","?FAMILIAR",IF(F1094="NEW",IF(ISNA(VLOOKUP(E1094,#REF!,1,FALSE())),"?TYPE_IDENTIFIABLE","?REFERENTIAL"),"_")))))</f>
        <v/>
      </c>
      <c r="H1094" s="23" t="str">
        <f aca="false">IF(J1094&lt;&gt;1,"",IF(I1094="SBJ","CB","?"))</f>
        <v/>
      </c>
      <c r="I1094" s="24" t="str">
        <f aca="false">IF(OR(E1094="",E1094="!!!",F1094="NEW"),"",INDEX(N$2:N1077,-1+SUMPRODUCT(MAX(ROW(E$2:E1077)*(E1094=E$2:E1077)))))</f>
        <v/>
      </c>
      <c r="J1094" s="25" t="str">
        <f aca="true">IF(OR(E1094="",E1094="!!!",F1094="NEW"),"",COUNTBLANK(OFFSET(M$1,,,SUMPRODUCT(MAX(ROW(E$2:E1078)*(E1094=E$2:E1078)))))-COUNTBLANK(OFFSET(M$1,,,SUMPRODUCT(MAX(ROW(Q$1:Q1077)*(E1094=Q$1:Q1077))))))</f>
        <v/>
      </c>
      <c r="K1094" s="25" t="str">
        <f aca="false">IF(OR(E1094="",E1094="!!!",F1094="NEW"),"",INDEX(V$1:V1077,SUMPRODUCT(MAX(ROW(Q$1:Q1077)*(E1094=Q$1:Q1077)))))</f>
        <v/>
      </c>
      <c r="L1094" s="26"/>
      <c r="M1094" s="27"/>
    </row>
    <row r="1095" customFormat="false" ht="15" hidden="false" customHeight="false" outlineLevel="0" collapsed="false">
      <c r="A1095" s="19" t="s">
        <v>323</v>
      </c>
      <c r="E1095" s="20" t="str">
        <f aca="false">IF(P1095="?OLD","!!!","")</f>
        <v/>
      </c>
      <c r="F1095" s="21" t="str">
        <f aca="false">IF(OR(E1095="",E1095="!!!"),"",IF(NOT(ISNA(VLOOKUP(E1095,Q$1:Q1078,1,FALSE()))),"OLD",IF(AND(E1095&lt;&gt;"",E1095&lt;&gt;"!!!"),"NEW","")))</f>
        <v/>
      </c>
      <c r="G1095" s="22" t="str">
        <f aca="false">IF(OR(E1095="",E1095="!!!"),"",IF(OR(J1095=0,AND(J1095=1,K1095=1),AND(J1095=1,I1095="SBJ"),AND(J1095=1,I1095=0)),"?IN_FOCUS",IF(J1095&lt;=2,"?ACTIVATED",IF(J1095&lt;&gt;"","?FAMILIAR",IF(F1095="NEW",IF(ISNA(VLOOKUP(E1095,#REF!,1,FALSE())),"?TYPE_IDENTIFIABLE","?REFERENTIAL"),"_")))))</f>
        <v/>
      </c>
      <c r="H1095" s="23" t="str">
        <f aca="false">IF(J1095&lt;&gt;1,"",IF(I1095="SBJ","CB","?"))</f>
        <v/>
      </c>
      <c r="I1095" s="24" t="str">
        <f aca="false">IF(OR(E1095="",E1095="!!!",F1095="NEW"),"",INDEX(N$2:N1078,-1+SUMPRODUCT(MAX(ROW(E$2:E1078)*(E1095=E$2:E1078)))))</f>
        <v/>
      </c>
      <c r="J1095" s="25" t="str">
        <f aca="true">IF(OR(E1095="",E1095="!!!",F1095="NEW"),"",COUNTBLANK(OFFSET(M$1,,,SUMPRODUCT(MAX(ROW(E$2:E1079)*(E1095=E$2:E1079)))))-COUNTBLANK(OFFSET(M$1,,,SUMPRODUCT(MAX(ROW(Q$1:Q1078)*(E1095=Q$1:Q1078))))))</f>
        <v/>
      </c>
      <c r="K1095" s="25" t="str">
        <f aca="false">IF(OR(E1095="",E1095="!!!",F1095="NEW"),"",INDEX(V$1:V1078,SUMPRODUCT(MAX(ROW(Q$1:Q1078)*(E1095=Q$1:Q1078)))))</f>
        <v/>
      </c>
      <c r="L1095" s="26"/>
      <c r="M1095" s="27"/>
    </row>
    <row r="1096" customFormat="false" ht="15" hidden="false" customHeight="false" outlineLevel="0" collapsed="false">
      <c r="A1096" s="19" t="s">
        <v>718</v>
      </c>
      <c r="E1096" s="20" t="str">
        <f aca="false">IF(P1096="?OLD","!!!","")</f>
        <v/>
      </c>
      <c r="F1096" s="21" t="str">
        <f aca="false">IF(OR(E1096="",E1096="!!!"),"",IF(NOT(ISNA(VLOOKUP(E1096,Q$1:Q1079,1,FALSE()))),"OLD",IF(AND(E1096&lt;&gt;"",E1096&lt;&gt;"!!!"),"NEW","")))</f>
        <v/>
      </c>
      <c r="G1096" s="22" t="str">
        <f aca="false">IF(OR(E1096="",E1096="!!!"),"",IF(OR(J1096=0,AND(J1096=1,K1096=1),AND(J1096=1,I1096="SBJ"),AND(J1096=1,I1096=0)),"?IN_FOCUS",IF(J1096&lt;=2,"?ACTIVATED",IF(J1096&lt;&gt;"","?FAMILIAR",IF(F1096="NEW",IF(ISNA(VLOOKUP(E1096,#REF!,1,FALSE())),"?TYPE_IDENTIFIABLE","?REFERENTIAL"),"_")))))</f>
        <v/>
      </c>
      <c r="H1096" s="23" t="str">
        <f aca="false">IF(J1096&lt;&gt;1,"",IF(I1096="SBJ","CB","?"))</f>
        <v/>
      </c>
      <c r="I1096" s="24" t="str">
        <f aca="false">IF(OR(E1096="",E1096="!!!",F1096="NEW"),"",INDEX(N$2:N1079,-1+SUMPRODUCT(MAX(ROW(E$2:E1079)*(E1096=E$2:E1079)))))</f>
        <v/>
      </c>
      <c r="J1096" s="25" t="str">
        <f aca="true">IF(OR(E1096="",E1096="!!!",F1096="NEW"),"",COUNTBLANK(OFFSET(M$1,,,SUMPRODUCT(MAX(ROW(E$2:E1080)*(E1096=E$2:E1080)))))-COUNTBLANK(OFFSET(M$1,,,SUMPRODUCT(MAX(ROW(Q$1:Q1079)*(E1096=Q$1:Q1079))))))</f>
        <v/>
      </c>
      <c r="K1096" s="25" t="str">
        <f aca="false">IF(OR(E1096="",E1096="!!!",F1096="NEW"),"",INDEX(V$1:V1079,SUMPRODUCT(MAX(ROW(Q$1:Q1079)*(E1096=Q$1:Q1079)))))</f>
        <v/>
      </c>
      <c r="L1096" s="26"/>
      <c r="M1096" s="27"/>
    </row>
    <row r="1097" customFormat="false" ht="15" hidden="false" customHeight="false" outlineLevel="0" collapsed="false">
      <c r="A1097" s="19" t="s">
        <v>323</v>
      </c>
      <c r="E1097" s="20" t="str">
        <f aca="false">IF(P1097="?OLD","!!!","")</f>
        <v/>
      </c>
      <c r="F1097" s="21" t="str">
        <f aca="false">IF(OR(E1097="",E1097="!!!"),"",IF(NOT(ISNA(VLOOKUP(E1097,Q$1:Q1080,1,FALSE()))),"OLD",IF(AND(E1097&lt;&gt;"",E1097&lt;&gt;"!!!"),"NEW","")))</f>
        <v/>
      </c>
      <c r="G1097" s="22" t="str">
        <f aca="false">IF(OR(E1097="",E1097="!!!"),"",IF(OR(J1097=0,AND(J1097=1,K1097=1),AND(J1097=1,I1097="SBJ"),AND(J1097=1,I1097=0)),"?IN_FOCUS",IF(J1097&lt;=2,"?ACTIVATED",IF(J1097&lt;&gt;"","?FAMILIAR",IF(F1097="NEW",IF(ISNA(VLOOKUP(E1097,#REF!,1,FALSE())),"?TYPE_IDENTIFIABLE","?REFERENTIAL"),"_")))))</f>
        <v/>
      </c>
      <c r="H1097" s="23" t="str">
        <f aca="false">IF(J1097&lt;&gt;1,"",IF(I1097="SBJ","CB","?"))</f>
        <v/>
      </c>
      <c r="I1097" s="24" t="str">
        <f aca="false">IF(OR(E1097="",E1097="!!!",F1097="NEW"),"",INDEX(N$2:N1080,-1+SUMPRODUCT(MAX(ROW(E$2:E1080)*(E1097=E$2:E1080)))))</f>
        <v/>
      </c>
      <c r="J1097" s="25" t="str">
        <f aca="true">IF(OR(E1097="",E1097="!!!",F1097="NEW"),"",COUNTBLANK(OFFSET(M$1,,,SUMPRODUCT(MAX(ROW(E$2:E1081)*(E1097=E$2:E1081)))))-COUNTBLANK(OFFSET(M$1,,,SUMPRODUCT(MAX(ROW(Q$1:Q1080)*(E1097=Q$1:Q1080))))))</f>
        <v/>
      </c>
      <c r="K1097" s="25" t="str">
        <f aca="false">IF(OR(E1097="",E1097="!!!",F1097="NEW"),"",INDEX(V$1:V1080,SUMPRODUCT(MAX(ROW(Q$1:Q1080)*(E1097=Q$1:Q1080)))))</f>
        <v/>
      </c>
      <c r="L1097" s="26"/>
      <c r="M1097" s="27"/>
    </row>
    <row r="1098" customFormat="false" ht="15" hidden="false" customHeight="false" outlineLevel="0" collapsed="false">
      <c r="A1098" s="19" t="s">
        <v>250</v>
      </c>
      <c r="E1098" s="20" t="str">
        <f aca="false">IF(P1098="?OLD","!!!","")</f>
        <v/>
      </c>
      <c r="F1098" s="21" t="str">
        <f aca="false">IF(OR(E1098="",E1098="!!!"),"",IF(NOT(ISNA(VLOOKUP(E1098,Q$1:Q1081,1,FALSE()))),"OLD",IF(AND(E1098&lt;&gt;"",E1098&lt;&gt;"!!!"),"NEW","")))</f>
        <v/>
      </c>
      <c r="G1098" s="22" t="str">
        <f aca="false">IF(OR(E1098="",E1098="!!!"),"",IF(OR(J1098=0,AND(J1098=1,K1098=1),AND(J1098=1,I1098="SBJ"),AND(J1098=1,I1098=0)),"?IN_FOCUS",IF(J1098&lt;=2,"?ACTIVATED",IF(J1098&lt;&gt;"","?FAMILIAR",IF(F1098="NEW",IF(ISNA(VLOOKUP(E1098,#REF!,1,FALSE())),"?TYPE_IDENTIFIABLE","?REFERENTIAL"),"_")))))</f>
        <v/>
      </c>
      <c r="H1098" s="23" t="str">
        <f aca="false">IF(J1098&lt;&gt;1,"",IF(I1098="SBJ","CB","?"))</f>
        <v/>
      </c>
      <c r="I1098" s="24" t="str">
        <f aca="false">IF(OR(E1098="",E1098="!!!",F1098="NEW"),"",INDEX(N$2:N1081,-1+SUMPRODUCT(MAX(ROW(E$2:E1081)*(E1098=E$2:E1081)))))</f>
        <v/>
      </c>
      <c r="J1098" s="25" t="str">
        <f aca="true">IF(OR(E1098="",E1098="!!!",F1098="NEW"),"",COUNTBLANK(OFFSET(M$1,,,SUMPRODUCT(MAX(ROW(E$2:E1082)*(E1098=E$2:E1082)))))-COUNTBLANK(OFFSET(M$1,,,SUMPRODUCT(MAX(ROW(Q$1:Q1081)*(E1098=Q$1:Q1081))))))</f>
        <v/>
      </c>
      <c r="K1098" s="25" t="str">
        <f aca="false">IF(OR(E1098="",E1098="!!!",F1098="NEW"),"",INDEX(V$1:V1081,SUMPRODUCT(MAX(ROW(Q$1:Q1081)*(E1098=Q$1:Q1081)))))</f>
        <v/>
      </c>
      <c r="L1098" s="26"/>
      <c r="M1098" s="27"/>
    </row>
    <row r="1099" customFormat="false" ht="15" hidden="false" customHeight="false" outlineLevel="0" collapsed="false">
      <c r="A1099" s="19" t="s">
        <v>534</v>
      </c>
      <c r="B1099" s="28" t="s">
        <v>306</v>
      </c>
      <c r="C1099" s="28" t="s">
        <v>333</v>
      </c>
      <c r="D1099" s="28" t="s">
        <v>253</v>
      </c>
      <c r="E1099" s="20" t="s">
        <v>413</v>
      </c>
      <c r="F1099" s="21" t="str">
        <f aca="false">IF(OR(E1099="",E1099="!!!"),"",IF(NOT(ISNA(VLOOKUP(E1099,Q$1:Q1082,1,FALSE()))),"OLD",IF(AND(E1099&lt;&gt;"",E1099&lt;&gt;"!!!"),"NEW","")))</f>
        <v>NEW</v>
      </c>
      <c r="G1099" s="22" t="s">
        <v>283</v>
      </c>
      <c r="H1099" s="23" t="str">
        <f aca="false">IF(J1099&lt;&gt;1,"",IF(I1099="SBJ","CB","?"))</f>
        <v/>
      </c>
      <c r="I1099" s="24" t="str">
        <f aca="false">IF(OR(E1099="",E1099="!!!",F1099="NEW"),"",INDEX(N$2:N1082,-1+SUMPRODUCT(MAX(ROW(E$2:E1082)*(E1099=E$2:E1082)))))</f>
        <v/>
      </c>
      <c r="J1099" s="25" t="str">
        <f aca="true">IF(OR(E1099="",E1099="!!!",F1099="NEW"),"",COUNTBLANK(OFFSET(M$1,,,SUMPRODUCT(MAX(ROW(E$2:E1083)*(E1099=E$2:E1083)))))-COUNTBLANK(OFFSET(M$1,,,SUMPRODUCT(MAX(ROW(Q$1:Q1082)*(E1099=Q$1:Q1082))))))</f>
        <v/>
      </c>
      <c r="K1099" s="25" t="str">
        <f aca="false">IF(OR(E1099="",E1099="!!!",F1099="NEW"),"",INDEX(V$1:V1082,SUMPRODUCT(MAX(ROW(Q$1:Q1082)*(E1099=Q$1:Q1082)))))</f>
        <v/>
      </c>
      <c r="L1099" s="26"/>
      <c r="M1099" s="27"/>
      <c r="N1099" s="29"/>
      <c r="O1099" s="29"/>
      <c r="P1099" s="29"/>
    </row>
    <row r="1100" customFormat="false" ht="15" hidden="false" customHeight="false" outlineLevel="0" collapsed="false">
      <c r="A1100" s="19" t="s">
        <v>381</v>
      </c>
      <c r="B1100" s="28" t="s">
        <v>293</v>
      </c>
      <c r="C1100" s="28" t="s">
        <v>358</v>
      </c>
      <c r="D1100" s="28" t="s">
        <v>253</v>
      </c>
      <c r="E1100" s="20" t="s">
        <v>265</v>
      </c>
      <c r="F1100" s="21" t="str">
        <f aca="false">IF(OR(E1100="",E1100="!!!"),"",IF(NOT(ISNA(VLOOKUP(E1100,Q$1:Q1083,1,FALSE()))),"OLD",IF(AND(E1100&lt;&gt;"",E1100&lt;&gt;"!!!"),"NEW","")))</f>
        <v>NEW</v>
      </c>
      <c r="G1100" s="22" t="s">
        <v>296</v>
      </c>
      <c r="H1100" s="23" t="str">
        <f aca="false">IF(J1100&lt;&gt;1,"",IF(I1100="SBJ","CB","?"))</f>
        <v/>
      </c>
      <c r="I1100" s="24" t="str">
        <f aca="false">IF(OR(E1100="",E1100="!!!",F1100="NEW"),"",INDEX(N$2:N1083,-1+SUMPRODUCT(MAX(ROW(E$2:E1083)*(E1100=E$2:E1083)))))</f>
        <v/>
      </c>
      <c r="J1100" s="25" t="str">
        <f aca="true">IF(OR(E1100="",E1100="!!!",F1100="NEW"),"",COUNTBLANK(OFFSET(M$1,,,SUMPRODUCT(MAX(ROW(E$2:E1084)*(E1100=E$2:E1084)))))-COUNTBLANK(OFFSET(M$1,,,SUMPRODUCT(MAX(ROW(Q$1:Q1083)*(E1100=Q$1:Q1083))))))</f>
        <v/>
      </c>
      <c r="K1100" s="25" t="str">
        <f aca="false">IF(OR(E1100="",E1100="!!!",F1100="NEW"),"",INDEX(V$1:V1083,SUMPRODUCT(MAX(ROW(Q$1:Q1083)*(E1100=Q$1:Q1083)))))</f>
        <v/>
      </c>
      <c r="L1100" s="26"/>
      <c r="M1100" s="27"/>
      <c r="N1100" s="29"/>
      <c r="O1100" s="29"/>
      <c r="P1100" s="29"/>
    </row>
    <row r="1101" customFormat="false" ht="15" hidden="false" customHeight="false" outlineLevel="0" collapsed="false">
      <c r="A1101" s="19" t="s">
        <v>413</v>
      </c>
      <c r="B1101" s="28" t="s">
        <v>324</v>
      </c>
      <c r="C1101" s="28" t="s">
        <v>333</v>
      </c>
      <c r="D1101" s="28" t="s">
        <v>253</v>
      </c>
      <c r="E1101" s="20" t="s">
        <v>413</v>
      </c>
      <c r="F1101" s="21" t="str">
        <f aca="false">IF(OR(E1101="",E1101="!!!"),"",IF(NOT(ISNA(VLOOKUP(E1101,Q$1:Q1084,1,FALSE()))),"OLD",IF(AND(E1101&lt;&gt;"",E1101&lt;&gt;"!!!"),"NEW","")))</f>
        <v>NEW</v>
      </c>
      <c r="G1101" s="22" t="s">
        <v>296</v>
      </c>
      <c r="H1101" s="23" t="str">
        <f aca="false">IF(J1101&lt;&gt;1,"",IF(I1101="SBJ","CB","?"))</f>
        <v/>
      </c>
      <c r="I1101" s="24" t="str">
        <f aca="false">IF(OR(E1101="",E1101="!!!",F1101="NEW"),"",INDEX(N$2:N1084,-1+SUMPRODUCT(MAX(ROW(E$2:E1084)*(E1101=E$2:E1084)))))</f>
        <v/>
      </c>
      <c r="J1101" s="25" t="str">
        <f aca="true">IF(OR(E1101="",E1101="!!!",F1101="NEW"),"",COUNTBLANK(OFFSET(M$1,,,SUMPRODUCT(MAX(ROW(E$2:E1085)*(E1101=E$2:E1085)))))-COUNTBLANK(OFFSET(M$1,,,SUMPRODUCT(MAX(ROW(Q$1:Q1084)*(E1101=Q$1:Q1084))))))</f>
        <v/>
      </c>
      <c r="K1101" s="25" t="str">
        <f aca="false">IF(OR(E1101="",E1101="!!!",F1101="NEW"),"",INDEX(V$1:V1084,SUMPRODUCT(MAX(ROW(Q$1:Q1084)*(E1101=Q$1:Q1084)))))</f>
        <v/>
      </c>
      <c r="L1101" s="26"/>
      <c r="M1101" s="27"/>
      <c r="N1101" s="29"/>
      <c r="O1101" s="29"/>
      <c r="P1101" s="29"/>
    </row>
    <row r="1102" customFormat="false" ht="15" hidden="false" customHeight="false" outlineLevel="0" collapsed="false">
      <c r="A1102" s="19" t="s">
        <v>477</v>
      </c>
      <c r="E1102" s="20" t="str">
        <f aca="false">IF(P1102="?OLD","!!!","")</f>
        <v/>
      </c>
      <c r="F1102" s="21" t="str">
        <f aca="false">IF(OR(E1102="",E1102="!!!"),"",IF(NOT(ISNA(VLOOKUP(E1102,Q$1:Q1085,1,FALSE()))),"OLD",IF(AND(E1102&lt;&gt;"",E1102&lt;&gt;"!!!"),"NEW","")))</f>
        <v/>
      </c>
      <c r="G1102" s="22" t="str">
        <f aca="false">IF(OR(E1102="",E1102="!!!"),"",IF(OR(J1102=0,AND(J1102=1,K1102=1),AND(J1102=1,I1102="SBJ"),AND(J1102=1,I1102=0)),"?IN_FOCUS",IF(J1102&lt;=2,"?ACTIVATED",IF(J1102&lt;&gt;"","?FAMILIAR",IF(F1102="NEW",IF(ISNA(VLOOKUP(E1102,#REF!,1,FALSE())),"?TYPE_IDENTIFIABLE","?REFERENTIAL"),"_")))))</f>
        <v/>
      </c>
      <c r="H1102" s="23" t="str">
        <f aca="false">IF(J1102&lt;&gt;1,"",IF(I1102="SBJ","CB","?"))</f>
        <v/>
      </c>
      <c r="I1102" s="24" t="str">
        <f aca="false">IF(OR(E1102="",E1102="!!!",F1102="NEW"),"",INDEX(N$2:N1085,-1+SUMPRODUCT(MAX(ROW(E$2:E1085)*(E1102=E$2:E1085)))))</f>
        <v/>
      </c>
      <c r="J1102" s="25" t="str">
        <f aca="true">IF(OR(E1102="",E1102="!!!",F1102="NEW"),"",COUNTBLANK(OFFSET(M$1,,,SUMPRODUCT(MAX(ROW(E$2:E1086)*(E1102=E$2:E1086)))))-COUNTBLANK(OFFSET(M$1,,,SUMPRODUCT(MAX(ROW(Q$1:Q1085)*(E1102=Q$1:Q1085))))))</f>
        <v/>
      </c>
      <c r="K1102" s="25" t="str">
        <f aca="false">IF(OR(E1102="",E1102="!!!",F1102="NEW"),"",INDEX(V$1:V1085,SUMPRODUCT(MAX(ROW(Q$1:Q1085)*(E1102=Q$1:Q1085)))))</f>
        <v/>
      </c>
      <c r="L1102" s="26"/>
      <c r="M1102" s="27"/>
    </row>
    <row r="1103" customFormat="false" ht="15" hidden="false" customHeight="false" outlineLevel="0" collapsed="false">
      <c r="A1103" s="19" t="s">
        <v>194</v>
      </c>
      <c r="E1103" s="20" t="str">
        <f aca="false">IF(P1103="?OLD","!!!","")</f>
        <v/>
      </c>
      <c r="F1103" s="21" t="str">
        <f aca="false">IF(OR(E1103="",E1103="!!!"),"",IF(NOT(ISNA(VLOOKUP(E1103,Q$1:Q1086,1,FALSE()))),"OLD",IF(AND(E1103&lt;&gt;"",E1103&lt;&gt;"!!!"),"NEW","")))</f>
        <v/>
      </c>
      <c r="G1103" s="22" t="str">
        <f aca="false">IF(OR(E1103="",E1103="!!!"),"",IF(OR(J1103=0,AND(J1103=1,K1103=1),AND(J1103=1,I1103="SBJ"),AND(J1103=1,I1103=0)),"?IN_FOCUS",IF(J1103&lt;=2,"?ACTIVATED",IF(J1103&lt;&gt;"","?FAMILIAR",IF(F1103="NEW",IF(ISNA(VLOOKUP(E1103,#REF!,1,FALSE())),"?TYPE_IDENTIFIABLE","?REFERENTIAL"),"_")))))</f>
        <v/>
      </c>
      <c r="H1103" s="23" t="str">
        <f aca="false">IF(J1103&lt;&gt;1,"",IF(I1103="SBJ","CB","?"))</f>
        <v/>
      </c>
      <c r="I1103" s="24" t="str">
        <f aca="false">IF(OR(E1103="",E1103="!!!",F1103="NEW"),"",INDEX(N$2:N1086,-1+SUMPRODUCT(MAX(ROW(E$2:E1086)*(E1103=E$2:E1086)))))</f>
        <v/>
      </c>
      <c r="J1103" s="25" t="str">
        <f aca="true">IF(OR(E1103="",E1103="!!!",F1103="NEW"),"",COUNTBLANK(OFFSET(M$1,,,SUMPRODUCT(MAX(ROW(E$2:E1087)*(E1103=E$2:E1087)))))-COUNTBLANK(OFFSET(M$1,,,SUMPRODUCT(MAX(ROW(Q$1:Q1086)*(E1103=Q$1:Q1086))))))</f>
        <v/>
      </c>
      <c r="K1103" s="25" t="str">
        <f aca="false">IF(OR(E1103="",E1103="!!!",F1103="NEW"),"",INDEX(V$1:V1086,SUMPRODUCT(MAX(ROW(Q$1:Q1086)*(E1103=Q$1:Q1086)))))</f>
        <v/>
      </c>
      <c r="L1103" s="26"/>
      <c r="M1103" s="27"/>
    </row>
    <row r="1104" customFormat="false" ht="15" hidden="false" customHeight="false" outlineLevel="0" collapsed="false">
      <c r="A1104" s="19" t="s">
        <v>309</v>
      </c>
      <c r="E1104" s="20" t="str">
        <f aca="false">IF(P1104="?OLD","!!!","")</f>
        <v/>
      </c>
      <c r="F1104" s="21" t="str">
        <f aca="false">IF(OR(E1104="",E1104="!!!"),"",IF(NOT(ISNA(VLOOKUP(E1104,Q$1:Q1087,1,FALSE()))),"OLD",IF(AND(E1104&lt;&gt;"",E1104&lt;&gt;"!!!"),"NEW","")))</f>
        <v/>
      </c>
      <c r="G1104" s="22" t="str">
        <f aca="false">IF(OR(E1104="",E1104="!!!"),"",IF(OR(J1104=0,AND(J1104=1,K1104=1),AND(J1104=1,I1104="SBJ"),AND(J1104=1,I1104=0)),"?IN_FOCUS",IF(J1104&lt;=2,"?ACTIVATED",IF(J1104&lt;&gt;"","?FAMILIAR",IF(F1104="NEW",IF(ISNA(VLOOKUP(E1104,#REF!,1,FALSE())),"?TYPE_IDENTIFIABLE","?REFERENTIAL"),"_")))))</f>
        <v/>
      </c>
      <c r="H1104" s="23" t="str">
        <f aca="false">IF(J1104&lt;&gt;1,"",IF(I1104="SBJ","CB","?"))</f>
        <v/>
      </c>
      <c r="I1104" s="24" t="str">
        <f aca="false">IF(OR(E1104="",E1104="!!!",F1104="NEW"),"",INDEX(N$2:N1087,-1+SUMPRODUCT(MAX(ROW(E$2:E1087)*(E1104=E$2:E1087)))))</f>
        <v/>
      </c>
      <c r="J1104" s="25" t="str">
        <f aca="true">IF(OR(E1104="",E1104="!!!",F1104="NEW"),"",COUNTBLANK(OFFSET(M$1,,,SUMPRODUCT(MAX(ROW(E$2:E1088)*(E1104=E$2:E1088)))))-COUNTBLANK(OFFSET(M$1,,,SUMPRODUCT(MAX(ROW(Q$1:Q1087)*(E1104=Q$1:Q1087))))))</f>
        <v/>
      </c>
      <c r="K1104" s="25" t="str">
        <f aca="false">IF(OR(E1104="",E1104="!!!",F1104="NEW"),"",INDEX(V$1:V1087,SUMPRODUCT(MAX(ROW(Q$1:Q1087)*(E1104=Q$1:Q1087)))))</f>
        <v/>
      </c>
      <c r="L1104" s="26"/>
      <c r="M1104" s="27"/>
    </row>
    <row r="1105" customFormat="false" ht="15" hidden="false" customHeight="false" outlineLevel="0" collapsed="false">
      <c r="A1105" s="19" t="s">
        <v>682</v>
      </c>
      <c r="B1105" s="28" t="s">
        <v>271</v>
      </c>
      <c r="C1105" s="28" t="s">
        <v>264</v>
      </c>
      <c r="D1105" s="28" t="s">
        <v>253</v>
      </c>
      <c r="E1105" s="20" t="s">
        <v>413</v>
      </c>
      <c r="F1105" s="21" t="str">
        <f aca="false">IF(OR(E1105="",E1105="!!!"),"",IF(NOT(ISNA(VLOOKUP(E1105,Q$1:Q1088,1,FALSE()))),"OLD",IF(AND(E1105&lt;&gt;"",E1105&lt;&gt;"!!!"),"NEW","")))</f>
        <v>NEW</v>
      </c>
      <c r="G1105" s="22" t="s">
        <v>296</v>
      </c>
      <c r="H1105" s="23" t="str">
        <f aca="false">IF(J1105&lt;&gt;1,"",IF(I1105="SBJ","CB","?"))</f>
        <v/>
      </c>
      <c r="I1105" s="24" t="str">
        <f aca="false">IF(OR(E1105="",E1105="!!!",F1105="NEW"),"",INDEX(N$2:N1088,-1+SUMPRODUCT(MAX(ROW(E$2:E1088)*(E1105=E$2:E1088)))))</f>
        <v/>
      </c>
      <c r="J1105" s="25" t="str">
        <f aca="true">IF(OR(E1105="",E1105="!!!",F1105="NEW"),"",COUNTBLANK(OFFSET(M$1,,,SUMPRODUCT(MAX(ROW(E$2:E1089)*(E1105=E$2:E1089)))))-COUNTBLANK(OFFSET(M$1,,,SUMPRODUCT(MAX(ROW(Q$1:Q1088)*(E1105=Q$1:Q1088))))))</f>
        <v/>
      </c>
      <c r="K1105" s="25" t="str">
        <f aca="false">IF(OR(E1105="",E1105="!!!",F1105="NEW"),"",INDEX(V$1:V1088,SUMPRODUCT(MAX(ROW(Q$1:Q1088)*(E1105=Q$1:Q1088)))))</f>
        <v/>
      </c>
      <c r="L1105" s="26"/>
      <c r="M1105" s="27"/>
      <c r="N1105" s="29"/>
      <c r="O1105" s="29"/>
      <c r="P1105" s="29"/>
    </row>
    <row r="1106" customFormat="false" ht="15" hidden="false" customHeight="false" outlineLevel="0" collapsed="false">
      <c r="A1106" s="19" t="s">
        <v>275</v>
      </c>
      <c r="E1106" s="20" t="str">
        <f aca="false">IF(P1106="?OLD","!!!","")</f>
        <v/>
      </c>
      <c r="F1106" s="21" t="str">
        <f aca="false">IF(OR(E1106="",E1106="!!!"),"",IF(NOT(ISNA(VLOOKUP(E1106,Q$1:Q1089,1,FALSE()))),"OLD",IF(AND(E1106&lt;&gt;"",E1106&lt;&gt;"!!!"),"NEW","")))</f>
        <v/>
      </c>
      <c r="G1106" s="22" t="str">
        <f aca="false">IF(OR(E1106="",E1106="!!!"),"",IF(OR(J1106=0,AND(J1106=1,K1106=1),AND(J1106=1,I1106="SBJ"),AND(J1106=1,I1106=0)),"?IN_FOCUS",IF(J1106&lt;=2,"?ACTIVATED",IF(J1106&lt;&gt;"","?FAMILIAR",IF(F1106="NEW",IF(ISNA(VLOOKUP(E1106,#REF!,1,FALSE())),"?TYPE_IDENTIFIABLE","?REFERENTIAL"),"_")))))</f>
        <v/>
      </c>
      <c r="H1106" s="23" t="str">
        <f aca="false">IF(J1106&lt;&gt;1,"",IF(I1106="SBJ","CB","?"))</f>
        <v/>
      </c>
      <c r="I1106" s="24" t="str">
        <f aca="false">IF(OR(E1106="",E1106="!!!",F1106="NEW"),"",INDEX(N$2:N1089,-1+SUMPRODUCT(MAX(ROW(E$2:E1089)*(E1106=E$2:E1089)))))</f>
        <v/>
      </c>
      <c r="J1106" s="25" t="str">
        <f aca="true">IF(OR(E1106="",E1106="!!!",F1106="NEW"),"",COUNTBLANK(OFFSET(M$1,,,SUMPRODUCT(MAX(ROW(E$2:E1090)*(E1106=E$2:E1090)))))-COUNTBLANK(OFFSET(M$1,,,SUMPRODUCT(MAX(ROW(Q$1:Q1089)*(E1106=Q$1:Q1089))))))</f>
        <v/>
      </c>
      <c r="K1106" s="25" t="str">
        <f aca="false">IF(OR(E1106="",E1106="!!!",F1106="NEW"),"",INDEX(V$1:V1089,SUMPRODUCT(MAX(ROW(Q$1:Q1089)*(E1106=Q$1:Q1089)))))</f>
        <v/>
      </c>
      <c r="L1106" s="26"/>
      <c r="M1106" s="27"/>
    </row>
    <row r="1107" customFormat="false" ht="15" hidden="false" customHeight="false" outlineLevel="0" collapsed="false">
      <c r="A1107" s="19" t="s">
        <v>367</v>
      </c>
      <c r="E1107" s="20" t="str">
        <f aca="false">IF(P1107="?OLD","!!!","")</f>
        <v/>
      </c>
      <c r="F1107" s="21" t="str">
        <f aca="false">IF(OR(E1107="",E1107="!!!"),"",IF(NOT(ISNA(VLOOKUP(E1107,Q$1:Q1090,1,FALSE()))),"OLD",IF(AND(E1107&lt;&gt;"",E1107&lt;&gt;"!!!"),"NEW","")))</f>
        <v/>
      </c>
      <c r="G1107" s="22" t="str">
        <f aca="false">IF(OR(E1107="",E1107="!!!"),"",IF(OR(J1107=0,AND(J1107=1,K1107=1),AND(J1107=1,I1107="SBJ"),AND(J1107=1,I1107=0)),"?IN_FOCUS",IF(J1107&lt;=2,"?ACTIVATED",IF(J1107&lt;&gt;"","?FAMILIAR",IF(F1107="NEW",IF(ISNA(VLOOKUP(E1107,#REF!,1,FALSE())),"?TYPE_IDENTIFIABLE","?REFERENTIAL"),"_")))))</f>
        <v/>
      </c>
      <c r="H1107" s="23" t="str">
        <f aca="false">IF(J1107&lt;&gt;1,"",IF(I1107="SBJ","CB","?"))</f>
        <v/>
      </c>
      <c r="I1107" s="24" t="str">
        <f aca="false">IF(OR(E1107="",E1107="!!!",F1107="NEW"),"",INDEX(N$2:N1090,-1+SUMPRODUCT(MAX(ROW(E$2:E1090)*(E1107=E$2:E1090)))))</f>
        <v/>
      </c>
      <c r="J1107" s="25" t="str">
        <f aca="true">IF(OR(E1107="",E1107="!!!",F1107="NEW"),"",COUNTBLANK(OFFSET(M$1,,,SUMPRODUCT(MAX(ROW(E$2:E1091)*(E1107=E$2:E1091)))))-COUNTBLANK(OFFSET(M$1,,,SUMPRODUCT(MAX(ROW(Q$1:Q1090)*(E1107=Q$1:Q1090))))))</f>
        <v/>
      </c>
      <c r="K1107" s="25" t="str">
        <f aca="false">IF(OR(E1107="",E1107="!!!",F1107="NEW"),"",INDEX(V$1:V1090,SUMPRODUCT(MAX(ROW(Q$1:Q1090)*(E1107=Q$1:Q1090)))))</f>
        <v/>
      </c>
      <c r="L1107" s="26"/>
      <c r="M1107" s="27"/>
    </row>
    <row r="1108" customFormat="false" ht="15" hidden="false" customHeight="false" outlineLevel="0" collapsed="false">
      <c r="A1108" s="19"/>
      <c r="E1108" s="20" t="str">
        <f aca="false">IF(P1108="?OLD","!!!","")</f>
        <v/>
      </c>
      <c r="F1108" s="21" t="str">
        <f aca="false">IF(OR(E1108="",E1108="!!!"),"",IF(NOT(ISNA(VLOOKUP(E1108,Q$1:Q1091,1,FALSE()))),"OLD",IF(AND(E1108&lt;&gt;"",E1108&lt;&gt;"!!!"),"NEW","")))</f>
        <v/>
      </c>
      <c r="G1108" s="22" t="str">
        <f aca="false">IF(OR(E1108="",E1108="!!!"),"",IF(OR(J1108=0,AND(J1108=1,K1108=1),AND(J1108=1,I1108="SBJ"),AND(J1108=1,I1108=0)),"?IN_FOCUS",IF(J1108&lt;=2,"?ACTIVATED",IF(J1108&lt;&gt;"","?FAMILIAR",IF(F1108="NEW",IF(ISNA(VLOOKUP(E1108,#REF!,1,FALSE())),"?TYPE_IDENTIFIABLE","?REFERENTIAL"),"_")))))</f>
        <v/>
      </c>
      <c r="H1108" s="23" t="str">
        <f aca="false">IF(J1108&lt;&gt;1,"",IF(I1108="SBJ","CB","?"))</f>
        <v/>
      </c>
      <c r="I1108" s="24" t="str">
        <f aca="false">IF(OR(E1108="",E1108="!!!",F1108="NEW"),"",INDEX(N$2:N1091,-1+SUMPRODUCT(MAX(ROW(E$2:E1091)*(E1108=E$2:E1091)))))</f>
        <v/>
      </c>
      <c r="J1108" s="25" t="str">
        <f aca="true">IF(OR(E1108="",E1108="!!!",F1108="NEW"),"",COUNTBLANK(OFFSET(M$1,,,SUMPRODUCT(MAX(ROW(E$2:E1092)*(E1108=E$2:E1092)))))-COUNTBLANK(OFFSET(M$1,,,SUMPRODUCT(MAX(ROW(Q$1:Q1091)*(E1108=Q$1:Q1091))))))</f>
        <v/>
      </c>
      <c r="K1108" s="25" t="str">
        <f aca="false">IF(OR(E1108="",E1108="!!!",F1108="NEW"),"",INDEX(V$1:V1091,SUMPRODUCT(MAX(ROW(Q$1:Q1091)*(E1108=Q$1:Q1091)))))</f>
        <v/>
      </c>
      <c r="L1108" s="26"/>
    </row>
    <row r="1109" customFormat="false" ht="15" hidden="false" customHeight="false" outlineLevel="0" collapsed="false">
      <c r="A1109" s="19" t="s">
        <v>362</v>
      </c>
      <c r="E1109" s="20" t="str">
        <f aca="false">IF(P1109="?OLD","!!!","")</f>
        <v/>
      </c>
      <c r="F1109" s="21" t="str">
        <f aca="false">IF(OR(E1109="",E1109="!!!"),"",IF(NOT(ISNA(VLOOKUP(E1109,Q$1:Q1092,1,FALSE()))),"OLD",IF(AND(E1109&lt;&gt;"",E1109&lt;&gt;"!!!"),"NEW","")))</f>
        <v/>
      </c>
      <c r="G1109" s="22" t="str">
        <f aca="false">IF(OR(E1109="",E1109="!!!"),"",IF(OR(J1109=0,AND(J1109=1,K1109=1),AND(J1109=1,I1109="SBJ"),AND(J1109=1,I1109=0)),"?IN_FOCUS",IF(J1109&lt;=2,"?ACTIVATED",IF(J1109&lt;&gt;"","?FAMILIAR",IF(F1109="NEW",IF(ISNA(VLOOKUP(E1109,#REF!,1,FALSE())),"?TYPE_IDENTIFIABLE","?REFERENTIAL"),"_")))))</f>
        <v/>
      </c>
      <c r="H1109" s="23" t="str">
        <f aca="false">IF(J1109&lt;&gt;1,"",IF(I1109="SBJ","CB","?"))</f>
        <v/>
      </c>
      <c r="I1109" s="24" t="str">
        <f aca="false">IF(OR(E1109="",E1109="!!!",F1109="NEW"),"",INDEX(N$2:N1092,-1+SUMPRODUCT(MAX(ROW(E$2:E1092)*(E1109=E$2:E1092)))))</f>
        <v/>
      </c>
      <c r="J1109" s="25" t="str">
        <f aca="true">IF(OR(E1109="",E1109="!!!",F1109="NEW"),"",COUNTBLANK(OFFSET(M$1,,,SUMPRODUCT(MAX(ROW(E$2:E1093)*(E1109=E$2:E1093)))))-COUNTBLANK(OFFSET(M$1,,,SUMPRODUCT(MAX(ROW(Q$1:Q1092)*(E1109=Q$1:Q1092))))))</f>
        <v/>
      </c>
      <c r="K1109" s="25" t="str">
        <f aca="false">IF(OR(E1109="",E1109="!!!",F1109="NEW"),"",INDEX(V$1:V1092,SUMPRODUCT(MAX(ROW(Q$1:Q1092)*(E1109=Q$1:Q1092)))))</f>
        <v/>
      </c>
      <c r="L1109" s="26"/>
      <c r="M1109" s="27"/>
    </row>
    <row r="1110" customFormat="false" ht="15" hidden="false" customHeight="false" outlineLevel="0" collapsed="false">
      <c r="A1110" s="19" t="s">
        <v>719</v>
      </c>
      <c r="E1110" s="20" t="str">
        <f aca="false">IF(P1110="?OLD","!!!","")</f>
        <v/>
      </c>
      <c r="F1110" s="21" t="str">
        <f aca="false">IF(OR(E1110="",E1110="!!!"),"",IF(NOT(ISNA(VLOOKUP(E1110,Q$1:Q1093,1,FALSE()))),"OLD",IF(AND(E1110&lt;&gt;"",E1110&lt;&gt;"!!!"),"NEW","")))</f>
        <v/>
      </c>
      <c r="G1110" s="22" t="str">
        <f aca="false">IF(OR(E1110="",E1110="!!!"),"",IF(OR(J1110=0,AND(J1110=1,K1110=1),AND(J1110=1,I1110="SBJ"),AND(J1110=1,I1110=0)),"?IN_FOCUS",IF(J1110&lt;=2,"?ACTIVATED",IF(J1110&lt;&gt;"","?FAMILIAR",IF(F1110="NEW",IF(ISNA(VLOOKUP(E1110,#REF!,1,FALSE())),"?TYPE_IDENTIFIABLE","?REFERENTIAL"),"_")))))</f>
        <v/>
      </c>
      <c r="H1110" s="23" t="str">
        <f aca="false">IF(J1110&lt;&gt;1,"",IF(I1110="SBJ","CB","?"))</f>
        <v/>
      </c>
      <c r="I1110" s="24" t="str">
        <f aca="false">IF(OR(E1110="",E1110="!!!",F1110="NEW"),"",INDEX(N$2:N1093,-1+SUMPRODUCT(MAX(ROW(E$2:E1093)*(E1110=E$2:E1093)))))</f>
        <v/>
      </c>
      <c r="J1110" s="25" t="str">
        <f aca="true">IF(OR(E1110="",E1110="!!!",F1110="NEW"),"",COUNTBLANK(OFFSET(M$1,,,SUMPRODUCT(MAX(ROW(E$2:E1094)*(E1110=E$2:E1094)))))-COUNTBLANK(OFFSET(M$1,,,SUMPRODUCT(MAX(ROW(Q$1:Q1093)*(E1110=Q$1:Q1093))))))</f>
        <v/>
      </c>
      <c r="K1110" s="25" t="str">
        <f aca="false">IF(OR(E1110="",E1110="!!!",F1110="NEW"),"",INDEX(V$1:V1093,SUMPRODUCT(MAX(ROW(Q$1:Q1093)*(E1110=Q$1:Q1093)))))</f>
        <v/>
      </c>
      <c r="L1110" s="26"/>
      <c r="M1110" s="27"/>
    </row>
    <row r="1111" customFormat="false" ht="15" hidden="false" customHeight="false" outlineLevel="0" collapsed="false">
      <c r="A1111" s="19" t="s">
        <v>720</v>
      </c>
      <c r="E1111" s="20" t="str">
        <f aca="false">IF(P1111="?OLD","!!!","")</f>
        <v/>
      </c>
      <c r="F1111" s="21" t="str">
        <f aca="false">IF(OR(E1111="",E1111="!!!"),"",IF(NOT(ISNA(VLOOKUP(E1111,Q$1:Q1094,1,FALSE()))),"OLD",IF(AND(E1111&lt;&gt;"",E1111&lt;&gt;"!!!"),"NEW","")))</f>
        <v/>
      </c>
      <c r="G1111" s="22" t="str">
        <f aca="false">IF(OR(E1111="",E1111="!!!"),"",IF(OR(J1111=0,AND(J1111=1,K1111=1),AND(J1111=1,I1111="SBJ"),AND(J1111=1,I1111=0)),"?IN_FOCUS",IF(J1111&lt;=2,"?ACTIVATED",IF(J1111&lt;&gt;"","?FAMILIAR",IF(F1111="NEW",IF(ISNA(VLOOKUP(E1111,#REF!,1,FALSE())),"?TYPE_IDENTIFIABLE","?REFERENTIAL"),"_")))))</f>
        <v/>
      </c>
      <c r="H1111" s="23" t="str">
        <f aca="false">IF(J1111&lt;&gt;1,"",IF(I1111="SBJ","CB","?"))</f>
        <v/>
      </c>
      <c r="I1111" s="24" t="str">
        <f aca="false">IF(OR(E1111="",E1111="!!!",F1111="NEW"),"",INDEX(N$2:N1094,-1+SUMPRODUCT(MAX(ROW(E$2:E1094)*(E1111=E$2:E1094)))))</f>
        <v/>
      </c>
      <c r="J1111" s="25" t="str">
        <f aca="true">IF(OR(E1111="",E1111="!!!",F1111="NEW"),"",COUNTBLANK(OFFSET(M$1,,,SUMPRODUCT(MAX(ROW(E$2:E1095)*(E1111=E$2:E1095)))))-COUNTBLANK(OFFSET(M$1,,,SUMPRODUCT(MAX(ROW(Q$1:Q1094)*(E1111=Q$1:Q1094))))))</f>
        <v/>
      </c>
      <c r="K1111" s="25" t="str">
        <f aca="false">IF(OR(E1111="",E1111="!!!",F1111="NEW"),"",INDEX(V$1:V1094,SUMPRODUCT(MAX(ROW(Q$1:Q1094)*(E1111=Q$1:Q1094)))))</f>
        <v/>
      </c>
      <c r="L1111" s="26"/>
      <c r="M1111" s="27"/>
    </row>
    <row r="1112" customFormat="false" ht="15" hidden="false" customHeight="false" outlineLevel="0" collapsed="false">
      <c r="A1112" s="19" t="s">
        <v>718</v>
      </c>
      <c r="E1112" s="20" t="str">
        <f aca="false">IF(P1112="?OLD","!!!","")</f>
        <v/>
      </c>
      <c r="F1112" s="21" t="str">
        <f aca="false">IF(OR(E1112="",E1112="!!!"),"",IF(NOT(ISNA(VLOOKUP(E1112,Q$1:Q1095,1,FALSE()))),"OLD",IF(AND(E1112&lt;&gt;"",E1112&lt;&gt;"!!!"),"NEW","")))</f>
        <v/>
      </c>
      <c r="G1112" s="22" t="str">
        <f aca="false">IF(OR(E1112="",E1112="!!!"),"",IF(OR(J1112=0,AND(J1112=1,K1112=1),AND(J1112=1,I1112="SBJ"),AND(J1112=1,I1112=0)),"?IN_FOCUS",IF(J1112&lt;=2,"?ACTIVATED",IF(J1112&lt;&gt;"","?FAMILIAR",IF(F1112="NEW",IF(ISNA(VLOOKUP(E1112,#REF!,1,FALSE())),"?TYPE_IDENTIFIABLE","?REFERENTIAL"),"_")))))</f>
        <v/>
      </c>
      <c r="H1112" s="23" t="str">
        <f aca="false">IF(J1112&lt;&gt;1,"",IF(I1112="SBJ","CB","?"))</f>
        <v/>
      </c>
      <c r="I1112" s="24" t="str">
        <f aca="false">IF(OR(E1112="",E1112="!!!",F1112="NEW"),"",INDEX(N$2:N1095,-1+SUMPRODUCT(MAX(ROW(E$2:E1095)*(E1112=E$2:E1095)))))</f>
        <v/>
      </c>
      <c r="J1112" s="25" t="str">
        <f aca="true">IF(OR(E1112="",E1112="!!!",F1112="NEW"),"",COUNTBLANK(OFFSET(M$1,,,SUMPRODUCT(MAX(ROW(E$2:E1096)*(E1112=E$2:E1096)))))-COUNTBLANK(OFFSET(M$1,,,SUMPRODUCT(MAX(ROW(Q$1:Q1095)*(E1112=Q$1:Q1095))))))</f>
        <v/>
      </c>
      <c r="K1112" s="25" t="str">
        <f aca="false">IF(OR(E1112="",E1112="!!!",F1112="NEW"),"",INDEX(V$1:V1095,SUMPRODUCT(MAX(ROW(Q$1:Q1095)*(E1112=Q$1:Q1095)))))</f>
        <v/>
      </c>
      <c r="L1112" s="26"/>
      <c r="M1112" s="27"/>
    </row>
    <row r="1113" customFormat="false" ht="15" hidden="false" customHeight="false" outlineLevel="0" collapsed="false">
      <c r="A1113" s="19" t="s">
        <v>271</v>
      </c>
      <c r="E1113" s="20" t="str">
        <f aca="false">IF(P1113="?OLD","!!!","")</f>
        <v/>
      </c>
      <c r="F1113" s="21" t="str">
        <f aca="false">IF(OR(E1113="",E1113="!!!"),"",IF(NOT(ISNA(VLOOKUP(E1113,Q$1:Q1096,1,FALSE()))),"OLD",IF(AND(E1113&lt;&gt;"",E1113&lt;&gt;"!!!"),"NEW","")))</f>
        <v/>
      </c>
      <c r="G1113" s="22" t="str">
        <f aca="false">IF(OR(E1113="",E1113="!!!"),"",IF(OR(J1113=0,AND(J1113=1,K1113=1),AND(J1113=1,I1113="SBJ"),AND(J1113=1,I1113=0)),"?IN_FOCUS",IF(J1113&lt;=2,"?ACTIVATED",IF(J1113&lt;&gt;"","?FAMILIAR",IF(F1113="NEW",IF(ISNA(VLOOKUP(E1113,#REF!,1,FALSE())),"?TYPE_IDENTIFIABLE","?REFERENTIAL"),"_")))))</f>
        <v/>
      </c>
      <c r="H1113" s="23" t="str">
        <f aca="false">IF(J1113&lt;&gt;1,"",IF(I1113="SBJ","CB","?"))</f>
        <v/>
      </c>
      <c r="I1113" s="24" t="str">
        <f aca="false">IF(OR(E1113="",E1113="!!!",F1113="NEW"),"",INDEX(N$2:N1096,-1+SUMPRODUCT(MAX(ROW(E$2:E1096)*(E1113=E$2:E1096)))))</f>
        <v/>
      </c>
      <c r="J1113" s="25" t="str">
        <f aca="true">IF(OR(E1113="",E1113="!!!",F1113="NEW"),"",COUNTBLANK(OFFSET(M$1,,,SUMPRODUCT(MAX(ROW(E$2:E1097)*(E1113=E$2:E1097)))))-COUNTBLANK(OFFSET(M$1,,,SUMPRODUCT(MAX(ROW(Q$1:Q1096)*(E1113=Q$1:Q1096))))))</f>
        <v/>
      </c>
      <c r="K1113" s="25" t="str">
        <f aca="false">IF(OR(E1113="",E1113="!!!",F1113="NEW"),"",INDEX(V$1:V1096,SUMPRODUCT(MAX(ROW(Q$1:Q1096)*(E1113=Q$1:Q1096)))))</f>
        <v/>
      </c>
      <c r="L1113" s="26"/>
      <c r="M1113" s="27"/>
    </row>
    <row r="1114" customFormat="false" ht="15" hidden="false" customHeight="false" outlineLevel="0" collapsed="false">
      <c r="A1114" s="19" t="s">
        <v>453</v>
      </c>
      <c r="B1114" s="28" t="s">
        <v>271</v>
      </c>
      <c r="C1114" s="28" t="s">
        <v>272</v>
      </c>
      <c r="E1114" s="20" t="str">
        <f aca="false">IF(P1114="?OLD","!!!","")</f>
        <v/>
      </c>
      <c r="F1114" s="21" t="str">
        <f aca="false">IF(OR(E1114="",E1114="!!!"),"",IF(NOT(ISNA(VLOOKUP(E1114,Q$1:Q1097,1,FALSE()))),"OLD",IF(AND(E1114&lt;&gt;"",E1114&lt;&gt;"!!!"),"NEW","")))</f>
        <v/>
      </c>
      <c r="G1114" s="22" t="str">
        <f aca="false">IF(OR(E1114="",E1114="!!!"),"",IF(OR(J1114=0,AND(J1114=1,K1114=1),AND(J1114=1,I1114="SBJ"),AND(J1114=1,I1114=0)),"?IN_FOCUS",IF(J1114&lt;=2,"?ACTIVATED",IF(J1114&lt;&gt;"","?FAMILIAR",IF(F1114="NEW",IF(ISNA(VLOOKUP(E1114,#REF!,1,FALSE())),"?TYPE_IDENTIFIABLE","?REFERENTIAL"),"_")))))</f>
        <v/>
      </c>
      <c r="H1114" s="23" t="str">
        <f aca="false">IF(J1114&lt;&gt;1,"",IF(I1114="SBJ","CB","?"))</f>
        <v/>
      </c>
      <c r="I1114" s="24" t="str">
        <f aca="false">IF(OR(E1114="",E1114="!!!",F1114="NEW"),"",INDEX(N$2:N1097,-1+SUMPRODUCT(MAX(ROW(E$2:E1097)*(E1114=E$2:E1097)))))</f>
        <v/>
      </c>
      <c r="J1114" s="25" t="str">
        <f aca="true">IF(OR(E1114="",E1114="!!!",F1114="NEW"),"",COUNTBLANK(OFFSET(M$1,,,SUMPRODUCT(MAX(ROW(E$2:E1098)*(E1114=E$2:E1098)))))-COUNTBLANK(OFFSET(M$1,,,SUMPRODUCT(MAX(ROW(Q$1:Q1097)*(E1114=Q$1:Q1097))))))</f>
        <v/>
      </c>
      <c r="K1114" s="25" t="str">
        <f aca="false">IF(OR(E1114="",E1114="!!!",F1114="NEW"),"",INDEX(V$1:V1097,SUMPRODUCT(MAX(ROW(Q$1:Q1097)*(E1114=Q$1:Q1097)))))</f>
        <v/>
      </c>
      <c r="L1114" s="26"/>
      <c r="M1114" s="27"/>
      <c r="N1114" s="29"/>
      <c r="O1114" s="29"/>
    </row>
    <row r="1115" customFormat="false" ht="15" hidden="false" customHeight="false" outlineLevel="0" collapsed="false">
      <c r="A1115" s="19" t="s">
        <v>581</v>
      </c>
      <c r="B1115" s="28" t="s">
        <v>263</v>
      </c>
      <c r="C1115" s="28" t="s">
        <v>264</v>
      </c>
      <c r="D1115" s="28" t="s">
        <v>253</v>
      </c>
      <c r="E1115" s="20" t="s">
        <v>66</v>
      </c>
      <c r="F1115" s="21" t="str">
        <f aca="false">IF(OR(E1115="",E1115="!!!"),"",IF(NOT(ISNA(VLOOKUP(E1115,Q$1:Q1098,1,FALSE()))),"OLD",IF(AND(E1115&lt;&gt;"",E1115&lt;&gt;"!!!"),"NEW","")))</f>
        <v>NEW</v>
      </c>
      <c r="G1115" s="22" t="s">
        <v>266</v>
      </c>
      <c r="H1115" s="23" t="str">
        <f aca="false">IF(J1115&lt;&gt;1,"",IF(I1115="SBJ","CB","?"))</f>
        <v/>
      </c>
      <c r="I1115" s="24" t="str">
        <f aca="false">IF(OR(E1115="",E1115="!!!",F1115="NEW"),"",INDEX(N$2:N1098,-1+SUMPRODUCT(MAX(ROW(E$2:E1098)*(E1115=E$2:E1098)))))</f>
        <v/>
      </c>
      <c r="J1115" s="25" t="str">
        <f aca="true">IF(OR(E1115="",E1115="!!!",F1115="NEW"),"",COUNTBLANK(OFFSET(M$1,,,SUMPRODUCT(MAX(ROW(E$2:E1099)*(E1115=E$2:E1099)))))-COUNTBLANK(OFFSET(M$1,,,SUMPRODUCT(MAX(ROW(Q$1:Q1098)*(E1115=Q$1:Q1098))))))</f>
        <v/>
      </c>
      <c r="K1115" s="25" t="str">
        <f aca="false">IF(OR(E1115="",E1115="!!!",F1115="NEW"),"",INDEX(V$1:V1098,SUMPRODUCT(MAX(ROW(Q$1:Q1098)*(E1115=Q$1:Q1098)))))</f>
        <v/>
      </c>
      <c r="L1115" s="26"/>
      <c r="M1115" s="27"/>
      <c r="N1115" s="29"/>
      <c r="O1115" s="29"/>
      <c r="P1115" s="29"/>
    </row>
    <row r="1116" customFormat="false" ht="15" hidden="false" customHeight="false" outlineLevel="0" collapsed="false">
      <c r="A1116" s="19" t="s">
        <v>721</v>
      </c>
      <c r="E1116" s="20" t="str">
        <f aca="false">IF(P1116="?OLD","!!!","")</f>
        <v/>
      </c>
      <c r="F1116" s="21" t="str">
        <f aca="false">IF(OR(E1116="",E1116="!!!"),"",IF(NOT(ISNA(VLOOKUP(E1116,Q$1:Q1099,1,FALSE()))),"OLD",IF(AND(E1116&lt;&gt;"",E1116&lt;&gt;"!!!"),"NEW","")))</f>
        <v/>
      </c>
      <c r="G1116" s="22" t="str">
        <f aca="false">IF(OR(E1116="",E1116="!!!"),"",IF(OR(J1116=0,AND(J1116=1,K1116=1),AND(J1116=1,I1116="SBJ"),AND(J1116=1,I1116=0)),"?IN_FOCUS",IF(J1116&lt;=2,"?ACTIVATED",IF(J1116&lt;&gt;"","?FAMILIAR",IF(F1116="NEW",IF(ISNA(VLOOKUP(E1116,#REF!,1,FALSE())),"?TYPE_IDENTIFIABLE","?REFERENTIAL"),"_")))))</f>
        <v/>
      </c>
      <c r="H1116" s="23" t="str">
        <f aca="false">IF(J1116&lt;&gt;1,"",IF(I1116="SBJ","CB","?"))</f>
        <v/>
      </c>
      <c r="I1116" s="24" t="str">
        <f aca="false">IF(OR(E1116="",E1116="!!!",F1116="NEW"),"",INDEX(N$2:N1099,-1+SUMPRODUCT(MAX(ROW(E$2:E1099)*(E1116=E$2:E1099)))))</f>
        <v/>
      </c>
      <c r="J1116" s="25" t="str">
        <f aca="true">IF(OR(E1116="",E1116="!!!",F1116="NEW"),"",COUNTBLANK(OFFSET(M$1,,,SUMPRODUCT(MAX(ROW(E$2:E1100)*(E1116=E$2:E1100)))))-COUNTBLANK(OFFSET(M$1,,,SUMPRODUCT(MAX(ROW(Q$1:Q1099)*(E1116=Q$1:Q1099))))))</f>
        <v/>
      </c>
      <c r="K1116" s="25" t="str">
        <f aca="false">IF(OR(E1116="",E1116="!!!",F1116="NEW"),"",INDEX(V$1:V1099,SUMPRODUCT(MAX(ROW(Q$1:Q1099)*(E1116=Q$1:Q1099)))))</f>
        <v/>
      </c>
      <c r="L1116" s="26"/>
      <c r="M1116" s="27"/>
    </row>
    <row r="1117" customFormat="false" ht="15" hidden="false" customHeight="false" outlineLevel="0" collapsed="false">
      <c r="A1117" s="19" t="s">
        <v>261</v>
      </c>
      <c r="E1117" s="20" t="str">
        <f aca="false">IF(P1117="?OLD","!!!","")</f>
        <v/>
      </c>
      <c r="F1117" s="21" t="str">
        <f aca="false">IF(OR(E1117="",E1117="!!!"),"",IF(NOT(ISNA(VLOOKUP(E1117,Q$1:Q1100,1,FALSE()))),"OLD",IF(AND(E1117&lt;&gt;"",E1117&lt;&gt;"!!!"),"NEW","")))</f>
        <v/>
      </c>
      <c r="G1117" s="22" t="str">
        <f aca="false">IF(OR(E1117="",E1117="!!!"),"",IF(OR(J1117=0,AND(J1117=1,K1117=1),AND(J1117=1,I1117="SBJ"),AND(J1117=1,I1117=0)),"?IN_FOCUS",IF(J1117&lt;=2,"?ACTIVATED",IF(J1117&lt;&gt;"","?FAMILIAR",IF(F1117="NEW",IF(ISNA(VLOOKUP(E1117,#REF!,1,FALSE())),"?TYPE_IDENTIFIABLE","?REFERENTIAL"),"_")))))</f>
        <v/>
      </c>
      <c r="H1117" s="23" t="str">
        <f aca="false">IF(J1117&lt;&gt;1,"",IF(I1117="SBJ","CB","?"))</f>
        <v/>
      </c>
      <c r="I1117" s="24" t="str">
        <f aca="false">IF(OR(E1117="",E1117="!!!",F1117="NEW"),"",INDEX(N$2:N1100,-1+SUMPRODUCT(MAX(ROW(E$2:E1100)*(E1117=E$2:E1100)))))</f>
        <v/>
      </c>
      <c r="J1117" s="25" t="str">
        <f aca="true">IF(OR(E1117="",E1117="!!!",F1117="NEW"),"",COUNTBLANK(OFFSET(M$1,,,SUMPRODUCT(MAX(ROW(E$2:E1101)*(E1117=E$2:E1101)))))-COUNTBLANK(OFFSET(M$1,,,SUMPRODUCT(MAX(ROW(Q$1:Q1100)*(E1117=Q$1:Q1100))))))</f>
        <v/>
      </c>
      <c r="K1117" s="25" t="str">
        <f aca="false">IF(OR(E1117="",E1117="!!!",F1117="NEW"),"",INDEX(V$1:V1100,SUMPRODUCT(MAX(ROW(Q$1:Q1100)*(E1117=Q$1:Q1100)))))</f>
        <v/>
      </c>
      <c r="L1117" s="26"/>
      <c r="M1117" s="27"/>
    </row>
    <row r="1118" customFormat="false" ht="15" hidden="false" customHeight="false" outlineLevel="0" collapsed="false">
      <c r="A1118" s="19" t="s">
        <v>294</v>
      </c>
      <c r="E1118" s="20" t="str">
        <f aca="false">IF(P1118="?OLD","!!!","")</f>
        <v/>
      </c>
      <c r="F1118" s="21" t="str">
        <f aca="false">IF(OR(E1118="",E1118="!!!"),"",IF(NOT(ISNA(VLOOKUP(E1118,Q$1:Q1101,1,FALSE()))),"OLD",IF(AND(E1118&lt;&gt;"",E1118&lt;&gt;"!!!"),"NEW","")))</f>
        <v/>
      </c>
      <c r="G1118" s="22" t="str">
        <f aca="false">IF(OR(E1118="",E1118="!!!"),"",IF(OR(J1118=0,AND(J1118=1,K1118=1),AND(J1118=1,I1118="SBJ"),AND(J1118=1,I1118=0)),"?IN_FOCUS",IF(J1118&lt;=2,"?ACTIVATED",IF(J1118&lt;&gt;"","?FAMILIAR",IF(F1118="NEW",IF(ISNA(VLOOKUP(E1118,#REF!,1,FALSE())),"?TYPE_IDENTIFIABLE","?REFERENTIAL"),"_")))))</f>
        <v/>
      </c>
      <c r="H1118" s="23" t="str">
        <f aca="false">IF(J1118&lt;&gt;1,"",IF(I1118="SBJ","CB","?"))</f>
        <v/>
      </c>
      <c r="I1118" s="24" t="str">
        <f aca="false">IF(OR(E1118="",E1118="!!!",F1118="NEW"),"",INDEX(N$2:N1101,-1+SUMPRODUCT(MAX(ROW(E$2:E1101)*(E1118=E$2:E1101)))))</f>
        <v/>
      </c>
      <c r="J1118" s="25" t="str">
        <f aca="true">IF(OR(E1118="",E1118="!!!",F1118="NEW"),"",COUNTBLANK(OFFSET(M$1,,,SUMPRODUCT(MAX(ROW(E$2:E1102)*(E1118=E$2:E1102)))))-COUNTBLANK(OFFSET(M$1,,,SUMPRODUCT(MAX(ROW(Q$1:Q1101)*(E1118=Q$1:Q1101))))))</f>
        <v/>
      </c>
      <c r="K1118" s="25" t="str">
        <f aca="false">IF(OR(E1118="",E1118="!!!",F1118="NEW"),"",INDEX(V$1:V1101,SUMPRODUCT(MAX(ROW(Q$1:Q1101)*(E1118=Q$1:Q1101)))))</f>
        <v/>
      </c>
      <c r="L1118" s="26"/>
      <c r="M1118" s="27"/>
    </row>
    <row r="1119" customFormat="false" ht="15" hidden="false" customHeight="false" outlineLevel="0" collapsed="false">
      <c r="A1119" s="19" t="s">
        <v>722</v>
      </c>
      <c r="E1119" s="20" t="str">
        <f aca="false">IF(P1119="?OLD","!!!","")</f>
        <v/>
      </c>
      <c r="F1119" s="21" t="str">
        <f aca="false">IF(OR(E1119="",E1119="!!!"),"",IF(NOT(ISNA(VLOOKUP(E1119,Q$1:Q1102,1,FALSE()))),"OLD",IF(AND(E1119&lt;&gt;"",E1119&lt;&gt;"!!!"),"NEW","")))</f>
        <v/>
      </c>
      <c r="G1119" s="22" t="str">
        <f aca="false">IF(OR(E1119="",E1119="!!!"),"",IF(OR(J1119=0,AND(J1119=1,K1119=1),AND(J1119=1,I1119="SBJ"),AND(J1119=1,I1119=0)),"?IN_FOCUS",IF(J1119&lt;=2,"?ACTIVATED",IF(J1119&lt;&gt;"","?FAMILIAR",IF(F1119="NEW",IF(ISNA(VLOOKUP(E1119,#REF!,1,FALSE())),"?TYPE_IDENTIFIABLE","?REFERENTIAL"),"_")))))</f>
        <v/>
      </c>
      <c r="H1119" s="23" t="str">
        <f aca="false">IF(J1119&lt;&gt;1,"",IF(I1119="SBJ","CB","?"))</f>
        <v/>
      </c>
      <c r="I1119" s="24" t="str">
        <f aca="false">IF(OR(E1119="",E1119="!!!",F1119="NEW"),"",INDEX(N$2:N1102,-1+SUMPRODUCT(MAX(ROW(E$2:E1102)*(E1119=E$2:E1102)))))</f>
        <v/>
      </c>
      <c r="J1119" s="25" t="str">
        <f aca="true">IF(OR(E1119="",E1119="!!!",F1119="NEW"),"",COUNTBLANK(OFFSET(M$1,,,SUMPRODUCT(MAX(ROW(E$2:E1103)*(E1119=E$2:E1103)))))-COUNTBLANK(OFFSET(M$1,,,SUMPRODUCT(MAX(ROW(Q$1:Q1102)*(E1119=Q$1:Q1102))))))</f>
        <v/>
      </c>
      <c r="K1119" s="25" t="str">
        <f aca="false">IF(OR(E1119="",E1119="!!!",F1119="NEW"),"",INDEX(V$1:V1102,SUMPRODUCT(MAX(ROW(Q$1:Q1102)*(E1119=Q$1:Q1102)))))</f>
        <v/>
      </c>
      <c r="L1119" s="26"/>
      <c r="M1119" s="27"/>
    </row>
    <row r="1120" customFormat="false" ht="15" hidden="false" customHeight="false" outlineLevel="0" collapsed="false">
      <c r="A1120" s="19" t="s">
        <v>310</v>
      </c>
      <c r="B1120" s="28" t="s">
        <v>286</v>
      </c>
      <c r="C1120" s="28" t="s">
        <v>264</v>
      </c>
      <c r="D1120" s="28" t="s">
        <v>253</v>
      </c>
      <c r="E1120" s="20" t="s">
        <v>265</v>
      </c>
      <c r="F1120" s="21" t="str">
        <f aca="false">IF(OR(E1120="",E1120="!!!"),"",IF(NOT(ISNA(VLOOKUP(E1120,Q$1:Q1103,1,FALSE()))),"OLD",IF(AND(E1120&lt;&gt;"",E1120&lt;&gt;"!!!"),"NEW","")))</f>
        <v>NEW</v>
      </c>
      <c r="G1120" s="22" t="s">
        <v>266</v>
      </c>
      <c r="H1120" s="23" t="s">
        <v>243</v>
      </c>
      <c r="I1120" s="24" t="str">
        <f aca="false">IF(OR(E1120="",E1120="!!!",F1120="NEW"),"",INDEX(N$2:N1103,-1+SUMPRODUCT(MAX(ROW(E$2:E1103)*(E1120=E$2:E1103)))))</f>
        <v/>
      </c>
      <c r="J1120" s="25" t="str">
        <f aca="true">IF(OR(E1120="",E1120="!!!",F1120="NEW"),"",COUNTBLANK(OFFSET(M$1,,,SUMPRODUCT(MAX(ROW(E$2:E1104)*(E1120=E$2:E1104)))))-COUNTBLANK(OFFSET(M$1,,,SUMPRODUCT(MAX(ROW(Q$1:Q1103)*(E1120=Q$1:Q1103))))))</f>
        <v/>
      </c>
      <c r="K1120" s="25" t="str">
        <f aca="false">IF(OR(E1120="",E1120="!!!",F1120="NEW"),"",INDEX(V$1:V1103,SUMPRODUCT(MAX(ROW(Q$1:Q1103)*(E1120=Q$1:Q1103)))))</f>
        <v/>
      </c>
      <c r="L1120" s="26"/>
      <c r="M1120" s="27"/>
      <c r="N1120" s="29"/>
      <c r="O1120" s="29"/>
      <c r="P1120" s="29"/>
    </row>
    <row r="1121" customFormat="false" ht="15" hidden="false" customHeight="false" outlineLevel="0" collapsed="false">
      <c r="A1121" s="19" t="s">
        <v>261</v>
      </c>
      <c r="E1121" s="20" t="str">
        <f aca="false">IF(P1121="?OLD","!!!","")</f>
        <v/>
      </c>
      <c r="F1121" s="21" t="str">
        <f aca="false">IF(OR(E1121="",E1121="!!!"),"",IF(NOT(ISNA(VLOOKUP(E1121,Q$1:Q1104,1,FALSE()))),"OLD",IF(AND(E1121&lt;&gt;"",E1121&lt;&gt;"!!!"),"NEW","")))</f>
        <v/>
      </c>
      <c r="G1121" s="22" t="str">
        <f aca="false">IF(OR(E1121="",E1121="!!!"),"",IF(OR(J1121=0,AND(J1121=1,K1121=1),AND(J1121=1,I1121="SBJ"),AND(J1121=1,I1121=0)),"?IN_FOCUS",IF(J1121&lt;=2,"?ACTIVATED",IF(J1121&lt;&gt;"","?FAMILIAR",IF(F1121="NEW",IF(ISNA(VLOOKUP(E1121,#REF!,1,FALSE())),"?TYPE_IDENTIFIABLE","?REFERENTIAL"),"_")))))</f>
        <v/>
      </c>
      <c r="H1121" s="23" t="str">
        <f aca="false">IF(J1121&lt;&gt;1,"",IF(I1121="SBJ","CB","?"))</f>
        <v/>
      </c>
      <c r="I1121" s="24" t="str">
        <f aca="false">IF(OR(E1121="",E1121="!!!",F1121="NEW"),"",INDEX(N$2:N1104,-1+SUMPRODUCT(MAX(ROW(E$2:E1104)*(E1121=E$2:E1104)))))</f>
        <v/>
      </c>
      <c r="J1121" s="25" t="str">
        <f aca="true">IF(OR(E1121="",E1121="!!!",F1121="NEW"),"",COUNTBLANK(OFFSET(M$1,,,SUMPRODUCT(MAX(ROW(E$2:E1105)*(E1121=E$2:E1105)))))-COUNTBLANK(OFFSET(M$1,,,SUMPRODUCT(MAX(ROW(Q$1:Q1104)*(E1121=Q$1:Q1104))))))</f>
        <v/>
      </c>
      <c r="K1121" s="25" t="str">
        <f aca="false">IF(OR(E1121="",E1121="!!!",F1121="NEW"),"",INDEX(V$1:V1104,SUMPRODUCT(MAX(ROW(Q$1:Q1104)*(E1121=Q$1:Q1104)))))</f>
        <v/>
      </c>
      <c r="L1121" s="26"/>
      <c r="M1121" s="27"/>
    </row>
    <row r="1122" customFormat="false" ht="15" hidden="false" customHeight="false" outlineLevel="0" collapsed="false">
      <c r="A1122" s="19" t="s">
        <v>365</v>
      </c>
      <c r="E1122" s="20" t="str">
        <f aca="false">IF(P1122="?OLD","!!!","")</f>
        <v/>
      </c>
      <c r="F1122" s="21" t="str">
        <f aca="false">IF(OR(E1122="",E1122="!!!"),"",IF(NOT(ISNA(VLOOKUP(E1122,Q$1:Q1105,1,FALSE()))),"OLD",IF(AND(E1122&lt;&gt;"",E1122&lt;&gt;"!!!"),"NEW","")))</f>
        <v/>
      </c>
      <c r="G1122" s="22" t="str">
        <f aca="false">IF(OR(E1122="",E1122="!!!"),"",IF(OR(J1122=0,AND(J1122=1,K1122=1),AND(J1122=1,I1122="SBJ"),AND(J1122=1,I1122=0)),"?IN_FOCUS",IF(J1122&lt;=2,"?ACTIVATED",IF(J1122&lt;&gt;"","?FAMILIAR",IF(F1122="NEW",IF(ISNA(VLOOKUP(E1122,#REF!,1,FALSE())),"?TYPE_IDENTIFIABLE","?REFERENTIAL"),"_")))))</f>
        <v/>
      </c>
      <c r="H1122" s="23" t="str">
        <f aca="false">IF(J1122&lt;&gt;1,"",IF(I1122="SBJ","CB","?"))</f>
        <v/>
      </c>
      <c r="I1122" s="24" t="str">
        <f aca="false">IF(OR(E1122="",E1122="!!!",F1122="NEW"),"",INDEX(N$2:N1105,-1+SUMPRODUCT(MAX(ROW(E$2:E1105)*(E1122=E$2:E1105)))))</f>
        <v/>
      </c>
      <c r="J1122" s="25" t="str">
        <f aca="true">IF(OR(E1122="",E1122="!!!",F1122="NEW"),"",COUNTBLANK(OFFSET(M$1,,,SUMPRODUCT(MAX(ROW(E$2:E1106)*(E1122=E$2:E1106)))))-COUNTBLANK(OFFSET(M$1,,,SUMPRODUCT(MAX(ROW(Q$1:Q1105)*(E1122=Q$1:Q1105))))))</f>
        <v/>
      </c>
      <c r="K1122" s="25" t="str">
        <f aca="false">IF(OR(E1122="",E1122="!!!",F1122="NEW"),"",INDEX(V$1:V1105,SUMPRODUCT(MAX(ROW(Q$1:Q1105)*(E1122=Q$1:Q1105)))))</f>
        <v/>
      </c>
      <c r="L1122" s="26"/>
      <c r="M1122" s="27"/>
    </row>
    <row r="1123" customFormat="false" ht="15" hidden="false" customHeight="false" outlineLevel="0" collapsed="false">
      <c r="A1123" s="19" t="s">
        <v>261</v>
      </c>
      <c r="E1123" s="20" t="str">
        <f aca="false">IF(P1123="?OLD","!!!","")</f>
        <v/>
      </c>
      <c r="F1123" s="21" t="str">
        <f aca="false">IF(OR(E1123="",E1123="!!!"),"",IF(NOT(ISNA(VLOOKUP(E1123,Q$1:Q1106,1,FALSE()))),"OLD",IF(AND(E1123&lt;&gt;"",E1123&lt;&gt;"!!!"),"NEW","")))</f>
        <v/>
      </c>
      <c r="G1123" s="22" t="str">
        <f aca="false">IF(OR(E1123="",E1123="!!!"),"",IF(OR(J1123=0,AND(J1123=1,K1123=1),AND(J1123=1,I1123="SBJ"),AND(J1123=1,I1123=0)),"?IN_FOCUS",IF(J1123&lt;=2,"?ACTIVATED",IF(J1123&lt;&gt;"","?FAMILIAR",IF(F1123="NEW",IF(ISNA(VLOOKUP(E1123,#REF!,1,FALSE())),"?TYPE_IDENTIFIABLE","?REFERENTIAL"),"_")))))</f>
        <v/>
      </c>
      <c r="H1123" s="23" t="str">
        <f aca="false">IF(J1123&lt;&gt;1,"",IF(I1123="SBJ","CB","?"))</f>
        <v/>
      </c>
      <c r="I1123" s="24" t="str">
        <f aca="false">IF(OR(E1123="",E1123="!!!",F1123="NEW"),"",INDEX(N$2:N1106,-1+SUMPRODUCT(MAX(ROW(E$2:E1106)*(E1123=E$2:E1106)))))</f>
        <v/>
      </c>
      <c r="J1123" s="25" t="str">
        <f aca="true">IF(OR(E1123="",E1123="!!!",F1123="NEW"),"",COUNTBLANK(OFFSET(M$1,,,SUMPRODUCT(MAX(ROW(E$2:E1107)*(E1123=E$2:E1107)))))-COUNTBLANK(OFFSET(M$1,,,SUMPRODUCT(MAX(ROW(Q$1:Q1106)*(E1123=Q$1:Q1106))))))</f>
        <v/>
      </c>
      <c r="K1123" s="25" t="str">
        <f aca="false">IF(OR(E1123="",E1123="!!!",F1123="NEW"),"",INDEX(V$1:V1106,SUMPRODUCT(MAX(ROW(Q$1:Q1106)*(E1123=Q$1:Q1106)))))</f>
        <v/>
      </c>
      <c r="L1123" s="26"/>
      <c r="M1123" s="27"/>
    </row>
    <row r="1124" customFormat="false" ht="15" hidden="false" customHeight="false" outlineLevel="0" collapsed="false">
      <c r="A1124" s="19" t="s">
        <v>367</v>
      </c>
      <c r="E1124" s="20" t="str">
        <f aca="false">IF(P1124="?OLD","!!!","")</f>
        <v/>
      </c>
      <c r="F1124" s="21" t="str">
        <f aca="false">IF(OR(E1124="",E1124="!!!"),"",IF(NOT(ISNA(VLOOKUP(E1124,Q$1:Q1107,1,FALSE()))),"OLD",IF(AND(E1124&lt;&gt;"",E1124&lt;&gt;"!!!"),"NEW","")))</f>
        <v/>
      </c>
      <c r="G1124" s="22" t="str">
        <f aca="false">IF(OR(E1124="",E1124="!!!"),"",IF(OR(J1124=0,AND(J1124=1,K1124=1),AND(J1124=1,I1124="SBJ"),AND(J1124=1,I1124=0)),"?IN_FOCUS",IF(J1124&lt;=2,"?ACTIVATED",IF(J1124&lt;&gt;"","?FAMILIAR",IF(F1124="NEW",IF(ISNA(VLOOKUP(E1124,#REF!,1,FALSE())),"?TYPE_IDENTIFIABLE","?REFERENTIAL"),"_")))))</f>
        <v/>
      </c>
      <c r="H1124" s="23" t="str">
        <f aca="false">IF(J1124&lt;&gt;1,"",IF(I1124="SBJ","CB","?"))</f>
        <v/>
      </c>
      <c r="I1124" s="24" t="str">
        <f aca="false">IF(OR(E1124="",E1124="!!!",F1124="NEW"),"",INDEX(N$2:N1107,-1+SUMPRODUCT(MAX(ROW(E$2:E1107)*(E1124=E$2:E1107)))))</f>
        <v/>
      </c>
      <c r="J1124" s="25" t="str">
        <f aca="true">IF(OR(E1124="",E1124="!!!",F1124="NEW"),"",COUNTBLANK(OFFSET(M$1,,,SUMPRODUCT(MAX(ROW(E$2:E1108)*(E1124=E$2:E1108)))))-COUNTBLANK(OFFSET(M$1,,,SUMPRODUCT(MAX(ROW(Q$1:Q1107)*(E1124=Q$1:Q1107))))))</f>
        <v/>
      </c>
      <c r="K1124" s="25" t="str">
        <f aca="false">IF(OR(E1124="",E1124="!!!",F1124="NEW"),"",INDEX(V$1:V1107,SUMPRODUCT(MAX(ROW(Q$1:Q1107)*(E1124=Q$1:Q1107)))))</f>
        <v/>
      </c>
      <c r="L1124" s="26"/>
      <c r="M1124" s="27"/>
    </row>
    <row r="1125" customFormat="false" ht="15" hidden="false" customHeight="false" outlineLevel="0" collapsed="false">
      <c r="A1125" s="19" t="s">
        <v>723</v>
      </c>
      <c r="E1125" s="20" t="str">
        <f aca="false">IF(P1125="?OLD","!!!","")</f>
        <v/>
      </c>
      <c r="F1125" s="21" t="str">
        <f aca="false">IF(OR(E1125="",E1125="!!!"),"",IF(NOT(ISNA(VLOOKUP(E1125,Q$1:Q1108,1,FALSE()))),"OLD",IF(AND(E1125&lt;&gt;"",E1125&lt;&gt;"!!!"),"NEW","")))</f>
        <v/>
      </c>
      <c r="G1125" s="22" t="str">
        <f aca="false">IF(OR(E1125="",E1125="!!!"),"",IF(OR(J1125=0,AND(J1125=1,K1125=1),AND(J1125=1,I1125="SBJ"),AND(J1125=1,I1125=0)),"?IN_FOCUS",IF(J1125&lt;=2,"?ACTIVATED",IF(J1125&lt;&gt;"","?FAMILIAR",IF(F1125="NEW",IF(ISNA(VLOOKUP(E1125,#REF!,1,FALSE())),"?TYPE_IDENTIFIABLE","?REFERENTIAL"),"_")))))</f>
        <v/>
      </c>
      <c r="H1125" s="23" t="str">
        <f aca="false">IF(J1125&lt;&gt;1,"",IF(I1125="SBJ","CB","?"))</f>
        <v/>
      </c>
      <c r="I1125" s="24" t="str">
        <f aca="false">IF(OR(E1125="",E1125="!!!",F1125="NEW"),"",INDEX(N$2:N1108,-1+SUMPRODUCT(MAX(ROW(E$2:E1108)*(E1125=E$2:E1108)))))</f>
        <v/>
      </c>
      <c r="J1125" s="25" t="str">
        <f aca="true">IF(OR(E1125="",E1125="!!!",F1125="NEW"),"",COUNTBLANK(OFFSET(M$1,,,SUMPRODUCT(MAX(ROW(E$2:E1109)*(E1125=E$2:E1109)))))-COUNTBLANK(OFFSET(M$1,,,SUMPRODUCT(MAX(ROW(Q$1:Q1108)*(E1125=Q$1:Q1108))))))</f>
        <v/>
      </c>
      <c r="K1125" s="25" t="str">
        <f aca="false">IF(OR(E1125="",E1125="!!!",F1125="NEW"),"",INDEX(V$1:V1108,SUMPRODUCT(MAX(ROW(Q$1:Q1108)*(E1125=Q$1:Q1108)))))</f>
        <v/>
      </c>
      <c r="L1125" s="26"/>
      <c r="M1125" s="27"/>
    </row>
    <row r="1126" customFormat="false" ht="15" hidden="false" customHeight="false" outlineLevel="0" collapsed="false">
      <c r="A1126" s="19" t="s">
        <v>556</v>
      </c>
      <c r="B1126" s="28" t="s">
        <v>374</v>
      </c>
      <c r="E1126" s="20" t="str">
        <f aca="false">IF(P1126="?OLD","!!!","")</f>
        <v/>
      </c>
      <c r="F1126" s="21" t="str">
        <f aca="false">IF(OR(E1126="",E1126="!!!"),"",IF(NOT(ISNA(VLOOKUP(E1126,Q$1:Q1109,1,FALSE()))),"OLD",IF(AND(E1126&lt;&gt;"",E1126&lt;&gt;"!!!"),"NEW","")))</f>
        <v/>
      </c>
      <c r="G1126" s="22" t="str">
        <f aca="false">IF(OR(E1126="",E1126="!!!"),"",IF(OR(J1126=0,AND(J1126=1,K1126=1),AND(J1126=1,I1126="SBJ"),AND(J1126=1,I1126=0)),"?IN_FOCUS",IF(J1126&lt;=2,"?ACTIVATED",IF(J1126&lt;&gt;"","?FAMILIAR",IF(F1126="NEW",IF(ISNA(VLOOKUP(E1126,#REF!,1,FALSE())),"?TYPE_IDENTIFIABLE","?REFERENTIAL"),"_")))))</f>
        <v/>
      </c>
      <c r="H1126" s="23" t="str">
        <f aca="false">IF(J1126&lt;&gt;1,"",IF(I1126="SBJ","CB","?"))</f>
        <v/>
      </c>
      <c r="I1126" s="24" t="str">
        <f aca="false">IF(OR(E1126="",E1126="!!!",F1126="NEW"),"",INDEX(N$2:N1109,-1+SUMPRODUCT(MAX(ROW(E$2:E1109)*(E1126=E$2:E1109)))))</f>
        <v/>
      </c>
      <c r="J1126" s="25" t="str">
        <f aca="true">IF(OR(E1126="",E1126="!!!",F1126="NEW"),"",COUNTBLANK(OFFSET(M$1,,,SUMPRODUCT(MAX(ROW(E$2:E1110)*(E1126=E$2:E1110)))))-COUNTBLANK(OFFSET(M$1,,,SUMPRODUCT(MAX(ROW(Q$1:Q1109)*(E1126=Q$1:Q1109))))))</f>
        <v/>
      </c>
      <c r="K1126" s="25" t="str">
        <f aca="false">IF(OR(E1126="",E1126="!!!",F1126="NEW"),"",INDEX(V$1:V1109,SUMPRODUCT(MAX(ROW(Q$1:Q1109)*(E1126=Q$1:Q1109)))))</f>
        <v/>
      </c>
      <c r="L1126" s="26"/>
      <c r="M1126" s="27"/>
      <c r="N1126" s="29"/>
    </row>
    <row r="1127" customFormat="false" ht="15" hidden="false" customHeight="false" outlineLevel="0" collapsed="false">
      <c r="A1127" s="19" t="s">
        <v>280</v>
      </c>
      <c r="E1127" s="20" t="str">
        <f aca="false">IF(P1127="?OLD","!!!","")</f>
        <v/>
      </c>
      <c r="F1127" s="21" t="str">
        <f aca="false">IF(OR(E1127="",E1127="!!!"),"",IF(NOT(ISNA(VLOOKUP(E1127,Q$1:Q1110,1,FALSE()))),"OLD",IF(AND(E1127&lt;&gt;"",E1127&lt;&gt;"!!!"),"NEW","")))</f>
        <v/>
      </c>
      <c r="G1127" s="22" t="str">
        <f aca="false">IF(OR(E1127="",E1127="!!!"),"",IF(OR(J1127=0,AND(J1127=1,K1127=1),AND(J1127=1,I1127="SBJ"),AND(J1127=1,I1127=0)),"?IN_FOCUS",IF(J1127&lt;=2,"?ACTIVATED",IF(J1127&lt;&gt;"","?FAMILIAR",IF(F1127="NEW",IF(ISNA(VLOOKUP(E1127,#REF!,1,FALSE())),"?TYPE_IDENTIFIABLE","?REFERENTIAL"),"_")))))</f>
        <v/>
      </c>
      <c r="H1127" s="23" t="str">
        <f aca="false">IF(J1127&lt;&gt;1,"",IF(I1127="SBJ","CB","?"))</f>
        <v/>
      </c>
      <c r="I1127" s="24" t="str">
        <f aca="false">IF(OR(E1127="",E1127="!!!",F1127="NEW"),"",INDEX(N$2:N1110,-1+SUMPRODUCT(MAX(ROW(E$2:E1110)*(E1127=E$2:E1110)))))</f>
        <v/>
      </c>
      <c r="J1127" s="25" t="str">
        <f aca="true">IF(OR(E1127="",E1127="!!!",F1127="NEW"),"",COUNTBLANK(OFFSET(M$1,,,SUMPRODUCT(MAX(ROW(E$2:E1111)*(E1127=E$2:E1111)))))-COUNTBLANK(OFFSET(M$1,,,SUMPRODUCT(MAX(ROW(Q$1:Q1110)*(E1127=Q$1:Q1110))))))</f>
        <v/>
      </c>
      <c r="K1127" s="25" t="str">
        <f aca="false">IF(OR(E1127="",E1127="!!!",F1127="NEW"),"",INDEX(V$1:V1110,SUMPRODUCT(MAX(ROW(Q$1:Q1110)*(E1127=Q$1:Q1110)))))</f>
        <v/>
      </c>
      <c r="L1127" s="26"/>
      <c r="M1127" s="27"/>
    </row>
    <row r="1128" customFormat="false" ht="15" hidden="false" customHeight="false" outlineLevel="0" collapsed="false">
      <c r="A1128" s="19" t="s">
        <v>343</v>
      </c>
      <c r="E1128" s="20" t="str">
        <f aca="false">IF(P1128="?OLD","!!!","")</f>
        <v/>
      </c>
      <c r="F1128" s="21" t="str">
        <f aca="false">IF(OR(E1128="",E1128="!!!"),"",IF(NOT(ISNA(VLOOKUP(E1128,Q$1:Q1111,1,FALSE()))),"OLD",IF(AND(E1128&lt;&gt;"",E1128&lt;&gt;"!!!"),"NEW","")))</f>
        <v/>
      </c>
      <c r="G1128" s="22" t="str">
        <f aca="false">IF(OR(E1128="",E1128="!!!"),"",IF(OR(J1128=0,AND(J1128=1,K1128=1),AND(J1128=1,I1128="SBJ"),AND(J1128=1,I1128=0)),"?IN_FOCUS",IF(J1128&lt;=2,"?ACTIVATED",IF(J1128&lt;&gt;"","?FAMILIAR",IF(F1128="NEW",IF(ISNA(VLOOKUP(E1128,#REF!,1,FALSE())),"?TYPE_IDENTIFIABLE","?REFERENTIAL"),"_")))))</f>
        <v/>
      </c>
      <c r="H1128" s="23" t="str">
        <f aca="false">IF(J1128&lt;&gt;1,"",IF(I1128="SBJ","CB","?"))</f>
        <v/>
      </c>
      <c r="I1128" s="24" t="str">
        <f aca="false">IF(OR(E1128="",E1128="!!!",F1128="NEW"),"",INDEX(N$2:N1111,-1+SUMPRODUCT(MAX(ROW(E$2:E1111)*(E1128=E$2:E1111)))))</f>
        <v/>
      </c>
      <c r="J1128" s="25" t="str">
        <f aca="true">IF(OR(E1128="",E1128="!!!",F1128="NEW"),"",COUNTBLANK(OFFSET(M$1,,,SUMPRODUCT(MAX(ROW(E$2:E1112)*(E1128=E$2:E1112)))))-COUNTBLANK(OFFSET(M$1,,,SUMPRODUCT(MAX(ROW(Q$1:Q1111)*(E1128=Q$1:Q1111))))))</f>
        <v/>
      </c>
      <c r="K1128" s="25" t="str">
        <f aca="false">IF(OR(E1128="",E1128="!!!",F1128="NEW"),"",INDEX(V$1:V1111,SUMPRODUCT(MAX(ROW(Q$1:Q1111)*(E1128=Q$1:Q1111)))))</f>
        <v/>
      </c>
      <c r="L1128" s="26"/>
      <c r="M1128" s="27"/>
    </row>
    <row r="1129" customFormat="false" ht="15" hidden="false" customHeight="false" outlineLevel="0" collapsed="false">
      <c r="A1129" s="19" t="s">
        <v>724</v>
      </c>
      <c r="E1129" s="20" t="str">
        <f aca="false">IF(P1129="?OLD","!!!","")</f>
        <v/>
      </c>
      <c r="F1129" s="21" t="str">
        <f aca="false">IF(OR(E1129="",E1129="!!!"),"",IF(NOT(ISNA(VLOOKUP(E1129,Q$1:Q1112,1,FALSE()))),"OLD",IF(AND(E1129&lt;&gt;"",E1129&lt;&gt;"!!!"),"NEW","")))</f>
        <v/>
      </c>
      <c r="G1129" s="22" t="str">
        <f aca="false">IF(OR(E1129="",E1129="!!!"),"",IF(OR(J1129=0,AND(J1129=1,K1129=1),AND(J1129=1,I1129="SBJ"),AND(J1129=1,I1129=0)),"?IN_FOCUS",IF(J1129&lt;=2,"?ACTIVATED",IF(J1129&lt;&gt;"","?FAMILIAR",IF(F1129="NEW",IF(ISNA(VLOOKUP(E1129,#REF!,1,FALSE())),"?TYPE_IDENTIFIABLE","?REFERENTIAL"),"_")))))</f>
        <v/>
      </c>
      <c r="H1129" s="23" t="str">
        <f aca="false">IF(J1129&lt;&gt;1,"",IF(I1129="SBJ","CB","?"))</f>
        <v/>
      </c>
      <c r="I1129" s="24" t="str">
        <f aca="false">IF(OR(E1129="",E1129="!!!",F1129="NEW"),"",INDEX(N$2:N1112,-1+SUMPRODUCT(MAX(ROW(E$2:E1112)*(E1129=E$2:E1112)))))</f>
        <v/>
      </c>
      <c r="J1129" s="25" t="str">
        <f aca="true">IF(OR(E1129="",E1129="!!!",F1129="NEW"),"",COUNTBLANK(OFFSET(M$1,,,SUMPRODUCT(MAX(ROW(E$2:E1113)*(E1129=E$2:E1113)))))-COUNTBLANK(OFFSET(M$1,,,SUMPRODUCT(MAX(ROW(Q$1:Q1112)*(E1129=Q$1:Q1112))))))</f>
        <v/>
      </c>
      <c r="K1129" s="25" t="str">
        <f aca="false">IF(OR(E1129="",E1129="!!!",F1129="NEW"),"",INDEX(V$1:V1112,SUMPRODUCT(MAX(ROW(Q$1:Q1112)*(E1129=Q$1:Q1112)))))</f>
        <v/>
      </c>
      <c r="L1129" s="26"/>
      <c r="M1129" s="27"/>
    </row>
    <row r="1130" customFormat="false" ht="15" hidden="false" customHeight="false" outlineLevel="0" collapsed="false">
      <c r="A1130" s="19" t="s">
        <v>725</v>
      </c>
      <c r="B1130" s="28" t="s">
        <v>293</v>
      </c>
      <c r="C1130" s="28" t="s">
        <v>344</v>
      </c>
      <c r="D1130" s="28" t="s">
        <v>253</v>
      </c>
      <c r="E1130" s="20" t="s">
        <v>726</v>
      </c>
      <c r="F1130" s="21" t="str">
        <f aca="false">IF(OR(E1130="",E1130="!!!"),"",IF(NOT(ISNA(VLOOKUP(E1130,Q$1:Q1113,1,FALSE()))),"OLD",IF(AND(E1130&lt;&gt;"",E1130&lt;&gt;"!!!"),"NEW","")))</f>
        <v>NEW</v>
      </c>
      <c r="G1130" s="22" t="s">
        <v>255</v>
      </c>
      <c r="H1130" s="23" t="str">
        <f aca="false">IF(J1130&lt;&gt;1,"",IF(I1130="SBJ","CB","?"))</f>
        <v/>
      </c>
      <c r="I1130" s="24" t="str">
        <f aca="false">IF(OR(E1130="",E1130="!!!",F1130="NEW"),"",INDEX(N$2:N1113,-1+SUMPRODUCT(MAX(ROW(E$2:E1113)*(E1130=E$2:E1113)))))</f>
        <v/>
      </c>
      <c r="J1130" s="25" t="str">
        <f aca="true">IF(OR(E1130="",E1130="!!!",F1130="NEW"),"",COUNTBLANK(OFFSET(M$1,,,SUMPRODUCT(MAX(ROW(E$2:E1114)*(E1130=E$2:E1114)))))-COUNTBLANK(OFFSET(M$1,,,SUMPRODUCT(MAX(ROW(Q$1:Q1113)*(E1130=Q$1:Q1113))))))</f>
        <v/>
      </c>
      <c r="K1130" s="25" t="str">
        <f aca="false">IF(OR(E1130="",E1130="!!!",F1130="NEW"),"",INDEX(V$1:V1113,SUMPRODUCT(MAX(ROW(Q$1:Q1113)*(E1130=Q$1:Q1113)))))</f>
        <v/>
      </c>
      <c r="L1130" s="26"/>
      <c r="M1130" s="27"/>
      <c r="N1130" s="29"/>
      <c r="O1130" s="29"/>
      <c r="P1130" s="29"/>
    </row>
    <row r="1131" customFormat="false" ht="15" hidden="false" customHeight="false" outlineLevel="0" collapsed="false">
      <c r="A1131" s="19" t="s">
        <v>414</v>
      </c>
      <c r="E1131" s="20" t="str">
        <f aca="false">IF(P1131="?OLD","!!!","")</f>
        <v/>
      </c>
      <c r="F1131" s="21" t="str">
        <f aca="false">IF(OR(E1131="",E1131="!!!"),"",IF(NOT(ISNA(VLOOKUP(E1131,Q$1:Q1114,1,FALSE()))),"OLD",IF(AND(E1131&lt;&gt;"",E1131&lt;&gt;"!!!"),"NEW","")))</f>
        <v/>
      </c>
      <c r="G1131" s="22" t="str">
        <f aca="false">IF(OR(E1131="",E1131="!!!"),"",IF(OR(J1131=0,AND(J1131=1,K1131=1),AND(J1131=1,I1131="SBJ"),AND(J1131=1,I1131=0)),"?IN_FOCUS",IF(J1131&lt;=2,"?ACTIVATED",IF(J1131&lt;&gt;"","?FAMILIAR",IF(F1131="NEW",IF(ISNA(VLOOKUP(E1131,#REF!,1,FALSE())),"?TYPE_IDENTIFIABLE","?REFERENTIAL"),"_")))))</f>
        <v/>
      </c>
      <c r="H1131" s="23" t="str">
        <f aca="false">IF(J1131&lt;&gt;1,"",IF(I1131="SBJ","CB","?"))</f>
        <v/>
      </c>
      <c r="I1131" s="24" t="str">
        <f aca="false">IF(OR(E1131="",E1131="!!!",F1131="NEW"),"",INDEX(N$2:N1114,-1+SUMPRODUCT(MAX(ROW(E$2:E1114)*(E1131=E$2:E1114)))))</f>
        <v/>
      </c>
      <c r="J1131" s="25" t="str">
        <f aca="true">IF(OR(E1131="",E1131="!!!",F1131="NEW"),"",COUNTBLANK(OFFSET(M$1,,,SUMPRODUCT(MAX(ROW(E$2:E1115)*(E1131=E$2:E1115)))))-COUNTBLANK(OFFSET(M$1,,,SUMPRODUCT(MAX(ROW(Q$1:Q1114)*(E1131=Q$1:Q1114))))))</f>
        <v/>
      </c>
      <c r="K1131" s="25" t="str">
        <f aca="false">IF(OR(E1131="",E1131="!!!",F1131="NEW"),"",INDEX(V$1:V1114,SUMPRODUCT(MAX(ROW(Q$1:Q1114)*(E1131=Q$1:Q1114)))))</f>
        <v/>
      </c>
      <c r="L1131" s="26"/>
      <c r="M1131" s="27"/>
    </row>
    <row r="1132" customFormat="false" ht="15" hidden="false" customHeight="false" outlineLevel="0" collapsed="false">
      <c r="A1132" s="19" t="s">
        <v>367</v>
      </c>
      <c r="E1132" s="20" t="str">
        <f aca="false">IF(P1132="?OLD","!!!","")</f>
        <v/>
      </c>
      <c r="F1132" s="21" t="str">
        <f aca="false">IF(OR(E1132="",E1132="!!!"),"",IF(NOT(ISNA(VLOOKUP(E1132,Q$1:Q1115,1,FALSE()))),"OLD",IF(AND(E1132&lt;&gt;"",E1132&lt;&gt;"!!!"),"NEW","")))</f>
        <v/>
      </c>
      <c r="G1132" s="22" t="str">
        <f aca="false">IF(OR(E1132="",E1132="!!!"),"",IF(OR(J1132=0,AND(J1132=1,K1132=1),AND(J1132=1,I1132="SBJ"),AND(J1132=1,I1132=0)),"?IN_FOCUS",IF(J1132&lt;=2,"?ACTIVATED",IF(J1132&lt;&gt;"","?FAMILIAR",IF(F1132="NEW",IF(ISNA(VLOOKUP(E1132,#REF!,1,FALSE())),"?TYPE_IDENTIFIABLE","?REFERENTIAL"),"_")))))</f>
        <v/>
      </c>
      <c r="H1132" s="23" t="str">
        <f aca="false">IF(J1132&lt;&gt;1,"",IF(I1132="SBJ","CB","?"))</f>
        <v/>
      </c>
      <c r="I1132" s="24" t="str">
        <f aca="false">IF(OR(E1132="",E1132="!!!",F1132="NEW"),"",INDEX(N$2:N1115,-1+SUMPRODUCT(MAX(ROW(E$2:E1115)*(E1132=E$2:E1115)))))</f>
        <v/>
      </c>
      <c r="J1132" s="25" t="str">
        <f aca="true">IF(OR(E1132="",E1132="!!!",F1132="NEW"),"",COUNTBLANK(OFFSET(M$1,,,SUMPRODUCT(MAX(ROW(E$2:E1116)*(E1132=E$2:E1116)))))-COUNTBLANK(OFFSET(M$1,,,SUMPRODUCT(MAX(ROW(Q$1:Q1115)*(E1132=Q$1:Q1115))))))</f>
        <v/>
      </c>
      <c r="K1132" s="25" t="str">
        <f aca="false">IF(OR(E1132="",E1132="!!!",F1132="NEW"),"",INDEX(V$1:V1115,SUMPRODUCT(MAX(ROW(Q$1:Q1115)*(E1132=Q$1:Q1115)))))</f>
        <v/>
      </c>
      <c r="L1132" s="26"/>
      <c r="M1132" s="27"/>
    </row>
    <row r="1133" customFormat="false" ht="15" hidden="false" customHeight="false" outlineLevel="0" collapsed="false">
      <c r="A1133" s="19"/>
      <c r="E1133" s="20" t="str">
        <f aca="false">IF(P1133="?OLD","!!!","")</f>
        <v/>
      </c>
      <c r="F1133" s="21" t="str">
        <f aca="false">IF(OR(E1133="",E1133="!!!"),"",IF(NOT(ISNA(VLOOKUP(E1133,Q$1:Q1116,1,FALSE()))),"OLD",IF(AND(E1133&lt;&gt;"",E1133&lt;&gt;"!!!"),"NEW","")))</f>
        <v/>
      </c>
      <c r="G1133" s="22" t="str">
        <f aca="false">IF(OR(E1133="",E1133="!!!"),"",IF(OR(J1133=0,AND(J1133=1,K1133=1),AND(J1133=1,I1133="SBJ"),AND(J1133=1,I1133=0)),"?IN_FOCUS",IF(J1133&lt;=2,"?ACTIVATED",IF(J1133&lt;&gt;"","?FAMILIAR",IF(F1133="NEW",IF(ISNA(VLOOKUP(E1133,#REF!,1,FALSE())),"?TYPE_IDENTIFIABLE","?REFERENTIAL"),"_")))))</f>
        <v/>
      </c>
      <c r="H1133" s="23" t="str">
        <f aca="false">IF(J1133&lt;&gt;1,"",IF(I1133="SBJ","CB","?"))</f>
        <v/>
      </c>
      <c r="I1133" s="24" t="str">
        <f aca="false">IF(OR(E1133="",E1133="!!!",F1133="NEW"),"",INDEX(N$2:N1116,-1+SUMPRODUCT(MAX(ROW(E$2:E1116)*(E1133=E$2:E1116)))))</f>
        <v/>
      </c>
      <c r="J1133" s="25" t="str">
        <f aca="true">IF(OR(E1133="",E1133="!!!",F1133="NEW"),"",COUNTBLANK(OFFSET(M$1,,,SUMPRODUCT(MAX(ROW(E$2:E1117)*(E1133=E$2:E1117)))))-COUNTBLANK(OFFSET(M$1,,,SUMPRODUCT(MAX(ROW(Q$1:Q1116)*(E1133=Q$1:Q1116))))))</f>
        <v/>
      </c>
      <c r="K1133" s="25" t="str">
        <f aca="false">IF(OR(E1133="",E1133="!!!",F1133="NEW"),"",INDEX(V$1:V1116,SUMPRODUCT(MAX(ROW(Q$1:Q1116)*(E1133=Q$1:Q1116)))))</f>
        <v/>
      </c>
      <c r="L1133" s="26"/>
    </row>
    <row r="1134" customFormat="false" ht="15" hidden="false" customHeight="false" outlineLevel="0" collapsed="false">
      <c r="A1134" s="19" t="s">
        <v>727</v>
      </c>
      <c r="E1134" s="20" t="str">
        <f aca="false">IF(P1134="?OLD","!!!","")</f>
        <v/>
      </c>
      <c r="F1134" s="21" t="str">
        <f aca="false">IF(OR(E1134="",E1134="!!!"),"",IF(NOT(ISNA(VLOOKUP(E1134,Q$1:Q1117,1,FALSE()))),"OLD",IF(AND(E1134&lt;&gt;"",E1134&lt;&gt;"!!!"),"NEW","")))</f>
        <v/>
      </c>
      <c r="G1134" s="22" t="str">
        <f aca="false">IF(OR(E1134="",E1134="!!!"),"",IF(OR(J1134=0,AND(J1134=1,K1134=1),AND(J1134=1,I1134="SBJ"),AND(J1134=1,I1134=0)),"?IN_FOCUS",IF(J1134&lt;=2,"?ACTIVATED",IF(J1134&lt;&gt;"","?FAMILIAR",IF(F1134="NEW",IF(ISNA(VLOOKUP(E1134,#REF!,1,FALSE())),"?TYPE_IDENTIFIABLE","?REFERENTIAL"),"_")))))</f>
        <v/>
      </c>
      <c r="H1134" s="23" t="str">
        <f aca="false">IF(J1134&lt;&gt;1,"",IF(I1134="SBJ","CB","?"))</f>
        <v/>
      </c>
      <c r="I1134" s="24" t="str">
        <f aca="false">IF(OR(E1134="",E1134="!!!",F1134="NEW"),"",INDEX(N$2:N1117,-1+SUMPRODUCT(MAX(ROW(E$2:E1117)*(E1134=E$2:E1117)))))</f>
        <v/>
      </c>
      <c r="J1134" s="25" t="str">
        <f aca="true">IF(OR(E1134="",E1134="!!!",F1134="NEW"),"",COUNTBLANK(OFFSET(M$1,,,SUMPRODUCT(MAX(ROW(E$2:E1118)*(E1134=E$2:E1118)))))-COUNTBLANK(OFFSET(M$1,,,SUMPRODUCT(MAX(ROW(Q$1:Q1117)*(E1134=Q$1:Q1117))))))</f>
        <v/>
      </c>
      <c r="K1134" s="25" t="str">
        <f aca="false">IF(OR(E1134="",E1134="!!!",F1134="NEW"),"",INDEX(V$1:V1117,SUMPRODUCT(MAX(ROW(Q$1:Q1117)*(E1134=Q$1:Q1117)))))</f>
        <v/>
      </c>
      <c r="L1134" s="26"/>
      <c r="M1134" s="27"/>
    </row>
    <row r="1135" customFormat="false" ht="15" hidden="false" customHeight="false" outlineLevel="0" collapsed="false">
      <c r="A1135" s="19" t="s">
        <v>728</v>
      </c>
      <c r="E1135" s="20" t="str">
        <f aca="false">IF(P1135="?OLD","!!!","")</f>
        <v/>
      </c>
      <c r="F1135" s="21" t="str">
        <f aca="false">IF(OR(E1135="",E1135="!!!"),"",IF(NOT(ISNA(VLOOKUP(E1135,Q$1:Q1118,1,FALSE()))),"OLD",IF(AND(E1135&lt;&gt;"",E1135&lt;&gt;"!!!"),"NEW","")))</f>
        <v/>
      </c>
      <c r="G1135" s="22" t="str">
        <f aca="false">IF(OR(E1135="",E1135="!!!"),"",IF(OR(J1135=0,AND(J1135=1,K1135=1),AND(J1135=1,I1135="SBJ"),AND(J1135=1,I1135=0)),"?IN_FOCUS",IF(J1135&lt;=2,"?ACTIVATED",IF(J1135&lt;&gt;"","?FAMILIAR",IF(F1135="NEW",IF(ISNA(VLOOKUP(E1135,#REF!,1,FALSE())),"?TYPE_IDENTIFIABLE","?REFERENTIAL"),"_")))))</f>
        <v/>
      </c>
      <c r="H1135" s="23" t="str">
        <f aca="false">IF(J1135&lt;&gt;1,"",IF(I1135="SBJ","CB","?"))</f>
        <v/>
      </c>
      <c r="I1135" s="24" t="str">
        <f aca="false">IF(OR(E1135="",E1135="!!!",F1135="NEW"),"",INDEX(N$2:N1118,-1+SUMPRODUCT(MAX(ROW(E$2:E1118)*(E1135=E$2:E1118)))))</f>
        <v/>
      </c>
      <c r="J1135" s="25" t="str">
        <f aca="true">IF(OR(E1135="",E1135="!!!",F1135="NEW"),"",COUNTBLANK(OFFSET(M$1,,,SUMPRODUCT(MAX(ROW(E$2:E1119)*(E1135=E$2:E1119)))))-COUNTBLANK(OFFSET(M$1,,,SUMPRODUCT(MAX(ROW(Q$1:Q1118)*(E1135=Q$1:Q1118))))))</f>
        <v/>
      </c>
      <c r="K1135" s="25" t="str">
        <f aca="false">IF(OR(E1135="",E1135="!!!",F1135="NEW"),"",INDEX(V$1:V1118,SUMPRODUCT(MAX(ROW(Q$1:Q1118)*(E1135=Q$1:Q1118)))))</f>
        <v/>
      </c>
      <c r="L1135" s="26"/>
      <c r="M1135" s="27"/>
    </row>
    <row r="1136" customFormat="false" ht="15" hidden="false" customHeight="false" outlineLevel="0" collapsed="false">
      <c r="A1136" s="19" t="s">
        <v>506</v>
      </c>
      <c r="B1136" s="28" t="s">
        <v>263</v>
      </c>
      <c r="C1136" s="28" t="s">
        <v>420</v>
      </c>
      <c r="D1136" s="28" t="s">
        <v>253</v>
      </c>
      <c r="E1136" s="20" t="s">
        <v>265</v>
      </c>
      <c r="F1136" s="21" t="str">
        <f aca="false">IF(OR(E1136="",E1136="!!!"),"",IF(NOT(ISNA(VLOOKUP(E1136,Q$1:Q1119,1,FALSE()))),"OLD",IF(AND(E1136&lt;&gt;"",E1136&lt;&gt;"!!!"),"NEW","")))</f>
        <v>NEW</v>
      </c>
      <c r="G1136" s="22" t="s">
        <v>296</v>
      </c>
      <c r="H1136" s="23" t="s">
        <v>243</v>
      </c>
      <c r="I1136" s="24" t="str">
        <f aca="false">IF(OR(E1136="",E1136="!!!",F1136="NEW"),"",INDEX(N$2:N1119,-1+SUMPRODUCT(MAX(ROW(E$2:E1119)*(E1136=E$2:E1119)))))</f>
        <v/>
      </c>
      <c r="J1136" s="25" t="str">
        <f aca="true">IF(OR(E1136="",E1136="!!!",F1136="NEW"),"",COUNTBLANK(OFFSET(M$1,,,SUMPRODUCT(MAX(ROW(E$2:E1120)*(E1136=E$2:E1120)))))-COUNTBLANK(OFFSET(M$1,,,SUMPRODUCT(MAX(ROW(Q$1:Q1119)*(E1136=Q$1:Q1119))))))</f>
        <v/>
      </c>
      <c r="K1136" s="25" t="str">
        <f aca="false">IF(OR(E1136="",E1136="!!!",F1136="NEW"),"",INDEX(V$1:V1119,SUMPRODUCT(MAX(ROW(Q$1:Q1119)*(E1136=Q$1:Q1119)))))</f>
        <v/>
      </c>
      <c r="L1136" s="26"/>
      <c r="M1136" s="27"/>
      <c r="N1136" s="29"/>
      <c r="O1136" s="29"/>
      <c r="P1136" s="29"/>
    </row>
    <row r="1137" customFormat="false" ht="15" hidden="false" customHeight="false" outlineLevel="0" collapsed="false">
      <c r="A1137" s="19" t="s">
        <v>372</v>
      </c>
      <c r="B1137" s="28" t="s">
        <v>324</v>
      </c>
      <c r="E1137" s="20" t="str">
        <f aca="false">IF(P1137="?OLD","!!!","")</f>
        <v/>
      </c>
      <c r="F1137" s="21" t="str">
        <f aca="false">IF(OR(E1137="",E1137="!!!"),"",IF(NOT(ISNA(VLOOKUP(E1137,Q$1:Q1120,1,FALSE()))),"OLD",IF(AND(E1137&lt;&gt;"",E1137&lt;&gt;"!!!"),"NEW","")))</f>
        <v/>
      </c>
      <c r="G1137" s="22" t="str">
        <f aca="false">IF(OR(E1137="",E1137="!!!"),"",IF(OR(J1137=0,AND(J1137=1,K1137=1),AND(J1137=1,I1137="SBJ"),AND(J1137=1,I1137=0)),"?IN_FOCUS",IF(J1137&lt;=2,"?ACTIVATED",IF(J1137&lt;&gt;"","?FAMILIAR",IF(F1137="NEW",IF(ISNA(VLOOKUP(E1137,#REF!,1,FALSE())),"?TYPE_IDENTIFIABLE","?REFERENTIAL"),"_")))))</f>
        <v/>
      </c>
      <c r="H1137" s="23" t="str">
        <f aca="false">IF(J1137&lt;&gt;1,"",IF(I1137="SBJ","CB","?"))</f>
        <v/>
      </c>
      <c r="I1137" s="24" t="str">
        <f aca="false">IF(OR(E1137="",E1137="!!!",F1137="NEW"),"",INDEX(N$2:N1120,-1+SUMPRODUCT(MAX(ROW(E$2:E1120)*(E1137=E$2:E1120)))))</f>
        <v/>
      </c>
      <c r="J1137" s="25" t="str">
        <f aca="true">IF(OR(E1137="",E1137="!!!",F1137="NEW"),"",COUNTBLANK(OFFSET(M$1,,,SUMPRODUCT(MAX(ROW(E$2:E1121)*(E1137=E$2:E1121)))))-COUNTBLANK(OFFSET(M$1,,,SUMPRODUCT(MAX(ROW(Q$1:Q1120)*(E1137=Q$1:Q1120))))))</f>
        <v/>
      </c>
      <c r="K1137" s="25" t="str">
        <f aca="false">IF(OR(E1137="",E1137="!!!",F1137="NEW"),"",INDEX(V$1:V1120,SUMPRODUCT(MAX(ROW(Q$1:Q1120)*(E1137=Q$1:Q1120)))))</f>
        <v/>
      </c>
      <c r="L1137" s="26"/>
      <c r="M1137" s="27"/>
      <c r="N1137" s="29"/>
    </row>
    <row r="1138" customFormat="false" ht="15" hidden="false" customHeight="false" outlineLevel="0" collapsed="false">
      <c r="A1138" s="19" t="s">
        <v>729</v>
      </c>
      <c r="E1138" s="20" t="str">
        <f aca="false">IF(P1138="?OLD","!!!","")</f>
        <v/>
      </c>
      <c r="F1138" s="21" t="str">
        <f aca="false">IF(OR(E1138="",E1138="!!!"),"",IF(NOT(ISNA(VLOOKUP(E1138,Q$1:Q1121,1,FALSE()))),"OLD",IF(AND(E1138&lt;&gt;"",E1138&lt;&gt;"!!!"),"NEW","")))</f>
        <v/>
      </c>
      <c r="G1138" s="22" t="str">
        <f aca="false">IF(OR(E1138="",E1138="!!!"),"",IF(OR(J1138=0,AND(J1138=1,K1138=1),AND(J1138=1,I1138="SBJ"),AND(J1138=1,I1138=0)),"?IN_FOCUS",IF(J1138&lt;=2,"?ACTIVATED",IF(J1138&lt;&gt;"","?FAMILIAR",IF(F1138="NEW",IF(ISNA(VLOOKUP(E1138,#REF!,1,FALSE())),"?TYPE_IDENTIFIABLE","?REFERENTIAL"),"_")))))</f>
        <v/>
      </c>
      <c r="H1138" s="23" t="str">
        <f aca="false">IF(J1138&lt;&gt;1,"",IF(I1138="SBJ","CB","?"))</f>
        <v/>
      </c>
      <c r="I1138" s="24" t="str">
        <f aca="false">IF(OR(E1138="",E1138="!!!",F1138="NEW"),"",INDEX(N$2:N1121,-1+SUMPRODUCT(MAX(ROW(E$2:E1121)*(E1138=E$2:E1121)))))</f>
        <v/>
      </c>
      <c r="J1138" s="25" t="str">
        <f aca="true">IF(OR(E1138="",E1138="!!!",F1138="NEW"),"",COUNTBLANK(OFFSET(M$1,,,SUMPRODUCT(MAX(ROW(E$2:E1122)*(E1138=E$2:E1122)))))-COUNTBLANK(OFFSET(M$1,,,SUMPRODUCT(MAX(ROW(Q$1:Q1121)*(E1138=Q$1:Q1121))))))</f>
        <v/>
      </c>
      <c r="K1138" s="25" t="str">
        <f aca="false">IF(OR(E1138="",E1138="!!!",F1138="NEW"),"",INDEX(V$1:V1121,SUMPRODUCT(MAX(ROW(Q$1:Q1121)*(E1138=Q$1:Q1121)))))</f>
        <v/>
      </c>
      <c r="L1138" s="26"/>
      <c r="M1138" s="27"/>
    </row>
    <row r="1139" customFormat="false" ht="15" hidden="false" customHeight="false" outlineLevel="0" collapsed="false">
      <c r="A1139" s="19" t="s">
        <v>672</v>
      </c>
      <c r="E1139" s="20" t="str">
        <f aca="false">IF(P1139="?OLD","!!!","")</f>
        <v/>
      </c>
      <c r="F1139" s="21" t="str">
        <f aca="false">IF(OR(E1139="",E1139="!!!"),"",IF(NOT(ISNA(VLOOKUP(E1139,Q$1:Q1122,1,FALSE()))),"OLD",IF(AND(E1139&lt;&gt;"",E1139&lt;&gt;"!!!"),"NEW","")))</f>
        <v/>
      </c>
      <c r="G1139" s="22" t="str">
        <f aca="false">IF(OR(E1139="",E1139="!!!"),"",IF(OR(J1139=0,AND(J1139=1,K1139=1),AND(J1139=1,I1139="SBJ"),AND(J1139=1,I1139=0)),"?IN_FOCUS",IF(J1139&lt;=2,"?ACTIVATED",IF(J1139&lt;&gt;"","?FAMILIAR",IF(F1139="NEW",IF(ISNA(VLOOKUP(E1139,#REF!,1,FALSE())),"?TYPE_IDENTIFIABLE","?REFERENTIAL"),"_")))))</f>
        <v/>
      </c>
      <c r="H1139" s="23" t="str">
        <f aca="false">IF(J1139&lt;&gt;1,"",IF(I1139="SBJ","CB","?"))</f>
        <v/>
      </c>
      <c r="I1139" s="24" t="str">
        <f aca="false">IF(OR(E1139="",E1139="!!!",F1139="NEW"),"",INDEX(N$2:N1122,-1+SUMPRODUCT(MAX(ROW(E$2:E1122)*(E1139=E$2:E1122)))))</f>
        <v/>
      </c>
      <c r="J1139" s="25" t="str">
        <f aca="true">IF(OR(E1139="",E1139="!!!",F1139="NEW"),"",COUNTBLANK(OFFSET(M$1,,,SUMPRODUCT(MAX(ROW(E$2:E1123)*(E1139=E$2:E1123)))))-COUNTBLANK(OFFSET(M$1,,,SUMPRODUCT(MAX(ROW(Q$1:Q1122)*(E1139=Q$1:Q1122))))))</f>
        <v/>
      </c>
      <c r="K1139" s="25" t="str">
        <f aca="false">IF(OR(E1139="",E1139="!!!",F1139="NEW"),"",INDEX(V$1:V1122,SUMPRODUCT(MAX(ROW(Q$1:Q1122)*(E1139=Q$1:Q1122)))))</f>
        <v/>
      </c>
      <c r="L1139" s="26"/>
      <c r="M1139" s="27"/>
    </row>
    <row r="1140" customFormat="false" ht="15" hidden="false" customHeight="false" outlineLevel="0" collapsed="false">
      <c r="A1140" s="19" t="s">
        <v>356</v>
      </c>
      <c r="B1140" s="28" t="s">
        <v>293</v>
      </c>
      <c r="C1140" s="28" t="s">
        <v>358</v>
      </c>
      <c r="D1140" s="28" t="s">
        <v>253</v>
      </c>
      <c r="E1140" s="20" t="s">
        <v>413</v>
      </c>
      <c r="F1140" s="21" t="str">
        <f aca="false">IF(OR(E1140="",E1140="!!!"),"",IF(NOT(ISNA(VLOOKUP(E1140,Q$1:Q1123,1,FALSE()))),"OLD",IF(AND(E1140&lt;&gt;"",E1140&lt;&gt;"!!!"),"NEW","")))</f>
        <v>NEW</v>
      </c>
      <c r="G1140" s="22" t="s">
        <v>266</v>
      </c>
      <c r="H1140" s="23" t="str">
        <f aca="false">IF(J1140&lt;&gt;1,"",IF(I1140="SBJ","CB","?"))</f>
        <v/>
      </c>
      <c r="I1140" s="24" t="str">
        <f aca="false">IF(OR(E1140="",E1140="!!!",F1140="NEW"),"",INDEX(N$2:N1123,-1+SUMPRODUCT(MAX(ROW(E$2:E1123)*(E1140=E$2:E1123)))))</f>
        <v/>
      </c>
      <c r="J1140" s="25" t="str">
        <f aca="true">IF(OR(E1140="",E1140="!!!",F1140="NEW"),"",COUNTBLANK(OFFSET(M$1,,,SUMPRODUCT(MAX(ROW(E$2:E1124)*(E1140=E$2:E1124)))))-COUNTBLANK(OFFSET(M$1,,,SUMPRODUCT(MAX(ROW(Q$1:Q1123)*(E1140=Q$1:Q1123))))))</f>
        <v/>
      </c>
      <c r="K1140" s="25" t="str">
        <f aca="false">IF(OR(E1140="",E1140="!!!",F1140="NEW"),"",INDEX(V$1:V1123,SUMPRODUCT(MAX(ROW(Q$1:Q1123)*(E1140=Q$1:Q1123)))))</f>
        <v/>
      </c>
      <c r="L1140" s="26"/>
      <c r="M1140" s="27"/>
      <c r="N1140" s="29"/>
      <c r="O1140" s="29"/>
      <c r="P1140" s="29"/>
    </row>
    <row r="1141" customFormat="false" ht="15" hidden="false" customHeight="false" outlineLevel="0" collapsed="false">
      <c r="A1141" s="19" t="s">
        <v>730</v>
      </c>
      <c r="B1141" s="28" t="s">
        <v>326</v>
      </c>
      <c r="C1141" s="28" t="s">
        <v>314</v>
      </c>
      <c r="D1141" s="28" t="s">
        <v>253</v>
      </c>
      <c r="E1141" s="20" t="s">
        <v>731</v>
      </c>
      <c r="F1141" s="21" t="str">
        <f aca="false">IF(OR(E1141="",E1141="!!!"),"",IF(NOT(ISNA(VLOOKUP(E1141,Q$1:Q1124,1,FALSE()))),"OLD",IF(AND(E1141&lt;&gt;"",E1141&lt;&gt;"!!!"),"NEW","")))</f>
        <v>NEW</v>
      </c>
      <c r="G1141" s="22" t="s">
        <v>255</v>
      </c>
      <c r="H1141" s="23" t="str">
        <f aca="false">IF(J1141&lt;&gt;1,"",IF(I1141="SBJ","CB","?"))</f>
        <v/>
      </c>
      <c r="I1141" s="24" t="str">
        <f aca="false">IF(OR(E1141="",E1141="!!!",F1141="NEW"),"",INDEX(N$2:N1124,-1+SUMPRODUCT(MAX(ROW(E$2:E1124)*(E1141=E$2:E1124)))))</f>
        <v/>
      </c>
      <c r="J1141" s="25" t="str">
        <f aca="true">IF(OR(E1141="",E1141="!!!",F1141="NEW"),"",COUNTBLANK(OFFSET(M$1,,,SUMPRODUCT(MAX(ROW(E$2:E1125)*(E1141=E$2:E1125)))))-COUNTBLANK(OFFSET(M$1,,,SUMPRODUCT(MAX(ROW(Q$1:Q1124)*(E1141=Q$1:Q1124))))))</f>
        <v/>
      </c>
      <c r="K1141" s="25" t="str">
        <f aca="false">IF(OR(E1141="",E1141="!!!",F1141="NEW"),"",INDEX(V$1:V1124,SUMPRODUCT(MAX(ROW(Q$1:Q1124)*(E1141=Q$1:Q1124)))))</f>
        <v/>
      </c>
      <c r="L1141" s="26"/>
      <c r="M1141" s="27"/>
      <c r="N1141" s="29"/>
      <c r="O1141" s="29"/>
      <c r="P1141" s="29"/>
    </row>
    <row r="1142" customFormat="false" ht="15" hidden="false" customHeight="false" outlineLevel="0" collapsed="false">
      <c r="A1142" s="19" t="s">
        <v>268</v>
      </c>
      <c r="E1142" s="20" t="str">
        <f aca="false">IF(P1142="?OLD","!!!","")</f>
        <v/>
      </c>
      <c r="F1142" s="21" t="str">
        <f aca="false">IF(OR(E1142="",E1142="!!!"),"",IF(NOT(ISNA(VLOOKUP(E1142,Q$1:Q1125,1,FALSE()))),"OLD",IF(AND(E1142&lt;&gt;"",E1142&lt;&gt;"!!!"),"NEW","")))</f>
        <v/>
      </c>
      <c r="G1142" s="22" t="str">
        <f aca="false">IF(OR(E1142="",E1142="!!!"),"",IF(OR(J1142=0,AND(J1142=1,K1142=1),AND(J1142=1,I1142="SBJ"),AND(J1142=1,I1142=0)),"?IN_FOCUS",IF(J1142&lt;=2,"?ACTIVATED",IF(J1142&lt;&gt;"","?FAMILIAR",IF(F1142="NEW",IF(ISNA(VLOOKUP(E1142,#REF!,1,FALSE())),"?TYPE_IDENTIFIABLE","?REFERENTIAL"),"_")))))</f>
        <v/>
      </c>
      <c r="H1142" s="23" t="str">
        <f aca="false">IF(J1142&lt;&gt;1,"",IF(I1142="SBJ","CB","?"))</f>
        <v/>
      </c>
      <c r="I1142" s="24" t="str">
        <f aca="false">IF(OR(E1142="",E1142="!!!",F1142="NEW"),"",INDEX(N$2:N1125,-1+SUMPRODUCT(MAX(ROW(E$2:E1125)*(E1142=E$2:E1125)))))</f>
        <v/>
      </c>
      <c r="J1142" s="25" t="str">
        <f aca="true">IF(OR(E1142="",E1142="!!!",F1142="NEW"),"",COUNTBLANK(OFFSET(M$1,,,SUMPRODUCT(MAX(ROW(E$2:E1126)*(E1142=E$2:E1126)))))-COUNTBLANK(OFFSET(M$1,,,SUMPRODUCT(MAX(ROW(Q$1:Q1125)*(E1142=Q$1:Q1125))))))</f>
        <v/>
      </c>
      <c r="K1142" s="25" t="str">
        <f aca="false">IF(OR(E1142="",E1142="!!!",F1142="NEW"),"",INDEX(V$1:V1125,SUMPRODUCT(MAX(ROW(Q$1:Q1125)*(E1142=Q$1:Q1125)))))</f>
        <v/>
      </c>
      <c r="L1142" s="26"/>
      <c r="M1142" s="27"/>
    </row>
    <row r="1143" customFormat="false" ht="15" hidden="false" customHeight="false" outlineLevel="0" collapsed="false">
      <c r="A1143" s="19" t="s">
        <v>706</v>
      </c>
      <c r="E1143" s="20" t="str">
        <f aca="false">IF(P1143="?OLD","!!!","")</f>
        <v/>
      </c>
      <c r="F1143" s="21" t="str">
        <f aca="false">IF(OR(E1143="",E1143="!!!"),"",IF(NOT(ISNA(VLOOKUP(E1143,Q$1:Q1126,1,FALSE()))),"OLD",IF(AND(E1143&lt;&gt;"",E1143&lt;&gt;"!!!"),"NEW","")))</f>
        <v/>
      </c>
      <c r="G1143" s="22" t="str">
        <f aca="false">IF(OR(E1143="",E1143="!!!"),"",IF(OR(J1143=0,AND(J1143=1,K1143=1),AND(J1143=1,I1143="SBJ"),AND(J1143=1,I1143=0)),"?IN_FOCUS",IF(J1143&lt;=2,"?ACTIVATED",IF(J1143&lt;&gt;"","?FAMILIAR",IF(F1143="NEW",IF(ISNA(VLOOKUP(E1143,#REF!,1,FALSE())),"?TYPE_IDENTIFIABLE","?REFERENTIAL"),"_")))))</f>
        <v/>
      </c>
      <c r="H1143" s="23" t="str">
        <f aca="false">IF(J1143&lt;&gt;1,"",IF(I1143="SBJ","CB","?"))</f>
        <v/>
      </c>
      <c r="I1143" s="24" t="str">
        <f aca="false">IF(OR(E1143="",E1143="!!!",F1143="NEW"),"",INDEX(N$2:N1126,-1+SUMPRODUCT(MAX(ROW(E$2:E1126)*(E1143=E$2:E1126)))))</f>
        <v/>
      </c>
      <c r="J1143" s="25" t="str">
        <f aca="true">IF(OR(E1143="",E1143="!!!",F1143="NEW"),"",COUNTBLANK(OFFSET(M$1,,,SUMPRODUCT(MAX(ROW(E$2:E1127)*(E1143=E$2:E1127)))))-COUNTBLANK(OFFSET(M$1,,,SUMPRODUCT(MAX(ROW(Q$1:Q1126)*(E1143=Q$1:Q1126))))))</f>
        <v/>
      </c>
      <c r="K1143" s="25" t="str">
        <f aca="false">IF(OR(E1143="",E1143="!!!",F1143="NEW"),"",INDEX(V$1:V1126,SUMPRODUCT(MAX(ROW(Q$1:Q1126)*(E1143=Q$1:Q1126)))))</f>
        <v/>
      </c>
      <c r="L1143" s="26"/>
      <c r="M1143" s="27"/>
    </row>
    <row r="1144" customFormat="false" ht="15" hidden="false" customHeight="false" outlineLevel="0" collapsed="false">
      <c r="A1144" s="19" t="s">
        <v>275</v>
      </c>
      <c r="E1144" s="20" t="str">
        <f aca="false">IF(P1144="?OLD","!!!","")</f>
        <v/>
      </c>
      <c r="F1144" s="21" t="str">
        <f aca="false">IF(OR(E1144="",E1144="!!!"),"",IF(NOT(ISNA(VLOOKUP(E1144,Q$1:Q1127,1,FALSE()))),"OLD",IF(AND(E1144&lt;&gt;"",E1144&lt;&gt;"!!!"),"NEW","")))</f>
        <v/>
      </c>
      <c r="G1144" s="22" t="str">
        <f aca="false">IF(OR(E1144="",E1144="!!!"),"",IF(OR(J1144=0,AND(J1144=1,K1144=1),AND(J1144=1,I1144="SBJ"),AND(J1144=1,I1144=0)),"?IN_FOCUS",IF(J1144&lt;=2,"?ACTIVATED",IF(J1144&lt;&gt;"","?FAMILIAR",IF(F1144="NEW",IF(ISNA(VLOOKUP(E1144,#REF!,1,FALSE())),"?TYPE_IDENTIFIABLE","?REFERENTIAL"),"_")))))</f>
        <v/>
      </c>
      <c r="H1144" s="23" t="str">
        <f aca="false">IF(J1144&lt;&gt;1,"",IF(I1144="SBJ","CB","?"))</f>
        <v/>
      </c>
      <c r="I1144" s="24" t="str">
        <f aca="false">IF(OR(E1144="",E1144="!!!",F1144="NEW"),"",INDEX(N$2:N1127,-1+SUMPRODUCT(MAX(ROW(E$2:E1127)*(E1144=E$2:E1127)))))</f>
        <v/>
      </c>
      <c r="J1144" s="25" t="str">
        <f aca="true">IF(OR(E1144="",E1144="!!!",F1144="NEW"),"",COUNTBLANK(OFFSET(M$1,,,SUMPRODUCT(MAX(ROW(E$2:E1128)*(E1144=E$2:E1128)))))-COUNTBLANK(OFFSET(M$1,,,SUMPRODUCT(MAX(ROW(Q$1:Q1127)*(E1144=Q$1:Q1127))))))</f>
        <v/>
      </c>
      <c r="K1144" s="25" t="str">
        <f aca="false">IF(OR(E1144="",E1144="!!!",F1144="NEW"),"",INDEX(V$1:V1127,SUMPRODUCT(MAX(ROW(Q$1:Q1127)*(E1144=Q$1:Q1127)))))</f>
        <v/>
      </c>
      <c r="L1144" s="26"/>
      <c r="M1144" s="27"/>
    </row>
    <row r="1145" customFormat="false" ht="15" hidden="false" customHeight="false" outlineLevel="0" collapsed="false">
      <c r="A1145" s="19"/>
      <c r="E1145" s="20" t="str">
        <f aca="false">IF(P1145="?OLD","!!!","")</f>
        <v/>
      </c>
      <c r="F1145" s="21" t="str">
        <f aca="false">IF(OR(E1145="",E1145="!!!"),"",IF(NOT(ISNA(VLOOKUP(E1145,Q$1:Q1128,1,FALSE()))),"OLD",IF(AND(E1145&lt;&gt;"",E1145&lt;&gt;"!!!"),"NEW","")))</f>
        <v/>
      </c>
      <c r="G1145" s="22" t="str">
        <f aca="false">IF(OR(E1145="",E1145="!!!"),"",IF(OR(J1145=0,AND(J1145=1,K1145=1),AND(J1145=1,I1145="SBJ"),AND(J1145=1,I1145=0)),"?IN_FOCUS",IF(J1145&lt;=2,"?ACTIVATED",IF(J1145&lt;&gt;"","?FAMILIAR",IF(F1145="NEW",IF(ISNA(VLOOKUP(E1145,#REF!,1,FALSE())),"?TYPE_IDENTIFIABLE","?REFERENTIAL"),"_")))))</f>
        <v/>
      </c>
      <c r="H1145" s="23" t="str">
        <f aca="false">IF(J1145&lt;&gt;1,"",IF(I1145="SBJ","CB","?"))</f>
        <v/>
      </c>
      <c r="I1145" s="24" t="str">
        <f aca="false">IF(OR(E1145="",E1145="!!!",F1145="NEW"),"",INDEX(N$2:N1128,-1+SUMPRODUCT(MAX(ROW(E$2:E1128)*(E1145=E$2:E1128)))))</f>
        <v/>
      </c>
      <c r="J1145" s="25" t="str">
        <f aca="true">IF(OR(E1145="",E1145="!!!",F1145="NEW"),"",COUNTBLANK(OFFSET(M$1,,,SUMPRODUCT(MAX(ROW(E$2:E1129)*(E1145=E$2:E1129)))))-COUNTBLANK(OFFSET(M$1,,,SUMPRODUCT(MAX(ROW(Q$1:Q1128)*(E1145=Q$1:Q1128))))))</f>
        <v/>
      </c>
      <c r="K1145" s="25" t="str">
        <f aca="false">IF(OR(E1145="",E1145="!!!",F1145="NEW"),"",INDEX(V$1:V1128,SUMPRODUCT(MAX(ROW(Q$1:Q1128)*(E1145=Q$1:Q1128)))))</f>
        <v/>
      </c>
      <c r="L1145" s="26"/>
    </row>
    <row r="1146" customFormat="false" ht="15" hidden="false" customHeight="false" outlineLevel="0" collapsed="false">
      <c r="A1146" s="19" t="s">
        <v>732</v>
      </c>
      <c r="E1146" s="20" t="str">
        <f aca="false">IF(P1146="?OLD","!!!","")</f>
        <v/>
      </c>
      <c r="F1146" s="21" t="str">
        <f aca="false">IF(OR(E1146="",E1146="!!!"),"",IF(NOT(ISNA(VLOOKUP(E1146,Q$1:Q1129,1,FALSE()))),"OLD",IF(AND(E1146&lt;&gt;"",E1146&lt;&gt;"!!!"),"NEW","")))</f>
        <v/>
      </c>
      <c r="G1146" s="22" t="str">
        <f aca="false">IF(OR(E1146="",E1146="!!!"),"",IF(OR(J1146=0,AND(J1146=1,K1146=1),AND(J1146=1,I1146="SBJ"),AND(J1146=1,I1146=0)),"?IN_FOCUS",IF(J1146&lt;=2,"?ACTIVATED",IF(J1146&lt;&gt;"","?FAMILIAR",IF(F1146="NEW",IF(ISNA(VLOOKUP(E1146,#REF!,1,FALSE())),"?TYPE_IDENTIFIABLE","?REFERENTIAL"),"_")))))</f>
        <v/>
      </c>
      <c r="H1146" s="23" t="str">
        <f aca="false">IF(J1146&lt;&gt;1,"",IF(I1146="SBJ","CB","?"))</f>
        <v/>
      </c>
      <c r="I1146" s="24" t="str">
        <f aca="false">IF(OR(E1146="",E1146="!!!",F1146="NEW"),"",INDEX(N$2:N1129,-1+SUMPRODUCT(MAX(ROW(E$2:E1129)*(E1146=E$2:E1129)))))</f>
        <v/>
      </c>
      <c r="J1146" s="25" t="str">
        <f aca="true">IF(OR(E1146="",E1146="!!!",F1146="NEW"),"",COUNTBLANK(OFFSET(M$1,,,SUMPRODUCT(MAX(ROW(E$2:E1130)*(E1146=E$2:E1130)))))-COUNTBLANK(OFFSET(M$1,,,SUMPRODUCT(MAX(ROW(Q$1:Q1129)*(E1146=Q$1:Q1129))))))</f>
        <v/>
      </c>
      <c r="K1146" s="25" t="str">
        <f aca="false">IF(OR(E1146="",E1146="!!!",F1146="NEW"),"",INDEX(V$1:V1129,SUMPRODUCT(MAX(ROW(Q$1:Q1129)*(E1146=Q$1:Q1129)))))</f>
        <v/>
      </c>
      <c r="L1146" s="26"/>
      <c r="M1146" s="27"/>
    </row>
    <row r="1147" customFormat="false" ht="15" hidden="false" customHeight="false" outlineLevel="0" collapsed="false">
      <c r="A1147" s="19" t="s">
        <v>733</v>
      </c>
      <c r="E1147" s="20" t="str">
        <f aca="false">IF(P1147="?OLD","!!!","")</f>
        <v/>
      </c>
      <c r="F1147" s="21" t="str">
        <f aca="false">IF(OR(E1147="",E1147="!!!"),"",IF(NOT(ISNA(VLOOKUP(E1147,Q$1:Q1130,1,FALSE()))),"OLD",IF(AND(E1147&lt;&gt;"",E1147&lt;&gt;"!!!"),"NEW","")))</f>
        <v/>
      </c>
      <c r="G1147" s="22" t="str">
        <f aca="false">IF(OR(E1147="",E1147="!!!"),"",IF(OR(J1147=0,AND(J1147=1,K1147=1),AND(J1147=1,I1147="SBJ"),AND(J1147=1,I1147=0)),"?IN_FOCUS",IF(J1147&lt;=2,"?ACTIVATED",IF(J1147&lt;&gt;"","?FAMILIAR",IF(F1147="NEW",IF(ISNA(VLOOKUP(E1147,#REF!,1,FALSE())),"?TYPE_IDENTIFIABLE","?REFERENTIAL"),"_")))))</f>
        <v/>
      </c>
      <c r="H1147" s="23" t="str">
        <f aca="false">IF(J1147&lt;&gt;1,"",IF(I1147="SBJ","CB","?"))</f>
        <v/>
      </c>
      <c r="I1147" s="24" t="str">
        <f aca="false">IF(OR(E1147="",E1147="!!!",F1147="NEW"),"",INDEX(N$2:N1130,-1+SUMPRODUCT(MAX(ROW(E$2:E1130)*(E1147=E$2:E1130)))))</f>
        <v/>
      </c>
      <c r="J1147" s="25" t="str">
        <f aca="true">IF(OR(E1147="",E1147="!!!",F1147="NEW"),"",COUNTBLANK(OFFSET(M$1,,,SUMPRODUCT(MAX(ROW(E$2:E1131)*(E1147=E$2:E1131)))))-COUNTBLANK(OFFSET(M$1,,,SUMPRODUCT(MAX(ROW(Q$1:Q1130)*(E1147=Q$1:Q1130))))))</f>
        <v/>
      </c>
      <c r="K1147" s="25" t="str">
        <f aca="false">IF(OR(E1147="",E1147="!!!",F1147="NEW"),"",INDEX(V$1:V1130,SUMPRODUCT(MAX(ROW(Q$1:Q1130)*(E1147=Q$1:Q1130)))))</f>
        <v/>
      </c>
      <c r="L1147" s="26"/>
      <c r="M1147" s="27"/>
    </row>
    <row r="1148" customFormat="false" ht="15" hidden="false" customHeight="false" outlineLevel="0" collapsed="false">
      <c r="A1148" s="19" t="s">
        <v>268</v>
      </c>
      <c r="E1148" s="20" t="str">
        <f aca="false">IF(P1148="?OLD","!!!","")</f>
        <v/>
      </c>
      <c r="F1148" s="21" t="str">
        <f aca="false">IF(OR(E1148="",E1148="!!!"),"",IF(NOT(ISNA(VLOOKUP(E1148,Q$1:Q1131,1,FALSE()))),"OLD",IF(AND(E1148&lt;&gt;"",E1148&lt;&gt;"!!!"),"NEW","")))</f>
        <v/>
      </c>
      <c r="G1148" s="22" t="str">
        <f aca="false">IF(OR(E1148="",E1148="!!!"),"",IF(OR(J1148=0,AND(J1148=1,K1148=1),AND(J1148=1,I1148="SBJ"),AND(J1148=1,I1148=0)),"?IN_FOCUS",IF(J1148&lt;=2,"?ACTIVATED",IF(J1148&lt;&gt;"","?FAMILIAR",IF(F1148="NEW",IF(ISNA(VLOOKUP(E1148,#REF!,1,FALSE())),"?TYPE_IDENTIFIABLE","?REFERENTIAL"),"_")))))</f>
        <v/>
      </c>
      <c r="H1148" s="23" t="str">
        <f aca="false">IF(J1148&lt;&gt;1,"",IF(I1148="SBJ","CB","?"))</f>
        <v/>
      </c>
      <c r="I1148" s="24" t="str">
        <f aca="false">IF(OR(E1148="",E1148="!!!",F1148="NEW"),"",INDEX(N$2:N1131,-1+SUMPRODUCT(MAX(ROW(E$2:E1131)*(E1148=E$2:E1131)))))</f>
        <v/>
      </c>
      <c r="J1148" s="25" t="str">
        <f aca="true">IF(OR(E1148="",E1148="!!!",F1148="NEW"),"",COUNTBLANK(OFFSET(M$1,,,SUMPRODUCT(MAX(ROW(E$2:E1132)*(E1148=E$2:E1132)))))-COUNTBLANK(OFFSET(M$1,,,SUMPRODUCT(MAX(ROW(Q$1:Q1131)*(E1148=Q$1:Q1131))))))</f>
        <v/>
      </c>
      <c r="K1148" s="25" t="str">
        <f aca="false">IF(OR(E1148="",E1148="!!!",F1148="NEW"),"",INDEX(V$1:V1131,SUMPRODUCT(MAX(ROW(Q$1:Q1131)*(E1148=Q$1:Q1131)))))</f>
        <v/>
      </c>
      <c r="L1148" s="26"/>
      <c r="M1148" s="27"/>
    </row>
    <row r="1149" customFormat="false" ht="15" hidden="false" customHeight="false" outlineLevel="0" collapsed="false">
      <c r="A1149" s="19" t="s">
        <v>734</v>
      </c>
      <c r="E1149" s="20" t="str">
        <f aca="false">IF(P1149="?OLD","!!!","")</f>
        <v/>
      </c>
      <c r="F1149" s="21" t="str">
        <f aca="false">IF(OR(E1149="",E1149="!!!"),"",IF(NOT(ISNA(VLOOKUP(E1149,Q$1:Q1132,1,FALSE()))),"OLD",IF(AND(E1149&lt;&gt;"",E1149&lt;&gt;"!!!"),"NEW","")))</f>
        <v/>
      </c>
      <c r="G1149" s="22" t="str">
        <f aca="false">IF(OR(E1149="",E1149="!!!"),"",IF(OR(J1149=0,AND(J1149=1,K1149=1),AND(J1149=1,I1149="SBJ"),AND(J1149=1,I1149=0)),"?IN_FOCUS",IF(J1149&lt;=2,"?ACTIVATED",IF(J1149&lt;&gt;"","?FAMILIAR",IF(F1149="NEW",IF(ISNA(VLOOKUP(E1149,#REF!,1,FALSE())),"?TYPE_IDENTIFIABLE","?REFERENTIAL"),"_")))))</f>
        <v/>
      </c>
      <c r="H1149" s="23" t="str">
        <f aca="false">IF(J1149&lt;&gt;1,"",IF(I1149="SBJ","CB","?"))</f>
        <v/>
      </c>
      <c r="I1149" s="24" t="str">
        <f aca="false">IF(OR(E1149="",E1149="!!!",F1149="NEW"),"",INDEX(N$2:N1132,-1+SUMPRODUCT(MAX(ROW(E$2:E1132)*(E1149=E$2:E1132)))))</f>
        <v/>
      </c>
      <c r="J1149" s="25" t="str">
        <f aca="true">IF(OR(E1149="",E1149="!!!",F1149="NEW"),"",COUNTBLANK(OFFSET(M$1,,,SUMPRODUCT(MAX(ROW(E$2:E1133)*(E1149=E$2:E1133)))))-COUNTBLANK(OFFSET(M$1,,,SUMPRODUCT(MAX(ROW(Q$1:Q1132)*(E1149=Q$1:Q1132))))))</f>
        <v/>
      </c>
      <c r="K1149" s="25" t="str">
        <f aca="false">IF(OR(E1149="",E1149="!!!",F1149="NEW"),"",INDEX(V$1:V1132,SUMPRODUCT(MAX(ROW(Q$1:Q1132)*(E1149=Q$1:Q1132)))))</f>
        <v/>
      </c>
      <c r="L1149" s="26"/>
      <c r="M1149" s="27"/>
    </row>
    <row r="1150" customFormat="false" ht="15" hidden="false" customHeight="false" outlineLevel="0" collapsed="false">
      <c r="A1150" s="19" t="s">
        <v>482</v>
      </c>
      <c r="E1150" s="20" t="str">
        <f aca="false">IF(P1150="?OLD","!!!","")</f>
        <v/>
      </c>
      <c r="F1150" s="21" t="str">
        <f aca="false">IF(OR(E1150="",E1150="!!!"),"",IF(NOT(ISNA(VLOOKUP(E1150,Q$1:Q1133,1,FALSE()))),"OLD",IF(AND(E1150&lt;&gt;"",E1150&lt;&gt;"!!!"),"NEW","")))</f>
        <v/>
      </c>
      <c r="G1150" s="22" t="str">
        <f aca="false">IF(OR(E1150="",E1150="!!!"),"",IF(OR(J1150=0,AND(J1150=1,K1150=1),AND(J1150=1,I1150="SBJ"),AND(J1150=1,I1150=0)),"?IN_FOCUS",IF(J1150&lt;=2,"?ACTIVATED",IF(J1150&lt;&gt;"","?FAMILIAR",IF(F1150="NEW",IF(ISNA(VLOOKUP(E1150,#REF!,1,FALSE())),"?TYPE_IDENTIFIABLE","?REFERENTIAL"),"_")))))</f>
        <v/>
      </c>
      <c r="H1150" s="23" t="str">
        <f aca="false">IF(J1150&lt;&gt;1,"",IF(I1150="SBJ","CB","?"))</f>
        <v/>
      </c>
      <c r="I1150" s="24" t="str">
        <f aca="false">IF(OR(E1150="",E1150="!!!",F1150="NEW"),"",INDEX(N$2:N1133,-1+SUMPRODUCT(MAX(ROW(E$2:E1133)*(E1150=E$2:E1133)))))</f>
        <v/>
      </c>
      <c r="J1150" s="25" t="str">
        <f aca="true">IF(OR(E1150="",E1150="!!!",F1150="NEW"),"",COUNTBLANK(OFFSET(M$1,,,SUMPRODUCT(MAX(ROW(E$2:E1134)*(E1150=E$2:E1134)))))-COUNTBLANK(OFFSET(M$1,,,SUMPRODUCT(MAX(ROW(Q$1:Q1133)*(E1150=Q$1:Q1133))))))</f>
        <v/>
      </c>
      <c r="K1150" s="25" t="str">
        <f aca="false">IF(OR(E1150="",E1150="!!!",F1150="NEW"),"",INDEX(V$1:V1133,SUMPRODUCT(MAX(ROW(Q$1:Q1133)*(E1150=Q$1:Q1133)))))</f>
        <v/>
      </c>
      <c r="L1150" s="26"/>
      <c r="M1150" s="27"/>
    </row>
    <row r="1151" customFormat="false" ht="15" hidden="false" customHeight="false" outlineLevel="0" collapsed="false">
      <c r="A1151" s="19" t="s">
        <v>226</v>
      </c>
      <c r="B1151" s="28" t="s">
        <v>271</v>
      </c>
      <c r="C1151" s="28" t="s">
        <v>344</v>
      </c>
      <c r="D1151" s="28" t="s">
        <v>253</v>
      </c>
      <c r="E1151" s="20" t="s">
        <v>465</v>
      </c>
      <c r="F1151" s="21" t="str">
        <f aca="false">IF(OR(E1151="",E1151="!!!"),"",IF(NOT(ISNA(VLOOKUP(E1151,Q$1:Q1134,1,FALSE()))),"OLD",IF(AND(E1151&lt;&gt;"",E1151&lt;&gt;"!!!"),"NEW","")))</f>
        <v>NEW</v>
      </c>
      <c r="G1151" s="22" t="s">
        <v>283</v>
      </c>
      <c r="H1151" s="23" t="str">
        <f aca="false">IF(J1151&lt;&gt;1,"",IF(I1151="SBJ","CB","?"))</f>
        <v/>
      </c>
      <c r="I1151" s="24" t="str">
        <f aca="false">IF(OR(E1151="",E1151="!!!",F1151="NEW"),"",INDEX(N$2:N1134,-1+SUMPRODUCT(MAX(ROW(E$2:E1134)*(E1151=E$2:E1134)))))</f>
        <v/>
      </c>
      <c r="J1151" s="25" t="str">
        <f aca="true">IF(OR(E1151="",E1151="!!!",F1151="NEW"),"",COUNTBLANK(OFFSET(M$1,,,SUMPRODUCT(MAX(ROW(E$2:E1135)*(E1151=E$2:E1135)))))-COUNTBLANK(OFFSET(M$1,,,SUMPRODUCT(MAX(ROW(Q$1:Q1134)*(E1151=Q$1:Q1134))))))</f>
        <v/>
      </c>
      <c r="K1151" s="25" t="str">
        <f aca="false">IF(OR(E1151="",E1151="!!!",F1151="NEW"),"",INDEX(V$1:V1134,SUMPRODUCT(MAX(ROW(Q$1:Q1134)*(E1151=Q$1:Q1134)))))</f>
        <v/>
      </c>
      <c r="L1151" s="26"/>
      <c r="M1151" s="27"/>
      <c r="N1151" s="29"/>
      <c r="O1151" s="29"/>
      <c r="P1151" s="29"/>
    </row>
    <row r="1152" customFormat="false" ht="15" hidden="false" customHeight="false" outlineLevel="0" collapsed="false">
      <c r="A1152" s="19" t="s">
        <v>659</v>
      </c>
      <c r="E1152" s="20" t="str">
        <f aca="false">IF(P1152="?OLD","!!!","")</f>
        <v/>
      </c>
      <c r="F1152" s="21" t="str">
        <f aca="false">IF(OR(E1152="",E1152="!!!"),"",IF(NOT(ISNA(VLOOKUP(E1152,Q$1:Q1135,1,FALSE()))),"OLD",IF(AND(E1152&lt;&gt;"",E1152&lt;&gt;"!!!"),"NEW","")))</f>
        <v/>
      </c>
      <c r="G1152" s="22" t="str">
        <f aca="false">IF(OR(E1152="",E1152="!!!"),"",IF(OR(J1152=0,AND(J1152=1,K1152=1),AND(J1152=1,I1152="SBJ"),AND(J1152=1,I1152=0)),"?IN_FOCUS",IF(J1152&lt;=2,"?ACTIVATED",IF(J1152&lt;&gt;"","?FAMILIAR",IF(F1152="NEW",IF(ISNA(VLOOKUP(E1152,#REF!,1,FALSE())),"?TYPE_IDENTIFIABLE","?REFERENTIAL"),"_")))))</f>
        <v/>
      </c>
      <c r="H1152" s="23" t="str">
        <f aca="false">IF(J1152&lt;&gt;1,"",IF(I1152="SBJ","CB","?"))</f>
        <v/>
      </c>
      <c r="I1152" s="24" t="str">
        <f aca="false">IF(OR(E1152="",E1152="!!!",F1152="NEW"),"",INDEX(N$2:N1135,-1+SUMPRODUCT(MAX(ROW(E$2:E1135)*(E1152=E$2:E1135)))))</f>
        <v/>
      </c>
      <c r="J1152" s="25" t="str">
        <f aca="true">IF(OR(E1152="",E1152="!!!",F1152="NEW"),"",COUNTBLANK(OFFSET(M$1,,,SUMPRODUCT(MAX(ROW(E$2:E1136)*(E1152=E$2:E1136)))))-COUNTBLANK(OFFSET(M$1,,,SUMPRODUCT(MAX(ROW(Q$1:Q1135)*(E1152=Q$1:Q1135))))))</f>
        <v/>
      </c>
      <c r="K1152" s="25" t="str">
        <f aca="false">IF(OR(E1152="",E1152="!!!",F1152="NEW"),"",INDEX(V$1:V1135,SUMPRODUCT(MAX(ROW(Q$1:Q1135)*(E1152=Q$1:Q1135)))))</f>
        <v/>
      </c>
      <c r="L1152" s="26"/>
      <c r="M1152" s="27"/>
    </row>
    <row r="1153" customFormat="false" ht="15" hidden="false" customHeight="false" outlineLevel="0" collapsed="false">
      <c r="A1153" s="19" t="s">
        <v>735</v>
      </c>
      <c r="E1153" s="20" t="str">
        <f aca="false">IF(P1153="?OLD","!!!","")</f>
        <v/>
      </c>
      <c r="F1153" s="21" t="str">
        <f aca="false">IF(OR(E1153="",E1153="!!!"),"",IF(NOT(ISNA(VLOOKUP(E1153,Q$1:Q1136,1,FALSE()))),"OLD",IF(AND(E1153&lt;&gt;"",E1153&lt;&gt;"!!!"),"NEW","")))</f>
        <v/>
      </c>
      <c r="G1153" s="22" t="str">
        <f aca="false">IF(OR(E1153="",E1153="!!!"),"",IF(OR(J1153=0,AND(J1153=1,K1153=1),AND(J1153=1,I1153="SBJ"),AND(J1153=1,I1153=0)),"?IN_FOCUS",IF(J1153&lt;=2,"?ACTIVATED",IF(J1153&lt;&gt;"","?FAMILIAR",IF(F1153="NEW",IF(ISNA(VLOOKUP(E1153,#REF!,1,FALSE())),"?TYPE_IDENTIFIABLE","?REFERENTIAL"),"_")))))</f>
        <v/>
      </c>
      <c r="H1153" s="23" t="str">
        <f aca="false">IF(J1153&lt;&gt;1,"",IF(I1153="SBJ","CB","?"))</f>
        <v/>
      </c>
      <c r="I1153" s="24" t="str">
        <f aca="false">IF(OR(E1153="",E1153="!!!",F1153="NEW"),"",INDEX(N$2:N1136,-1+SUMPRODUCT(MAX(ROW(E$2:E1136)*(E1153=E$2:E1136)))))</f>
        <v/>
      </c>
      <c r="J1153" s="25" t="str">
        <f aca="true">IF(OR(E1153="",E1153="!!!",F1153="NEW"),"",COUNTBLANK(OFFSET(M$1,,,SUMPRODUCT(MAX(ROW(E$2:E1137)*(E1153=E$2:E1137)))))-COUNTBLANK(OFFSET(M$1,,,SUMPRODUCT(MAX(ROW(Q$1:Q1136)*(E1153=Q$1:Q1136))))))</f>
        <v/>
      </c>
      <c r="K1153" s="25" t="str">
        <f aca="false">IF(OR(E1153="",E1153="!!!",F1153="NEW"),"",INDEX(V$1:V1136,SUMPRODUCT(MAX(ROW(Q$1:Q1136)*(E1153=Q$1:Q1136)))))</f>
        <v/>
      </c>
      <c r="L1153" s="26"/>
      <c r="M1153" s="27"/>
    </row>
    <row r="1154" customFormat="false" ht="15" hidden="false" customHeight="false" outlineLevel="0" collapsed="false">
      <c r="A1154" s="19" t="s">
        <v>736</v>
      </c>
      <c r="E1154" s="20" t="str">
        <f aca="false">IF(P1154="?OLD","!!!","")</f>
        <v/>
      </c>
      <c r="F1154" s="21" t="str">
        <f aca="false">IF(OR(E1154="",E1154="!!!"),"",IF(NOT(ISNA(VLOOKUP(E1154,Q$1:Q1137,1,FALSE()))),"OLD",IF(AND(E1154&lt;&gt;"",E1154&lt;&gt;"!!!"),"NEW","")))</f>
        <v/>
      </c>
      <c r="G1154" s="22" t="str">
        <f aca="false">IF(OR(E1154="",E1154="!!!"),"",IF(OR(J1154=0,AND(J1154=1,K1154=1),AND(J1154=1,I1154="SBJ"),AND(J1154=1,I1154=0)),"?IN_FOCUS",IF(J1154&lt;=2,"?ACTIVATED",IF(J1154&lt;&gt;"","?FAMILIAR",IF(F1154="NEW",IF(ISNA(VLOOKUP(E1154,#REF!,1,FALSE())),"?TYPE_IDENTIFIABLE","?REFERENTIAL"),"_")))))</f>
        <v/>
      </c>
      <c r="H1154" s="23" t="str">
        <f aca="false">IF(J1154&lt;&gt;1,"",IF(I1154="SBJ","CB","?"))</f>
        <v/>
      </c>
      <c r="I1154" s="24" t="str">
        <f aca="false">IF(OR(E1154="",E1154="!!!",F1154="NEW"),"",INDEX(N$2:N1137,-1+SUMPRODUCT(MAX(ROW(E$2:E1137)*(E1154=E$2:E1137)))))</f>
        <v/>
      </c>
      <c r="J1154" s="25" t="str">
        <f aca="true">IF(OR(E1154="",E1154="!!!",F1154="NEW"),"",COUNTBLANK(OFFSET(M$1,,,SUMPRODUCT(MAX(ROW(E$2:E1138)*(E1154=E$2:E1138)))))-COUNTBLANK(OFFSET(M$1,,,SUMPRODUCT(MAX(ROW(Q$1:Q1137)*(E1154=Q$1:Q1137))))))</f>
        <v/>
      </c>
      <c r="K1154" s="25" t="str">
        <f aca="false">IF(OR(E1154="",E1154="!!!",F1154="NEW"),"",INDEX(V$1:V1137,SUMPRODUCT(MAX(ROW(Q$1:Q1137)*(E1154=Q$1:Q1137)))))</f>
        <v/>
      </c>
      <c r="L1154" s="26"/>
      <c r="M1154" s="27"/>
    </row>
    <row r="1155" customFormat="false" ht="15" hidden="false" customHeight="false" outlineLevel="0" collapsed="false">
      <c r="A1155" s="19" t="s">
        <v>737</v>
      </c>
      <c r="B1155" s="28" t="s">
        <v>271</v>
      </c>
      <c r="C1155" s="28" t="s">
        <v>272</v>
      </c>
      <c r="E1155" s="20" t="str">
        <f aca="false">IF(P1155="?OLD","!!!","")</f>
        <v/>
      </c>
      <c r="F1155" s="21" t="str">
        <f aca="false">IF(OR(E1155="",E1155="!!!"),"",IF(NOT(ISNA(VLOOKUP(E1155,Q$1:Q1138,1,FALSE()))),"OLD",IF(AND(E1155&lt;&gt;"",E1155&lt;&gt;"!!!"),"NEW","")))</f>
        <v/>
      </c>
      <c r="G1155" s="22" t="str">
        <f aca="false">IF(OR(E1155="",E1155="!!!"),"",IF(OR(J1155=0,AND(J1155=1,K1155=1),AND(J1155=1,I1155="SBJ"),AND(J1155=1,I1155=0)),"?IN_FOCUS",IF(J1155&lt;=2,"?ACTIVATED",IF(J1155&lt;&gt;"","?FAMILIAR",IF(F1155="NEW",IF(ISNA(VLOOKUP(E1155,#REF!,1,FALSE())),"?TYPE_IDENTIFIABLE","?REFERENTIAL"),"_")))))</f>
        <v/>
      </c>
      <c r="H1155" s="23" t="str">
        <f aca="false">IF(J1155&lt;&gt;1,"",IF(I1155="SBJ","CB","?"))</f>
        <v/>
      </c>
      <c r="I1155" s="24" t="str">
        <f aca="false">IF(OR(E1155="",E1155="!!!",F1155="NEW"),"",INDEX(N$2:N1138,-1+SUMPRODUCT(MAX(ROW(E$2:E1138)*(E1155=E$2:E1138)))))</f>
        <v/>
      </c>
      <c r="J1155" s="25" t="str">
        <f aca="true">IF(OR(E1155="",E1155="!!!",F1155="NEW"),"",COUNTBLANK(OFFSET(M$1,,,SUMPRODUCT(MAX(ROW(E$2:E1139)*(E1155=E$2:E1139)))))-COUNTBLANK(OFFSET(M$1,,,SUMPRODUCT(MAX(ROW(Q$1:Q1138)*(E1155=Q$1:Q1138))))))</f>
        <v/>
      </c>
      <c r="K1155" s="25" t="str">
        <f aca="false">IF(OR(E1155="",E1155="!!!",F1155="NEW"),"",INDEX(V$1:V1138,SUMPRODUCT(MAX(ROW(Q$1:Q1138)*(E1155=Q$1:Q1138)))))</f>
        <v/>
      </c>
      <c r="L1155" s="26"/>
      <c r="M1155" s="27"/>
      <c r="N1155" s="29"/>
      <c r="O1155" s="29"/>
    </row>
    <row r="1156" customFormat="false" ht="15" hidden="false" customHeight="false" outlineLevel="0" collapsed="false">
      <c r="A1156" s="19" t="s">
        <v>275</v>
      </c>
      <c r="E1156" s="20" t="str">
        <f aca="false">IF(P1156="?OLD","!!!","")</f>
        <v/>
      </c>
      <c r="F1156" s="21" t="str">
        <f aca="false">IF(OR(E1156="",E1156="!!!"),"",IF(NOT(ISNA(VLOOKUP(E1156,Q$1:Q1139,1,FALSE()))),"OLD",IF(AND(E1156&lt;&gt;"",E1156&lt;&gt;"!!!"),"NEW","")))</f>
        <v/>
      </c>
      <c r="G1156" s="22" t="str">
        <f aca="false">IF(OR(E1156="",E1156="!!!"),"",IF(OR(J1156=0,AND(J1156=1,K1156=1),AND(J1156=1,I1156="SBJ"),AND(J1156=1,I1156=0)),"?IN_FOCUS",IF(J1156&lt;=2,"?ACTIVATED",IF(J1156&lt;&gt;"","?FAMILIAR",IF(F1156="NEW",IF(ISNA(VLOOKUP(E1156,#REF!,1,FALSE())),"?TYPE_IDENTIFIABLE","?REFERENTIAL"),"_")))))</f>
        <v/>
      </c>
      <c r="H1156" s="23" t="str">
        <f aca="false">IF(J1156&lt;&gt;1,"",IF(I1156="SBJ","CB","?"))</f>
        <v/>
      </c>
      <c r="I1156" s="24" t="str">
        <f aca="false">IF(OR(E1156="",E1156="!!!",F1156="NEW"),"",INDEX(N$2:N1139,-1+SUMPRODUCT(MAX(ROW(E$2:E1139)*(E1156=E$2:E1139)))))</f>
        <v/>
      </c>
      <c r="J1156" s="25" t="str">
        <f aca="true">IF(OR(E1156="",E1156="!!!",F1156="NEW"),"",COUNTBLANK(OFFSET(M$1,,,SUMPRODUCT(MAX(ROW(E$2:E1140)*(E1156=E$2:E1140)))))-COUNTBLANK(OFFSET(M$1,,,SUMPRODUCT(MAX(ROW(Q$1:Q1139)*(E1156=Q$1:Q1139))))))</f>
        <v/>
      </c>
      <c r="K1156" s="25" t="str">
        <f aca="false">IF(OR(E1156="",E1156="!!!",F1156="NEW"),"",INDEX(V$1:V1139,SUMPRODUCT(MAX(ROW(Q$1:Q1139)*(E1156=Q$1:Q1139)))))</f>
        <v/>
      </c>
      <c r="L1156" s="26"/>
      <c r="M1156" s="27"/>
    </row>
    <row r="1157" customFormat="false" ht="15" hidden="false" customHeight="false" outlineLevel="0" collapsed="false">
      <c r="A1157" s="19"/>
      <c r="E1157" s="20" t="str">
        <f aca="false">IF(P1157="?OLD","!!!","")</f>
        <v/>
      </c>
      <c r="F1157" s="21" t="str">
        <f aca="false">IF(OR(E1157="",E1157="!!!"),"",IF(NOT(ISNA(VLOOKUP(E1157,Q$1:Q1140,1,FALSE()))),"OLD",IF(AND(E1157&lt;&gt;"",E1157&lt;&gt;"!!!"),"NEW","")))</f>
        <v/>
      </c>
      <c r="G1157" s="22" t="str">
        <f aca="false">IF(OR(E1157="",E1157="!!!"),"",IF(OR(J1157=0,AND(J1157=1,K1157=1),AND(J1157=1,I1157="SBJ"),AND(J1157=1,I1157=0)),"?IN_FOCUS",IF(J1157&lt;=2,"?ACTIVATED",IF(J1157&lt;&gt;"","?FAMILIAR",IF(F1157="NEW",IF(ISNA(VLOOKUP(E1157,#REF!,1,FALSE())),"?TYPE_IDENTIFIABLE","?REFERENTIAL"),"_")))))</f>
        <v/>
      </c>
      <c r="H1157" s="23" t="str">
        <f aca="false">IF(J1157&lt;&gt;1,"",IF(I1157="SBJ","CB","?"))</f>
        <v/>
      </c>
      <c r="I1157" s="24" t="str">
        <f aca="false">IF(OR(E1157="",E1157="!!!",F1157="NEW"),"",INDEX(N$2:N1140,-1+SUMPRODUCT(MAX(ROW(E$2:E1140)*(E1157=E$2:E1140)))))</f>
        <v/>
      </c>
      <c r="J1157" s="25" t="str">
        <f aca="true">IF(OR(E1157="",E1157="!!!",F1157="NEW"),"",COUNTBLANK(OFFSET(M$1,,,SUMPRODUCT(MAX(ROW(E$2:E1141)*(E1157=E$2:E1141)))))-COUNTBLANK(OFFSET(M$1,,,SUMPRODUCT(MAX(ROW(Q$1:Q1140)*(E1157=Q$1:Q1140))))))</f>
        <v/>
      </c>
      <c r="K1157" s="25" t="str">
        <f aca="false">IF(OR(E1157="",E1157="!!!",F1157="NEW"),"",INDEX(V$1:V1140,SUMPRODUCT(MAX(ROW(Q$1:Q1140)*(E1157=Q$1:Q1140)))))</f>
        <v/>
      </c>
      <c r="L1157" s="26"/>
    </row>
    <row r="1158" customFormat="false" ht="15" hidden="false" customHeight="false" outlineLevel="0" collapsed="false">
      <c r="A1158" s="19" t="s">
        <v>738</v>
      </c>
      <c r="E1158" s="20" t="str">
        <f aca="false">IF(P1158="?OLD","!!!","")</f>
        <v/>
      </c>
      <c r="F1158" s="21" t="str">
        <f aca="false">IF(OR(E1158="",E1158="!!!"),"",IF(NOT(ISNA(VLOOKUP(E1158,Q$1:Q1141,1,FALSE()))),"OLD",IF(AND(E1158&lt;&gt;"",E1158&lt;&gt;"!!!"),"NEW","")))</f>
        <v/>
      </c>
      <c r="G1158" s="22" t="str">
        <f aca="false">IF(OR(E1158="",E1158="!!!"),"",IF(OR(J1158=0,AND(J1158=1,K1158=1),AND(J1158=1,I1158="SBJ"),AND(J1158=1,I1158=0)),"?IN_FOCUS",IF(J1158&lt;=2,"?ACTIVATED",IF(J1158&lt;&gt;"","?FAMILIAR",IF(F1158="NEW",IF(ISNA(VLOOKUP(E1158,#REF!,1,FALSE())),"?TYPE_IDENTIFIABLE","?REFERENTIAL"),"_")))))</f>
        <v/>
      </c>
      <c r="H1158" s="23" t="str">
        <f aca="false">IF(J1158&lt;&gt;1,"",IF(I1158="SBJ","CB","?"))</f>
        <v/>
      </c>
      <c r="I1158" s="24" t="str">
        <f aca="false">IF(OR(E1158="",E1158="!!!",F1158="NEW"),"",INDEX(N$2:N1141,-1+SUMPRODUCT(MAX(ROW(E$2:E1141)*(E1158=E$2:E1141)))))</f>
        <v/>
      </c>
      <c r="J1158" s="25" t="str">
        <f aca="true">IF(OR(E1158="",E1158="!!!",F1158="NEW"),"",COUNTBLANK(OFFSET(M$1,,,SUMPRODUCT(MAX(ROW(E$2:E1142)*(E1158=E$2:E1142)))))-COUNTBLANK(OFFSET(M$1,,,SUMPRODUCT(MAX(ROW(Q$1:Q1141)*(E1158=Q$1:Q1141))))))</f>
        <v/>
      </c>
      <c r="K1158" s="25" t="str">
        <f aca="false">IF(OR(E1158="",E1158="!!!",F1158="NEW"),"",INDEX(V$1:V1141,SUMPRODUCT(MAX(ROW(Q$1:Q1141)*(E1158=Q$1:Q1141)))))</f>
        <v/>
      </c>
      <c r="L1158" s="26"/>
      <c r="M1158" s="27"/>
    </row>
    <row r="1159" customFormat="false" ht="15" hidden="false" customHeight="false" outlineLevel="0" collapsed="false">
      <c r="A1159" s="19" t="s">
        <v>317</v>
      </c>
      <c r="B1159" s="28" t="s">
        <v>263</v>
      </c>
      <c r="C1159" s="28" t="s">
        <v>264</v>
      </c>
      <c r="D1159" s="28" t="s">
        <v>253</v>
      </c>
      <c r="E1159" s="20" t="s">
        <v>265</v>
      </c>
      <c r="F1159" s="21" t="str">
        <f aca="false">IF(OR(E1159="",E1159="!!!"),"",IF(NOT(ISNA(VLOOKUP(E1159,Q$1:Q1142,1,FALSE()))),"OLD",IF(AND(E1159&lt;&gt;"",E1159&lt;&gt;"!!!"),"NEW","")))</f>
        <v>NEW</v>
      </c>
      <c r="G1159" s="22" t="s">
        <v>266</v>
      </c>
      <c r="H1159" s="23" t="str">
        <f aca="false">IF(J1159&lt;&gt;1,"",IF(I1159="SBJ","CB","?"))</f>
        <v/>
      </c>
      <c r="I1159" s="24" t="str">
        <f aca="false">IF(OR(E1159="",E1159="!!!",F1159="NEW"),"",INDEX(N$2:N1142,-1+SUMPRODUCT(MAX(ROW(E$2:E1142)*(E1159=E$2:E1142)))))</f>
        <v/>
      </c>
      <c r="J1159" s="25" t="str">
        <f aca="true">IF(OR(E1159="",E1159="!!!",F1159="NEW"),"",COUNTBLANK(OFFSET(M$1,,,SUMPRODUCT(MAX(ROW(E$2:E1143)*(E1159=E$2:E1143)))))-COUNTBLANK(OFFSET(M$1,,,SUMPRODUCT(MAX(ROW(Q$1:Q1142)*(E1159=Q$1:Q1142))))))</f>
        <v/>
      </c>
      <c r="K1159" s="25" t="str">
        <f aca="false">IF(OR(E1159="",E1159="!!!",F1159="NEW"),"",INDEX(V$1:V1142,SUMPRODUCT(MAX(ROW(Q$1:Q1142)*(E1159=Q$1:Q1142)))))</f>
        <v/>
      </c>
      <c r="L1159" s="26"/>
      <c r="M1159" s="27"/>
      <c r="N1159" s="29"/>
      <c r="O1159" s="29"/>
      <c r="P1159" s="29"/>
    </row>
    <row r="1160" customFormat="false" ht="15" hidden="false" customHeight="false" outlineLevel="0" collapsed="false">
      <c r="A1160" s="19" t="s">
        <v>739</v>
      </c>
      <c r="E1160" s="20" t="str">
        <f aca="false">IF(P1160="?OLD","!!!","")</f>
        <v/>
      </c>
      <c r="F1160" s="21" t="str">
        <f aca="false">IF(OR(E1160="",E1160="!!!"),"",IF(NOT(ISNA(VLOOKUP(E1160,Q$1:Q1143,1,FALSE()))),"OLD",IF(AND(E1160&lt;&gt;"",E1160&lt;&gt;"!!!"),"NEW","")))</f>
        <v/>
      </c>
      <c r="G1160" s="22" t="str">
        <f aca="false">IF(OR(E1160="",E1160="!!!"),"",IF(OR(J1160=0,AND(J1160=1,K1160=1),AND(J1160=1,I1160="SBJ"),AND(J1160=1,I1160=0)),"?IN_FOCUS",IF(J1160&lt;=2,"?ACTIVATED",IF(J1160&lt;&gt;"","?FAMILIAR",IF(F1160="NEW",IF(ISNA(VLOOKUP(E1160,#REF!,1,FALSE())),"?TYPE_IDENTIFIABLE","?REFERENTIAL"),"_")))))</f>
        <v/>
      </c>
      <c r="H1160" s="23" t="str">
        <f aca="false">IF(J1160&lt;&gt;1,"",IF(I1160="SBJ","CB","?"))</f>
        <v/>
      </c>
      <c r="I1160" s="24" t="str">
        <f aca="false">IF(OR(E1160="",E1160="!!!",F1160="NEW"),"",INDEX(N$2:N1143,-1+SUMPRODUCT(MAX(ROW(E$2:E1143)*(E1160=E$2:E1143)))))</f>
        <v/>
      </c>
      <c r="J1160" s="25" t="str">
        <f aca="true">IF(OR(E1160="",E1160="!!!",F1160="NEW"),"",COUNTBLANK(OFFSET(M$1,,,SUMPRODUCT(MAX(ROW(E$2:E1144)*(E1160=E$2:E1144)))))-COUNTBLANK(OFFSET(M$1,,,SUMPRODUCT(MAX(ROW(Q$1:Q1143)*(E1160=Q$1:Q1143))))))</f>
        <v/>
      </c>
      <c r="K1160" s="25" t="str">
        <f aca="false">IF(OR(E1160="",E1160="!!!",F1160="NEW"),"",INDEX(V$1:V1143,SUMPRODUCT(MAX(ROW(Q$1:Q1143)*(E1160=Q$1:Q1143)))))</f>
        <v/>
      </c>
      <c r="L1160" s="26"/>
      <c r="M1160" s="27"/>
    </row>
    <row r="1161" customFormat="false" ht="15" hidden="false" customHeight="false" outlineLevel="0" collapsed="false">
      <c r="A1161" s="19" t="s">
        <v>740</v>
      </c>
      <c r="E1161" s="20" t="str">
        <f aca="false">IF(P1161="?OLD","!!!","")</f>
        <v/>
      </c>
      <c r="F1161" s="21" t="str">
        <f aca="false">IF(OR(E1161="",E1161="!!!"),"",IF(NOT(ISNA(VLOOKUP(E1161,Q$1:Q1144,1,FALSE()))),"OLD",IF(AND(E1161&lt;&gt;"",E1161&lt;&gt;"!!!"),"NEW","")))</f>
        <v/>
      </c>
      <c r="G1161" s="22" t="str">
        <f aca="false">IF(OR(E1161="",E1161="!!!"),"",IF(OR(J1161=0,AND(J1161=1,K1161=1),AND(J1161=1,I1161="SBJ"),AND(J1161=1,I1161=0)),"?IN_FOCUS",IF(J1161&lt;=2,"?ACTIVATED",IF(J1161&lt;&gt;"","?FAMILIAR",IF(F1161="NEW",IF(ISNA(VLOOKUP(E1161,#REF!,1,FALSE())),"?TYPE_IDENTIFIABLE","?REFERENTIAL"),"_")))))</f>
        <v/>
      </c>
      <c r="H1161" s="23" t="str">
        <f aca="false">IF(J1161&lt;&gt;1,"",IF(I1161="SBJ","CB","?"))</f>
        <v/>
      </c>
      <c r="I1161" s="24" t="str">
        <f aca="false">IF(OR(E1161="",E1161="!!!",F1161="NEW"),"",INDEX(N$2:N1144,-1+SUMPRODUCT(MAX(ROW(E$2:E1144)*(E1161=E$2:E1144)))))</f>
        <v/>
      </c>
      <c r="J1161" s="25" t="str">
        <f aca="true">IF(OR(E1161="",E1161="!!!",F1161="NEW"),"",COUNTBLANK(OFFSET(M$1,,,SUMPRODUCT(MAX(ROW(E$2:E1145)*(E1161=E$2:E1145)))))-COUNTBLANK(OFFSET(M$1,,,SUMPRODUCT(MAX(ROW(Q$1:Q1144)*(E1161=Q$1:Q1144))))))</f>
        <v/>
      </c>
      <c r="K1161" s="25" t="str">
        <f aca="false">IF(OR(E1161="",E1161="!!!",F1161="NEW"),"",INDEX(V$1:V1144,SUMPRODUCT(MAX(ROW(Q$1:Q1144)*(E1161=Q$1:Q1144)))))</f>
        <v/>
      </c>
      <c r="L1161" s="26"/>
      <c r="M1161" s="27"/>
    </row>
    <row r="1162" customFormat="false" ht="15" hidden="false" customHeight="false" outlineLevel="0" collapsed="false">
      <c r="A1162" s="19" t="s">
        <v>273</v>
      </c>
      <c r="E1162" s="20" t="str">
        <f aca="false">IF(P1162="?OLD","!!!","")</f>
        <v/>
      </c>
      <c r="F1162" s="21" t="str">
        <f aca="false">IF(OR(E1162="",E1162="!!!"),"",IF(NOT(ISNA(VLOOKUP(E1162,Q$1:Q1145,1,FALSE()))),"OLD",IF(AND(E1162&lt;&gt;"",E1162&lt;&gt;"!!!"),"NEW","")))</f>
        <v/>
      </c>
      <c r="G1162" s="22" t="str">
        <f aca="false">IF(OR(E1162="",E1162="!!!"),"",IF(OR(J1162=0,AND(J1162=1,K1162=1),AND(J1162=1,I1162="SBJ"),AND(J1162=1,I1162=0)),"?IN_FOCUS",IF(J1162&lt;=2,"?ACTIVATED",IF(J1162&lt;&gt;"","?FAMILIAR",IF(F1162="NEW",IF(ISNA(VLOOKUP(E1162,#REF!,1,FALSE())),"?TYPE_IDENTIFIABLE","?REFERENTIAL"),"_")))))</f>
        <v/>
      </c>
      <c r="H1162" s="23" t="str">
        <f aca="false">IF(J1162&lt;&gt;1,"",IF(I1162="SBJ","CB","?"))</f>
        <v/>
      </c>
      <c r="I1162" s="24" t="str">
        <f aca="false">IF(OR(E1162="",E1162="!!!",F1162="NEW"),"",INDEX(N$2:N1145,-1+SUMPRODUCT(MAX(ROW(E$2:E1145)*(E1162=E$2:E1145)))))</f>
        <v/>
      </c>
      <c r="J1162" s="25" t="str">
        <f aca="true">IF(OR(E1162="",E1162="!!!",F1162="NEW"),"",COUNTBLANK(OFFSET(M$1,,,SUMPRODUCT(MAX(ROW(E$2:E1146)*(E1162=E$2:E1146)))))-COUNTBLANK(OFFSET(M$1,,,SUMPRODUCT(MAX(ROW(Q$1:Q1145)*(E1162=Q$1:Q1145))))))</f>
        <v/>
      </c>
      <c r="K1162" s="25" t="str">
        <f aca="false">IF(OR(E1162="",E1162="!!!",F1162="NEW"),"",INDEX(V$1:V1145,SUMPRODUCT(MAX(ROW(Q$1:Q1145)*(E1162=Q$1:Q1145)))))</f>
        <v/>
      </c>
      <c r="L1162" s="26"/>
      <c r="M1162" s="27"/>
    </row>
    <row r="1163" customFormat="false" ht="15" hidden="false" customHeight="false" outlineLevel="0" collapsed="false">
      <c r="A1163" s="19" t="s">
        <v>250</v>
      </c>
      <c r="E1163" s="20" t="str">
        <f aca="false">IF(P1163="?OLD","!!!","")</f>
        <v/>
      </c>
      <c r="F1163" s="21" t="str">
        <f aca="false">IF(OR(E1163="",E1163="!!!"),"",IF(NOT(ISNA(VLOOKUP(E1163,Q$1:Q1146,1,FALSE()))),"OLD",IF(AND(E1163&lt;&gt;"",E1163&lt;&gt;"!!!"),"NEW","")))</f>
        <v/>
      </c>
      <c r="G1163" s="22" t="str">
        <f aca="false">IF(OR(E1163="",E1163="!!!"),"",IF(OR(J1163=0,AND(J1163=1,K1163=1),AND(J1163=1,I1163="SBJ"),AND(J1163=1,I1163=0)),"?IN_FOCUS",IF(J1163&lt;=2,"?ACTIVATED",IF(J1163&lt;&gt;"","?FAMILIAR",IF(F1163="NEW",IF(ISNA(VLOOKUP(E1163,#REF!,1,FALSE())),"?TYPE_IDENTIFIABLE","?REFERENTIAL"),"_")))))</f>
        <v/>
      </c>
      <c r="H1163" s="23" t="str">
        <f aca="false">IF(J1163&lt;&gt;1,"",IF(I1163="SBJ","CB","?"))</f>
        <v/>
      </c>
      <c r="I1163" s="24" t="str">
        <f aca="false">IF(OR(E1163="",E1163="!!!",F1163="NEW"),"",INDEX(N$2:N1146,-1+SUMPRODUCT(MAX(ROW(E$2:E1146)*(E1163=E$2:E1146)))))</f>
        <v/>
      </c>
      <c r="J1163" s="25" t="str">
        <f aca="true">IF(OR(E1163="",E1163="!!!",F1163="NEW"),"",COUNTBLANK(OFFSET(M$1,,,SUMPRODUCT(MAX(ROW(E$2:E1147)*(E1163=E$2:E1147)))))-COUNTBLANK(OFFSET(M$1,,,SUMPRODUCT(MAX(ROW(Q$1:Q1146)*(E1163=Q$1:Q1146))))))</f>
        <v/>
      </c>
      <c r="K1163" s="25" t="str">
        <f aca="false">IF(OR(E1163="",E1163="!!!",F1163="NEW"),"",INDEX(V$1:V1146,SUMPRODUCT(MAX(ROW(Q$1:Q1146)*(E1163=Q$1:Q1146)))))</f>
        <v/>
      </c>
      <c r="L1163" s="26"/>
      <c r="M1163" s="27"/>
    </row>
    <row r="1164" customFormat="false" ht="15" hidden="false" customHeight="false" outlineLevel="0" collapsed="false">
      <c r="A1164" s="19" t="s">
        <v>702</v>
      </c>
      <c r="B1164" s="28" t="s">
        <v>306</v>
      </c>
      <c r="C1164" s="28" t="s">
        <v>252</v>
      </c>
      <c r="D1164" s="28" t="s">
        <v>253</v>
      </c>
      <c r="E1164" s="20" t="s">
        <v>265</v>
      </c>
      <c r="F1164" s="21" t="str">
        <f aca="false">IF(OR(E1164="",E1164="!!!"),"",IF(NOT(ISNA(VLOOKUP(E1164,Q$1:Q1147,1,FALSE()))),"OLD",IF(AND(E1164&lt;&gt;"",E1164&lt;&gt;"!!!"),"NEW","")))</f>
        <v>NEW</v>
      </c>
      <c r="G1164" s="22" t="s">
        <v>283</v>
      </c>
      <c r="H1164" s="23" t="str">
        <f aca="false">IF(J1164&lt;&gt;1,"",IF(I1164="SBJ","CB","?"))</f>
        <v/>
      </c>
      <c r="I1164" s="24" t="str">
        <f aca="false">IF(OR(E1164="",E1164="!!!",F1164="NEW"),"",INDEX(N$2:N1147,-1+SUMPRODUCT(MAX(ROW(E$2:E1147)*(E1164=E$2:E1147)))))</f>
        <v/>
      </c>
      <c r="J1164" s="25" t="str">
        <f aca="true">IF(OR(E1164="",E1164="!!!",F1164="NEW"),"",COUNTBLANK(OFFSET(M$1,,,SUMPRODUCT(MAX(ROW(E$2:E1148)*(E1164=E$2:E1148)))))-COUNTBLANK(OFFSET(M$1,,,SUMPRODUCT(MAX(ROW(Q$1:Q1147)*(E1164=Q$1:Q1147))))))</f>
        <v/>
      </c>
      <c r="K1164" s="25" t="str">
        <f aca="false">IF(OR(E1164="",E1164="!!!",F1164="NEW"),"",INDEX(V$1:V1147,SUMPRODUCT(MAX(ROW(Q$1:Q1147)*(E1164=Q$1:Q1147)))))</f>
        <v/>
      </c>
      <c r="L1164" s="26"/>
      <c r="M1164" s="27"/>
      <c r="N1164" s="29"/>
      <c r="O1164" s="29"/>
      <c r="P1164" s="29"/>
    </row>
    <row r="1165" customFormat="false" ht="15" hidden="false" customHeight="false" outlineLevel="0" collapsed="false">
      <c r="A1165" s="19" t="s">
        <v>475</v>
      </c>
      <c r="E1165" s="20" t="str">
        <f aca="false">IF(P1165="?OLD","!!!","")</f>
        <v/>
      </c>
      <c r="F1165" s="21" t="str">
        <f aca="false">IF(OR(E1165="",E1165="!!!"),"",IF(NOT(ISNA(VLOOKUP(E1165,Q$1:Q1148,1,FALSE()))),"OLD",IF(AND(E1165&lt;&gt;"",E1165&lt;&gt;"!!!"),"NEW","")))</f>
        <v/>
      </c>
      <c r="G1165" s="22" t="str">
        <f aca="false">IF(OR(E1165="",E1165="!!!"),"",IF(OR(J1165=0,AND(J1165=1,K1165=1),AND(J1165=1,I1165="SBJ"),AND(J1165=1,I1165=0)),"?IN_FOCUS",IF(J1165&lt;=2,"?ACTIVATED",IF(J1165&lt;&gt;"","?FAMILIAR",IF(F1165="NEW",IF(ISNA(VLOOKUP(E1165,#REF!,1,FALSE())),"?TYPE_IDENTIFIABLE","?REFERENTIAL"),"_")))))</f>
        <v/>
      </c>
      <c r="H1165" s="23" t="str">
        <f aca="false">IF(J1165&lt;&gt;1,"",IF(I1165="SBJ","CB","?"))</f>
        <v/>
      </c>
      <c r="I1165" s="24" t="str">
        <f aca="false">IF(OR(E1165="",E1165="!!!",F1165="NEW"),"",INDEX(N$2:N1148,-1+SUMPRODUCT(MAX(ROW(E$2:E1148)*(E1165=E$2:E1148)))))</f>
        <v/>
      </c>
      <c r="J1165" s="25" t="str">
        <f aca="true">IF(OR(E1165="",E1165="!!!",F1165="NEW"),"",COUNTBLANK(OFFSET(M$1,,,SUMPRODUCT(MAX(ROW(E$2:E1149)*(E1165=E$2:E1149)))))-COUNTBLANK(OFFSET(M$1,,,SUMPRODUCT(MAX(ROW(Q$1:Q1148)*(E1165=Q$1:Q1148))))))</f>
        <v/>
      </c>
      <c r="K1165" s="25" t="str">
        <f aca="false">IF(OR(E1165="",E1165="!!!",F1165="NEW"),"",INDEX(V$1:V1148,SUMPRODUCT(MAX(ROW(Q$1:Q1148)*(E1165=Q$1:Q1148)))))</f>
        <v/>
      </c>
      <c r="L1165" s="26"/>
      <c r="M1165" s="27"/>
    </row>
    <row r="1166" customFormat="false" ht="15" hidden="false" customHeight="false" outlineLevel="0" collapsed="false">
      <c r="A1166" s="19" t="s">
        <v>741</v>
      </c>
      <c r="B1166" s="28" t="s">
        <v>271</v>
      </c>
      <c r="C1166" s="28" t="s">
        <v>314</v>
      </c>
      <c r="D1166" s="28" t="s">
        <v>253</v>
      </c>
      <c r="E1166" s="20" t="s">
        <v>742</v>
      </c>
      <c r="F1166" s="21" t="str">
        <f aca="false">IF(OR(E1166="",E1166="!!!"),"",IF(NOT(ISNA(VLOOKUP(E1166,Q$1:Q1149,1,FALSE()))),"OLD",IF(AND(E1166&lt;&gt;"",E1166&lt;&gt;"!!!"),"NEW","")))</f>
        <v>NEW</v>
      </c>
      <c r="G1166" s="22" t="s">
        <v>255</v>
      </c>
      <c r="H1166" s="23" t="str">
        <f aca="false">IF(J1166&lt;&gt;1,"",IF(I1166="SBJ","CB","?"))</f>
        <v/>
      </c>
      <c r="I1166" s="24" t="str">
        <f aca="false">IF(OR(E1166="",E1166="!!!",F1166="NEW"),"",INDEX(N$2:N1149,-1+SUMPRODUCT(MAX(ROW(E$2:E1149)*(E1166=E$2:E1149)))))</f>
        <v/>
      </c>
      <c r="J1166" s="25" t="str">
        <f aca="true">IF(OR(E1166="",E1166="!!!",F1166="NEW"),"",COUNTBLANK(OFFSET(M$1,,,SUMPRODUCT(MAX(ROW(E$2:E1150)*(E1166=E$2:E1150)))))-COUNTBLANK(OFFSET(M$1,,,SUMPRODUCT(MAX(ROW(Q$1:Q1149)*(E1166=Q$1:Q1149))))))</f>
        <v/>
      </c>
      <c r="K1166" s="25" t="str">
        <f aca="false">IF(OR(E1166="",E1166="!!!",F1166="NEW"),"",INDEX(V$1:V1149,SUMPRODUCT(MAX(ROW(Q$1:Q1149)*(E1166=Q$1:Q1149)))))</f>
        <v/>
      </c>
      <c r="L1166" s="26"/>
      <c r="M1166" s="27"/>
      <c r="N1166" s="29"/>
      <c r="O1166" s="29"/>
      <c r="P1166" s="29"/>
    </row>
    <row r="1167" customFormat="false" ht="15" hidden="false" customHeight="false" outlineLevel="0" collapsed="false">
      <c r="A1167" s="19" t="s">
        <v>294</v>
      </c>
      <c r="E1167" s="20" t="str">
        <f aca="false">IF(P1167="?OLD","!!!","")</f>
        <v/>
      </c>
      <c r="F1167" s="21" t="str">
        <f aca="false">IF(OR(E1167="",E1167="!!!"),"",IF(NOT(ISNA(VLOOKUP(E1167,Q$1:Q1150,1,FALSE()))),"OLD",IF(AND(E1167&lt;&gt;"",E1167&lt;&gt;"!!!"),"NEW","")))</f>
        <v/>
      </c>
      <c r="G1167" s="22" t="str">
        <f aca="false">IF(OR(E1167="",E1167="!!!"),"",IF(OR(J1167=0,AND(J1167=1,K1167=1),AND(J1167=1,I1167="SBJ"),AND(J1167=1,I1167=0)),"?IN_FOCUS",IF(J1167&lt;=2,"?ACTIVATED",IF(J1167&lt;&gt;"","?FAMILIAR",IF(F1167="NEW",IF(ISNA(VLOOKUP(E1167,#REF!,1,FALSE())),"?TYPE_IDENTIFIABLE","?REFERENTIAL"),"_")))))</f>
        <v/>
      </c>
      <c r="H1167" s="23" t="str">
        <f aca="false">IF(J1167&lt;&gt;1,"",IF(I1167="SBJ","CB","?"))</f>
        <v/>
      </c>
      <c r="I1167" s="24" t="str">
        <f aca="false">IF(OR(E1167="",E1167="!!!",F1167="NEW"),"",INDEX(N$2:N1150,-1+SUMPRODUCT(MAX(ROW(E$2:E1150)*(E1167=E$2:E1150)))))</f>
        <v/>
      </c>
      <c r="J1167" s="25" t="str">
        <f aca="true">IF(OR(E1167="",E1167="!!!",F1167="NEW"),"",COUNTBLANK(OFFSET(M$1,,,SUMPRODUCT(MAX(ROW(E$2:E1151)*(E1167=E$2:E1151)))))-COUNTBLANK(OFFSET(M$1,,,SUMPRODUCT(MAX(ROW(Q$1:Q1150)*(E1167=Q$1:Q1150))))))</f>
        <v/>
      </c>
      <c r="K1167" s="25" t="str">
        <f aca="false">IF(OR(E1167="",E1167="!!!",F1167="NEW"),"",INDEX(V$1:V1150,SUMPRODUCT(MAX(ROW(Q$1:Q1150)*(E1167=Q$1:Q1150)))))</f>
        <v/>
      </c>
      <c r="L1167" s="26"/>
      <c r="M1167" s="27"/>
    </row>
    <row r="1168" customFormat="false" ht="15" hidden="false" customHeight="false" outlineLevel="0" collapsed="false">
      <c r="A1168" s="19" t="s">
        <v>743</v>
      </c>
      <c r="B1168" s="28" t="s">
        <v>306</v>
      </c>
      <c r="C1168" s="28" t="s">
        <v>259</v>
      </c>
      <c r="E1168" s="20" t="str">
        <f aca="false">IF(P1168="?OLD","!!!","")</f>
        <v/>
      </c>
      <c r="F1168" s="21" t="str">
        <f aca="false">IF(OR(E1168="",E1168="!!!"),"",IF(NOT(ISNA(VLOOKUP(E1168,Q$1:Q1151,1,FALSE()))),"OLD",IF(AND(E1168&lt;&gt;"",E1168&lt;&gt;"!!!"),"NEW","")))</f>
        <v/>
      </c>
      <c r="G1168" s="22" t="str">
        <f aca="false">IF(OR(E1168="",E1168="!!!"),"",IF(OR(J1168=0,AND(J1168=1,K1168=1),AND(J1168=1,I1168="SBJ"),AND(J1168=1,I1168=0)),"?IN_FOCUS",IF(J1168&lt;=2,"?ACTIVATED",IF(J1168&lt;&gt;"","?FAMILIAR",IF(F1168="NEW",IF(ISNA(VLOOKUP(E1168,#REF!,1,FALSE())),"?TYPE_IDENTIFIABLE","?REFERENTIAL"),"_")))))</f>
        <v/>
      </c>
      <c r="H1168" s="23" t="str">
        <f aca="false">IF(J1168&lt;&gt;1,"",IF(I1168="SBJ","CB","?"))</f>
        <v/>
      </c>
      <c r="I1168" s="24" t="str">
        <f aca="false">IF(OR(E1168="",E1168="!!!",F1168="NEW"),"",INDEX(N$2:N1151,-1+SUMPRODUCT(MAX(ROW(E$2:E1151)*(E1168=E$2:E1151)))))</f>
        <v/>
      </c>
      <c r="J1168" s="25" t="str">
        <f aca="true">IF(OR(E1168="",E1168="!!!",F1168="NEW"),"",COUNTBLANK(OFFSET(M$1,,,SUMPRODUCT(MAX(ROW(E$2:E1152)*(E1168=E$2:E1152)))))-COUNTBLANK(OFFSET(M$1,,,SUMPRODUCT(MAX(ROW(Q$1:Q1151)*(E1168=Q$1:Q1151))))))</f>
        <v/>
      </c>
      <c r="K1168" s="25" t="str">
        <f aca="false">IF(OR(E1168="",E1168="!!!",F1168="NEW"),"",INDEX(V$1:V1151,SUMPRODUCT(MAX(ROW(Q$1:Q1151)*(E1168=Q$1:Q1151)))))</f>
        <v/>
      </c>
      <c r="L1168" s="26"/>
      <c r="M1168" s="27"/>
      <c r="N1168" s="29"/>
      <c r="O1168" s="29"/>
    </row>
    <row r="1169" customFormat="false" ht="15" hidden="false" customHeight="false" outlineLevel="0" collapsed="false">
      <c r="A1169" s="19" t="s">
        <v>261</v>
      </c>
      <c r="E1169" s="20" t="str">
        <f aca="false">IF(P1169="?OLD","!!!","")</f>
        <v/>
      </c>
      <c r="F1169" s="21" t="str">
        <f aca="false">IF(OR(E1169="",E1169="!!!"),"",IF(NOT(ISNA(VLOOKUP(E1169,Q$1:Q1152,1,FALSE()))),"OLD",IF(AND(E1169&lt;&gt;"",E1169&lt;&gt;"!!!"),"NEW","")))</f>
        <v/>
      </c>
      <c r="G1169" s="22" t="str">
        <f aca="false">IF(OR(E1169="",E1169="!!!"),"",IF(OR(J1169=0,AND(J1169=1,K1169=1),AND(J1169=1,I1169="SBJ"),AND(J1169=1,I1169=0)),"?IN_FOCUS",IF(J1169&lt;=2,"?ACTIVATED",IF(J1169&lt;&gt;"","?FAMILIAR",IF(F1169="NEW",IF(ISNA(VLOOKUP(E1169,#REF!,1,FALSE())),"?TYPE_IDENTIFIABLE","?REFERENTIAL"),"_")))))</f>
        <v/>
      </c>
      <c r="H1169" s="23" t="str">
        <f aca="false">IF(J1169&lt;&gt;1,"",IF(I1169="SBJ","CB","?"))</f>
        <v/>
      </c>
      <c r="I1169" s="24" t="str">
        <f aca="false">IF(OR(E1169="",E1169="!!!",F1169="NEW"),"",INDEX(N$2:N1152,-1+SUMPRODUCT(MAX(ROW(E$2:E1152)*(E1169=E$2:E1152)))))</f>
        <v/>
      </c>
      <c r="J1169" s="25" t="str">
        <f aca="true">IF(OR(E1169="",E1169="!!!",F1169="NEW"),"",COUNTBLANK(OFFSET(M$1,,,SUMPRODUCT(MAX(ROW(E$2:E1153)*(E1169=E$2:E1153)))))-COUNTBLANK(OFFSET(M$1,,,SUMPRODUCT(MAX(ROW(Q$1:Q1152)*(E1169=Q$1:Q1152))))))</f>
        <v/>
      </c>
      <c r="K1169" s="25" t="str">
        <f aca="false">IF(OR(E1169="",E1169="!!!",F1169="NEW"),"",INDEX(V$1:V1152,SUMPRODUCT(MAX(ROW(Q$1:Q1152)*(E1169=Q$1:Q1152)))))</f>
        <v/>
      </c>
      <c r="L1169" s="26"/>
      <c r="M1169" s="27"/>
    </row>
    <row r="1170" customFormat="false" ht="15" hidden="false" customHeight="false" outlineLevel="0" collapsed="false">
      <c r="A1170" s="19" t="s">
        <v>273</v>
      </c>
      <c r="E1170" s="20" t="str">
        <f aca="false">IF(P1170="?OLD","!!!","")</f>
        <v/>
      </c>
      <c r="F1170" s="21" t="str">
        <f aca="false">IF(OR(E1170="",E1170="!!!"),"",IF(NOT(ISNA(VLOOKUP(E1170,Q$1:Q1153,1,FALSE()))),"OLD",IF(AND(E1170&lt;&gt;"",E1170&lt;&gt;"!!!"),"NEW","")))</f>
        <v/>
      </c>
      <c r="G1170" s="22" t="str">
        <f aca="false">IF(OR(E1170="",E1170="!!!"),"",IF(OR(J1170=0,AND(J1170=1,K1170=1),AND(J1170=1,I1170="SBJ"),AND(J1170=1,I1170=0)),"?IN_FOCUS",IF(J1170&lt;=2,"?ACTIVATED",IF(J1170&lt;&gt;"","?FAMILIAR",IF(F1170="NEW",IF(ISNA(VLOOKUP(E1170,#REF!,1,FALSE())),"?TYPE_IDENTIFIABLE","?REFERENTIAL"),"_")))))</f>
        <v/>
      </c>
      <c r="H1170" s="23" t="str">
        <f aca="false">IF(J1170&lt;&gt;1,"",IF(I1170="SBJ","CB","?"))</f>
        <v/>
      </c>
      <c r="I1170" s="24" t="str">
        <f aca="false">IF(OR(E1170="",E1170="!!!",F1170="NEW"),"",INDEX(N$2:N1153,-1+SUMPRODUCT(MAX(ROW(E$2:E1153)*(E1170=E$2:E1153)))))</f>
        <v/>
      </c>
      <c r="J1170" s="25" t="str">
        <f aca="true">IF(OR(E1170="",E1170="!!!",F1170="NEW"),"",COUNTBLANK(OFFSET(M$1,,,SUMPRODUCT(MAX(ROW(E$2:E1154)*(E1170=E$2:E1154)))))-COUNTBLANK(OFFSET(M$1,,,SUMPRODUCT(MAX(ROW(Q$1:Q1153)*(E1170=Q$1:Q1153))))))</f>
        <v/>
      </c>
      <c r="K1170" s="25" t="str">
        <f aca="false">IF(OR(E1170="",E1170="!!!",F1170="NEW"),"",INDEX(V$1:V1153,SUMPRODUCT(MAX(ROW(Q$1:Q1153)*(E1170=Q$1:Q1153)))))</f>
        <v/>
      </c>
      <c r="L1170" s="26"/>
      <c r="M1170" s="27"/>
    </row>
    <row r="1171" customFormat="false" ht="15" hidden="false" customHeight="false" outlineLevel="0" collapsed="false">
      <c r="A1171" s="19" t="s">
        <v>250</v>
      </c>
      <c r="E1171" s="20" t="str">
        <f aca="false">IF(P1171="?OLD","!!!","")</f>
        <v/>
      </c>
      <c r="F1171" s="21" t="str">
        <f aca="false">IF(OR(E1171="",E1171="!!!"),"",IF(NOT(ISNA(VLOOKUP(E1171,Q$1:Q1154,1,FALSE()))),"OLD",IF(AND(E1171&lt;&gt;"",E1171&lt;&gt;"!!!"),"NEW","")))</f>
        <v/>
      </c>
      <c r="G1171" s="22" t="str">
        <f aca="false">IF(OR(E1171="",E1171="!!!"),"",IF(OR(J1171=0,AND(J1171=1,K1171=1),AND(J1171=1,I1171="SBJ"),AND(J1171=1,I1171=0)),"?IN_FOCUS",IF(J1171&lt;=2,"?ACTIVATED",IF(J1171&lt;&gt;"","?FAMILIAR",IF(F1171="NEW",IF(ISNA(VLOOKUP(E1171,#REF!,1,FALSE())),"?TYPE_IDENTIFIABLE","?REFERENTIAL"),"_")))))</f>
        <v/>
      </c>
      <c r="H1171" s="23" t="str">
        <f aca="false">IF(J1171&lt;&gt;1,"",IF(I1171="SBJ","CB","?"))</f>
        <v/>
      </c>
      <c r="I1171" s="24" t="str">
        <f aca="false">IF(OR(E1171="",E1171="!!!",F1171="NEW"),"",INDEX(N$2:N1154,-1+SUMPRODUCT(MAX(ROW(E$2:E1154)*(E1171=E$2:E1154)))))</f>
        <v/>
      </c>
      <c r="J1171" s="25" t="str">
        <f aca="true">IF(OR(E1171="",E1171="!!!",F1171="NEW"),"",COUNTBLANK(OFFSET(M$1,,,SUMPRODUCT(MAX(ROW(E$2:E1155)*(E1171=E$2:E1155)))))-COUNTBLANK(OFFSET(M$1,,,SUMPRODUCT(MAX(ROW(Q$1:Q1154)*(E1171=Q$1:Q1154))))))</f>
        <v/>
      </c>
      <c r="K1171" s="25" t="str">
        <f aca="false">IF(OR(E1171="",E1171="!!!",F1171="NEW"),"",INDEX(V$1:V1154,SUMPRODUCT(MAX(ROW(Q$1:Q1154)*(E1171=Q$1:Q1154)))))</f>
        <v/>
      </c>
      <c r="L1171" s="26"/>
      <c r="M1171" s="27"/>
    </row>
    <row r="1172" customFormat="false" ht="15" hidden="false" customHeight="false" outlineLevel="0" collapsed="false">
      <c r="A1172" s="19" t="s">
        <v>744</v>
      </c>
      <c r="B1172" s="28" t="s">
        <v>271</v>
      </c>
      <c r="C1172" s="28" t="s">
        <v>252</v>
      </c>
      <c r="D1172" s="28" t="s">
        <v>253</v>
      </c>
      <c r="E1172" s="20" t="s">
        <v>745</v>
      </c>
      <c r="F1172" s="21" t="str">
        <f aca="false">IF(OR(E1172="",E1172="!!!"),"",IF(NOT(ISNA(VLOOKUP(E1172,Q$1:Q1155,1,FALSE()))),"OLD",IF(AND(E1172&lt;&gt;"",E1172&lt;&gt;"!!!"),"NEW","")))</f>
        <v>NEW</v>
      </c>
      <c r="G1172" s="22" t="s">
        <v>255</v>
      </c>
      <c r="H1172" s="23" t="str">
        <f aca="false">IF(J1172&lt;&gt;1,"",IF(I1172="SBJ","CB","?"))</f>
        <v/>
      </c>
      <c r="I1172" s="24" t="str">
        <f aca="false">IF(OR(E1172="",E1172="!!!",F1172="NEW"),"",INDEX(N$2:N1155,-1+SUMPRODUCT(MAX(ROW(E$2:E1155)*(E1172=E$2:E1155)))))</f>
        <v/>
      </c>
      <c r="J1172" s="25" t="str">
        <f aca="true">IF(OR(E1172="",E1172="!!!",F1172="NEW"),"",COUNTBLANK(OFFSET(M$1,,,SUMPRODUCT(MAX(ROW(E$2:E1156)*(E1172=E$2:E1156)))))-COUNTBLANK(OFFSET(M$1,,,SUMPRODUCT(MAX(ROW(Q$1:Q1155)*(E1172=Q$1:Q1155))))))</f>
        <v/>
      </c>
      <c r="K1172" s="25" t="str">
        <f aca="false">IF(OR(E1172="",E1172="!!!",F1172="NEW"),"",INDEX(V$1:V1155,SUMPRODUCT(MAX(ROW(Q$1:Q1155)*(E1172=Q$1:Q1155)))))</f>
        <v/>
      </c>
      <c r="L1172" s="26"/>
      <c r="M1172" s="27"/>
      <c r="N1172" s="29"/>
      <c r="O1172" s="29"/>
      <c r="P1172" s="29"/>
    </row>
    <row r="1173" customFormat="false" ht="15" hidden="false" customHeight="false" outlineLevel="0" collapsed="false">
      <c r="A1173" s="19" t="s">
        <v>256</v>
      </c>
      <c r="E1173" s="20" t="str">
        <f aca="false">IF(P1173="?OLD","!!!","")</f>
        <v/>
      </c>
      <c r="F1173" s="21" t="str">
        <f aca="false">IF(OR(E1173="",E1173="!!!"),"",IF(NOT(ISNA(VLOOKUP(E1173,Q$1:Q1156,1,FALSE()))),"OLD",IF(AND(E1173&lt;&gt;"",E1173&lt;&gt;"!!!"),"NEW","")))</f>
        <v/>
      </c>
      <c r="G1173" s="22" t="str">
        <f aca="false">IF(OR(E1173="",E1173="!!!"),"",IF(OR(J1173=0,AND(J1173=1,K1173=1),AND(J1173=1,I1173="SBJ"),AND(J1173=1,I1173=0)),"?IN_FOCUS",IF(J1173&lt;=2,"?ACTIVATED",IF(J1173&lt;&gt;"","?FAMILIAR",IF(F1173="NEW",IF(ISNA(VLOOKUP(E1173,#REF!,1,FALSE())),"?TYPE_IDENTIFIABLE","?REFERENTIAL"),"_")))))</f>
        <v/>
      </c>
      <c r="H1173" s="23" t="str">
        <f aca="false">IF(J1173&lt;&gt;1,"",IF(I1173="SBJ","CB","?"))</f>
        <v/>
      </c>
      <c r="I1173" s="24" t="str">
        <f aca="false">IF(OR(E1173="",E1173="!!!",F1173="NEW"),"",INDEX(N$2:N1156,-1+SUMPRODUCT(MAX(ROW(E$2:E1156)*(E1173=E$2:E1156)))))</f>
        <v/>
      </c>
      <c r="J1173" s="25" t="str">
        <f aca="true">IF(OR(E1173="",E1173="!!!",F1173="NEW"),"",COUNTBLANK(OFFSET(M$1,,,SUMPRODUCT(MAX(ROW(E$2:E1157)*(E1173=E$2:E1157)))))-COUNTBLANK(OFFSET(M$1,,,SUMPRODUCT(MAX(ROW(Q$1:Q1156)*(E1173=Q$1:Q1156))))))</f>
        <v/>
      </c>
      <c r="K1173" s="25" t="str">
        <f aca="false">IF(OR(E1173="",E1173="!!!",F1173="NEW"),"",INDEX(V$1:V1156,SUMPRODUCT(MAX(ROW(Q$1:Q1156)*(E1173=Q$1:Q1156)))))</f>
        <v/>
      </c>
      <c r="L1173" s="26"/>
      <c r="M1173" s="27"/>
    </row>
    <row r="1174" customFormat="false" ht="15" hidden="false" customHeight="false" outlineLevel="0" collapsed="false">
      <c r="A1174" s="19" t="s">
        <v>746</v>
      </c>
      <c r="B1174" s="28" t="s">
        <v>306</v>
      </c>
      <c r="C1174" s="28" t="s">
        <v>259</v>
      </c>
      <c r="E1174" s="20" t="str">
        <f aca="false">IF(P1174="?OLD","!!!","")</f>
        <v/>
      </c>
      <c r="F1174" s="21" t="str">
        <f aca="false">IF(OR(E1174="",E1174="!!!"),"",IF(NOT(ISNA(VLOOKUP(E1174,Q$1:Q1157,1,FALSE()))),"OLD",IF(AND(E1174&lt;&gt;"",E1174&lt;&gt;"!!!"),"NEW","")))</f>
        <v/>
      </c>
      <c r="G1174" s="22" t="str">
        <f aca="false">IF(OR(E1174="",E1174="!!!"),"",IF(OR(J1174=0,AND(J1174=1,K1174=1),AND(J1174=1,I1174="SBJ"),AND(J1174=1,I1174=0)),"?IN_FOCUS",IF(J1174&lt;=2,"?ACTIVATED",IF(J1174&lt;&gt;"","?FAMILIAR",IF(F1174="NEW",IF(ISNA(VLOOKUP(E1174,#REF!,1,FALSE())),"?TYPE_IDENTIFIABLE","?REFERENTIAL"),"_")))))</f>
        <v/>
      </c>
      <c r="H1174" s="23" t="str">
        <f aca="false">IF(J1174&lt;&gt;1,"",IF(I1174="SBJ","CB","?"))</f>
        <v/>
      </c>
      <c r="I1174" s="24" t="str">
        <f aca="false">IF(OR(E1174="",E1174="!!!",F1174="NEW"),"",INDEX(N$2:N1157,-1+SUMPRODUCT(MAX(ROW(E$2:E1157)*(E1174=E$2:E1157)))))</f>
        <v/>
      </c>
      <c r="J1174" s="25" t="str">
        <f aca="true">IF(OR(E1174="",E1174="!!!",F1174="NEW"),"",COUNTBLANK(OFFSET(M$1,,,SUMPRODUCT(MAX(ROW(E$2:E1158)*(E1174=E$2:E1158)))))-COUNTBLANK(OFFSET(M$1,,,SUMPRODUCT(MAX(ROW(Q$1:Q1157)*(E1174=Q$1:Q1157))))))</f>
        <v/>
      </c>
      <c r="K1174" s="25" t="str">
        <f aca="false">IF(OR(E1174="",E1174="!!!",F1174="NEW"),"",INDEX(V$1:V1157,SUMPRODUCT(MAX(ROW(Q$1:Q1157)*(E1174=Q$1:Q1157)))))</f>
        <v/>
      </c>
      <c r="L1174" s="26"/>
      <c r="M1174" s="27"/>
      <c r="N1174" s="29"/>
      <c r="O1174" s="29"/>
    </row>
    <row r="1175" customFormat="false" ht="15" hidden="false" customHeight="false" outlineLevel="0" collapsed="false">
      <c r="A1175" s="19" t="s">
        <v>261</v>
      </c>
      <c r="E1175" s="20" t="str">
        <f aca="false">IF(P1175="?OLD","!!!","")</f>
        <v/>
      </c>
      <c r="F1175" s="21" t="str">
        <f aca="false">IF(OR(E1175="",E1175="!!!"),"",IF(NOT(ISNA(VLOOKUP(E1175,Q$1:Q1158,1,FALSE()))),"OLD",IF(AND(E1175&lt;&gt;"",E1175&lt;&gt;"!!!"),"NEW","")))</f>
        <v/>
      </c>
      <c r="G1175" s="22" t="str">
        <f aca="false">IF(OR(E1175="",E1175="!!!"),"",IF(OR(J1175=0,AND(J1175=1,K1175=1),AND(J1175=1,I1175="SBJ"),AND(J1175=1,I1175=0)),"?IN_FOCUS",IF(J1175&lt;=2,"?ACTIVATED",IF(J1175&lt;&gt;"","?FAMILIAR",IF(F1175="NEW",IF(ISNA(VLOOKUP(E1175,#REF!,1,FALSE())),"?TYPE_IDENTIFIABLE","?REFERENTIAL"),"_")))))</f>
        <v/>
      </c>
      <c r="H1175" s="23" t="str">
        <f aca="false">IF(J1175&lt;&gt;1,"",IF(I1175="SBJ","CB","?"))</f>
        <v/>
      </c>
      <c r="I1175" s="24" t="str">
        <f aca="false">IF(OR(E1175="",E1175="!!!",F1175="NEW"),"",INDEX(N$2:N1158,-1+SUMPRODUCT(MAX(ROW(E$2:E1158)*(E1175=E$2:E1158)))))</f>
        <v/>
      </c>
      <c r="J1175" s="25" t="str">
        <f aca="true">IF(OR(E1175="",E1175="!!!",F1175="NEW"),"",COUNTBLANK(OFFSET(M$1,,,SUMPRODUCT(MAX(ROW(E$2:E1159)*(E1175=E$2:E1159)))))-COUNTBLANK(OFFSET(M$1,,,SUMPRODUCT(MAX(ROW(Q$1:Q1158)*(E1175=Q$1:Q1158))))))</f>
        <v/>
      </c>
      <c r="K1175" s="25" t="str">
        <f aca="false">IF(OR(E1175="",E1175="!!!",F1175="NEW"),"",INDEX(V$1:V1158,SUMPRODUCT(MAX(ROW(Q$1:Q1158)*(E1175=Q$1:Q1158)))))</f>
        <v/>
      </c>
      <c r="L1175" s="26"/>
      <c r="M1175" s="27"/>
    </row>
    <row r="1176" customFormat="false" ht="15" hidden="false" customHeight="false" outlineLevel="0" collapsed="false">
      <c r="A1176" s="19" t="s">
        <v>294</v>
      </c>
      <c r="E1176" s="20" t="str">
        <f aca="false">IF(P1176="?OLD","!!!","")</f>
        <v/>
      </c>
      <c r="F1176" s="21" t="str">
        <f aca="false">IF(OR(E1176="",E1176="!!!"),"",IF(NOT(ISNA(VLOOKUP(E1176,Q$1:Q1159,1,FALSE()))),"OLD",IF(AND(E1176&lt;&gt;"",E1176&lt;&gt;"!!!"),"NEW","")))</f>
        <v/>
      </c>
      <c r="G1176" s="22" t="str">
        <f aca="false">IF(OR(E1176="",E1176="!!!"),"",IF(OR(J1176=0,AND(J1176=1,K1176=1),AND(J1176=1,I1176="SBJ"),AND(J1176=1,I1176=0)),"?IN_FOCUS",IF(J1176&lt;=2,"?ACTIVATED",IF(J1176&lt;&gt;"","?FAMILIAR",IF(F1176="NEW",IF(ISNA(VLOOKUP(E1176,#REF!,1,FALSE())),"?TYPE_IDENTIFIABLE","?REFERENTIAL"),"_")))))</f>
        <v/>
      </c>
      <c r="H1176" s="23" t="str">
        <f aca="false">IF(J1176&lt;&gt;1,"",IF(I1176="SBJ","CB","?"))</f>
        <v/>
      </c>
      <c r="I1176" s="24" t="str">
        <f aca="false">IF(OR(E1176="",E1176="!!!",F1176="NEW"),"",INDEX(N$2:N1159,-1+SUMPRODUCT(MAX(ROW(E$2:E1159)*(E1176=E$2:E1159)))))</f>
        <v/>
      </c>
      <c r="J1176" s="25" t="str">
        <f aca="true">IF(OR(E1176="",E1176="!!!",F1176="NEW"),"",COUNTBLANK(OFFSET(M$1,,,SUMPRODUCT(MAX(ROW(E$2:E1160)*(E1176=E$2:E1160)))))-COUNTBLANK(OFFSET(M$1,,,SUMPRODUCT(MAX(ROW(Q$1:Q1159)*(E1176=Q$1:Q1159))))))</f>
        <v/>
      </c>
      <c r="K1176" s="25" t="str">
        <f aca="false">IF(OR(E1176="",E1176="!!!",F1176="NEW"),"",INDEX(V$1:V1159,SUMPRODUCT(MAX(ROW(Q$1:Q1159)*(E1176=Q$1:Q1159)))))</f>
        <v/>
      </c>
      <c r="L1176" s="26"/>
      <c r="M1176" s="27"/>
    </row>
    <row r="1177" customFormat="false" ht="15" hidden="false" customHeight="false" outlineLevel="0" collapsed="false">
      <c r="A1177" s="19" t="s">
        <v>747</v>
      </c>
      <c r="B1177" s="28" t="s">
        <v>306</v>
      </c>
      <c r="C1177" s="28" t="s">
        <v>259</v>
      </c>
      <c r="E1177" s="20" t="str">
        <f aca="false">IF(P1177="?OLD","!!!","")</f>
        <v/>
      </c>
      <c r="F1177" s="21" t="str">
        <f aca="false">IF(OR(E1177="",E1177="!!!"),"",IF(NOT(ISNA(VLOOKUP(E1177,Q$1:Q1160,1,FALSE()))),"OLD",IF(AND(E1177&lt;&gt;"",E1177&lt;&gt;"!!!"),"NEW","")))</f>
        <v/>
      </c>
      <c r="G1177" s="22" t="str">
        <f aca="false">IF(OR(E1177="",E1177="!!!"),"",IF(OR(J1177=0,AND(J1177=1,K1177=1),AND(J1177=1,I1177="SBJ"),AND(J1177=1,I1177=0)),"?IN_FOCUS",IF(J1177&lt;=2,"?ACTIVATED",IF(J1177&lt;&gt;"","?FAMILIAR",IF(F1177="NEW",IF(ISNA(VLOOKUP(E1177,#REF!,1,FALSE())),"?TYPE_IDENTIFIABLE","?REFERENTIAL"),"_")))))</f>
        <v/>
      </c>
      <c r="H1177" s="23" t="str">
        <f aca="false">IF(J1177&lt;&gt;1,"",IF(I1177="SBJ","CB","?"))</f>
        <v/>
      </c>
      <c r="I1177" s="24" t="str">
        <f aca="false">IF(OR(E1177="",E1177="!!!",F1177="NEW"),"",INDEX(N$2:N1160,-1+SUMPRODUCT(MAX(ROW(E$2:E1160)*(E1177=E$2:E1160)))))</f>
        <v/>
      </c>
      <c r="J1177" s="25" t="str">
        <f aca="true">IF(OR(E1177="",E1177="!!!",F1177="NEW"),"",COUNTBLANK(OFFSET(M$1,,,SUMPRODUCT(MAX(ROW(E$2:E1161)*(E1177=E$2:E1161)))))-COUNTBLANK(OFFSET(M$1,,,SUMPRODUCT(MAX(ROW(Q$1:Q1160)*(E1177=Q$1:Q1160))))))</f>
        <v/>
      </c>
      <c r="K1177" s="25" t="str">
        <f aca="false">IF(OR(E1177="",E1177="!!!",F1177="NEW"),"",INDEX(V$1:V1160,SUMPRODUCT(MAX(ROW(Q$1:Q1160)*(E1177=Q$1:Q1160)))))</f>
        <v/>
      </c>
      <c r="L1177" s="26"/>
      <c r="M1177" s="27"/>
      <c r="N1177" s="29"/>
      <c r="O1177" s="29"/>
    </row>
    <row r="1178" customFormat="false" ht="15" hidden="false" customHeight="false" outlineLevel="0" collapsed="false">
      <c r="A1178" s="19" t="s">
        <v>275</v>
      </c>
      <c r="E1178" s="20" t="str">
        <f aca="false">IF(P1178="?OLD","!!!","")</f>
        <v/>
      </c>
      <c r="F1178" s="21" t="str">
        <f aca="false">IF(OR(E1178="",E1178="!!!"),"",IF(NOT(ISNA(VLOOKUP(E1178,Q$1:Q1161,1,FALSE()))),"OLD",IF(AND(E1178&lt;&gt;"",E1178&lt;&gt;"!!!"),"NEW","")))</f>
        <v/>
      </c>
      <c r="G1178" s="22" t="str">
        <f aca="false">IF(OR(E1178="",E1178="!!!"),"",IF(OR(J1178=0,AND(J1178=1,K1178=1),AND(J1178=1,I1178="SBJ"),AND(J1178=1,I1178=0)),"?IN_FOCUS",IF(J1178&lt;=2,"?ACTIVATED",IF(J1178&lt;&gt;"","?FAMILIAR",IF(F1178="NEW",IF(ISNA(VLOOKUP(E1178,#REF!,1,FALSE())),"?TYPE_IDENTIFIABLE","?REFERENTIAL"),"_")))))</f>
        <v/>
      </c>
      <c r="H1178" s="23" t="str">
        <f aca="false">IF(J1178&lt;&gt;1,"",IF(I1178="SBJ","CB","?"))</f>
        <v/>
      </c>
      <c r="I1178" s="24" t="str">
        <f aca="false">IF(OR(E1178="",E1178="!!!",F1178="NEW"),"",INDEX(N$2:N1161,-1+SUMPRODUCT(MAX(ROW(E$2:E1161)*(E1178=E$2:E1161)))))</f>
        <v/>
      </c>
      <c r="J1178" s="25" t="str">
        <f aca="true">IF(OR(E1178="",E1178="!!!",F1178="NEW"),"",COUNTBLANK(OFFSET(M$1,,,SUMPRODUCT(MAX(ROW(E$2:E1162)*(E1178=E$2:E1162)))))-COUNTBLANK(OFFSET(M$1,,,SUMPRODUCT(MAX(ROW(Q$1:Q1161)*(E1178=Q$1:Q1161))))))</f>
        <v/>
      </c>
      <c r="K1178" s="25" t="str">
        <f aca="false">IF(OR(E1178="",E1178="!!!",F1178="NEW"),"",INDEX(V$1:V1161,SUMPRODUCT(MAX(ROW(Q$1:Q1161)*(E1178=Q$1:Q1161)))))</f>
        <v/>
      </c>
      <c r="L1178" s="26"/>
      <c r="M1178" s="27"/>
    </row>
    <row r="1179" customFormat="false" ht="15" hidden="false" customHeight="false" outlineLevel="0" collapsed="false">
      <c r="A1179" s="19"/>
      <c r="E1179" s="20" t="str">
        <f aca="false">IF(P1179="?OLD","!!!","")</f>
        <v/>
      </c>
      <c r="F1179" s="21" t="str">
        <f aca="false">IF(OR(E1179="",E1179="!!!"),"",IF(NOT(ISNA(VLOOKUP(E1179,Q$1:Q1162,1,FALSE()))),"OLD",IF(AND(E1179&lt;&gt;"",E1179&lt;&gt;"!!!"),"NEW","")))</f>
        <v/>
      </c>
      <c r="G1179" s="22" t="str">
        <f aca="false">IF(OR(E1179="",E1179="!!!"),"",IF(OR(J1179=0,AND(J1179=1,K1179=1),AND(J1179=1,I1179="SBJ"),AND(J1179=1,I1179=0)),"?IN_FOCUS",IF(J1179&lt;=2,"?ACTIVATED",IF(J1179&lt;&gt;"","?FAMILIAR",IF(F1179="NEW",IF(ISNA(VLOOKUP(E1179,#REF!,1,FALSE())),"?TYPE_IDENTIFIABLE","?REFERENTIAL"),"_")))))</f>
        <v/>
      </c>
      <c r="H1179" s="23" t="str">
        <f aca="false">IF(J1179&lt;&gt;1,"",IF(I1179="SBJ","CB","?"))</f>
        <v/>
      </c>
      <c r="I1179" s="24" t="str">
        <f aca="false">IF(OR(E1179="",E1179="!!!",F1179="NEW"),"",INDEX(N$2:N1162,-1+SUMPRODUCT(MAX(ROW(E$2:E1162)*(E1179=E$2:E1162)))))</f>
        <v/>
      </c>
      <c r="J1179" s="25" t="str">
        <f aca="true">IF(OR(E1179="",E1179="!!!",F1179="NEW"),"",COUNTBLANK(OFFSET(M$1,,,SUMPRODUCT(MAX(ROW(E$2:E1163)*(E1179=E$2:E1163)))))-COUNTBLANK(OFFSET(M$1,,,SUMPRODUCT(MAX(ROW(Q$1:Q1162)*(E1179=Q$1:Q1162))))))</f>
        <v/>
      </c>
      <c r="K1179" s="25" t="str">
        <f aca="false">IF(OR(E1179="",E1179="!!!",F1179="NEW"),"",INDEX(V$1:V1162,SUMPRODUCT(MAX(ROW(Q$1:Q1162)*(E1179=Q$1:Q1162)))))</f>
        <v/>
      </c>
      <c r="L1179" s="26"/>
    </row>
    <row r="1180" customFormat="false" ht="15" hidden="false" customHeight="false" outlineLevel="0" collapsed="false">
      <c r="A1180" s="19" t="s">
        <v>748</v>
      </c>
      <c r="E1180" s="20" t="str">
        <f aca="false">IF(P1180="?OLD","!!!","")</f>
        <v/>
      </c>
      <c r="F1180" s="21" t="str">
        <f aca="false">IF(OR(E1180="",E1180="!!!"),"",IF(NOT(ISNA(VLOOKUP(E1180,Q$1:Q1163,1,FALSE()))),"OLD",IF(AND(E1180&lt;&gt;"",E1180&lt;&gt;"!!!"),"NEW","")))</f>
        <v/>
      </c>
      <c r="G1180" s="22" t="str">
        <f aca="false">IF(OR(E1180="",E1180="!!!"),"",IF(OR(J1180=0,AND(J1180=1,K1180=1),AND(J1180=1,I1180="SBJ"),AND(J1180=1,I1180=0)),"?IN_FOCUS",IF(J1180&lt;=2,"?ACTIVATED",IF(J1180&lt;&gt;"","?FAMILIAR",IF(F1180="NEW",IF(ISNA(VLOOKUP(E1180,#REF!,1,FALSE())),"?TYPE_IDENTIFIABLE","?REFERENTIAL"),"_")))))</f>
        <v/>
      </c>
      <c r="H1180" s="23" t="str">
        <f aca="false">IF(J1180&lt;&gt;1,"",IF(I1180="SBJ","CB","?"))</f>
        <v/>
      </c>
      <c r="I1180" s="24" t="str">
        <f aca="false">IF(OR(E1180="",E1180="!!!",F1180="NEW"),"",INDEX(N$2:N1163,-1+SUMPRODUCT(MAX(ROW(E$2:E1163)*(E1180=E$2:E1163)))))</f>
        <v/>
      </c>
      <c r="J1180" s="25" t="str">
        <f aca="true">IF(OR(E1180="",E1180="!!!",F1180="NEW"),"",COUNTBLANK(OFFSET(M$1,,,SUMPRODUCT(MAX(ROW(E$2:E1164)*(E1180=E$2:E1164)))))-COUNTBLANK(OFFSET(M$1,,,SUMPRODUCT(MAX(ROW(Q$1:Q1163)*(E1180=Q$1:Q1163))))))</f>
        <v/>
      </c>
      <c r="K1180" s="25" t="str">
        <f aca="false">IF(OR(E1180="",E1180="!!!",F1180="NEW"),"",INDEX(V$1:V1163,SUMPRODUCT(MAX(ROW(Q$1:Q1163)*(E1180=Q$1:Q1163)))))</f>
        <v/>
      </c>
      <c r="L1180" s="26"/>
      <c r="M1180" s="27"/>
    </row>
    <row r="1181" customFormat="false" ht="15" hidden="false" customHeight="false" outlineLevel="0" collapsed="false">
      <c r="A1181" s="19" t="s">
        <v>749</v>
      </c>
      <c r="B1181" s="28" t="s">
        <v>263</v>
      </c>
      <c r="C1181" s="28" t="s">
        <v>333</v>
      </c>
      <c r="D1181" s="28" t="s">
        <v>253</v>
      </c>
      <c r="E1181" s="20" t="s">
        <v>749</v>
      </c>
      <c r="F1181" s="21" t="str">
        <f aca="false">IF(OR(E1181="",E1181="!!!"),"",IF(NOT(ISNA(VLOOKUP(E1181,Q$1:Q1164,1,FALSE()))),"OLD",IF(AND(E1181&lt;&gt;"",E1181&lt;&gt;"!!!"),"NEW","")))</f>
        <v>NEW</v>
      </c>
      <c r="G1181" s="22" t="s">
        <v>255</v>
      </c>
      <c r="H1181" s="23" t="str">
        <f aca="false">IF(J1181&lt;&gt;1,"",IF(I1181="SBJ","CB","?"))</f>
        <v/>
      </c>
      <c r="I1181" s="24" t="str">
        <f aca="false">IF(OR(E1181="",E1181="!!!",F1181="NEW"),"",INDEX(N$2:N1164,-1+SUMPRODUCT(MAX(ROW(E$2:E1164)*(E1181=E$2:E1164)))))</f>
        <v/>
      </c>
      <c r="J1181" s="25" t="str">
        <f aca="true">IF(OR(E1181="",E1181="!!!",F1181="NEW"),"",COUNTBLANK(OFFSET(M$1,,,SUMPRODUCT(MAX(ROW(E$2:E1165)*(E1181=E$2:E1165)))))-COUNTBLANK(OFFSET(M$1,,,SUMPRODUCT(MAX(ROW(Q$1:Q1164)*(E1181=Q$1:Q1164))))))</f>
        <v/>
      </c>
      <c r="K1181" s="25" t="str">
        <f aca="false">IF(OR(E1181="",E1181="!!!",F1181="NEW"),"",INDEX(V$1:V1164,SUMPRODUCT(MAX(ROW(Q$1:Q1164)*(E1181=Q$1:Q1164)))))</f>
        <v/>
      </c>
      <c r="L1181" s="26"/>
      <c r="M1181" s="27"/>
      <c r="N1181" s="29"/>
      <c r="O1181" s="29"/>
      <c r="P1181" s="29"/>
    </row>
    <row r="1182" customFormat="false" ht="15" hidden="false" customHeight="false" outlineLevel="0" collapsed="false">
      <c r="A1182" s="19" t="s">
        <v>279</v>
      </c>
      <c r="E1182" s="20" t="str">
        <f aca="false">IF(P1182="?OLD","!!!","")</f>
        <v/>
      </c>
      <c r="F1182" s="21" t="str">
        <f aca="false">IF(OR(E1182="",E1182="!!!"),"",IF(NOT(ISNA(VLOOKUP(E1182,Q$1:Q1165,1,FALSE()))),"OLD",IF(AND(E1182&lt;&gt;"",E1182&lt;&gt;"!!!"),"NEW","")))</f>
        <v/>
      </c>
      <c r="G1182" s="22" t="str">
        <f aca="false">IF(OR(E1182="",E1182="!!!"),"",IF(OR(J1182=0,AND(J1182=1,K1182=1),AND(J1182=1,I1182="SBJ"),AND(J1182=1,I1182=0)),"?IN_FOCUS",IF(J1182&lt;=2,"?ACTIVATED",IF(J1182&lt;&gt;"","?FAMILIAR",IF(F1182="NEW",IF(ISNA(VLOOKUP(E1182,#REF!,1,FALSE())),"?TYPE_IDENTIFIABLE","?REFERENTIAL"),"_")))))</f>
        <v/>
      </c>
      <c r="H1182" s="23" t="str">
        <f aca="false">IF(J1182&lt;&gt;1,"",IF(I1182="SBJ","CB","?"))</f>
        <v/>
      </c>
      <c r="I1182" s="24" t="str">
        <f aca="false">IF(OR(E1182="",E1182="!!!",F1182="NEW"),"",INDEX(N$2:N1165,-1+SUMPRODUCT(MAX(ROW(E$2:E1165)*(E1182=E$2:E1165)))))</f>
        <v/>
      </c>
      <c r="J1182" s="25" t="str">
        <f aca="true">IF(OR(E1182="",E1182="!!!",F1182="NEW"),"",COUNTBLANK(OFFSET(M$1,,,SUMPRODUCT(MAX(ROW(E$2:E1166)*(E1182=E$2:E1166)))))-COUNTBLANK(OFFSET(M$1,,,SUMPRODUCT(MAX(ROW(Q$1:Q1165)*(E1182=Q$1:Q1165))))))</f>
        <v/>
      </c>
      <c r="K1182" s="25" t="str">
        <f aca="false">IF(OR(E1182="",E1182="!!!",F1182="NEW"),"",INDEX(V$1:V1165,SUMPRODUCT(MAX(ROW(Q$1:Q1165)*(E1182=Q$1:Q1165)))))</f>
        <v/>
      </c>
      <c r="L1182" s="26"/>
      <c r="M1182" s="27"/>
    </row>
    <row r="1183" customFormat="false" ht="15" hidden="false" customHeight="false" outlineLevel="0" collapsed="false">
      <c r="A1183" s="19" t="s">
        <v>312</v>
      </c>
      <c r="E1183" s="20" t="str">
        <f aca="false">IF(P1183="?OLD","!!!","")</f>
        <v/>
      </c>
      <c r="F1183" s="21" t="str">
        <f aca="false">IF(OR(E1183="",E1183="!!!"),"",IF(NOT(ISNA(VLOOKUP(E1183,Q$1:Q1166,1,FALSE()))),"OLD",IF(AND(E1183&lt;&gt;"",E1183&lt;&gt;"!!!"),"NEW","")))</f>
        <v/>
      </c>
      <c r="G1183" s="22" t="str">
        <f aca="false">IF(OR(E1183="",E1183="!!!"),"",IF(OR(J1183=0,AND(J1183=1,K1183=1),AND(J1183=1,I1183="SBJ"),AND(J1183=1,I1183=0)),"?IN_FOCUS",IF(J1183&lt;=2,"?ACTIVATED",IF(J1183&lt;&gt;"","?FAMILIAR",IF(F1183="NEW",IF(ISNA(VLOOKUP(E1183,#REF!,1,FALSE())),"?TYPE_IDENTIFIABLE","?REFERENTIAL"),"_")))))</f>
        <v/>
      </c>
      <c r="H1183" s="23" t="str">
        <f aca="false">IF(J1183&lt;&gt;1,"",IF(I1183="SBJ","CB","?"))</f>
        <v/>
      </c>
      <c r="I1183" s="24" t="str">
        <f aca="false">IF(OR(E1183="",E1183="!!!",F1183="NEW"),"",INDEX(N$2:N1166,-1+SUMPRODUCT(MAX(ROW(E$2:E1166)*(E1183=E$2:E1166)))))</f>
        <v/>
      </c>
      <c r="J1183" s="25" t="str">
        <f aca="true">IF(OR(E1183="",E1183="!!!",F1183="NEW"),"",COUNTBLANK(OFFSET(M$1,,,SUMPRODUCT(MAX(ROW(E$2:E1167)*(E1183=E$2:E1167)))))-COUNTBLANK(OFFSET(M$1,,,SUMPRODUCT(MAX(ROW(Q$1:Q1166)*(E1183=Q$1:Q1166))))))</f>
        <v/>
      </c>
      <c r="K1183" s="25" t="str">
        <f aca="false">IF(OR(E1183="",E1183="!!!",F1183="NEW"),"",INDEX(V$1:V1166,SUMPRODUCT(MAX(ROW(Q$1:Q1166)*(E1183=Q$1:Q1166)))))</f>
        <v/>
      </c>
      <c r="L1183" s="26"/>
      <c r="M1183" s="27"/>
    </row>
    <row r="1184" customFormat="false" ht="15" hidden="false" customHeight="false" outlineLevel="0" collapsed="false">
      <c r="A1184" s="19" t="s">
        <v>337</v>
      </c>
      <c r="E1184" s="20" t="str">
        <f aca="false">IF(P1184="?OLD","!!!","")</f>
        <v/>
      </c>
      <c r="F1184" s="21" t="str">
        <f aca="false">IF(OR(E1184="",E1184="!!!"),"",IF(NOT(ISNA(VLOOKUP(E1184,Q$1:Q1167,1,FALSE()))),"OLD",IF(AND(E1184&lt;&gt;"",E1184&lt;&gt;"!!!"),"NEW","")))</f>
        <v/>
      </c>
      <c r="G1184" s="22" t="str">
        <f aca="false">IF(OR(E1184="",E1184="!!!"),"",IF(OR(J1184=0,AND(J1184=1,K1184=1),AND(J1184=1,I1184="SBJ"),AND(J1184=1,I1184=0)),"?IN_FOCUS",IF(J1184&lt;=2,"?ACTIVATED",IF(J1184&lt;&gt;"","?FAMILIAR",IF(F1184="NEW",IF(ISNA(VLOOKUP(E1184,#REF!,1,FALSE())),"?TYPE_IDENTIFIABLE","?REFERENTIAL"),"_")))))</f>
        <v/>
      </c>
      <c r="H1184" s="23" t="str">
        <f aca="false">IF(J1184&lt;&gt;1,"",IF(I1184="SBJ","CB","?"))</f>
        <v/>
      </c>
      <c r="I1184" s="24" t="str">
        <f aca="false">IF(OR(E1184="",E1184="!!!",F1184="NEW"),"",INDEX(N$2:N1167,-1+SUMPRODUCT(MAX(ROW(E$2:E1167)*(E1184=E$2:E1167)))))</f>
        <v/>
      </c>
      <c r="J1184" s="25" t="str">
        <f aca="true">IF(OR(E1184="",E1184="!!!",F1184="NEW"),"",COUNTBLANK(OFFSET(M$1,,,SUMPRODUCT(MAX(ROW(E$2:E1168)*(E1184=E$2:E1168)))))-COUNTBLANK(OFFSET(M$1,,,SUMPRODUCT(MAX(ROW(Q$1:Q1167)*(E1184=Q$1:Q1167))))))</f>
        <v/>
      </c>
      <c r="K1184" s="25" t="str">
        <f aca="false">IF(OR(E1184="",E1184="!!!",F1184="NEW"),"",INDEX(V$1:V1167,SUMPRODUCT(MAX(ROW(Q$1:Q1167)*(E1184=Q$1:Q1167)))))</f>
        <v/>
      </c>
      <c r="L1184" s="26"/>
      <c r="M1184" s="27"/>
    </row>
    <row r="1185" customFormat="false" ht="15" hidden="false" customHeight="false" outlineLevel="0" collapsed="false">
      <c r="A1185" s="19" t="s">
        <v>612</v>
      </c>
      <c r="B1185" s="28" t="s">
        <v>271</v>
      </c>
      <c r="C1185" s="28" t="s">
        <v>339</v>
      </c>
      <c r="E1185" s="20" t="str">
        <f aca="false">IF(P1185="?OLD","!!!","")</f>
        <v/>
      </c>
      <c r="F1185" s="21" t="str">
        <f aca="false">IF(OR(E1185="",E1185="!!!"),"",IF(NOT(ISNA(VLOOKUP(E1185,Q$1:Q1168,1,FALSE()))),"OLD",IF(AND(E1185&lt;&gt;"",E1185&lt;&gt;"!!!"),"NEW","")))</f>
        <v/>
      </c>
      <c r="G1185" s="22" t="str">
        <f aca="false">IF(OR(E1185="",E1185="!!!"),"",IF(OR(J1185=0,AND(J1185=1,K1185=1),AND(J1185=1,I1185="SBJ"),AND(J1185=1,I1185=0)),"?IN_FOCUS",IF(J1185&lt;=2,"?ACTIVATED",IF(J1185&lt;&gt;"","?FAMILIAR",IF(F1185="NEW",IF(ISNA(VLOOKUP(E1185,#REF!,1,FALSE())),"?TYPE_IDENTIFIABLE","?REFERENTIAL"),"_")))))</f>
        <v/>
      </c>
      <c r="H1185" s="23" t="str">
        <f aca="false">IF(J1185&lt;&gt;1,"",IF(I1185="SBJ","CB","?"))</f>
        <v/>
      </c>
      <c r="I1185" s="24" t="str">
        <f aca="false">IF(OR(E1185="",E1185="!!!",F1185="NEW"),"",INDEX(N$2:N1168,-1+SUMPRODUCT(MAX(ROW(E$2:E1168)*(E1185=E$2:E1168)))))</f>
        <v/>
      </c>
      <c r="J1185" s="25" t="str">
        <f aca="true">IF(OR(E1185="",E1185="!!!",F1185="NEW"),"",COUNTBLANK(OFFSET(M$1,,,SUMPRODUCT(MAX(ROW(E$2:E1169)*(E1185=E$2:E1169)))))-COUNTBLANK(OFFSET(M$1,,,SUMPRODUCT(MAX(ROW(Q$1:Q1168)*(E1185=Q$1:Q1168))))))</f>
        <v/>
      </c>
      <c r="K1185" s="25" t="str">
        <f aca="false">IF(OR(E1185="",E1185="!!!",F1185="NEW"),"",INDEX(V$1:V1168,SUMPRODUCT(MAX(ROW(Q$1:Q1168)*(E1185=Q$1:Q1168)))))</f>
        <v/>
      </c>
      <c r="L1185" s="26"/>
      <c r="M1185" s="27"/>
      <c r="N1185" s="29"/>
      <c r="O1185" s="29"/>
    </row>
    <row r="1186" customFormat="false" ht="15" hidden="false" customHeight="false" outlineLevel="0" collapsed="false">
      <c r="A1186" s="19" t="s">
        <v>261</v>
      </c>
      <c r="E1186" s="20" t="str">
        <f aca="false">IF(P1186="?OLD","!!!","")</f>
        <v/>
      </c>
      <c r="F1186" s="21" t="str">
        <f aca="false">IF(OR(E1186="",E1186="!!!"),"",IF(NOT(ISNA(VLOOKUP(E1186,Q$1:Q1169,1,FALSE()))),"OLD",IF(AND(E1186&lt;&gt;"",E1186&lt;&gt;"!!!"),"NEW","")))</f>
        <v/>
      </c>
      <c r="G1186" s="22" t="str">
        <f aca="false">IF(OR(E1186="",E1186="!!!"),"",IF(OR(J1186=0,AND(J1186=1,K1186=1),AND(J1186=1,I1186="SBJ"),AND(J1186=1,I1186=0)),"?IN_FOCUS",IF(J1186&lt;=2,"?ACTIVATED",IF(J1186&lt;&gt;"","?FAMILIAR",IF(F1186="NEW",IF(ISNA(VLOOKUP(E1186,#REF!,1,FALSE())),"?TYPE_IDENTIFIABLE","?REFERENTIAL"),"_")))))</f>
        <v/>
      </c>
      <c r="H1186" s="23" t="str">
        <f aca="false">IF(J1186&lt;&gt;1,"",IF(I1186="SBJ","CB","?"))</f>
        <v/>
      </c>
      <c r="I1186" s="24" t="str">
        <f aca="false">IF(OR(E1186="",E1186="!!!",F1186="NEW"),"",INDEX(N$2:N1169,-1+SUMPRODUCT(MAX(ROW(E$2:E1169)*(E1186=E$2:E1169)))))</f>
        <v/>
      </c>
      <c r="J1186" s="25" t="str">
        <f aca="true">IF(OR(E1186="",E1186="!!!",F1186="NEW"),"",COUNTBLANK(OFFSET(M$1,,,SUMPRODUCT(MAX(ROW(E$2:E1170)*(E1186=E$2:E1170)))))-COUNTBLANK(OFFSET(M$1,,,SUMPRODUCT(MAX(ROW(Q$1:Q1169)*(E1186=Q$1:Q1169))))))</f>
        <v/>
      </c>
      <c r="K1186" s="25" t="str">
        <f aca="false">IF(OR(E1186="",E1186="!!!",F1186="NEW"),"",INDEX(V$1:V1169,SUMPRODUCT(MAX(ROW(Q$1:Q1169)*(E1186=Q$1:Q1169)))))</f>
        <v/>
      </c>
      <c r="L1186" s="26"/>
      <c r="M1186" s="27"/>
    </row>
    <row r="1187" customFormat="false" ht="15" hidden="false" customHeight="false" outlineLevel="0" collapsed="false">
      <c r="A1187" s="19" t="s">
        <v>294</v>
      </c>
      <c r="E1187" s="20" t="str">
        <f aca="false">IF(P1187="?OLD","!!!","")</f>
        <v/>
      </c>
      <c r="F1187" s="21" t="str">
        <f aca="false">IF(OR(E1187="",E1187="!!!"),"",IF(NOT(ISNA(VLOOKUP(E1187,Q$1:Q1170,1,FALSE()))),"OLD",IF(AND(E1187&lt;&gt;"",E1187&lt;&gt;"!!!"),"NEW","")))</f>
        <v/>
      </c>
      <c r="G1187" s="22" t="str">
        <f aca="false">IF(OR(E1187="",E1187="!!!"),"",IF(OR(J1187=0,AND(J1187=1,K1187=1),AND(J1187=1,I1187="SBJ"),AND(J1187=1,I1187=0)),"?IN_FOCUS",IF(J1187&lt;=2,"?ACTIVATED",IF(J1187&lt;&gt;"","?FAMILIAR",IF(F1187="NEW",IF(ISNA(VLOOKUP(E1187,#REF!,1,FALSE())),"?TYPE_IDENTIFIABLE","?REFERENTIAL"),"_")))))</f>
        <v/>
      </c>
      <c r="H1187" s="23" t="str">
        <f aca="false">IF(J1187&lt;&gt;1,"",IF(I1187="SBJ","CB","?"))</f>
        <v/>
      </c>
      <c r="I1187" s="24" t="str">
        <f aca="false">IF(OR(E1187="",E1187="!!!",F1187="NEW"),"",INDEX(N$2:N1170,-1+SUMPRODUCT(MAX(ROW(E$2:E1170)*(E1187=E$2:E1170)))))</f>
        <v/>
      </c>
      <c r="J1187" s="25" t="str">
        <f aca="true">IF(OR(E1187="",E1187="!!!",F1187="NEW"),"",COUNTBLANK(OFFSET(M$1,,,SUMPRODUCT(MAX(ROW(E$2:E1171)*(E1187=E$2:E1171)))))-COUNTBLANK(OFFSET(M$1,,,SUMPRODUCT(MAX(ROW(Q$1:Q1170)*(E1187=Q$1:Q1170))))))</f>
        <v/>
      </c>
      <c r="K1187" s="25" t="str">
        <f aca="false">IF(OR(E1187="",E1187="!!!",F1187="NEW"),"",INDEX(V$1:V1170,SUMPRODUCT(MAX(ROW(Q$1:Q1170)*(E1187=Q$1:Q1170)))))</f>
        <v/>
      </c>
      <c r="L1187" s="26"/>
      <c r="M1187" s="27"/>
    </row>
    <row r="1188" customFormat="false" ht="15" hidden="false" customHeight="false" outlineLevel="0" collapsed="false">
      <c r="A1188" s="19" t="s">
        <v>718</v>
      </c>
      <c r="E1188" s="20" t="str">
        <f aca="false">IF(P1188="?OLD","!!!","")</f>
        <v/>
      </c>
      <c r="F1188" s="21" t="str">
        <f aca="false">IF(OR(E1188="",E1188="!!!"),"",IF(NOT(ISNA(VLOOKUP(E1188,Q$1:Q1171,1,FALSE()))),"OLD",IF(AND(E1188&lt;&gt;"",E1188&lt;&gt;"!!!"),"NEW","")))</f>
        <v/>
      </c>
      <c r="G1188" s="22" t="str">
        <f aca="false">IF(OR(E1188="",E1188="!!!"),"",IF(OR(J1188=0,AND(J1188=1,K1188=1),AND(J1188=1,I1188="SBJ"),AND(J1188=1,I1188=0)),"?IN_FOCUS",IF(J1188&lt;=2,"?ACTIVATED",IF(J1188&lt;&gt;"","?FAMILIAR",IF(F1188="NEW",IF(ISNA(VLOOKUP(E1188,#REF!,1,FALSE())),"?TYPE_IDENTIFIABLE","?REFERENTIAL"),"_")))))</f>
        <v/>
      </c>
      <c r="H1188" s="23" t="str">
        <f aca="false">IF(J1188&lt;&gt;1,"",IF(I1188="SBJ","CB","?"))</f>
        <v/>
      </c>
      <c r="I1188" s="24" t="str">
        <f aca="false">IF(OR(E1188="",E1188="!!!",F1188="NEW"),"",INDEX(N$2:N1171,-1+SUMPRODUCT(MAX(ROW(E$2:E1171)*(E1188=E$2:E1171)))))</f>
        <v/>
      </c>
      <c r="J1188" s="25" t="str">
        <f aca="true">IF(OR(E1188="",E1188="!!!",F1188="NEW"),"",COUNTBLANK(OFFSET(M$1,,,SUMPRODUCT(MAX(ROW(E$2:E1172)*(E1188=E$2:E1172)))))-COUNTBLANK(OFFSET(M$1,,,SUMPRODUCT(MAX(ROW(Q$1:Q1171)*(E1188=Q$1:Q1171))))))</f>
        <v/>
      </c>
      <c r="K1188" s="25" t="str">
        <f aca="false">IF(OR(E1188="",E1188="!!!",F1188="NEW"),"",INDEX(V$1:V1171,SUMPRODUCT(MAX(ROW(Q$1:Q1171)*(E1188=Q$1:Q1171)))))</f>
        <v/>
      </c>
      <c r="L1188" s="26"/>
      <c r="M1188" s="27"/>
    </row>
    <row r="1189" customFormat="false" ht="15" hidden="false" customHeight="false" outlineLevel="0" collapsed="false">
      <c r="A1189" s="19" t="s">
        <v>511</v>
      </c>
      <c r="B1189" s="28" t="s">
        <v>251</v>
      </c>
      <c r="C1189" s="28" t="s">
        <v>272</v>
      </c>
      <c r="E1189" s="20" t="str">
        <f aca="false">IF(P1189="?OLD","!!!","")</f>
        <v/>
      </c>
      <c r="F1189" s="21" t="str">
        <f aca="false">IF(OR(E1189="",E1189="!!!"),"",IF(NOT(ISNA(VLOOKUP(E1189,Q$1:Q1172,1,FALSE()))),"OLD",IF(AND(E1189&lt;&gt;"",E1189&lt;&gt;"!!!"),"NEW","")))</f>
        <v/>
      </c>
      <c r="G1189" s="22" t="str">
        <f aca="false">IF(OR(E1189="",E1189="!!!"),"",IF(OR(J1189=0,AND(J1189=1,K1189=1),AND(J1189=1,I1189="SBJ"),AND(J1189=1,I1189=0)),"?IN_FOCUS",IF(J1189&lt;=2,"?ACTIVATED",IF(J1189&lt;&gt;"","?FAMILIAR",IF(F1189="NEW",IF(ISNA(VLOOKUP(E1189,#REF!,1,FALSE())),"?TYPE_IDENTIFIABLE","?REFERENTIAL"),"_")))))</f>
        <v/>
      </c>
      <c r="H1189" s="23" t="str">
        <f aca="false">IF(J1189&lt;&gt;1,"",IF(I1189="SBJ","CB","?"))</f>
        <v/>
      </c>
      <c r="I1189" s="24" t="str">
        <f aca="false">IF(OR(E1189="",E1189="!!!",F1189="NEW"),"",INDEX(N$2:N1172,-1+SUMPRODUCT(MAX(ROW(E$2:E1172)*(E1189=E$2:E1172)))))</f>
        <v/>
      </c>
      <c r="J1189" s="25" t="str">
        <f aca="true">IF(OR(E1189="",E1189="!!!",F1189="NEW"),"",COUNTBLANK(OFFSET(M$1,,,SUMPRODUCT(MAX(ROW(E$2:E1173)*(E1189=E$2:E1173)))))-COUNTBLANK(OFFSET(M$1,,,SUMPRODUCT(MAX(ROW(Q$1:Q1172)*(E1189=Q$1:Q1172))))))</f>
        <v/>
      </c>
      <c r="K1189" s="25" t="str">
        <f aca="false">IF(OR(E1189="",E1189="!!!",F1189="NEW"),"",INDEX(V$1:V1172,SUMPRODUCT(MAX(ROW(Q$1:Q1172)*(E1189=Q$1:Q1172)))))</f>
        <v/>
      </c>
      <c r="L1189" s="26"/>
      <c r="M1189" s="27"/>
      <c r="N1189" s="29"/>
      <c r="O1189" s="29"/>
    </row>
    <row r="1190" customFormat="false" ht="15" hidden="false" customHeight="false" outlineLevel="0" collapsed="false">
      <c r="A1190" s="19" t="s">
        <v>294</v>
      </c>
      <c r="E1190" s="20" t="str">
        <f aca="false">IF(P1190="?OLD","!!!","")</f>
        <v/>
      </c>
      <c r="F1190" s="21" t="str">
        <f aca="false">IF(OR(E1190="",E1190="!!!"),"",IF(NOT(ISNA(VLOOKUP(E1190,Q$1:Q1173,1,FALSE()))),"OLD",IF(AND(E1190&lt;&gt;"",E1190&lt;&gt;"!!!"),"NEW","")))</f>
        <v/>
      </c>
      <c r="G1190" s="22" t="str">
        <f aca="false">IF(OR(E1190="",E1190="!!!"),"",IF(OR(J1190=0,AND(J1190=1,K1190=1),AND(J1190=1,I1190="SBJ"),AND(J1190=1,I1190=0)),"?IN_FOCUS",IF(J1190&lt;=2,"?ACTIVATED",IF(J1190&lt;&gt;"","?FAMILIAR",IF(F1190="NEW",IF(ISNA(VLOOKUP(E1190,#REF!,1,FALSE())),"?TYPE_IDENTIFIABLE","?REFERENTIAL"),"_")))))</f>
        <v/>
      </c>
      <c r="H1190" s="23" t="str">
        <f aca="false">IF(J1190&lt;&gt;1,"",IF(I1190="SBJ","CB","?"))</f>
        <v/>
      </c>
      <c r="I1190" s="24" t="str">
        <f aca="false">IF(OR(E1190="",E1190="!!!",F1190="NEW"),"",INDEX(N$2:N1173,-1+SUMPRODUCT(MAX(ROW(E$2:E1173)*(E1190=E$2:E1173)))))</f>
        <v/>
      </c>
      <c r="J1190" s="25" t="str">
        <f aca="true">IF(OR(E1190="",E1190="!!!",F1190="NEW"),"",COUNTBLANK(OFFSET(M$1,,,SUMPRODUCT(MAX(ROW(E$2:E1174)*(E1190=E$2:E1174)))))-COUNTBLANK(OFFSET(M$1,,,SUMPRODUCT(MAX(ROW(Q$1:Q1173)*(E1190=Q$1:Q1173))))))</f>
        <v/>
      </c>
      <c r="K1190" s="25" t="str">
        <f aca="false">IF(OR(E1190="",E1190="!!!",F1190="NEW"),"",INDEX(V$1:V1173,SUMPRODUCT(MAX(ROW(Q$1:Q1173)*(E1190=Q$1:Q1173)))))</f>
        <v/>
      </c>
      <c r="L1190" s="26"/>
      <c r="M1190" s="27"/>
    </row>
    <row r="1191" customFormat="false" ht="15" hidden="false" customHeight="false" outlineLevel="0" collapsed="false">
      <c r="A1191" s="19" t="s">
        <v>513</v>
      </c>
      <c r="B1191" s="28" t="s">
        <v>258</v>
      </c>
      <c r="C1191" s="28" t="s">
        <v>259</v>
      </c>
      <c r="E1191" s="20" t="str">
        <f aca="false">IF(P1191="?OLD","!!!","")</f>
        <v/>
      </c>
      <c r="F1191" s="21" t="str">
        <f aca="false">IF(OR(E1191="",E1191="!!!"),"",IF(NOT(ISNA(VLOOKUP(E1191,Q$1:Q1174,1,FALSE()))),"OLD",IF(AND(E1191&lt;&gt;"",E1191&lt;&gt;"!!!"),"NEW","")))</f>
        <v/>
      </c>
      <c r="G1191" s="22" t="str">
        <f aca="false">IF(OR(E1191="",E1191="!!!"),"",IF(OR(J1191=0,AND(J1191=1,K1191=1),AND(J1191=1,I1191="SBJ"),AND(J1191=1,I1191=0)),"?IN_FOCUS",IF(J1191&lt;=2,"?ACTIVATED",IF(J1191&lt;&gt;"","?FAMILIAR",IF(F1191="NEW",IF(ISNA(VLOOKUP(E1191,#REF!,1,FALSE())),"?TYPE_IDENTIFIABLE","?REFERENTIAL"),"_")))))</f>
        <v/>
      </c>
      <c r="H1191" s="23" t="str">
        <f aca="false">IF(J1191&lt;&gt;1,"",IF(I1191="SBJ","CB","?"))</f>
        <v/>
      </c>
      <c r="I1191" s="24" t="str">
        <f aca="false">IF(OR(E1191="",E1191="!!!",F1191="NEW"),"",INDEX(N$2:N1174,-1+SUMPRODUCT(MAX(ROW(E$2:E1174)*(E1191=E$2:E1174)))))</f>
        <v/>
      </c>
      <c r="J1191" s="25" t="str">
        <f aca="true">IF(OR(E1191="",E1191="!!!",F1191="NEW"),"",COUNTBLANK(OFFSET(M$1,,,SUMPRODUCT(MAX(ROW(E$2:E1175)*(E1191=E$2:E1175)))))-COUNTBLANK(OFFSET(M$1,,,SUMPRODUCT(MAX(ROW(Q$1:Q1174)*(E1191=Q$1:Q1174))))))</f>
        <v/>
      </c>
      <c r="K1191" s="25" t="str">
        <f aca="false">IF(OR(E1191="",E1191="!!!",F1191="NEW"),"",INDEX(V$1:V1174,SUMPRODUCT(MAX(ROW(Q$1:Q1174)*(E1191=Q$1:Q1174)))))</f>
        <v/>
      </c>
      <c r="L1191" s="26"/>
      <c r="M1191" s="27"/>
      <c r="N1191" s="29"/>
      <c r="O1191" s="29"/>
    </row>
    <row r="1192" customFormat="false" ht="15" hidden="false" customHeight="false" outlineLevel="0" collapsed="false">
      <c r="A1192" s="19" t="s">
        <v>268</v>
      </c>
      <c r="E1192" s="20" t="str">
        <f aca="false">IF(P1192="?OLD","!!!","")</f>
        <v/>
      </c>
      <c r="F1192" s="21" t="str">
        <f aca="false">IF(OR(E1192="",E1192="!!!"),"",IF(NOT(ISNA(VLOOKUP(E1192,Q$1:Q1175,1,FALSE()))),"OLD",IF(AND(E1192&lt;&gt;"",E1192&lt;&gt;"!!!"),"NEW","")))</f>
        <v/>
      </c>
      <c r="G1192" s="22" t="str">
        <f aca="false">IF(OR(E1192="",E1192="!!!"),"",IF(OR(J1192=0,AND(J1192=1,K1192=1),AND(J1192=1,I1192="SBJ"),AND(J1192=1,I1192=0)),"?IN_FOCUS",IF(J1192&lt;=2,"?ACTIVATED",IF(J1192&lt;&gt;"","?FAMILIAR",IF(F1192="NEW",IF(ISNA(VLOOKUP(E1192,#REF!,1,FALSE())),"?TYPE_IDENTIFIABLE","?REFERENTIAL"),"_")))))</f>
        <v/>
      </c>
      <c r="H1192" s="23" t="str">
        <f aca="false">IF(J1192&lt;&gt;1,"",IF(I1192="SBJ","CB","?"))</f>
        <v/>
      </c>
      <c r="I1192" s="24" t="str">
        <f aca="false">IF(OR(E1192="",E1192="!!!",F1192="NEW"),"",INDEX(N$2:N1175,-1+SUMPRODUCT(MAX(ROW(E$2:E1175)*(E1192=E$2:E1175)))))</f>
        <v/>
      </c>
      <c r="J1192" s="25" t="str">
        <f aca="true">IF(OR(E1192="",E1192="!!!",F1192="NEW"),"",COUNTBLANK(OFFSET(M$1,,,SUMPRODUCT(MAX(ROW(E$2:E1176)*(E1192=E$2:E1176)))))-COUNTBLANK(OFFSET(M$1,,,SUMPRODUCT(MAX(ROW(Q$1:Q1175)*(E1192=Q$1:Q1175))))))</f>
        <v/>
      </c>
      <c r="K1192" s="25" t="str">
        <f aca="false">IF(OR(E1192="",E1192="!!!",F1192="NEW"),"",INDEX(V$1:V1175,SUMPRODUCT(MAX(ROW(Q$1:Q1175)*(E1192=Q$1:Q1175)))))</f>
        <v/>
      </c>
      <c r="L1192" s="26"/>
      <c r="M1192" s="27"/>
    </row>
    <row r="1193" customFormat="false" ht="15" hidden="false" customHeight="false" outlineLevel="0" collapsed="false">
      <c r="A1193" s="19" t="s">
        <v>750</v>
      </c>
      <c r="E1193" s="20" t="str">
        <f aca="false">IF(P1193="?OLD","!!!","")</f>
        <v/>
      </c>
      <c r="F1193" s="21" t="str">
        <f aca="false">IF(OR(E1193="",E1193="!!!"),"",IF(NOT(ISNA(VLOOKUP(E1193,Q$1:Q1176,1,FALSE()))),"OLD",IF(AND(E1193&lt;&gt;"",E1193&lt;&gt;"!!!"),"NEW","")))</f>
        <v/>
      </c>
      <c r="G1193" s="22" t="str">
        <f aca="false">IF(OR(E1193="",E1193="!!!"),"",IF(OR(J1193=0,AND(J1193=1,K1193=1),AND(J1193=1,I1193="SBJ"),AND(J1193=1,I1193=0)),"?IN_FOCUS",IF(J1193&lt;=2,"?ACTIVATED",IF(J1193&lt;&gt;"","?FAMILIAR",IF(F1193="NEW",IF(ISNA(VLOOKUP(E1193,#REF!,1,FALSE())),"?TYPE_IDENTIFIABLE","?REFERENTIAL"),"_")))))</f>
        <v/>
      </c>
      <c r="H1193" s="23" t="str">
        <f aca="false">IF(J1193&lt;&gt;1,"",IF(I1193="SBJ","CB","?"))</f>
        <v/>
      </c>
      <c r="I1193" s="24" t="str">
        <f aca="false">IF(OR(E1193="",E1193="!!!",F1193="NEW"),"",INDEX(N$2:N1176,-1+SUMPRODUCT(MAX(ROW(E$2:E1176)*(E1193=E$2:E1176)))))</f>
        <v/>
      </c>
      <c r="J1193" s="25" t="str">
        <f aca="true">IF(OR(E1193="",E1193="!!!",F1193="NEW"),"",COUNTBLANK(OFFSET(M$1,,,SUMPRODUCT(MAX(ROW(E$2:E1177)*(E1193=E$2:E1177)))))-COUNTBLANK(OFFSET(M$1,,,SUMPRODUCT(MAX(ROW(Q$1:Q1176)*(E1193=Q$1:Q1176))))))</f>
        <v/>
      </c>
      <c r="K1193" s="25" t="str">
        <f aca="false">IF(OR(E1193="",E1193="!!!",F1193="NEW"),"",INDEX(V$1:V1176,SUMPRODUCT(MAX(ROW(Q$1:Q1176)*(E1193=Q$1:Q1176)))))</f>
        <v/>
      </c>
      <c r="L1193" s="26"/>
      <c r="M1193" s="27"/>
    </row>
    <row r="1194" customFormat="false" ht="15" hidden="false" customHeight="false" outlineLevel="0" collapsed="false">
      <c r="A1194" s="19" t="s">
        <v>471</v>
      </c>
      <c r="E1194" s="20" t="str">
        <f aca="false">IF(P1194="?OLD","!!!","")</f>
        <v/>
      </c>
      <c r="F1194" s="21" t="str">
        <f aca="false">IF(OR(E1194="",E1194="!!!"),"",IF(NOT(ISNA(VLOOKUP(E1194,Q$1:Q1177,1,FALSE()))),"OLD",IF(AND(E1194&lt;&gt;"",E1194&lt;&gt;"!!!"),"NEW","")))</f>
        <v/>
      </c>
      <c r="G1194" s="22" t="str">
        <f aca="false">IF(OR(E1194="",E1194="!!!"),"",IF(OR(J1194=0,AND(J1194=1,K1194=1),AND(J1194=1,I1194="SBJ"),AND(J1194=1,I1194=0)),"?IN_FOCUS",IF(J1194&lt;=2,"?ACTIVATED",IF(J1194&lt;&gt;"","?FAMILIAR",IF(F1194="NEW",IF(ISNA(VLOOKUP(E1194,#REF!,1,FALSE())),"?TYPE_IDENTIFIABLE","?REFERENTIAL"),"_")))))</f>
        <v/>
      </c>
      <c r="H1194" s="23" t="str">
        <f aca="false">IF(J1194&lt;&gt;1,"",IF(I1194="SBJ","CB","?"))</f>
        <v/>
      </c>
      <c r="I1194" s="24" t="str">
        <f aca="false">IF(OR(E1194="",E1194="!!!",F1194="NEW"),"",INDEX(N$2:N1177,-1+SUMPRODUCT(MAX(ROW(E$2:E1177)*(E1194=E$2:E1177)))))</f>
        <v/>
      </c>
      <c r="J1194" s="25" t="str">
        <f aca="true">IF(OR(E1194="",E1194="!!!",F1194="NEW"),"",COUNTBLANK(OFFSET(M$1,,,SUMPRODUCT(MAX(ROW(E$2:E1178)*(E1194=E$2:E1178)))))-COUNTBLANK(OFFSET(M$1,,,SUMPRODUCT(MAX(ROW(Q$1:Q1177)*(E1194=Q$1:Q1177))))))</f>
        <v/>
      </c>
      <c r="K1194" s="25" t="str">
        <f aca="false">IF(OR(E1194="",E1194="!!!",F1194="NEW"),"",INDEX(V$1:V1177,SUMPRODUCT(MAX(ROW(Q$1:Q1177)*(E1194=Q$1:Q1177)))))</f>
        <v/>
      </c>
      <c r="L1194" s="26"/>
      <c r="M1194" s="27"/>
    </row>
    <row r="1195" customFormat="false" ht="15" hidden="false" customHeight="false" outlineLevel="0" collapsed="false">
      <c r="A1195" s="19" t="s">
        <v>250</v>
      </c>
      <c r="E1195" s="20" t="str">
        <f aca="false">IF(P1195="?OLD","!!!","")</f>
        <v/>
      </c>
      <c r="F1195" s="21" t="str">
        <f aca="false">IF(OR(E1195="",E1195="!!!"),"",IF(NOT(ISNA(VLOOKUP(E1195,Q$1:Q1178,1,FALSE()))),"OLD",IF(AND(E1195&lt;&gt;"",E1195&lt;&gt;"!!!"),"NEW","")))</f>
        <v/>
      </c>
      <c r="G1195" s="22" t="str">
        <f aca="false">IF(OR(E1195="",E1195="!!!"),"",IF(OR(J1195=0,AND(J1195=1,K1195=1),AND(J1195=1,I1195="SBJ"),AND(J1195=1,I1195=0)),"?IN_FOCUS",IF(J1195&lt;=2,"?ACTIVATED",IF(J1195&lt;&gt;"","?FAMILIAR",IF(F1195="NEW",IF(ISNA(VLOOKUP(E1195,#REF!,1,FALSE())),"?TYPE_IDENTIFIABLE","?REFERENTIAL"),"_")))))</f>
        <v/>
      </c>
      <c r="H1195" s="23" t="str">
        <f aca="false">IF(J1195&lt;&gt;1,"",IF(I1195="SBJ","CB","?"))</f>
        <v/>
      </c>
      <c r="I1195" s="24" t="str">
        <f aca="false">IF(OR(E1195="",E1195="!!!",F1195="NEW"),"",INDEX(N$2:N1178,-1+SUMPRODUCT(MAX(ROW(E$2:E1178)*(E1195=E$2:E1178)))))</f>
        <v/>
      </c>
      <c r="J1195" s="25" t="str">
        <f aca="true">IF(OR(E1195="",E1195="!!!",F1195="NEW"),"",COUNTBLANK(OFFSET(M$1,,,SUMPRODUCT(MAX(ROW(E$2:E1179)*(E1195=E$2:E1179)))))-COUNTBLANK(OFFSET(M$1,,,SUMPRODUCT(MAX(ROW(Q$1:Q1178)*(E1195=Q$1:Q1178))))))</f>
        <v/>
      </c>
      <c r="K1195" s="25" t="str">
        <f aca="false">IF(OR(E1195="",E1195="!!!",F1195="NEW"),"",INDEX(V$1:V1178,SUMPRODUCT(MAX(ROW(Q$1:Q1178)*(E1195=Q$1:Q1178)))))</f>
        <v/>
      </c>
      <c r="L1195" s="26"/>
      <c r="M1195" s="27"/>
    </row>
    <row r="1196" customFormat="false" ht="15" hidden="false" customHeight="false" outlineLevel="0" collapsed="false">
      <c r="A1196" s="19" t="s">
        <v>702</v>
      </c>
      <c r="B1196" s="28" t="s">
        <v>306</v>
      </c>
      <c r="C1196" s="28" t="s">
        <v>252</v>
      </c>
      <c r="D1196" s="28" t="s">
        <v>253</v>
      </c>
      <c r="E1196" s="20" t="s">
        <v>265</v>
      </c>
      <c r="F1196" s="21" t="str">
        <f aca="false">IF(OR(E1196="",E1196="!!!"),"",IF(NOT(ISNA(VLOOKUP(E1196,Q$1:Q1179,1,FALSE()))),"OLD",IF(AND(E1196&lt;&gt;"",E1196&lt;&gt;"!!!"),"NEW","")))</f>
        <v>NEW</v>
      </c>
      <c r="G1196" s="22" t="s">
        <v>266</v>
      </c>
      <c r="H1196" s="23" t="s">
        <v>243</v>
      </c>
      <c r="I1196" s="24" t="str">
        <f aca="false">IF(OR(E1196="",E1196="!!!",F1196="NEW"),"",INDEX(N$2:N1179,-1+SUMPRODUCT(MAX(ROW(E$2:E1179)*(E1196=E$2:E1179)))))</f>
        <v/>
      </c>
      <c r="J1196" s="25" t="str">
        <f aca="true">IF(OR(E1196="",E1196="!!!",F1196="NEW"),"",COUNTBLANK(OFFSET(M$1,,,SUMPRODUCT(MAX(ROW(E$2:E1180)*(E1196=E$2:E1180)))))-COUNTBLANK(OFFSET(M$1,,,SUMPRODUCT(MAX(ROW(Q$1:Q1179)*(E1196=Q$1:Q1179))))))</f>
        <v/>
      </c>
      <c r="K1196" s="25" t="str">
        <f aca="false">IF(OR(E1196="",E1196="!!!",F1196="NEW"),"",INDEX(V$1:V1179,SUMPRODUCT(MAX(ROW(Q$1:Q1179)*(E1196=Q$1:Q1179)))))</f>
        <v/>
      </c>
      <c r="L1196" s="26"/>
      <c r="M1196" s="27"/>
      <c r="N1196" s="29"/>
      <c r="O1196" s="29"/>
      <c r="P1196" s="29"/>
    </row>
    <row r="1197" customFormat="false" ht="15" hidden="false" customHeight="false" outlineLevel="0" collapsed="false">
      <c r="A1197" s="19" t="s">
        <v>275</v>
      </c>
      <c r="E1197" s="20" t="str">
        <f aca="false">IF(P1197="?OLD","!!!","")</f>
        <v/>
      </c>
      <c r="F1197" s="21" t="str">
        <f aca="false">IF(OR(E1197="",E1197="!!!"),"",IF(NOT(ISNA(VLOOKUP(E1197,Q$1:Q1180,1,FALSE()))),"OLD",IF(AND(E1197&lt;&gt;"",E1197&lt;&gt;"!!!"),"NEW","")))</f>
        <v/>
      </c>
      <c r="G1197" s="22" t="str">
        <f aca="false">IF(OR(E1197="",E1197="!!!"),"",IF(OR(J1197=0,AND(J1197=1,K1197=1),AND(J1197=1,I1197="SBJ"),AND(J1197=1,I1197=0)),"?IN_FOCUS",IF(J1197&lt;=2,"?ACTIVATED",IF(J1197&lt;&gt;"","?FAMILIAR",IF(F1197="NEW",IF(ISNA(VLOOKUP(E1197,#REF!,1,FALSE())),"?TYPE_IDENTIFIABLE","?REFERENTIAL"),"_")))))</f>
        <v/>
      </c>
      <c r="H1197" s="23" t="str">
        <f aca="false">IF(J1197&lt;&gt;1,"",IF(I1197="SBJ","CB","?"))</f>
        <v/>
      </c>
      <c r="I1197" s="24" t="str">
        <f aca="false">IF(OR(E1197="",E1197="!!!",F1197="NEW"),"",INDEX(N$2:N1180,-1+SUMPRODUCT(MAX(ROW(E$2:E1180)*(E1197=E$2:E1180)))))</f>
        <v/>
      </c>
      <c r="J1197" s="25" t="str">
        <f aca="true">IF(OR(E1197="",E1197="!!!",F1197="NEW"),"",COUNTBLANK(OFFSET(M$1,,,SUMPRODUCT(MAX(ROW(E$2:E1181)*(E1197=E$2:E1181)))))-COUNTBLANK(OFFSET(M$1,,,SUMPRODUCT(MAX(ROW(Q$1:Q1180)*(E1197=Q$1:Q1180))))))</f>
        <v/>
      </c>
      <c r="K1197" s="25" t="str">
        <f aca="false">IF(OR(E1197="",E1197="!!!",F1197="NEW"),"",INDEX(V$1:V1180,SUMPRODUCT(MAX(ROW(Q$1:Q1180)*(E1197=Q$1:Q1180)))))</f>
        <v/>
      </c>
      <c r="L1197" s="26"/>
      <c r="M1197" s="27"/>
    </row>
    <row r="1198" customFormat="false" ht="15" hidden="false" customHeight="false" outlineLevel="0" collapsed="false">
      <c r="A1198" s="19"/>
      <c r="E1198" s="20" t="str">
        <f aca="false">IF(P1198="?OLD","!!!","")</f>
        <v/>
      </c>
      <c r="F1198" s="21" t="str">
        <f aca="false">IF(OR(E1198="",E1198="!!!"),"",IF(NOT(ISNA(VLOOKUP(E1198,Q$1:Q1181,1,FALSE()))),"OLD",IF(AND(E1198&lt;&gt;"",E1198&lt;&gt;"!!!"),"NEW","")))</f>
        <v/>
      </c>
      <c r="G1198" s="22" t="str">
        <f aca="false">IF(OR(E1198="",E1198="!!!"),"",IF(OR(J1198=0,AND(J1198=1,K1198=1),AND(J1198=1,I1198="SBJ"),AND(J1198=1,I1198=0)),"?IN_FOCUS",IF(J1198&lt;=2,"?ACTIVATED",IF(J1198&lt;&gt;"","?FAMILIAR",IF(F1198="NEW",IF(ISNA(VLOOKUP(E1198,#REF!,1,FALSE())),"?TYPE_IDENTIFIABLE","?REFERENTIAL"),"_")))))</f>
        <v/>
      </c>
      <c r="H1198" s="23" t="str">
        <f aca="false">IF(J1198&lt;&gt;1,"",IF(I1198="SBJ","CB","?"))</f>
        <v/>
      </c>
      <c r="I1198" s="24" t="str">
        <f aca="false">IF(OR(E1198="",E1198="!!!",F1198="NEW"),"",INDEX(N$2:N1181,-1+SUMPRODUCT(MAX(ROW(E$2:E1181)*(E1198=E$2:E1181)))))</f>
        <v/>
      </c>
      <c r="J1198" s="25" t="str">
        <f aca="true">IF(OR(E1198="",E1198="!!!",F1198="NEW"),"",COUNTBLANK(OFFSET(M$1,,,SUMPRODUCT(MAX(ROW(E$2:E1182)*(E1198=E$2:E1182)))))-COUNTBLANK(OFFSET(M$1,,,SUMPRODUCT(MAX(ROW(Q$1:Q1181)*(E1198=Q$1:Q1181))))))</f>
        <v/>
      </c>
      <c r="K1198" s="25" t="str">
        <f aca="false">IF(OR(E1198="",E1198="!!!",F1198="NEW"),"",INDEX(V$1:V1181,SUMPRODUCT(MAX(ROW(Q$1:Q1181)*(E1198=Q$1:Q1181)))))</f>
        <v/>
      </c>
      <c r="L1198" s="26"/>
    </row>
    <row r="1199" customFormat="false" ht="15" hidden="false" customHeight="false" outlineLevel="0" collapsed="false">
      <c r="A1199" s="19" t="s">
        <v>751</v>
      </c>
      <c r="E1199" s="20" t="str">
        <f aca="false">IF(P1199="?OLD","!!!","")</f>
        <v/>
      </c>
      <c r="F1199" s="21" t="str">
        <f aca="false">IF(OR(E1199="",E1199="!!!"),"",IF(NOT(ISNA(VLOOKUP(E1199,Q$1:Q1182,1,FALSE()))),"OLD",IF(AND(E1199&lt;&gt;"",E1199&lt;&gt;"!!!"),"NEW","")))</f>
        <v/>
      </c>
      <c r="G1199" s="22" t="str">
        <f aca="false">IF(OR(E1199="",E1199="!!!"),"",IF(OR(J1199=0,AND(J1199=1,K1199=1),AND(J1199=1,I1199="SBJ"),AND(J1199=1,I1199=0)),"?IN_FOCUS",IF(J1199&lt;=2,"?ACTIVATED",IF(J1199&lt;&gt;"","?FAMILIAR",IF(F1199="NEW",IF(ISNA(VLOOKUP(E1199,#REF!,1,FALSE())),"?TYPE_IDENTIFIABLE","?REFERENTIAL"),"_")))))</f>
        <v/>
      </c>
      <c r="H1199" s="23" t="str">
        <f aca="false">IF(J1199&lt;&gt;1,"",IF(I1199="SBJ","CB","?"))</f>
        <v/>
      </c>
      <c r="I1199" s="24" t="str">
        <f aca="false">IF(OR(E1199="",E1199="!!!",F1199="NEW"),"",INDEX(N$2:N1182,-1+SUMPRODUCT(MAX(ROW(E$2:E1182)*(E1199=E$2:E1182)))))</f>
        <v/>
      </c>
      <c r="J1199" s="25" t="str">
        <f aca="true">IF(OR(E1199="",E1199="!!!",F1199="NEW"),"",COUNTBLANK(OFFSET(M$1,,,SUMPRODUCT(MAX(ROW(E$2:E1183)*(E1199=E$2:E1183)))))-COUNTBLANK(OFFSET(M$1,,,SUMPRODUCT(MAX(ROW(Q$1:Q1182)*(E1199=Q$1:Q1182))))))</f>
        <v/>
      </c>
      <c r="K1199" s="25" t="str">
        <f aca="false">IF(OR(E1199="",E1199="!!!",F1199="NEW"),"",INDEX(V$1:V1182,SUMPRODUCT(MAX(ROW(Q$1:Q1182)*(E1199=Q$1:Q1182)))))</f>
        <v/>
      </c>
      <c r="L1199" s="26"/>
      <c r="M1199" s="27"/>
    </row>
    <row r="1200" customFormat="false" ht="15" hidden="false" customHeight="false" outlineLevel="0" collapsed="false">
      <c r="A1200" s="19" t="s">
        <v>752</v>
      </c>
      <c r="E1200" s="20" t="str">
        <f aca="false">IF(P1200="?OLD","!!!","")</f>
        <v/>
      </c>
      <c r="F1200" s="21" t="str">
        <f aca="false">IF(OR(E1200="",E1200="!!!"),"",IF(NOT(ISNA(VLOOKUP(E1200,Q$1:Q1183,1,FALSE()))),"OLD",IF(AND(E1200&lt;&gt;"",E1200&lt;&gt;"!!!"),"NEW","")))</f>
        <v/>
      </c>
      <c r="G1200" s="22" t="str">
        <f aca="false">IF(OR(E1200="",E1200="!!!"),"",IF(OR(J1200=0,AND(J1200=1,K1200=1),AND(J1200=1,I1200="SBJ"),AND(J1200=1,I1200=0)),"?IN_FOCUS",IF(J1200&lt;=2,"?ACTIVATED",IF(J1200&lt;&gt;"","?FAMILIAR",IF(F1200="NEW",IF(ISNA(VLOOKUP(E1200,#REF!,1,FALSE())),"?TYPE_IDENTIFIABLE","?REFERENTIAL"),"_")))))</f>
        <v/>
      </c>
      <c r="H1200" s="23" t="str">
        <f aca="false">IF(J1200&lt;&gt;1,"",IF(I1200="SBJ","CB","?"))</f>
        <v/>
      </c>
      <c r="I1200" s="24" t="str">
        <f aca="false">IF(OR(E1200="",E1200="!!!",F1200="NEW"),"",INDEX(N$2:N1183,-1+SUMPRODUCT(MAX(ROW(E$2:E1183)*(E1200=E$2:E1183)))))</f>
        <v/>
      </c>
      <c r="J1200" s="25" t="str">
        <f aca="true">IF(OR(E1200="",E1200="!!!",F1200="NEW"),"",COUNTBLANK(OFFSET(M$1,,,SUMPRODUCT(MAX(ROW(E$2:E1184)*(E1200=E$2:E1184)))))-COUNTBLANK(OFFSET(M$1,,,SUMPRODUCT(MAX(ROW(Q$1:Q1183)*(E1200=Q$1:Q1183))))))</f>
        <v/>
      </c>
      <c r="K1200" s="25" t="str">
        <f aca="false">IF(OR(E1200="",E1200="!!!",F1200="NEW"),"",INDEX(V$1:V1183,SUMPRODUCT(MAX(ROW(Q$1:Q1183)*(E1200=Q$1:Q1183)))))</f>
        <v/>
      </c>
      <c r="L1200" s="26"/>
      <c r="M1200" s="27"/>
    </row>
    <row r="1201" customFormat="false" ht="15" hidden="false" customHeight="false" outlineLevel="0" collapsed="false">
      <c r="A1201" s="19" t="s">
        <v>372</v>
      </c>
      <c r="B1201" s="28" t="s">
        <v>251</v>
      </c>
      <c r="E1201" s="20" t="str">
        <f aca="false">IF(P1201="?OLD","!!!","")</f>
        <v/>
      </c>
      <c r="F1201" s="21" t="str">
        <f aca="false">IF(OR(E1201="",E1201="!!!"),"",IF(NOT(ISNA(VLOOKUP(E1201,Q$1:Q1184,1,FALSE()))),"OLD",IF(AND(E1201&lt;&gt;"",E1201&lt;&gt;"!!!"),"NEW","")))</f>
        <v/>
      </c>
      <c r="G1201" s="22" t="str">
        <f aca="false">IF(OR(E1201="",E1201="!!!"),"",IF(OR(J1201=0,AND(J1201=1,K1201=1),AND(J1201=1,I1201="SBJ"),AND(J1201=1,I1201=0)),"?IN_FOCUS",IF(J1201&lt;=2,"?ACTIVATED",IF(J1201&lt;&gt;"","?FAMILIAR",IF(F1201="NEW",IF(ISNA(VLOOKUP(E1201,#REF!,1,FALSE())),"?TYPE_IDENTIFIABLE","?REFERENTIAL"),"_")))))</f>
        <v/>
      </c>
      <c r="H1201" s="23" t="str">
        <f aca="false">IF(J1201&lt;&gt;1,"",IF(I1201="SBJ","CB","?"))</f>
        <v/>
      </c>
      <c r="I1201" s="24" t="str">
        <f aca="false">IF(OR(E1201="",E1201="!!!",F1201="NEW"),"",INDEX(N$2:N1184,-1+SUMPRODUCT(MAX(ROW(E$2:E1184)*(E1201=E$2:E1184)))))</f>
        <v/>
      </c>
      <c r="J1201" s="25" t="str">
        <f aca="true">IF(OR(E1201="",E1201="!!!",F1201="NEW"),"",COUNTBLANK(OFFSET(M$1,,,SUMPRODUCT(MAX(ROW(E$2:E1185)*(E1201=E$2:E1185)))))-COUNTBLANK(OFFSET(M$1,,,SUMPRODUCT(MAX(ROW(Q$1:Q1184)*(E1201=Q$1:Q1184))))))</f>
        <v/>
      </c>
      <c r="K1201" s="25" t="str">
        <f aca="false">IF(OR(E1201="",E1201="!!!",F1201="NEW"),"",INDEX(V$1:V1184,SUMPRODUCT(MAX(ROW(Q$1:Q1184)*(E1201=Q$1:Q1184)))))</f>
        <v/>
      </c>
      <c r="L1201" s="26"/>
      <c r="M1201" s="27"/>
      <c r="N1201" s="29"/>
    </row>
    <row r="1202" customFormat="false" ht="15" hidden="false" customHeight="false" outlineLevel="0" collapsed="false">
      <c r="A1202" s="19" t="s">
        <v>753</v>
      </c>
      <c r="E1202" s="20" t="str">
        <f aca="false">IF(P1202="?OLD","!!!","")</f>
        <v/>
      </c>
      <c r="F1202" s="21" t="str">
        <f aca="false">IF(OR(E1202="",E1202="!!!"),"",IF(NOT(ISNA(VLOOKUP(E1202,Q$1:Q1185,1,FALSE()))),"OLD",IF(AND(E1202&lt;&gt;"",E1202&lt;&gt;"!!!"),"NEW","")))</f>
        <v/>
      </c>
      <c r="G1202" s="22" t="str">
        <f aca="false">IF(OR(E1202="",E1202="!!!"),"",IF(OR(J1202=0,AND(J1202=1,K1202=1),AND(J1202=1,I1202="SBJ"),AND(J1202=1,I1202=0)),"?IN_FOCUS",IF(J1202&lt;=2,"?ACTIVATED",IF(J1202&lt;&gt;"","?FAMILIAR",IF(F1202="NEW",IF(ISNA(VLOOKUP(E1202,#REF!,1,FALSE())),"?TYPE_IDENTIFIABLE","?REFERENTIAL"),"_")))))</f>
        <v/>
      </c>
      <c r="H1202" s="23" t="str">
        <f aca="false">IF(J1202&lt;&gt;1,"",IF(I1202="SBJ","CB","?"))</f>
        <v/>
      </c>
      <c r="I1202" s="24" t="str">
        <f aca="false">IF(OR(E1202="",E1202="!!!",F1202="NEW"),"",INDEX(N$2:N1185,-1+SUMPRODUCT(MAX(ROW(E$2:E1185)*(E1202=E$2:E1185)))))</f>
        <v/>
      </c>
      <c r="J1202" s="25" t="str">
        <f aca="true">IF(OR(E1202="",E1202="!!!",F1202="NEW"),"",COUNTBLANK(OFFSET(M$1,,,SUMPRODUCT(MAX(ROW(E$2:E1186)*(E1202=E$2:E1186)))))-COUNTBLANK(OFFSET(M$1,,,SUMPRODUCT(MAX(ROW(Q$1:Q1185)*(E1202=Q$1:Q1185))))))</f>
        <v/>
      </c>
      <c r="K1202" s="25" t="str">
        <f aca="false">IF(OR(E1202="",E1202="!!!",F1202="NEW"),"",INDEX(V$1:V1185,SUMPRODUCT(MAX(ROW(Q$1:Q1185)*(E1202=Q$1:Q1185)))))</f>
        <v/>
      </c>
      <c r="L1202" s="26"/>
      <c r="M1202" s="27"/>
    </row>
    <row r="1203" customFormat="false" ht="15" hidden="false" customHeight="false" outlineLevel="0" collapsed="false">
      <c r="A1203" s="19" t="s">
        <v>268</v>
      </c>
      <c r="E1203" s="20" t="str">
        <f aca="false">IF(P1203="?OLD","!!!","")</f>
        <v/>
      </c>
      <c r="F1203" s="21" t="str">
        <f aca="false">IF(OR(E1203="",E1203="!!!"),"",IF(NOT(ISNA(VLOOKUP(E1203,Q$1:Q1186,1,FALSE()))),"OLD",IF(AND(E1203&lt;&gt;"",E1203&lt;&gt;"!!!"),"NEW","")))</f>
        <v/>
      </c>
      <c r="G1203" s="22" t="str">
        <f aca="false">IF(OR(E1203="",E1203="!!!"),"",IF(OR(J1203=0,AND(J1203=1,K1203=1),AND(J1203=1,I1203="SBJ"),AND(J1203=1,I1203=0)),"?IN_FOCUS",IF(J1203&lt;=2,"?ACTIVATED",IF(J1203&lt;&gt;"","?FAMILIAR",IF(F1203="NEW",IF(ISNA(VLOOKUP(E1203,#REF!,1,FALSE())),"?TYPE_IDENTIFIABLE","?REFERENTIAL"),"_")))))</f>
        <v/>
      </c>
      <c r="H1203" s="23" t="str">
        <f aca="false">IF(J1203&lt;&gt;1,"",IF(I1203="SBJ","CB","?"))</f>
        <v/>
      </c>
      <c r="I1203" s="24" t="str">
        <f aca="false">IF(OR(E1203="",E1203="!!!",F1203="NEW"),"",INDEX(N$2:N1186,-1+SUMPRODUCT(MAX(ROW(E$2:E1186)*(E1203=E$2:E1186)))))</f>
        <v/>
      </c>
      <c r="J1203" s="25" t="str">
        <f aca="true">IF(OR(E1203="",E1203="!!!",F1203="NEW"),"",COUNTBLANK(OFFSET(M$1,,,SUMPRODUCT(MAX(ROW(E$2:E1187)*(E1203=E$2:E1187)))))-COUNTBLANK(OFFSET(M$1,,,SUMPRODUCT(MAX(ROW(Q$1:Q1186)*(E1203=Q$1:Q1186))))))</f>
        <v/>
      </c>
      <c r="K1203" s="25" t="str">
        <f aca="false">IF(OR(E1203="",E1203="!!!",F1203="NEW"),"",INDEX(V$1:V1186,SUMPRODUCT(MAX(ROW(Q$1:Q1186)*(E1203=Q$1:Q1186)))))</f>
        <v/>
      </c>
      <c r="L1203" s="26"/>
      <c r="M1203" s="27"/>
    </row>
    <row r="1204" customFormat="false" ht="15" hidden="false" customHeight="false" outlineLevel="0" collapsed="false">
      <c r="A1204" s="19" t="s">
        <v>350</v>
      </c>
      <c r="E1204" s="20" t="str">
        <f aca="false">IF(P1204="?OLD","!!!","")</f>
        <v/>
      </c>
      <c r="F1204" s="21" t="str">
        <f aca="false">IF(OR(E1204="",E1204="!!!"),"",IF(NOT(ISNA(VLOOKUP(E1204,Q$1:Q1187,1,FALSE()))),"OLD",IF(AND(E1204&lt;&gt;"",E1204&lt;&gt;"!!!"),"NEW","")))</f>
        <v/>
      </c>
      <c r="G1204" s="22" t="str">
        <f aca="false">IF(OR(E1204="",E1204="!!!"),"",IF(OR(J1204=0,AND(J1204=1,K1204=1),AND(J1204=1,I1204="SBJ"),AND(J1204=1,I1204=0)),"?IN_FOCUS",IF(J1204&lt;=2,"?ACTIVATED",IF(J1204&lt;&gt;"","?FAMILIAR",IF(F1204="NEW",IF(ISNA(VLOOKUP(E1204,#REF!,1,FALSE())),"?TYPE_IDENTIFIABLE","?REFERENTIAL"),"_")))))</f>
        <v/>
      </c>
      <c r="H1204" s="23" t="str">
        <f aca="false">IF(J1204&lt;&gt;1,"",IF(I1204="SBJ","CB","?"))</f>
        <v/>
      </c>
      <c r="I1204" s="24" t="str">
        <f aca="false">IF(OR(E1204="",E1204="!!!",F1204="NEW"),"",INDEX(N$2:N1187,-1+SUMPRODUCT(MAX(ROW(E$2:E1187)*(E1204=E$2:E1187)))))</f>
        <v/>
      </c>
      <c r="J1204" s="25" t="str">
        <f aca="true">IF(OR(E1204="",E1204="!!!",F1204="NEW"),"",COUNTBLANK(OFFSET(M$1,,,SUMPRODUCT(MAX(ROW(E$2:E1188)*(E1204=E$2:E1188)))))-COUNTBLANK(OFFSET(M$1,,,SUMPRODUCT(MAX(ROW(Q$1:Q1187)*(E1204=Q$1:Q1187))))))</f>
        <v/>
      </c>
      <c r="K1204" s="25" t="str">
        <f aca="false">IF(OR(E1204="",E1204="!!!",F1204="NEW"),"",INDEX(V$1:V1187,SUMPRODUCT(MAX(ROW(Q$1:Q1187)*(E1204=Q$1:Q1187)))))</f>
        <v/>
      </c>
      <c r="L1204" s="26"/>
      <c r="M1204" s="27"/>
    </row>
    <row r="1205" customFormat="false" ht="15" hidden="false" customHeight="false" outlineLevel="0" collapsed="false">
      <c r="A1205" s="19" t="s">
        <v>261</v>
      </c>
      <c r="E1205" s="20" t="str">
        <f aca="false">IF(P1205="?OLD","!!!","")</f>
        <v/>
      </c>
      <c r="F1205" s="21" t="str">
        <f aca="false">IF(OR(E1205="",E1205="!!!"),"",IF(NOT(ISNA(VLOOKUP(E1205,Q$1:Q1188,1,FALSE()))),"OLD",IF(AND(E1205&lt;&gt;"",E1205&lt;&gt;"!!!"),"NEW","")))</f>
        <v/>
      </c>
      <c r="G1205" s="22" t="str">
        <f aca="false">IF(OR(E1205="",E1205="!!!"),"",IF(OR(J1205=0,AND(J1205=1,K1205=1),AND(J1205=1,I1205="SBJ"),AND(J1205=1,I1205=0)),"?IN_FOCUS",IF(J1205&lt;=2,"?ACTIVATED",IF(J1205&lt;&gt;"","?FAMILIAR",IF(F1205="NEW",IF(ISNA(VLOOKUP(E1205,#REF!,1,FALSE())),"?TYPE_IDENTIFIABLE","?REFERENTIAL"),"_")))))</f>
        <v/>
      </c>
      <c r="H1205" s="23" t="str">
        <f aca="false">IF(J1205&lt;&gt;1,"",IF(I1205="SBJ","CB","?"))</f>
        <v/>
      </c>
      <c r="I1205" s="24" t="str">
        <f aca="false">IF(OR(E1205="",E1205="!!!",F1205="NEW"),"",INDEX(N$2:N1188,-1+SUMPRODUCT(MAX(ROW(E$2:E1188)*(E1205=E$2:E1188)))))</f>
        <v/>
      </c>
      <c r="J1205" s="25" t="str">
        <f aca="true">IF(OR(E1205="",E1205="!!!",F1205="NEW"),"",COUNTBLANK(OFFSET(M$1,,,SUMPRODUCT(MAX(ROW(E$2:E1189)*(E1205=E$2:E1189)))))-COUNTBLANK(OFFSET(M$1,,,SUMPRODUCT(MAX(ROW(Q$1:Q1188)*(E1205=Q$1:Q1188))))))</f>
        <v/>
      </c>
      <c r="K1205" s="25" t="str">
        <f aca="false">IF(OR(E1205="",E1205="!!!",F1205="NEW"),"",INDEX(V$1:V1188,SUMPRODUCT(MAX(ROW(Q$1:Q1188)*(E1205=Q$1:Q1188)))))</f>
        <v/>
      </c>
      <c r="L1205" s="26"/>
      <c r="M1205" s="27"/>
    </row>
    <row r="1206" customFormat="false" ht="15" hidden="false" customHeight="false" outlineLevel="0" collapsed="false">
      <c r="A1206" s="19" t="s">
        <v>294</v>
      </c>
      <c r="E1206" s="20" t="str">
        <f aca="false">IF(P1206="?OLD","!!!","")</f>
        <v/>
      </c>
      <c r="F1206" s="21" t="str">
        <f aca="false">IF(OR(E1206="",E1206="!!!"),"",IF(NOT(ISNA(VLOOKUP(E1206,Q$1:Q1189,1,FALSE()))),"OLD",IF(AND(E1206&lt;&gt;"",E1206&lt;&gt;"!!!"),"NEW","")))</f>
        <v/>
      </c>
      <c r="G1206" s="22" t="str">
        <f aca="false">IF(OR(E1206="",E1206="!!!"),"",IF(OR(J1206=0,AND(J1206=1,K1206=1),AND(J1206=1,I1206="SBJ"),AND(J1206=1,I1206=0)),"?IN_FOCUS",IF(J1206&lt;=2,"?ACTIVATED",IF(J1206&lt;&gt;"","?FAMILIAR",IF(F1206="NEW",IF(ISNA(VLOOKUP(E1206,#REF!,1,FALSE())),"?TYPE_IDENTIFIABLE","?REFERENTIAL"),"_")))))</f>
        <v/>
      </c>
      <c r="H1206" s="23" t="str">
        <f aca="false">IF(J1206&lt;&gt;1,"",IF(I1206="SBJ","CB","?"))</f>
        <v/>
      </c>
      <c r="I1206" s="24" t="str">
        <f aca="false">IF(OR(E1206="",E1206="!!!",F1206="NEW"),"",INDEX(N$2:N1189,-1+SUMPRODUCT(MAX(ROW(E$2:E1189)*(E1206=E$2:E1189)))))</f>
        <v/>
      </c>
      <c r="J1206" s="25" t="str">
        <f aca="true">IF(OR(E1206="",E1206="!!!",F1206="NEW"),"",COUNTBLANK(OFFSET(M$1,,,SUMPRODUCT(MAX(ROW(E$2:E1190)*(E1206=E$2:E1190)))))-COUNTBLANK(OFFSET(M$1,,,SUMPRODUCT(MAX(ROW(Q$1:Q1189)*(E1206=Q$1:Q1189))))))</f>
        <v/>
      </c>
      <c r="K1206" s="25" t="str">
        <f aca="false">IF(OR(E1206="",E1206="!!!",F1206="NEW"),"",INDEX(V$1:V1189,SUMPRODUCT(MAX(ROW(Q$1:Q1189)*(E1206=Q$1:Q1189)))))</f>
        <v/>
      </c>
      <c r="L1206" s="26"/>
      <c r="M1206" s="27"/>
    </row>
    <row r="1207" customFormat="false" ht="15" hidden="false" customHeight="false" outlineLevel="0" collapsed="false">
      <c r="A1207" s="19" t="s">
        <v>260</v>
      </c>
      <c r="E1207" s="20" t="str">
        <f aca="false">IF(P1207="?OLD","!!!","")</f>
        <v/>
      </c>
      <c r="F1207" s="21" t="str">
        <f aca="false">IF(OR(E1207="",E1207="!!!"),"",IF(NOT(ISNA(VLOOKUP(E1207,Q$1:Q1190,1,FALSE()))),"OLD",IF(AND(E1207&lt;&gt;"",E1207&lt;&gt;"!!!"),"NEW","")))</f>
        <v/>
      </c>
      <c r="G1207" s="22" t="str">
        <f aca="false">IF(OR(E1207="",E1207="!!!"),"",IF(OR(J1207=0,AND(J1207=1,K1207=1),AND(J1207=1,I1207="SBJ"),AND(J1207=1,I1207=0)),"?IN_FOCUS",IF(J1207&lt;=2,"?ACTIVATED",IF(J1207&lt;&gt;"","?FAMILIAR",IF(F1207="NEW",IF(ISNA(VLOOKUP(E1207,#REF!,1,FALSE())),"?TYPE_IDENTIFIABLE","?REFERENTIAL"),"_")))))</f>
        <v/>
      </c>
      <c r="H1207" s="23" t="str">
        <f aca="false">IF(J1207&lt;&gt;1,"",IF(I1207="SBJ","CB","?"))</f>
        <v/>
      </c>
      <c r="I1207" s="24" t="str">
        <f aca="false">IF(OR(E1207="",E1207="!!!",F1207="NEW"),"",INDEX(N$2:N1190,-1+SUMPRODUCT(MAX(ROW(E$2:E1190)*(E1207=E$2:E1190)))))</f>
        <v/>
      </c>
      <c r="J1207" s="25" t="str">
        <f aca="true">IF(OR(E1207="",E1207="!!!",F1207="NEW"),"",COUNTBLANK(OFFSET(M$1,,,SUMPRODUCT(MAX(ROW(E$2:E1191)*(E1207=E$2:E1191)))))-COUNTBLANK(OFFSET(M$1,,,SUMPRODUCT(MAX(ROW(Q$1:Q1190)*(E1207=Q$1:Q1190))))))</f>
        <v/>
      </c>
      <c r="K1207" s="25" t="str">
        <f aca="false">IF(OR(E1207="",E1207="!!!",F1207="NEW"),"",INDEX(V$1:V1190,SUMPRODUCT(MAX(ROW(Q$1:Q1190)*(E1207=Q$1:Q1190)))))</f>
        <v/>
      </c>
      <c r="L1207" s="26"/>
      <c r="M1207" s="27"/>
    </row>
    <row r="1208" customFormat="false" ht="15" hidden="false" customHeight="false" outlineLevel="0" collapsed="false">
      <c r="A1208" s="19" t="s">
        <v>218</v>
      </c>
      <c r="E1208" s="20" t="str">
        <f aca="false">IF(P1208="?OLD","!!!","")</f>
        <v/>
      </c>
      <c r="F1208" s="21" t="str">
        <f aca="false">IF(OR(E1208="",E1208="!!!"),"",IF(NOT(ISNA(VLOOKUP(E1208,Q$1:Q1191,1,FALSE()))),"OLD",IF(AND(E1208&lt;&gt;"",E1208&lt;&gt;"!!!"),"NEW","")))</f>
        <v/>
      </c>
      <c r="G1208" s="22" t="str">
        <f aca="false">IF(OR(E1208="",E1208="!!!"),"",IF(OR(J1208=0,AND(J1208=1,K1208=1),AND(J1208=1,I1208="SBJ"),AND(J1208=1,I1208=0)),"?IN_FOCUS",IF(J1208&lt;=2,"?ACTIVATED",IF(J1208&lt;&gt;"","?FAMILIAR",IF(F1208="NEW",IF(ISNA(VLOOKUP(E1208,#REF!,1,FALSE())),"?TYPE_IDENTIFIABLE","?REFERENTIAL"),"_")))))</f>
        <v/>
      </c>
      <c r="H1208" s="23" t="str">
        <f aca="false">IF(J1208&lt;&gt;1,"",IF(I1208="SBJ","CB","?"))</f>
        <v/>
      </c>
      <c r="I1208" s="24" t="str">
        <f aca="false">IF(OR(E1208="",E1208="!!!",F1208="NEW"),"",INDEX(N$2:N1191,-1+SUMPRODUCT(MAX(ROW(E$2:E1191)*(E1208=E$2:E1191)))))</f>
        <v/>
      </c>
      <c r="J1208" s="25" t="str">
        <f aca="true">IF(OR(E1208="",E1208="!!!",F1208="NEW"),"",COUNTBLANK(OFFSET(M$1,,,SUMPRODUCT(MAX(ROW(E$2:E1192)*(E1208=E$2:E1192)))))-COUNTBLANK(OFFSET(M$1,,,SUMPRODUCT(MAX(ROW(Q$1:Q1191)*(E1208=Q$1:Q1191))))))</f>
        <v/>
      </c>
      <c r="K1208" s="25" t="str">
        <f aca="false">IF(OR(E1208="",E1208="!!!",F1208="NEW"),"",INDEX(V$1:V1191,SUMPRODUCT(MAX(ROW(Q$1:Q1191)*(E1208=Q$1:Q1191)))))</f>
        <v/>
      </c>
      <c r="L1208" s="26"/>
      <c r="M1208" s="27"/>
    </row>
    <row r="1209" customFormat="false" ht="15" hidden="false" customHeight="false" outlineLevel="0" collapsed="false">
      <c r="A1209" s="19" t="s">
        <v>754</v>
      </c>
      <c r="B1209" s="28" t="s">
        <v>326</v>
      </c>
      <c r="C1209" s="28" t="s">
        <v>287</v>
      </c>
      <c r="E1209" s="20" t="str">
        <f aca="false">IF(P1209="?OLD","!!!","")</f>
        <v/>
      </c>
      <c r="F1209" s="21" t="str">
        <f aca="false">IF(OR(E1209="",E1209="!!!"),"",IF(NOT(ISNA(VLOOKUP(E1209,Q$1:Q1192,1,FALSE()))),"OLD",IF(AND(E1209&lt;&gt;"",E1209&lt;&gt;"!!!"),"NEW","")))</f>
        <v/>
      </c>
      <c r="G1209" s="22" t="str">
        <f aca="false">IF(OR(E1209="",E1209="!!!"),"",IF(OR(J1209=0,AND(J1209=1,K1209=1),AND(J1209=1,I1209="SBJ"),AND(J1209=1,I1209=0)),"?IN_FOCUS",IF(J1209&lt;=2,"?ACTIVATED",IF(J1209&lt;&gt;"","?FAMILIAR",IF(F1209="NEW",IF(ISNA(VLOOKUP(E1209,#REF!,1,FALSE())),"?TYPE_IDENTIFIABLE","?REFERENTIAL"),"_")))))</f>
        <v/>
      </c>
      <c r="H1209" s="23" t="str">
        <f aca="false">IF(J1209&lt;&gt;1,"",IF(I1209="SBJ","CB","?"))</f>
        <v/>
      </c>
      <c r="I1209" s="24" t="str">
        <f aca="false">IF(OR(E1209="",E1209="!!!",F1209="NEW"),"",INDEX(N$2:N1192,-1+SUMPRODUCT(MAX(ROW(E$2:E1192)*(E1209=E$2:E1192)))))</f>
        <v/>
      </c>
      <c r="J1209" s="25" t="str">
        <f aca="true">IF(OR(E1209="",E1209="!!!",F1209="NEW"),"",COUNTBLANK(OFFSET(M$1,,,SUMPRODUCT(MAX(ROW(E$2:E1193)*(E1209=E$2:E1193)))))-COUNTBLANK(OFFSET(M$1,,,SUMPRODUCT(MAX(ROW(Q$1:Q1192)*(E1209=Q$1:Q1192))))))</f>
        <v/>
      </c>
      <c r="K1209" s="25" t="str">
        <f aca="false">IF(OR(E1209="",E1209="!!!",F1209="NEW"),"",INDEX(V$1:V1192,SUMPRODUCT(MAX(ROW(Q$1:Q1192)*(E1209=Q$1:Q1192)))))</f>
        <v/>
      </c>
      <c r="L1209" s="26"/>
      <c r="M1209" s="27"/>
      <c r="N1209" s="29"/>
      <c r="O1209" s="29"/>
    </row>
    <row r="1210" customFormat="false" ht="15" hidden="false" customHeight="false" outlineLevel="0" collapsed="false">
      <c r="A1210" s="19" t="s">
        <v>273</v>
      </c>
      <c r="E1210" s="20" t="str">
        <f aca="false">IF(P1210="?OLD","!!!","")</f>
        <v/>
      </c>
      <c r="F1210" s="21" t="str">
        <f aca="false">IF(OR(E1210="",E1210="!!!"),"",IF(NOT(ISNA(VLOOKUP(E1210,Q$1:Q1193,1,FALSE()))),"OLD",IF(AND(E1210&lt;&gt;"",E1210&lt;&gt;"!!!"),"NEW","")))</f>
        <v/>
      </c>
      <c r="G1210" s="22" t="str">
        <f aca="false">IF(OR(E1210="",E1210="!!!"),"",IF(OR(J1210=0,AND(J1210=1,K1210=1),AND(J1210=1,I1210="SBJ"),AND(J1210=1,I1210=0)),"?IN_FOCUS",IF(J1210&lt;=2,"?ACTIVATED",IF(J1210&lt;&gt;"","?FAMILIAR",IF(F1210="NEW",IF(ISNA(VLOOKUP(E1210,#REF!,1,FALSE())),"?TYPE_IDENTIFIABLE","?REFERENTIAL"),"_")))))</f>
        <v/>
      </c>
      <c r="H1210" s="23" t="str">
        <f aca="false">IF(J1210&lt;&gt;1,"",IF(I1210="SBJ","CB","?"))</f>
        <v/>
      </c>
      <c r="I1210" s="24" t="str">
        <f aca="false">IF(OR(E1210="",E1210="!!!",F1210="NEW"),"",INDEX(N$2:N1193,-1+SUMPRODUCT(MAX(ROW(E$2:E1193)*(E1210=E$2:E1193)))))</f>
        <v/>
      </c>
      <c r="J1210" s="25" t="str">
        <f aca="true">IF(OR(E1210="",E1210="!!!",F1210="NEW"),"",COUNTBLANK(OFFSET(M$1,,,SUMPRODUCT(MAX(ROW(E$2:E1194)*(E1210=E$2:E1194)))))-COUNTBLANK(OFFSET(M$1,,,SUMPRODUCT(MAX(ROW(Q$1:Q1193)*(E1210=Q$1:Q1193))))))</f>
        <v/>
      </c>
      <c r="K1210" s="25" t="str">
        <f aca="false">IF(OR(E1210="",E1210="!!!",F1210="NEW"),"",INDEX(V$1:V1193,SUMPRODUCT(MAX(ROW(Q$1:Q1193)*(E1210=Q$1:Q1193)))))</f>
        <v/>
      </c>
      <c r="L1210" s="26"/>
      <c r="M1210" s="27"/>
    </row>
    <row r="1211" customFormat="false" ht="15" hidden="false" customHeight="false" outlineLevel="0" collapsed="false">
      <c r="A1211" s="19" t="s">
        <v>755</v>
      </c>
      <c r="E1211" s="20" t="str">
        <f aca="false">IF(P1211="?OLD","!!!","")</f>
        <v/>
      </c>
      <c r="F1211" s="21" t="str">
        <f aca="false">IF(OR(E1211="",E1211="!!!"),"",IF(NOT(ISNA(VLOOKUP(E1211,Q$1:Q1194,1,FALSE()))),"OLD",IF(AND(E1211&lt;&gt;"",E1211&lt;&gt;"!!!"),"NEW","")))</f>
        <v/>
      </c>
      <c r="G1211" s="22" t="str">
        <f aca="false">IF(OR(E1211="",E1211="!!!"),"",IF(OR(J1211=0,AND(J1211=1,K1211=1),AND(J1211=1,I1211="SBJ"),AND(J1211=1,I1211=0)),"?IN_FOCUS",IF(J1211&lt;=2,"?ACTIVATED",IF(J1211&lt;&gt;"","?FAMILIAR",IF(F1211="NEW",IF(ISNA(VLOOKUP(E1211,#REF!,1,FALSE())),"?TYPE_IDENTIFIABLE","?REFERENTIAL"),"_")))))</f>
        <v/>
      </c>
      <c r="H1211" s="23" t="str">
        <f aca="false">IF(J1211&lt;&gt;1,"",IF(I1211="SBJ","CB","?"))</f>
        <v/>
      </c>
      <c r="I1211" s="24" t="str">
        <f aca="false">IF(OR(E1211="",E1211="!!!",F1211="NEW"),"",INDEX(N$2:N1194,-1+SUMPRODUCT(MAX(ROW(E$2:E1194)*(E1211=E$2:E1194)))))</f>
        <v/>
      </c>
      <c r="J1211" s="25" t="str">
        <f aca="true">IF(OR(E1211="",E1211="!!!",F1211="NEW"),"",COUNTBLANK(OFFSET(M$1,,,SUMPRODUCT(MAX(ROW(E$2:E1195)*(E1211=E$2:E1195)))))-COUNTBLANK(OFFSET(M$1,,,SUMPRODUCT(MAX(ROW(Q$1:Q1194)*(E1211=Q$1:Q1194))))))</f>
        <v/>
      </c>
      <c r="K1211" s="25" t="str">
        <f aca="false">IF(OR(E1211="",E1211="!!!",F1211="NEW"),"",INDEX(V$1:V1194,SUMPRODUCT(MAX(ROW(Q$1:Q1194)*(E1211=Q$1:Q1194)))))</f>
        <v/>
      </c>
      <c r="L1211" s="26"/>
      <c r="M1211" s="27"/>
    </row>
    <row r="1212" customFormat="false" ht="15" hidden="false" customHeight="false" outlineLevel="0" collapsed="false">
      <c r="A1212" s="19" t="s">
        <v>275</v>
      </c>
      <c r="E1212" s="20" t="str">
        <f aca="false">IF(P1212="?OLD","!!!","")</f>
        <v/>
      </c>
      <c r="F1212" s="21" t="str">
        <f aca="false">IF(OR(E1212="",E1212="!!!"),"",IF(NOT(ISNA(VLOOKUP(E1212,Q$1:Q1195,1,FALSE()))),"OLD",IF(AND(E1212&lt;&gt;"",E1212&lt;&gt;"!!!"),"NEW","")))</f>
        <v/>
      </c>
      <c r="G1212" s="22" t="str">
        <f aca="false">IF(OR(E1212="",E1212="!!!"),"",IF(OR(J1212=0,AND(J1212=1,K1212=1),AND(J1212=1,I1212="SBJ"),AND(J1212=1,I1212=0)),"?IN_FOCUS",IF(J1212&lt;=2,"?ACTIVATED",IF(J1212&lt;&gt;"","?FAMILIAR",IF(F1212="NEW",IF(ISNA(VLOOKUP(E1212,#REF!,1,FALSE())),"?TYPE_IDENTIFIABLE","?REFERENTIAL"),"_")))))</f>
        <v/>
      </c>
      <c r="H1212" s="23" t="str">
        <f aca="false">IF(J1212&lt;&gt;1,"",IF(I1212="SBJ","CB","?"))</f>
        <v/>
      </c>
      <c r="I1212" s="24" t="str">
        <f aca="false">IF(OR(E1212="",E1212="!!!",F1212="NEW"),"",INDEX(N$2:N1195,-1+SUMPRODUCT(MAX(ROW(E$2:E1195)*(E1212=E$2:E1195)))))</f>
        <v/>
      </c>
      <c r="J1212" s="25" t="str">
        <f aca="true">IF(OR(E1212="",E1212="!!!",F1212="NEW"),"",COUNTBLANK(OFFSET(M$1,,,SUMPRODUCT(MAX(ROW(E$2:E1196)*(E1212=E$2:E1196)))))-COUNTBLANK(OFFSET(M$1,,,SUMPRODUCT(MAX(ROW(Q$1:Q1195)*(E1212=Q$1:Q1195))))))</f>
        <v/>
      </c>
      <c r="K1212" s="25" t="str">
        <f aca="false">IF(OR(E1212="",E1212="!!!",F1212="NEW"),"",INDEX(V$1:V1195,SUMPRODUCT(MAX(ROW(Q$1:Q1195)*(E1212=Q$1:Q1195)))))</f>
        <v/>
      </c>
      <c r="L1212" s="26"/>
      <c r="M1212" s="27"/>
    </row>
    <row r="1213" customFormat="false" ht="15" hidden="false" customHeight="false" outlineLevel="0" collapsed="false">
      <c r="A1213" s="19"/>
      <c r="E1213" s="20" t="str">
        <f aca="false">IF(P1213="?OLD","!!!","")</f>
        <v/>
      </c>
      <c r="F1213" s="21" t="str">
        <f aca="false">IF(OR(E1213="",E1213="!!!"),"",IF(NOT(ISNA(VLOOKUP(E1213,Q$1:Q1196,1,FALSE()))),"OLD",IF(AND(E1213&lt;&gt;"",E1213&lt;&gt;"!!!"),"NEW","")))</f>
        <v/>
      </c>
      <c r="G1213" s="22" t="str">
        <f aca="false">IF(OR(E1213="",E1213="!!!"),"",IF(OR(J1213=0,AND(J1213=1,K1213=1),AND(J1213=1,I1213="SBJ"),AND(J1213=1,I1213=0)),"?IN_FOCUS",IF(J1213&lt;=2,"?ACTIVATED",IF(J1213&lt;&gt;"","?FAMILIAR",IF(F1213="NEW",IF(ISNA(VLOOKUP(E1213,#REF!,1,FALSE())),"?TYPE_IDENTIFIABLE","?REFERENTIAL"),"_")))))</f>
        <v/>
      </c>
      <c r="H1213" s="23" t="str">
        <f aca="false">IF(J1213&lt;&gt;1,"",IF(I1213="SBJ","CB","?"))</f>
        <v/>
      </c>
      <c r="I1213" s="24" t="str">
        <f aca="false">IF(OR(E1213="",E1213="!!!",F1213="NEW"),"",INDEX(N$2:N1196,-1+SUMPRODUCT(MAX(ROW(E$2:E1196)*(E1213=E$2:E1196)))))</f>
        <v/>
      </c>
      <c r="J1213" s="25" t="str">
        <f aca="true">IF(OR(E1213="",E1213="!!!",F1213="NEW"),"",COUNTBLANK(OFFSET(M$1,,,SUMPRODUCT(MAX(ROW(E$2:E1197)*(E1213=E$2:E1197)))))-COUNTBLANK(OFFSET(M$1,,,SUMPRODUCT(MAX(ROW(Q$1:Q1196)*(E1213=Q$1:Q1196))))))</f>
        <v/>
      </c>
      <c r="K1213" s="25" t="str">
        <f aca="false">IF(OR(E1213="",E1213="!!!",F1213="NEW"),"",INDEX(V$1:V1196,SUMPRODUCT(MAX(ROW(Q$1:Q1196)*(E1213=Q$1:Q1196)))))</f>
        <v/>
      </c>
      <c r="L1213" s="26"/>
    </row>
    <row r="1214" customFormat="false" ht="15" hidden="false" customHeight="false" outlineLevel="0" collapsed="false">
      <c r="A1214" s="19" t="s">
        <v>756</v>
      </c>
      <c r="E1214" s="20" t="str">
        <f aca="false">IF(P1214="?OLD","!!!","")</f>
        <v/>
      </c>
      <c r="F1214" s="21" t="str">
        <f aca="false">IF(OR(E1214="",E1214="!!!"),"",IF(NOT(ISNA(VLOOKUP(E1214,Q$1:Q1197,1,FALSE()))),"OLD",IF(AND(E1214&lt;&gt;"",E1214&lt;&gt;"!!!"),"NEW","")))</f>
        <v/>
      </c>
      <c r="G1214" s="22" t="str">
        <f aca="false">IF(OR(E1214="",E1214="!!!"),"",IF(OR(J1214=0,AND(J1214=1,K1214=1),AND(J1214=1,I1214="SBJ"),AND(J1214=1,I1214=0)),"?IN_FOCUS",IF(J1214&lt;=2,"?ACTIVATED",IF(J1214&lt;&gt;"","?FAMILIAR",IF(F1214="NEW",IF(ISNA(VLOOKUP(E1214,#REF!,1,FALSE())),"?TYPE_IDENTIFIABLE","?REFERENTIAL"),"_")))))</f>
        <v/>
      </c>
      <c r="H1214" s="23" t="str">
        <f aca="false">IF(J1214&lt;&gt;1,"",IF(I1214="SBJ","CB","?"))</f>
        <v/>
      </c>
      <c r="I1214" s="24" t="str">
        <f aca="false">IF(OR(E1214="",E1214="!!!",F1214="NEW"),"",INDEX(N$2:N1197,-1+SUMPRODUCT(MAX(ROW(E$2:E1197)*(E1214=E$2:E1197)))))</f>
        <v/>
      </c>
      <c r="J1214" s="25" t="str">
        <f aca="true">IF(OR(E1214="",E1214="!!!",F1214="NEW"),"",COUNTBLANK(OFFSET(M$1,,,SUMPRODUCT(MAX(ROW(E$2:E1198)*(E1214=E$2:E1198)))))-COUNTBLANK(OFFSET(M$1,,,SUMPRODUCT(MAX(ROW(Q$1:Q1197)*(E1214=Q$1:Q1197))))))</f>
        <v/>
      </c>
      <c r="K1214" s="25" t="str">
        <f aca="false">IF(OR(E1214="",E1214="!!!",F1214="NEW"),"",INDEX(V$1:V1197,SUMPRODUCT(MAX(ROW(Q$1:Q1197)*(E1214=Q$1:Q1197)))))</f>
        <v/>
      </c>
      <c r="L1214" s="26"/>
      <c r="M1214" s="27"/>
    </row>
    <row r="1215" customFormat="false" ht="15" hidden="false" customHeight="false" outlineLevel="0" collapsed="false">
      <c r="A1215" s="19" t="s">
        <v>317</v>
      </c>
      <c r="B1215" s="28" t="s">
        <v>263</v>
      </c>
      <c r="C1215" s="28" t="s">
        <v>264</v>
      </c>
      <c r="D1215" s="28" t="s">
        <v>253</v>
      </c>
      <c r="E1215" s="20" t="s">
        <v>265</v>
      </c>
      <c r="F1215" s="21" t="str">
        <f aca="false">IF(OR(E1215="",E1215="!!!"),"",IF(NOT(ISNA(VLOOKUP(E1215,Q$1:Q1198,1,FALSE()))),"OLD",IF(AND(E1215&lt;&gt;"",E1215&lt;&gt;"!!!"),"NEW","")))</f>
        <v>NEW</v>
      </c>
      <c r="G1215" s="22" t="s">
        <v>266</v>
      </c>
      <c r="H1215" s="23" t="str">
        <f aca="false">IF(J1215&lt;&gt;1,"",IF(I1215="SBJ","CB","?"))</f>
        <v/>
      </c>
      <c r="I1215" s="24" t="str">
        <f aca="false">IF(OR(E1215="",E1215="!!!",F1215="NEW"),"",INDEX(N$2:N1198,-1+SUMPRODUCT(MAX(ROW(E$2:E1198)*(E1215=E$2:E1198)))))</f>
        <v/>
      </c>
      <c r="J1215" s="25" t="str">
        <f aca="true">IF(OR(E1215="",E1215="!!!",F1215="NEW"),"",COUNTBLANK(OFFSET(M$1,,,SUMPRODUCT(MAX(ROW(E$2:E1199)*(E1215=E$2:E1199)))))-COUNTBLANK(OFFSET(M$1,,,SUMPRODUCT(MAX(ROW(Q$1:Q1198)*(E1215=Q$1:Q1198))))))</f>
        <v/>
      </c>
      <c r="K1215" s="25" t="str">
        <f aca="false">IF(OR(E1215="",E1215="!!!",F1215="NEW"),"",INDEX(V$1:V1198,SUMPRODUCT(MAX(ROW(Q$1:Q1198)*(E1215=Q$1:Q1198)))))</f>
        <v/>
      </c>
      <c r="L1215" s="26"/>
      <c r="M1215" s="27"/>
      <c r="N1215" s="29"/>
      <c r="O1215" s="29"/>
      <c r="P1215" s="29"/>
    </row>
    <row r="1216" customFormat="false" ht="15" hidden="false" customHeight="false" outlineLevel="0" collapsed="false">
      <c r="A1216" s="19" t="s">
        <v>757</v>
      </c>
      <c r="E1216" s="20" t="str">
        <f aca="false">IF(P1216="?OLD","!!!","")</f>
        <v/>
      </c>
      <c r="F1216" s="21" t="str">
        <f aca="false">IF(OR(E1216="",E1216="!!!"),"",IF(NOT(ISNA(VLOOKUP(E1216,Q$1:Q1199,1,FALSE()))),"OLD",IF(AND(E1216&lt;&gt;"",E1216&lt;&gt;"!!!"),"NEW","")))</f>
        <v/>
      </c>
      <c r="G1216" s="22" t="str">
        <f aca="false">IF(OR(E1216="",E1216="!!!"),"",IF(OR(J1216=0,AND(J1216=1,K1216=1),AND(J1216=1,I1216="SBJ"),AND(J1216=1,I1216=0)),"?IN_FOCUS",IF(J1216&lt;=2,"?ACTIVATED",IF(J1216&lt;&gt;"","?FAMILIAR",IF(F1216="NEW",IF(ISNA(VLOOKUP(E1216,#REF!,1,FALSE())),"?TYPE_IDENTIFIABLE","?REFERENTIAL"),"_")))))</f>
        <v/>
      </c>
      <c r="H1216" s="23" t="str">
        <f aca="false">IF(J1216&lt;&gt;1,"",IF(I1216="SBJ","CB","?"))</f>
        <v/>
      </c>
      <c r="I1216" s="24" t="str">
        <f aca="false">IF(OR(E1216="",E1216="!!!",F1216="NEW"),"",INDEX(N$2:N1199,-1+SUMPRODUCT(MAX(ROW(E$2:E1199)*(E1216=E$2:E1199)))))</f>
        <v/>
      </c>
      <c r="J1216" s="25" t="str">
        <f aca="true">IF(OR(E1216="",E1216="!!!",F1216="NEW"),"",COUNTBLANK(OFFSET(M$1,,,SUMPRODUCT(MAX(ROW(E$2:E1200)*(E1216=E$2:E1200)))))-COUNTBLANK(OFFSET(M$1,,,SUMPRODUCT(MAX(ROW(Q$1:Q1199)*(E1216=Q$1:Q1199))))))</f>
        <v/>
      </c>
      <c r="K1216" s="25" t="str">
        <f aca="false">IF(OR(E1216="",E1216="!!!",F1216="NEW"),"",INDEX(V$1:V1199,SUMPRODUCT(MAX(ROW(Q$1:Q1199)*(E1216=Q$1:Q1199)))))</f>
        <v/>
      </c>
      <c r="L1216" s="26"/>
      <c r="M1216" s="27"/>
    </row>
    <row r="1217" customFormat="false" ht="15" hidden="false" customHeight="false" outlineLevel="0" collapsed="false">
      <c r="A1217" s="19" t="s">
        <v>758</v>
      </c>
      <c r="B1217" s="28" t="s">
        <v>306</v>
      </c>
      <c r="C1217" s="28" t="s">
        <v>358</v>
      </c>
      <c r="D1217" s="28" t="s">
        <v>253</v>
      </c>
      <c r="E1217" s="20" t="s">
        <v>265</v>
      </c>
      <c r="F1217" s="21" t="str">
        <f aca="false">IF(OR(E1217="",E1217="!!!"),"",IF(NOT(ISNA(VLOOKUP(E1217,Q$1:Q1200,1,FALSE()))),"OLD",IF(AND(E1217&lt;&gt;"",E1217&lt;&gt;"!!!"),"NEW","")))</f>
        <v>NEW</v>
      </c>
      <c r="G1217" s="22" t="s">
        <v>296</v>
      </c>
      <c r="H1217" s="23" t="str">
        <f aca="false">IF(J1217&lt;&gt;1,"",IF(I1217="SBJ","CB","?"))</f>
        <v/>
      </c>
      <c r="I1217" s="24" t="str">
        <f aca="false">IF(OR(E1217="",E1217="!!!",F1217="NEW"),"",INDEX(N$2:N1200,-1+SUMPRODUCT(MAX(ROW(E$2:E1200)*(E1217=E$2:E1200)))))</f>
        <v/>
      </c>
      <c r="J1217" s="25" t="str">
        <f aca="true">IF(OR(E1217="",E1217="!!!",F1217="NEW"),"",COUNTBLANK(OFFSET(M$1,,,SUMPRODUCT(MAX(ROW(E$2:E1201)*(E1217=E$2:E1201)))))-COUNTBLANK(OFFSET(M$1,,,SUMPRODUCT(MAX(ROW(Q$1:Q1200)*(E1217=Q$1:Q1200))))))</f>
        <v/>
      </c>
      <c r="K1217" s="25" t="str">
        <f aca="false">IF(OR(E1217="",E1217="!!!",F1217="NEW"),"",INDEX(V$1:V1200,SUMPRODUCT(MAX(ROW(Q$1:Q1200)*(E1217=Q$1:Q1200)))))</f>
        <v/>
      </c>
      <c r="L1217" s="26"/>
      <c r="M1217" s="27"/>
      <c r="N1217" s="29"/>
      <c r="O1217" s="29"/>
      <c r="P1217" s="29"/>
    </row>
    <row r="1218" customFormat="false" ht="15" hidden="false" customHeight="false" outlineLevel="0" collapsed="false">
      <c r="A1218" s="19" t="s">
        <v>759</v>
      </c>
      <c r="B1218" s="28" t="s">
        <v>380</v>
      </c>
      <c r="C1218" s="28" t="s">
        <v>314</v>
      </c>
      <c r="D1218" s="28" t="s">
        <v>253</v>
      </c>
      <c r="E1218" s="20" t="s">
        <v>760</v>
      </c>
      <c r="F1218" s="21" t="str">
        <f aca="false">IF(OR(E1218="",E1218="!!!"),"",IF(NOT(ISNA(VLOOKUP(E1218,Q$1:Q1201,1,FALSE()))),"OLD",IF(AND(E1218&lt;&gt;"",E1218&lt;&gt;"!!!"),"NEW","")))</f>
        <v>NEW</v>
      </c>
      <c r="G1218" s="22" t="s">
        <v>255</v>
      </c>
      <c r="H1218" s="23" t="str">
        <f aca="false">IF(J1218&lt;&gt;1,"",IF(I1218="SBJ","CB","?"))</f>
        <v/>
      </c>
      <c r="I1218" s="24" t="str">
        <f aca="false">IF(OR(E1218="",E1218="!!!",F1218="NEW"),"",INDEX(N$2:N1201,-1+SUMPRODUCT(MAX(ROW(E$2:E1201)*(E1218=E$2:E1201)))))</f>
        <v/>
      </c>
      <c r="J1218" s="25" t="str">
        <f aca="true">IF(OR(E1218="",E1218="!!!",F1218="NEW"),"",COUNTBLANK(OFFSET(M$1,,,SUMPRODUCT(MAX(ROW(E$2:E1202)*(E1218=E$2:E1202)))))-COUNTBLANK(OFFSET(M$1,,,SUMPRODUCT(MAX(ROW(Q$1:Q1201)*(E1218=Q$1:Q1201))))))</f>
        <v/>
      </c>
      <c r="K1218" s="25" t="str">
        <f aca="false">IF(OR(E1218="",E1218="!!!",F1218="NEW"),"",INDEX(V$1:V1201,SUMPRODUCT(MAX(ROW(Q$1:Q1201)*(E1218=Q$1:Q1201)))))</f>
        <v/>
      </c>
      <c r="L1218" s="26"/>
      <c r="M1218" s="27"/>
      <c r="N1218" s="29"/>
      <c r="O1218" s="29"/>
      <c r="P1218" s="29"/>
    </row>
    <row r="1219" customFormat="false" ht="15" hidden="false" customHeight="false" outlineLevel="0" collapsed="false">
      <c r="A1219" s="19" t="s">
        <v>294</v>
      </c>
      <c r="E1219" s="20" t="str">
        <f aca="false">IF(P1219="?OLD","!!!","")</f>
        <v/>
      </c>
      <c r="F1219" s="21" t="str">
        <f aca="false">IF(OR(E1219="",E1219="!!!"),"",IF(NOT(ISNA(VLOOKUP(E1219,Q$1:Q1202,1,FALSE()))),"OLD",IF(AND(E1219&lt;&gt;"",E1219&lt;&gt;"!!!"),"NEW","")))</f>
        <v/>
      </c>
      <c r="G1219" s="22" t="str">
        <f aca="false">IF(OR(E1219="",E1219="!!!"),"",IF(OR(J1219=0,AND(J1219=1,K1219=1),AND(J1219=1,I1219="SBJ"),AND(J1219=1,I1219=0)),"?IN_FOCUS",IF(J1219&lt;=2,"?ACTIVATED",IF(J1219&lt;&gt;"","?FAMILIAR",IF(F1219="NEW",IF(ISNA(VLOOKUP(E1219,#REF!,1,FALSE())),"?TYPE_IDENTIFIABLE","?REFERENTIAL"),"_")))))</f>
        <v/>
      </c>
      <c r="H1219" s="23" t="str">
        <f aca="false">IF(J1219&lt;&gt;1,"",IF(I1219="SBJ","CB","?"))</f>
        <v/>
      </c>
      <c r="I1219" s="24" t="str">
        <f aca="false">IF(OR(E1219="",E1219="!!!",F1219="NEW"),"",INDEX(N$2:N1202,-1+SUMPRODUCT(MAX(ROW(E$2:E1202)*(E1219=E$2:E1202)))))</f>
        <v/>
      </c>
      <c r="J1219" s="25" t="str">
        <f aca="true">IF(OR(E1219="",E1219="!!!",F1219="NEW"),"",COUNTBLANK(OFFSET(M$1,,,SUMPRODUCT(MAX(ROW(E$2:E1203)*(E1219=E$2:E1203)))))-COUNTBLANK(OFFSET(M$1,,,SUMPRODUCT(MAX(ROW(Q$1:Q1202)*(E1219=Q$1:Q1202))))))</f>
        <v/>
      </c>
      <c r="K1219" s="25" t="str">
        <f aca="false">IF(OR(E1219="",E1219="!!!",F1219="NEW"),"",INDEX(V$1:V1202,SUMPRODUCT(MAX(ROW(Q$1:Q1202)*(E1219=Q$1:Q1202)))))</f>
        <v/>
      </c>
      <c r="L1219" s="26"/>
      <c r="M1219" s="27"/>
    </row>
    <row r="1220" customFormat="false" ht="15" hidden="false" customHeight="false" outlineLevel="0" collapsed="false">
      <c r="A1220" s="19" t="s">
        <v>761</v>
      </c>
      <c r="B1220" s="28" t="s">
        <v>306</v>
      </c>
      <c r="C1220" s="28" t="s">
        <v>259</v>
      </c>
      <c r="E1220" s="20" t="str">
        <f aca="false">IF(P1220="?OLD","!!!","")</f>
        <v/>
      </c>
      <c r="F1220" s="21" t="str">
        <f aca="false">IF(OR(E1220="",E1220="!!!"),"",IF(NOT(ISNA(VLOOKUP(E1220,Q$1:Q1203,1,FALSE()))),"OLD",IF(AND(E1220&lt;&gt;"",E1220&lt;&gt;"!!!"),"NEW","")))</f>
        <v/>
      </c>
      <c r="G1220" s="22" t="str">
        <f aca="false">IF(OR(E1220="",E1220="!!!"),"",IF(OR(J1220=0,AND(J1220=1,K1220=1),AND(J1220=1,I1220="SBJ"),AND(J1220=1,I1220=0)),"?IN_FOCUS",IF(J1220&lt;=2,"?ACTIVATED",IF(J1220&lt;&gt;"","?FAMILIAR",IF(F1220="NEW",IF(ISNA(VLOOKUP(E1220,#REF!,1,FALSE())),"?TYPE_IDENTIFIABLE","?REFERENTIAL"),"_")))))</f>
        <v/>
      </c>
      <c r="H1220" s="23" t="str">
        <f aca="false">IF(J1220&lt;&gt;1,"",IF(I1220="SBJ","CB","?"))</f>
        <v/>
      </c>
      <c r="I1220" s="24" t="str">
        <f aca="false">IF(OR(E1220="",E1220="!!!",F1220="NEW"),"",INDEX(N$2:N1203,-1+SUMPRODUCT(MAX(ROW(E$2:E1203)*(E1220=E$2:E1203)))))</f>
        <v/>
      </c>
      <c r="J1220" s="25" t="str">
        <f aca="true">IF(OR(E1220="",E1220="!!!",F1220="NEW"),"",COUNTBLANK(OFFSET(M$1,,,SUMPRODUCT(MAX(ROW(E$2:E1204)*(E1220=E$2:E1204)))))-COUNTBLANK(OFFSET(M$1,,,SUMPRODUCT(MAX(ROW(Q$1:Q1203)*(E1220=Q$1:Q1203))))))</f>
        <v/>
      </c>
      <c r="K1220" s="25" t="str">
        <f aca="false">IF(OR(E1220="",E1220="!!!",F1220="NEW"),"",INDEX(V$1:V1203,SUMPRODUCT(MAX(ROW(Q$1:Q1203)*(E1220=Q$1:Q1203)))))</f>
        <v/>
      </c>
      <c r="L1220" s="26"/>
      <c r="M1220" s="27"/>
      <c r="N1220" s="29"/>
      <c r="O1220" s="29"/>
    </row>
    <row r="1221" customFormat="false" ht="15" hidden="false" customHeight="false" outlineLevel="0" collapsed="false">
      <c r="A1221" s="19" t="s">
        <v>261</v>
      </c>
      <c r="E1221" s="20" t="str">
        <f aca="false">IF(P1221="?OLD","!!!","")</f>
        <v/>
      </c>
      <c r="F1221" s="21" t="str">
        <f aca="false">IF(OR(E1221="",E1221="!!!"),"",IF(NOT(ISNA(VLOOKUP(E1221,Q$1:Q1204,1,FALSE()))),"OLD",IF(AND(E1221&lt;&gt;"",E1221&lt;&gt;"!!!"),"NEW","")))</f>
        <v/>
      </c>
      <c r="G1221" s="22" t="str">
        <f aca="false">IF(OR(E1221="",E1221="!!!"),"",IF(OR(J1221=0,AND(J1221=1,K1221=1),AND(J1221=1,I1221="SBJ"),AND(J1221=1,I1221=0)),"?IN_FOCUS",IF(J1221&lt;=2,"?ACTIVATED",IF(J1221&lt;&gt;"","?FAMILIAR",IF(F1221="NEW",IF(ISNA(VLOOKUP(E1221,#REF!,1,FALSE())),"?TYPE_IDENTIFIABLE","?REFERENTIAL"),"_")))))</f>
        <v/>
      </c>
      <c r="H1221" s="23" t="str">
        <f aca="false">IF(J1221&lt;&gt;1,"",IF(I1221="SBJ","CB","?"))</f>
        <v/>
      </c>
      <c r="I1221" s="24" t="str">
        <f aca="false">IF(OR(E1221="",E1221="!!!",F1221="NEW"),"",INDEX(N$2:N1204,-1+SUMPRODUCT(MAX(ROW(E$2:E1204)*(E1221=E$2:E1204)))))</f>
        <v/>
      </c>
      <c r="J1221" s="25" t="str">
        <f aca="true">IF(OR(E1221="",E1221="!!!",F1221="NEW"),"",COUNTBLANK(OFFSET(M$1,,,SUMPRODUCT(MAX(ROW(E$2:E1205)*(E1221=E$2:E1205)))))-COUNTBLANK(OFFSET(M$1,,,SUMPRODUCT(MAX(ROW(Q$1:Q1204)*(E1221=Q$1:Q1204))))))</f>
        <v/>
      </c>
      <c r="K1221" s="25" t="str">
        <f aca="false">IF(OR(E1221="",E1221="!!!",F1221="NEW"),"",INDEX(V$1:V1204,SUMPRODUCT(MAX(ROW(Q$1:Q1204)*(E1221=Q$1:Q1204)))))</f>
        <v/>
      </c>
      <c r="L1221" s="26"/>
      <c r="M1221" s="27"/>
    </row>
    <row r="1222" customFormat="false" ht="15" hidden="false" customHeight="false" outlineLevel="0" collapsed="false">
      <c r="A1222" s="19" t="s">
        <v>294</v>
      </c>
      <c r="E1222" s="20" t="str">
        <f aca="false">IF(P1222="?OLD","!!!","")</f>
        <v/>
      </c>
      <c r="F1222" s="21" t="str">
        <f aca="false">IF(OR(E1222="",E1222="!!!"),"",IF(NOT(ISNA(VLOOKUP(E1222,Q$1:Q1205,1,FALSE()))),"OLD",IF(AND(E1222&lt;&gt;"",E1222&lt;&gt;"!!!"),"NEW","")))</f>
        <v/>
      </c>
      <c r="G1222" s="22" t="str">
        <f aca="false">IF(OR(E1222="",E1222="!!!"),"",IF(OR(J1222=0,AND(J1222=1,K1222=1),AND(J1222=1,I1222="SBJ"),AND(J1222=1,I1222=0)),"?IN_FOCUS",IF(J1222&lt;=2,"?ACTIVATED",IF(J1222&lt;&gt;"","?FAMILIAR",IF(F1222="NEW",IF(ISNA(VLOOKUP(E1222,#REF!,1,FALSE())),"?TYPE_IDENTIFIABLE","?REFERENTIAL"),"_")))))</f>
        <v/>
      </c>
      <c r="H1222" s="23" t="str">
        <f aca="false">IF(J1222&lt;&gt;1,"",IF(I1222="SBJ","CB","?"))</f>
        <v/>
      </c>
      <c r="I1222" s="24" t="str">
        <f aca="false">IF(OR(E1222="",E1222="!!!",F1222="NEW"),"",INDEX(N$2:N1205,-1+SUMPRODUCT(MAX(ROW(E$2:E1205)*(E1222=E$2:E1205)))))</f>
        <v/>
      </c>
      <c r="J1222" s="25" t="str">
        <f aca="true">IF(OR(E1222="",E1222="!!!",F1222="NEW"),"",COUNTBLANK(OFFSET(M$1,,,SUMPRODUCT(MAX(ROW(E$2:E1206)*(E1222=E$2:E1206)))))-COUNTBLANK(OFFSET(M$1,,,SUMPRODUCT(MAX(ROW(Q$1:Q1205)*(E1222=Q$1:Q1205))))))</f>
        <v/>
      </c>
      <c r="K1222" s="25" t="str">
        <f aca="false">IF(OR(E1222="",E1222="!!!",F1222="NEW"),"",INDEX(V$1:V1205,SUMPRODUCT(MAX(ROW(Q$1:Q1205)*(E1222=Q$1:Q1205)))))</f>
        <v/>
      </c>
      <c r="L1222" s="26"/>
      <c r="M1222" s="27"/>
    </row>
    <row r="1223" customFormat="false" ht="15" hidden="false" customHeight="false" outlineLevel="0" collapsed="false">
      <c r="A1223" s="19" t="s">
        <v>308</v>
      </c>
      <c r="E1223" s="20" t="str">
        <f aca="false">IF(P1223="?OLD","!!!","")</f>
        <v/>
      </c>
      <c r="F1223" s="21" t="str">
        <f aca="false">IF(OR(E1223="",E1223="!!!"),"",IF(NOT(ISNA(VLOOKUP(E1223,Q$1:Q1206,1,FALSE()))),"OLD",IF(AND(E1223&lt;&gt;"",E1223&lt;&gt;"!!!"),"NEW","")))</f>
        <v/>
      </c>
      <c r="G1223" s="22" t="str">
        <f aca="false">IF(OR(E1223="",E1223="!!!"),"",IF(OR(J1223=0,AND(J1223=1,K1223=1),AND(J1223=1,I1223="SBJ"),AND(J1223=1,I1223=0)),"?IN_FOCUS",IF(J1223&lt;=2,"?ACTIVATED",IF(J1223&lt;&gt;"","?FAMILIAR",IF(F1223="NEW",IF(ISNA(VLOOKUP(E1223,#REF!,1,FALSE())),"?TYPE_IDENTIFIABLE","?REFERENTIAL"),"_")))))</f>
        <v/>
      </c>
      <c r="H1223" s="23" t="str">
        <f aca="false">IF(J1223&lt;&gt;1,"",IF(I1223="SBJ","CB","?"))</f>
        <v/>
      </c>
      <c r="I1223" s="24" t="str">
        <f aca="false">IF(OR(E1223="",E1223="!!!",F1223="NEW"),"",INDEX(N$2:N1206,-1+SUMPRODUCT(MAX(ROW(E$2:E1206)*(E1223=E$2:E1206)))))</f>
        <v/>
      </c>
      <c r="J1223" s="25" t="str">
        <f aca="true">IF(OR(E1223="",E1223="!!!",F1223="NEW"),"",COUNTBLANK(OFFSET(M$1,,,SUMPRODUCT(MAX(ROW(E$2:E1207)*(E1223=E$2:E1207)))))-COUNTBLANK(OFFSET(M$1,,,SUMPRODUCT(MAX(ROW(Q$1:Q1206)*(E1223=Q$1:Q1206))))))</f>
        <v/>
      </c>
      <c r="K1223" s="25" t="str">
        <f aca="false">IF(OR(E1223="",E1223="!!!",F1223="NEW"),"",INDEX(V$1:V1206,SUMPRODUCT(MAX(ROW(Q$1:Q1206)*(E1223=Q$1:Q1206)))))</f>
        <v/>
      </c>
      <c r="L1223" s="26"/>
      <c r="M1223" s="27"/>
    </row>
    <row r="1224" customFormat="false" ht="15" hidden="false" customHeight="false" outlineLevel="0" collapsed="false">
      <c r="A1224" s="19" t="s">
        <v>310</v>
      </c>
      <c r="B1224" s="28" t="s">
        <v>286</v>
      </c>
      <c r="C1224" s="28" t="s">
        <v>264</v>
      </c>
      <c r="D1224" s="28" t="s">
        <v>253</v>
      </c>
      <c r="E1224" s="20" t="s">
        <v>760</v>
      </c>
      <c r="F1224" s="21" t="str">
        <f aca="false">IF(OR(E1224="",E1224="!!!"),"",IF(NOT(ISNA(VLOOKUP(E1224,Q$1:Q1207,1,FALSE()))),"OLD",IF(AND(E1224&lt;&gt;"",E1224&lt;&gt;"!!!"),"NEW","")))</f>
        <v>NEW</v>
      </c>
      <c r="G1224" s="22" t="s">
        <v>296</v>
      </c>
      <c r="H1224" s="23" t="str">
        <f aca="false">IF(J1224&lt;&gt;1,"",IF(I1224="SBJ","CB","?"))</f>
        <v/>
      </c>
      <c r="I1224" s="24" t="str">
        <f aca="false">IF(OR(E1224="",E1224="!!!",F1224="NEW"),"",INDEX(N$2:N1207,-1+SUMPRODUCT(MAX(ROW(E$2:E1207)*(E1224=E$2:E1207)))))</f>
        <v/>
      </c>
      <c r="J1224" s="25" t="str">
        <f aca="true">IF(OR(E1224="",E1224="!!!",F1224="NEW"),"",COUNTBLANK(OFFSET(M$1,,,SUMPRODUCT(MAX(ROW(E$2:E1208)*(E1224=E$2:E1208)))))-COUNTBLANK(OFFSET(M$1,,,SUMPRODUCT(MAX(ROW(Q$1:Q1207)*(E1224=Q$1:Q1207))))))</f>
        <v/>
      </c>
      <c r="K1224" s="25" t="str">
        <f aca="false">IF(OR(E1224="",E1224="!!!",F1224="NEW"),"",INDEX(V$1:V1207,SUMPRODUCT(MAX(ROW(Q$1:Q1207)*(E1224=Q$1:Q1207)))))</f>
        <v/>
      </c>
      <c r="L1224" s="26"/>
      <c r="M1224" s="27"/>
      <c r="N1224" s="29"/>
      <c r="O1224" s="29"/>
      <c r="P1224" s="29"/>
    </row>
    <row r="1225" customFormat="false" ht="15" hidden="false" customHeight="false" outlineLevel="0" collapsed="false">
      <c r="A1225" s="19" t="s">
        <v>309</v>
      </c>
      <c r="E1225" s="20" t="str">
        <f aca="false">IF(P1225="?OLD","!!!","")</f>
        <v/>
      </c>
      <c r="F1225" s="21" t="str">
        <f aca="false">IF(OR(E1225="",E1225="!!!"),"",IF(NOT(ISNA(VLOOKUP(E1225,Q$1:Q1208,1,FALSE()))),"OLD",IF(AND(E1225&lt;&gt;"",E1225&lt;&gt;"!!!"),"NEW","")))</f>
        <v/>
      </c>
      <c r="G1225" s="22" t="str">
        <f aca="false">IF(OR(E1225="",E1225="!!!"),"",IF(OR(J1225=0,AND(J1225=1,K1225=1),AND(J1225=1,I1225="SBJ"),AND(J1225=1,I1225=0)),"?IN_FOCUS",IF(J1225&lt;=2,"?ACTIVATED",IF(J1225&lt;&gt;"","?FAMILIAR",IF(F1225="NEW",IF(ISNA(VLOOKUP(E1225,#REF!,1,FALSE())),"?TYPE_IDENTIFIABLE","?REFERENTIAL"),"_")))))</f>
        <v/>
      </c>
      <c r="H1225" s="23" t="str">
        <f aca="false">IF(J1225&lt;&gt;1,"",IF(I1225="SBJ","CB","?"))</f>
        <v/>
      </c>
      <c r="I1225" s="24" t="str">
        <f aca="false">IF(OR(E1225="",E1225="!!!",F1225="NEW"),"",INDEX(N$2:N1208,-1+SUMPRODUCT(MAX(ROW(E$2:E1208)*(E1225=E$2:E1208)))))</f>
        <v/>
      </c>
      <c r="J1225" s="25" t="str">
        <f aca="true">IF(OR(E1225="",E1225="!!!",F1225="NEW"),"",COUNTBLANK(OFFSET(M$1,,,SUMPRODUCT(MAX(ROW(E$2:E1209)*(E1225=E$2:E1209)))))-COUNTBLANK(OFFSET(M$1,,,SUMPRODUCT(MAX(ROW(Q$1:Q1208)*(E1225=Q$1:Q1208))))))</f>
        <v/>
      </c>
      <c r="K1225" s="25" t="str">
        <f aca="false">IF(OR(E1225="",E1225="!!!",F1225="NEW"),"",INDEX(V$1:V1208,SUMPRODUCT(MAX(ROW(Q$1:Q1208)*(E1225=Q$1:Q1208)))))</f>
        <v/>
      </c>
      <c r="L1225" s="26"/>
      <c r="M1225" s="27"/>
    </row>
    <row r="1226" customFormat="false" ht="15" hidden="false" customHeight="false" outlineLevel="0" collapsed="false">
      <c r="A1226" s="19" t="s">
        <v>218</v>
      </c>
      <c r="E1226" s="20" t="str">
        <f aca="false">IF(P1226="?OLD","!!!","")</f>
        <v/>
      </c>
      <c r="F1226" s="21" t="str">
        <f aca="false">IF(OR(E1226="",E1226="!!!"),"",IF(NOT(ISNA(VLOOKUP(E1226,Q$1:Q1209,1,FALSE()))),"OLD",IF(AND(E1226&lt;&gt;"",E1226&lt;&gt;"!!!"),"NEW","")))</f>
        <v/>
      </c>
      <c r="G1226" s="22" t="str">
        <f aca="false">IF(OR(E1226="",E1226="!!!"),"",IF(OR(J1226=0,AND(J1226=1,K1226=1),AND(J1226=1,I1226="SBJ"),AND(J1226=1,I1226=0)),"?IN_FOCUS",IF(J1226&lt;=2,"?ACTIVATED",IF(J1226&lt;&gt;"","?FAMILIAR",IF(F1226="NEW",IF(ISNA(VLOOKUP(E1226,#REF!,1,FALSE())),"?TYPE_IDENTIFIABLE","?REFERENTIAL"),"_")))))</f>
        <v/>
      </c>
      <c r="H1226" s="23" t="str">
        <f aca="false">IF(J1226&lt;&gt;1,"",IF(I1226="SBJ","CB","?"))</f>
        <v/>
      </c>
      <c r="I1226" s="24" t="str">
        <f aca="false">IF(OR(E1226="",E1226="!!!",F1226="NEW"),"",INDEX(N$2:N1209,-1+SUMPRODUCT(MAX(ROW(E$2:E1209)*(E1226=E$2:E1209)))))</f>
        <v/>
      </c>
      <c r="J1226" s="25" t="str">
        <f aca="true">IF(OR(E1226="",E1226="!!!",F1226="NEW"),"",COUNTBLANK(OFFSET(M$1,,,SUMPRODUCT(MAX(ROW(E$2:E1210)*(E1226=E$2:E1210)))))-COUNTBLANK(OFFSET(M$1,,,SUMPRODUCT(MAX(ROW(Q$1:Q1209)*(E1226=Q$1:Q1209))))))</f>
        <v/>
      </c>
      <c r="K1226" s="25" t="str">
        <f aca="false">IF(OR(E1226="",E1226="!!!",F1226="NEW"),"",INDEX(V$1:V1209,SUMPRODUCT(MAX(ROW(Q$1:Q1209)*(E1226=Q$1:Q1209)))))</f>
        <v/>
      </c>
      <c r="L1226" s="26"/>
      <c r="M1226" s="27"/>
    </row>
    <row r="1227" customFormat="false" ht="15" hidden="false" customHeight="false" outlineLevel="0" collapsed="false">
      <c r="A1227" s="19" t="s">
        <v>261</v>
      </c>
      <c r="E1227" s="20" t="str">
        <f aca="false">IF(P1227="?OLD","!!!","")</f>
        <v/>
      </c>
      <c r="F1227" s="21" t="str">
        <f aca="false">IF(OR(E1227="",E1227="!!!"),"",IF(NOT(ISNA(VLOOKUP(E1227,Q$1:Q1210,1,FALSE()))),"OLD",IF(AND(E1227&lt;&gt;"",E1227&lt;&gt;"!!!"),"NEW","")))</f>
        <v/>
      </c>
      <c r="G1227" s="22" t="str">
        <f aca="false">IF(OR(E1227="",E1227="!!!"),"",IF(OR(J1227=0,AND(J1227=1,K1227=1),AND(J1227=1,I1227="SBJ"),AND(J1227=1,I1227=0)),"?IN_FOCUS",IF(J1227&lt;=2,"?ACTIVATED",IF(J1227&lt;&gt;"","?FAMILIAR",IF(F1227="NEW",IF(ISNA(VLOOKUP(E1227,#REF!,1,FALSE())),"?TYPE_IDENTIFIABLE","?REFERENTIAL"),"_")))))</f>
        <v/>
      </c>
      <c r="H1227" s="23" t="str">
        <f aca="false">IF(J1227&lt;&gt;1,"",IF(I1227="SBJ","CB","?"))</f>
        <v/>
      </c>
      <c r="I1227" s="24" t="str">
        <f aca="false">IF(OR(E1227="",E1227="!!!",F1227="NEW"),"",INDEX(N$2:N1210,-1+SUMPRODUCT(MAX(ROW(E$2:E1210)*(E1227=E$2:E1210)))))</f>
        <v/>
      </c>
      <c r="J1227" s="25" t="str">
        <f aca="true">IF(OR(E1227="",E1227="!!!",F1227="NEW"),"",COUNTBLANK(OFFSET(M$1,,,SUMPRODUCT(MAX(ROW(E$2:E1211)*(E1227=E$2:E1211)))))-COUNTBLANK(OFFSET(M$1,,,SUMPRODUCT(MAX(ROW(Q$1:Q1210)*(E1227=Q$1:Q1210))))))</f>
        <v/>
      </c>
      <c r="K1227" s="25" t="str">
        <f aca="false">IF(OR(E1227="",E1227="!!!",F1227="NEW"),"",INDEX(V$1:V1210,SUMPRODUCT(MAX(ROW(Q$1:Q1210)*(E1227=Q$1:Q1210)))))</f>
        <v/>
      </c>
      <c r="L1227" s="26"/>
      <c r="M1227" s="27"/>
    </row>
    <row r="1228" customFormat="false" ht="15" hidden="false" customHeight="false" outlineLevel="0" collapsed="false">
      <c r="A1228" s="19" t="s">
        <v>650</v>
      </c>
      <c r="E1228" s="20" t="str">
        <f aca="false">IF(P1228="?OLD","!!!","")</f>
        <v/>
      </c>
      <c r="F1228" s="21" t="str">
        <f aca="false">IF(OR(E1228="",E1228="!!!"),"",IF(NOT(ISNA(VLOOKUP(E1228,Q$1:Q1211,1,FALSE()))),"OLD",IF(AND(E1228&lt;&gt;"",E1228&lt;&gt;"!!!"),"NEW","")))</f>
        <v/>
      </c>
      <c r="G1228" s="22" t="str">
        <f aca="false">IF(OR(E1228="",E1228="!!!"),"",IF(OR(J1228=0,AND(J1228=1,K1228=1),AND(J1228=1,I1228="SBJ"),AND(J1228=1,I1228=0)),"?IN_FOCUS",IF(J1228&lt;=2,"?ACTIVATED",IF(J1228&lt;&gt;"","?FAMILIAR",IF(F1228="NEW",IF(ISNA(VLOOKUP(E1228,#REF!,1,FALSE())),"?TYPE_IDENTIFIABLE","?REFERENTIAL"),"_")))))</f>
        <v/>
      </c>
      <c r="H1228" s="23" t="str">
        <f aca="false">IF(J1228&lt;&gt;1,"",IF(I1228="SBJ","CB","?"))</f>
        <v/>
      </c>
      <c r="I1228" s="24" t="str">
        <f aca="false">IF(OR(E1228="",E1228="!!!",F1228="NEW"),"",INDEX(N$2:N1211,-1+SUMPRODUCT(MAX(ROW(E$2:E1211)*(E1228=E$2:E1211)))))</f>
        <v/>
      </c>
      <c r="J1228" s="25" t="str">
        <f aca="true">IF(OR(E1228="",E1228="!!!",F1228="NEW"),"",COUNTBLANK(OFFSET(M$1,,,SUMPRODUCT(MAX(ROW(E$2:E1212)*(E1228=E$2:E1212)))))-COUNTBLANK(OFFSET(M$1,,,SUMPRODUCT(MAX(ROW(Q$1:Q1211)*(E1228=Q$1:Q1211))))))</f>
        <v/>
      </c>
      <c r="K1228" s="25" t="str">
        <f aca="false">IF(OR(E1228="",E1228="!!!",F1228="NEW"),"",INDEX(V$1:V1211,SUMPRODUCT(MAX(ROW(Q$1:Q1211)*(E1228=Q$1:Q1211)))))</f>
        <v/>
      </c>
      <c r="L1228" s="26"/>
      <c r="M1228" s="27"/>
    </row>
    <row r="1229" customFormat="false" ht="15" hidden="false" customHeight="false" outlineLevel="0" collapsed="false">
      <c r="A1229" s="19" t="s">
        <v>323</v>
      </c>
      <c r="E1229" s="20" t="str">
        <f aca="false">IF(P1229="?OLD","!!!","")</f>
        <v/>
      </c>
      <c r="F1229" s="21" t="str">
        <f aca="false">IF(OR(E1229="",E1229="!!!"),"",IF(NOT(ISNA(VLOOKUP(E1229,Q$1:Q1212,1,FALSE()))),"OLD",IF(AND(E1229&lt;&gt;"",E1229&lt;&gt;"!!!"),"NEW","")))</f>
        <v/>
      </c>
      <c r="G1229" s="22" t="str">
        <f aca="false">IF(OR(E1229="",E1229="!!!"),"",IF(OR(J1229=0,AND(J1229=1,K1229=1),AND(J1229=1,I1229="SBJ"),AND(J1229=1,I1229=0)),"?IN_FOCUS",IF(J1229&lt;=2,"?ACTIVATED",IF(J1229&lt;&gt;"","?FAMILIAR",IF(F1229="NEW",IF(ISNA(VLOOKUP(E1229,#REF!,1,FALSE())),"?TYPE_IDENTIFIABLE","?REFERENTIAL"),"_")))))</f>
        <v/>
      </c>
      <c r="H1229" s="23" t="str">
        <f aca="false">IF(J1229&lt;&gt;1,"",IF(I1229="SBJ","CB","?"))</f>
        <v/>
      </c>
      <c r="I1229" s="24" t="str">
        <f aca="false">IF(OR(E1229="",E1229="!!!",F1229="NEW"),"",INDEX(N$2:N1212,-1+SUMPRODUCT(MAX(ROW(E$2:E1212)*(E1229=E$2:E1212)))))</f>
        <v/>
      </c>
      <c r="J1229" s="25" t="str">
        <f aca="true">IF(OR(E1229="",E1229="!!!",F1229="NEW"),"",COUNTBLANK(OFFSET(M$1,,,SUMPRODUCT(MAX(ROW(E$2:E1213)*(E1229=E$2:E1213)))))-COUNTBLANK(OFFSET(M$1,,,SUMPRODUCT(MAX(ROW(Q$1:Q1212)*(E1229=Q$1:Q1212))))))</f>
        <v/>
      </c>
      <c r="K1229" s="25" t="str">
        <f aca="false">IF(OR(E1229="",E1229="!!!",F1229="NEW"),"",INDEX(V$1:V1212,SUMPRODUCT(MAX(ROW(Q$1:Q1212)*(E1229=Q$1:Q1212)))))</f>
        <v/>
      </c>
      <c r="L1229" s="26"/>
      <c r="M1229" s="27"/>
    </row>
    <row r="1230" customFormat="false" ht="15" hidden="false" customHeight="false" outlineLevel="0" collapsed="false">
      <c r="A1230" s="19" t="s">
        <v>762</v>
      </c>
      <c r="B1230" s="28" t="s">
        <v>324</v>
      </c>
      <c r="C1230" s="28" t="s">
        <v>354</v>
      </c>
      <c r="E1230" s="20" t="str">
        <f aca="false">IF(P1230="?OLD","!!!","")</f>
        <v/>
      </c>
      <c r="F1230" s="21" t="str">
        <f aca="false">IF(OR(E1230="",E1230="!!!"),"",IF(NOT(ISNA(VLOOKUP(E1230,Q$1:Q1213,1,FALSE()))),"OLD",IF(AND(E1230&lt;&gt;"",E1230&lt;&gt;"!!!"),"NEW","")))</f>
        <v/>
      </c>
      <c r="G1230" s="22" t="str">
        <f aca="false">IF(OR(E1230="",E1230="!!!"),"",IF(OR(J1230=0,AND(J1230=1,K1230=1),AND(J1230=1,I1230="SBJ"),AND(J1230=1,I1230=0)),"?IN_FOCUS",IF(J1230&lt;=2,"?ACTIVATED",IF(J1230&lt;&gt;"","?FAMILIAR",IF(F1230="NEW",IF(ISNA(VLOOKUP(E1230,#REF!,1,FALSE())),"?TYPE_IDENTIFIABLE","?REFERENTIAL"),"_")))))</f>
        <v/>
      </c>
      <c r="H1230" s="23" t="str">
        <f aca="false">IF(J1230&lt;&gt;1,"",IF(I1230="SBJ","CB","?"))</f>
        <v/>
      </c>
      <c r="I1230" s="24" t="str">
        <f aca="false">IF(OR(E1230="",E1230="!!!",F1230="NEW"),"",INDEX(N$2:N1213,-1+SUMPRODUCT(MAX(ROW(E$2:E1213)*(E1230=E$2:E1213)))))</f>
        <v/>
      </c>
      <c r="J1230" s="25" t="str">
        <f aca="true">IF(OR(E1230="",E1230="!!!",F1230="NEW"),"",COUNTBLANK(OFFSET(M$1,,,SUMPRODUCT(MAX(ROW(E$2:E1214)*(E1230=E$2:E1214)))))-COUNTBLANK(OFFSET(M$1,,,SUMPRODUCT(MAX(ROW(Q$1:Q1213)*(E1230=Q$1:Q1213))))))</f>
        <v/>
      </c>
      <c r="K1230" s="25" t="str">
        <f aca="false">IF(OR(E1230="",E1230="!!!",F1230="NEW"),"",INDEX(V$1:V1213,SUMPRODUCT(MAX(ROW(Q$1:Q1213)*(E1230=Q$1:Q1213)))))</f>
        <v/>
      </c>
      <c r="L1230" s="26"/>
      <c r="M1230" s="27"/>
      <c r="N1230" s="29"/>
      <c r="O1230" s="29"/>
    </row>
    <row r="1231" customFormat="false" ht="15" hidden="false" customHeight="false" outlineLevel="0" collapsed="false">
      <c r="A1231" s="19" t="s">
        <v>260</v>
      </c>
      <c r="E1231" s="20" t="str">
        <f aca="false">IF(P1231="?OLD","!!!","")</f>
        <v/>
      </c>
      <c r="F1231" s="21" t="str">
        <f aca="false">IF(OR(E1231="",E1231="!!!"),"",IF(NOT(ISNA(VLOOKUP(E1231,Q$1:Q1214,1,FALSE()))),"OLD",IF(AND(E1231&lt;&gt;"",E1231&lt;&gt;"!!!"),"NEW","")))</f>
        <v/>
      </c>
      <c r="G1231" s="22" t="str">
        <f aca="false">IF(OR(E1231="",E1231="!!!"),"",IF(OR(J1231=0,AND(J1231=1,K1231=1),AND(J1231=1,I1231="SBJ"),AND(J1231=1,I1231=0)),"?IN_FOCUS",IF(J1231&lt;=2,"?ACTIVATED",IF(J1231&lt;&gt;"","?FAMILIAR",IF(F1231="NEW",IF(ISNA(VLOOKUP(E1231,#REF!,1,FALSE())),"?TYPE_IDENTIFIABLE","?REFERENTIAL"),"_")))))</f>
        <v/>
      </c>
      <c r="H1231" s="23" t="str">
        <f aca="false">IF(J1231&lt;&gt;1,"",IF(I1231="SBJ","CB","?"))</f>
        <v/>
      </c>
      <c r="I1231" s="24" t="str">
        <f aca="false">IF(OR(E1231="",E1231="!!!",F1231="NEW"),"",INDEX(N$2:N1214,-1+SUMPRODUCT(MAX(ROW(E$2:E1214)*(E1231=E$2:E1214)))))</f>
        <v/>
      </c>
      <c r="J1231" s="25" t="str">
        <f aca="true">IF(OR(E1231="",E1231="!!!",F1231="NEW"),"",COUNTBLANK(OFFSET(M$1,,,SUMPRODUCT(MAX(ROW(E$2:E1215)*(E1231=E$2:E1215)))))-COUNTBLANK(OFFSET(M$1,,,SUMPRODUCT(MAX(ROW(Q$1:Q1214)*(E1231=Q$1:Q1214))))))</f>
        <v/>
      </c>
      <c r="K1231" s="25" t="str">
        <f aca="false">IF(OR(E1231="",E1231="!!!",F1231="NEW"),"",INDEX(V$1:V1214,SUMPRODUCT(MAX(ROW(Q$1:Q1214)*(E1231=Q$1:Q1214)))))</f>
        <v/>
      </c>
      <c r="L1231" s="26"/>
      <c r="M1231" s="27"/>
    </row>
    <row r="1232" customFormat="false" ht="15" hidden="false" customHeight="false" outlineLevel="0" collapsed="false">
      <c r="A1232" s="19" t="s">
        <v>763</v>
      </c>
      <c r="E1232" s="20" t="str">
        <f aca="false">IF(P1232="?OLD","!!!","")</f>
        <v/>
      </c>
      <c r="F1232" s="21" t="str">
        <f aca="false">IF(OR(E1232="",E1232="!!!"),"",IF(NOT(ISNA(VLOOKUP(E1232,Q$1:Q1215,1,FALSE()))),"OLD",IF(AND(E1232&lt;&gt;"",E1232&lt;&gt;"!!!"),"NEW","")))</f>
        <v/>
      </c>
      <c r="G1232" s="22" t="str">
        <f aca="false">IF(OR(E1232="",E1232="!!!"),"",IF(OR(J1232=0,AND(J1232=1,K1232=1),AND(J1232=1,I1232="SBJ"),AND(J1232=1,I1232=0)),"?IN_FOCUS",IF(J1232&lt;=2,"?ACTIVATED",IF(J1232&lt;&gt;"","?FAMILIAR",IF(F1232="NEW",IF(ISNA(VLOOKUP(E1232,#REF!,1,FALSE())),"?TYPE_IDENTIFIABLE","?REFERENTIAL"),"_")))))</f>
        <v/>
      </c>
      <c r="H1232" s="23" t="str">
        <f aca="false">IF(J1232&lt;&gt;1,"",IF(I1232="SBJ","CB","?"))</f>
        <v/>
      </c>
      <c r="I1232" s="24" t="str">
        <f aca="false">IF(OR(E1232="",E1232="!!!",F1232="NEW"),"",INDEX(N$2:N1215,-1+SUMPRODUCT(MAX(ROW(E$2:E1215)*(E1232=E$2:E1215)))))</f>
        <v/>
      </c>
      <c r="J1232" s="25" t="str">
        <f aca="true">IF(OR(E1232="",E1232="!!!",F1232="NEW"),"",COUNTBLANK(OFFSET(M$1,,,SUMPRODUCT(MAX(ROW(E$2:E1216)*(E1232=E$2:E1216)))))-COUNTBLANK(OFFSET(M$1,,,SUMPRODUCT(MAX(ROW(Q$1:Q1215)*(E1232=Q$1:Q1215))))))</f>
        <v/>
      </c>
      <c r="K1232" s="25" t="str">
        <f aca="false">IF(OR(E1232="",E1232="!!!",F1232="NEW"),"",INDEX(V$1:V1215,SUMPRODUCT(MAX(ROW(Q$1:Q1215)*(E1232=Q$1:Q1215)))))</f>
        <v/>
      </c>
      <c r="L1232" s="26"/>
      <c r="M1232" s="27"/>
    </row>
    <row r="1233" customFormat="false" ht="15" hidden="false" customHeight="false" outlineLevel="0" collapsed="false">
      <c r="A1233" s="19" t="s">
        <v>275</v>
      </c>
      <c r="E1233" s="20" t="str">
        <f aca="false">IF(P1233="?OLD","!!!","")</f>
        <v/>
      </c>
      <c r="F1233" s="21" t="str">
        <f aca="false">IF(OR(E1233="",E1233="!!!"),"",IF(NOT(ISNA(VLOOKUP(E1233,Q$1:Q1216,1,FALSE()))),"OLD",IF(AND(E1233&lt;&gt;"",E1233&lt;&gt;"!!!"),"NEW","")))</f>
        <v/>
      </c>
      <c r="G1233" s="22" t="str">
        <f aca="false">IF(OR(E1233="",E1233="!!!"),"",IF(OR(J1233=0,AND(J1233=1,K1233=1),AND(J1233=1,I1233="SBJ"),AND(J1233=1,I1233=0)),"?IN_FOCUS",IF(J1233&lt;=2,"?ACTIVATED",IF(J1233&lt;&gt;"","?FAMILIAR",IF(F1233="NEW",IF(ISNA(VLOOKUP(E1233,#REF!,1,FALSE())),"?TYPE_IDENTIFIABLE","?REFERENTIAL"),"_")))))</f>
        <v/>
      </c>
      <c r="H1233" s="23" t="str">
        <f aca="false">IF(J1233&lt;&gt;1,"",IF(I1233="SBJ","CB","?"))</f>
        <v/>
      </c>
      <c r="I1233" s="24" t="str">
        <f aca="false">IF(OR(E1233="",E1233="!!!",F1233="NEW"),"",INDEX(N$2:N1216,-1+SUMPRODUCT(MAX(ROW(E$2:E1216)*(E1233=E$2:E1216)))))</f>
        <v/>
      </c>
      <c r="J1233" s="25" t="str">
        <f aca="true">IF(OR(E1233="",E1233="!!!",F1233="NEW"),"",COUNTBLANK(OFFSET(M$1,,,SUMPRODUCT(MAX(ROW(E$2:E1217)*(E1233=E$2:E1217)))))-COUNTBLANK(OFFSET(M$1,,,SUMPRODUCT(MAX(ROW(Q$1:Q1216)*(E1233=Q$1:Q1216))))))</f>
        <v/>
      </c>
      <c r="K1233" s="25" t="str">
        <f aca="false">IF(OR(E1233="",E1233="!!!",F1233="NEW"),"",INDEX(V$1:V1216,SUMPRODUCT(MAX(ROW(Q$1:Q1216)*(E1233=Q$1:Q1216)))))</f>
        <v/>
      </c>
      <c r="L1233" s="26"/>
      <c r="M1233" s="27"/>
    </row>
    <row r="1234" customFormat="false" ht="15" hidden="false" customHeight="false" outlineLevel="0" collapsed="false">
      <c r="A1234" s="19"/>
      <c r="E1234" s="20" t="str">
        <f aca="false">IF(P1234="?OLD","!!!","")</f>
        <v/>
      </c>
      <c r="F1234" s="21" t="str">
        <f aca="false">IF(OR(E1234="",E1234="!!!"),"",IF(NOT(ISNA(VLOOKUP(E1234,Q$1:Q1217,1,FALSE()))),"OLD",IF(AND(E1234&lt;&gt;"",E1234&lt;&gt;"!!!"),"NEW","")))</f>
        <v/>
      </c>
      <c r="G1234" s="22" t="str">
        <f aca="false">IF(OR(E1234="",E1234="!!!"),"",IF(OR(J1234=0,AND(J1234=1,K1234=1),AND(J1234=1,I1234="SBJ"),AND(J1234=1,I1234=0)),"?IN_FOCUS",IF(J1234&lt;=2,"?ACTIVATED",IF(J1234&lt;&gt;"","?FAMILIAR",IF(F1234="NEW",IF(ISNA(VLOOKUP(E1234,#REF!,1,FALSE())),"?TYPE_IDENTIFIABLE","?REFERENTIAL"),"_")))))</f>
        <v/>
      </c>
      <c r="H1234" s="23" t="str">
        <f aca="false">IF(J1234&lt;&gt;1,"",IF(I1234="SBJ","CB","?"))</f>
        <v/>
      </c>
      <c r="I1234" s="24" t="str">
        <f aca="false">IF(OR(E1234="",E1234="!!!",F1234="NEW"),"",INDEX(N$2:N1217,-1+SUMPRODUCT(MAX(ROW(E$2:E1217)*(E1234=E$2:E1217)))))</f>
        <v/>
      </c>
      <c r="J1234" s="25" t="str">
        <f aca="true">IF(OR(E1234="",E1234="!!!",F1234="NEW"),"",COUNTBLANK(OFFSET(M$1,,,SUMPRODUCT(MAX(ROW(E$2:E1218)*(E1234=E$2:E1218)))))-COUNTBLANK(OFFSET(M$1,,,SUMPRODUCT(MAX(ROW(Q$1:Q1217)*(E1234=Q$1:Q1217))))))</f>
        <v/>
      </c>
      <c r="K1234" s="25" t="str">
        <f aca="false">IF(OR(E1234="",E1234="!!!",F1234="NEW"),"",INDEX(V$1:V1217,SUMPRODUCT(MAX(ROW(Q$1:Q1217)*(E1234=Q$1:Q1217)))))</f>
        <v/>
      </c>
      <c r="L1234" s="26"/>
    </row>
    <row r="1235" customFormat="false" ht="15" hidden="false" customHeight="false" outlineLevel="0" collapsed="false">
      <c r="A1235" s="19" t="s">
        <v>764</v>
      </c>
      <c r="E1235" s="20" t="str">
        <f aca="false">IF(P1235="?OLD","!!!","")</f>
        <v/>
      </c>
      <c r="F1235" s="21" t="str">
        <f aca="false">IF(OR(E1235="",E1235="!!!"),"",IF(NOT(ISNA(VLOOKUP(E1235,Q$1:Q1218,1,FALSE()))),"OLD",IF(AND(E1235&lt;&gt;"",E1235&lt;&gt;"!!!"),"NEW","")))</f>
        <v/>
      </c>
      <c r="G1235" s="22" t="str">
        <f aca="false">IF(OR(E1235="",E1235="!!!"),"",IF(OR(J1235=0,AND(J1235=1,K1235=1),AND(J1235=1,I1235="SBJ"),AND(J1235=1,I1235=0)),"?IN_FOCUS",IF(J1235&lt;=2,"?ACTIVATED",IF(J1235&lt;&gt;"","?FAMILIAR",IF(F1235="NEW",IF(ISNA(VLOOKUP(E1235,#REF!,1,FALSE())),"?TYPE_IDENTIFIABLE","?REFERENTIAL"),"_")))))</f>
        <v/>
      </c>
      <c r="H1235" s="23" t="str">
        <f aca="false">IF(J1235&lt;&gt;1,"",IF(I1235="SBJ","CB","?"))</f>
        <v/>
      </c>
      <c r="I1235" s="24" t="str">
        <f aca="false">IF(OR(E1235="",E1235="!!!",F1235="NEW"),"",INDEX(N$2:N1218,-1+SUMPRODUCT(MAX(ROW(E$2:E1218)*(E1235=E$2:E1218)))))</f>
        <v/>
      </c>
      <c r="J1235" s="25" t="str">
        <f aca="true">IF(OR(E1235="",E1235="!!!",F1235="NEW"),"",COUNTBLANK(OFFSET(M$1,,,SUMPRODUCT(MAX(ROW(E$2:E1219)*(E1235=E$2:E1219)))))-COUNTBLANK(OFFSET(M$1,,,SUMPRODUCT(MAX(ROW(Q$1:Q1218)*(E1235=Q$1:Q1218))))))</f>
        <v/>
      </c>
      <c r="K1235" s="25" t="str">
        <f aca="false">IF(OR(E1235="",E1235="!!!",F1235="NEW"),"",INDEX(V$1:V1218,SUMPRODUCT(MAX(ROW(Q$1:Q1218)*(E1235=Q$1:Q1218)))))</f>
        <v/>
      </c>
      <c r="L1235" s="26"/>
      <c r="M1235" s="27"/>
    </row>
    <row r="1236" customFormat="false" ht="15" hidden="false" customHeight="false" outlineLevel="0" collapsed="false">
      <c r="A1236" s="19" t="s">
        <v>465</v>
      </c>
      <c r="B1236" s="28" t="s">
        <v>271</v>
      </c>
      <c r="C1236" s="28" t="s">
        <v>259</v>
      </c>
      <c r="E1236" s="20" t="str">
        <f aca="false">IF(P1236="?OLD","!!!","")</f>
        <v/>
      </c>
      <c r="F1236" s="21" t="str">
        <f aca="false">IF(OR(E1236="",E1236="!!!"),"",IF(NOT(ISNA(VLOOKUP(E1236,Q$1:Q1219,1,FALSE()))),"OLD",IF(AND(E1236&lt;&gt;"",E1236&lt;&gt;"!!!"),"NEW","")))</f>
        <v/>
      </c>
      <c r="G1236" s="22" t="str">
        <f aca="false">IF(OR(E1236="",E1236="!!!"),"",IF(OR(J1236=0,AND(J1236=1,K1236=1),AND(J1236=1,I1236="SBJ"),AND(J1236=1,I1236=0)),"?IN_FOCUS",IF(J1236&lt;=2,"?ACTIVATED",IF(J1236&lt;&gt;"","?FAMILIAR",IF(F1236="NEW",IF(ISNA(VLOOKUP(E1236,#REF!,1,FALSE())),"?TYPE_IDENTIFIABLE","?REFERENTIAL"),"_")))))</f>
        <v/>
      </c>
      <c r="H1236" s="23" t="str">
        <f aca="false">IF(J1236&lt;&gt;1,"",IF(I1236="SBJ","CB","?"))</f>
        <v/>
      </c>
      <c r="I1236" s="24" t="str">
        <f aca="false">IF(OR(E1236="",E1236="!!!",F1236="NEW"),"",INDEX(N$2:N1219,-1+SUMPRODUCT(MAX(ROW(E$2:E1219)*(E1236=E$2:E1219)))))</f>
        <v/>
      </c>
      <c r="J1236" s="25" t="str">
        <f aca="true">IF(OR(E1236="",E1236="!!!",F1236="NEW"),"",COUNTBLANK(OFFSET(M$1,,,SUMPRODUCT(MAX(ROW(E$2:E1220)*(E1236=E$2:E1220)))))-COUNTBLANK(OFFSET(M$1,,,SUMPRODUCT(MAX(ROW(Q$1:Q1219)*(E1236=Q$1:Q1219))))))</f>
        <v/>
      </c>
      <c r="K1236" s="25" t="str">
        <f aca="false">IF(OR(E1236="",E1236="!!!",F1236="NEW"),"",INDEX(V$1:V1219,SUMPRODUCT(MAX(ROW(Q$1:Q1219)*(E1236=Q$1:Q1219)))))</f>
        <v/>
      </c>
      <c r="L1236" s="26"/>
      <c r="M1236" s="27"/>
      <c r="N1236" s="29"/>
      <c r="O1236" s="29"/>
    </row>
    <row r="1237" customFormat="false" ht="15" hidden="false" customHeight="false" outlineLevel="0" collapsed="false">
      <c r="A1237" s="19" t="s">
        <v>549</v>
      </c>
      <c r="E1237" s="20" t="str">
        <f aca="false">IF(P1237="?OLD","!!!","")</f>
        <v/>
      </c>
      <c r="F1237" s="21" t="str">
        <f aca="false">IF(OR(E1237="",E1237="!!!"),"",IF(NOT(ISNA(VLOOKUP(E1237,Q$1:Q1220,1,FALSE()))),"OLD",IF(AND(E1237&lt;&gt;"",E1237&lt;&gt;"!!!"),"NEW","")))</f>
        <v/>
      </c>
      <c r="G1237" s="22" t="str">
        <f aca="false">IF(OR(E1237="",E1237="!!!"),"",IF(OR(J1237=0,AND(J1237=1,K1237=1),AND(J1237=1,I1237="SBJ"),AND(J1237=1,I1237=0)),"?IN_FOCUS",IF(J1237&lt;=2,"?ACTIVATED",IF(J1237&lt;&gt;"","?FAMILIAR",IF(F1237="NEW",IF(ISNA(VLOOKUP(E1237,#REF!,1,FALSE())),"?TYPE_IDENTIFIABLE","?REFERENTIAL"),"_")))))</f>
        <v/>
      </c>
      <c r="H1237" s="23" t="str">
        <f aca="false">IF(J1237&lt;&gt;1,"",IF(I1237="SBJ","CB","?"))</f>
        <v/>
      </c>
      <c r="I1237" s="24" t="str">
        <f aca="false">IF(OR(E1237="",E1237="!!!",F1237="NEW"),"",INDEX(N$2:N1220,-1+SUMPRODUCT(MAX(ROW(E$2:E1220)*(E1237=E$2:E1220)))))</f>
        <v/>
      </c>
      <c r="J1237" s="25" t="str">
        <f aca="true">IF(OR(E1237="",E1237="!!!",F1237="NEW"),"",COUNTBLANK(OFFSET(M$1,,,SUMPRODUCT(MAX(ROW(E$2:E1221)*(E1237=E$2:E1221)))))-COUNTBLANK(OFFSET(M$1,,,SUMPRODUCT(MAX(ROW(Q$1:Q1220)*(E1237=Q$1:Q1220))))))</f>
        <v/>
      </c>
      <c r="K1237" s="25" t="str">
        <f aca="false">IF(OR(E1237="",E1237="!!!",F1237="NEW"),"",INDEX(V$1:V1220,SUMPRODUCT(MAX(ROW(Q$1:Q1220)*(E1237=Q$1:Q1220)))))</f>
        <v/>
      </c>
      <c r="L1237" s="26"/>
      <c r="M1237" s="27"/>
    </row>
    <row r="1238" customFormat="false" ht="15" hidden="false" customHeight="false" outlineLevel="0" collapsed="false">
      <c r="A1238" s="19" t="s">
        <v>226</v>
      </c>
      <c r="B1238" s="28" t="s">
        <v>271</v>
      </c>
      <c r="C1238" s="28" t="s">
        <v>259</v>
      </c>
      <c r="E1238" s="20" t="str">
        <f aca="false">IF(P1238="?OLD","!!!","")</f>
        <v/>
      </c>
      <c r="F1238" s="21" t="str">
        <f aca="false">IF(OR(E1238="",E1238="!!!"),"",IF(NOT(ISNA(VLOOKUP(E1238,Q$1:Q1221,1,FALSE()))),"OLD",IF(AND(E1238&lt;&gt;"",E1238&lt;&gt;"!!!"),"NEW","")))</f>
        <v/>
      </c>
      <c r="G1238" s="22" t="str">
        <f aca="false">IF(OR(E1238="",E1238="!!!"),"",IF(OR(J1238=0,AND(J1238=1,K1238=1),AND(J1238=1,I1238="SBJ"),AND(J1238=1,I1238=0)),"?IN_FOCUS",IF(J1238&lt;=2,"?ACTIVATED",IF(J1238&lt;&gt;"","?FAMILIAR",IF(F1238="NEW",IF(ISNA(VLOOKUP(E1238,#REF!,1,FALSE())),"?TYPE_IDENTIFIABLE","?REFERENTIAL"),"_")))))</f>
        <v/>
      </c>
      <c r="H1238" s="23" t="str">
        <f aca="false">IF(J1238&lt;&gt;1,"",IF(I1238="SBJ","CB","?"))</f>
        <v/>
      </c>
      <c r="I1238" s="24" t="str">
        <f aca="false">IF(OR(E1238="",E1238="!!!",F1238="NEW"),"",INDEX(N$2:N1221,-1+SUMPRODUCT(MAX(ROW(E$2:E1221)*(E1238=E$2:E1221)))))</f>
        <v/>
      </c>
      <c r="J1238" s="25" t="str">
        <f aca="true">IF(OR(E1238="",E1238="!!!",F1238="NEW"),"",COUNTBLANK(OFFSET(M$1,,,SUMPRODUCT(MAX(ROW(E$2:E1222)*(E1238=E$2:E1222)))))-COUNTBLANK(OFFSET(M$1,,,SUMPRODUCT(MAX(ROW(Q$1:Q1221)*(E1238=Q$1:Q1221))))))</f>
        <v/>
      </c>
      <c r="K1238" s="25" t="str">
        <f aca="false">IF(OR(E1238="",E1238="!!!",F1238="NEW"),"",INDEX(V$1:V1221,SUMPRODUCT(MAX(ROW(Q$1:Q1221)*(E1238=Q$1:Q1221)))))</f>
        <v/>
      </c>
      <c r="L1238" s="26"/>
      <c r="M1238" s="27"/>
      <c r="N1238" s="29"/>
      <c r="O1238" s="29"/>
    </row>
    <row r="1239" customFormat="false" ht="15" hidden="false" customHeight="false" outlineLevel="0" collapsed="false">
      <c r="A1239" s="19" t="s">
        <v>261</v>
      </c>
      <c r="E1239" s="20" t="str">
        <f aca="false">IF(P1239="?OLD","!!!","")</f>
        <v/>
      </c>
      <c r="F1239" s="21" t="str">
        <f aca="false">IF(OR(E1239="",E1239="!!!"),"",IF(NOT(ISNA(VLOOKUP(E1239,Q$1:Q1222,1,FALSE()))),"OLD",IF(AND(E1239&lt;&gt;"",E1239&lt;&gt;"!!!"),"NEW","")))</f>
        <v/>
      </c>
      <c r="G1239" s="22" t="str">
        <f aca="false">IF(OR(E1239="",E1239="!!!"),"",IF(OR(J1239=0,AND(J1239=1,K1239=1),AND(J1239=1,I1239="SBJ"),AND(J1239=1,I1239=0)),"?IN_FOCUS",IF(J1239&lt;=2,"?ACTIVATED",IF(J1239&lt;&gt;"","?FAMILIAR",IF(F1239="NEW",IF(ISNA(VLOOKUP(E1239,#REF!,1,FALSE())),"?TYPE_IDENTIFIABLE","?REFERENTIAL"),"_")))))</f>
        <v/>
      </c>
      <c r="H1239" s="23" t="str">
        <f aca="false">IF(J1239&lt;&gt;1,"",IF(I1239="SBJ","CB","?"))</f>
        <v/>
      </c>
      <c r="I1239" s="24" t="str">
        <f aca="false">IF(OR(E1239="",E1239="!!!",F1239="NEW"),"",INDEX(N$2:N1222,-1+SUMPRODUCT(MAX(ROW(E$2:E1222)*(E1239=E$2:E1222)))))</f>
        <v/>
      </c>
      <c r="J1239" s="25" t="str">
        <f aca="true">IF(OR(E1239="",E1239="!!!",F1239="NEW"),"",COUNTBLANK(OFFSET(M$1,,,SUMPRODUCT(MAX(ROW(E$2:E1223)*(E1239=E$2:E1223)))))-COUNTBLANK(OFFSET(M$1,,,SUMPRODUCT(MAX(ROW(Q$1:Q1222)*(E1239=Q$1:Q1222))))))</f>
        <v/>
      </c>
      <c r="K1239" s="25" t="str">
        <f aca="false">IF(OR(E1239="",E1239="!!!",F1239="NEW"),"",INDEX(V$1:V1222,SUMPRODUCT(MAX(ROW(Q$1:Q1222)*(E1239=Q$1:Q1222)))))</f>
        <v/>
      </c>
      <c r="L1239" s="26"/>
      <c r="M1239" s="27"/>
    </row>
    <row r="1240" customFormat="false" ht="15" hidden="false" customHeight="false" outlineLevel="0" collapsed="false">
      <c r="A1240" s="19" t="s">
        <v>765</v>
      </c>
      <c r="E1240" s="20" t="str">
        <f aca="false">IF(P1240="?OLD","!!!","")</f>
        <v/>
      </c>
      <c r="F1240" s="21" t="str">
        <f aca="false">IF(OR(E1240="",E1240="!!!"),"",IF(NOT(ISNA(VLOOKUP(E1240,Q$1:Q1223,1,FALSE()))),"OLD",IF(AND(E1240&lt;&gt;"",E1240&lt;&gt;"!!!"),"NEW","")))</f>
        <v/>
      </c>
      <c r="G1240" s="22" t="str">
        <f aca="false">IF(OR(E1240="",E1240="!!!"),"",IF(OR(J1240=0,AND(J1240=1,K1240=1),AND(J1240=1,I1240="SBJ"),AND(J1240=1,I1240=0)),"?IN_FOCUS",IF(J1240&lt;=2,"?ACTIVATED",IF(J1240&lt;&gt;"","?FAMILIAR",IF(F1240="NEW",IF(ISNA(VLOOKUP(E1240,#REF!,1,FALSE())),"?TYPE_IDENTIFIABLE","?REFERENTIAL"),"_")))))</f>
        <v/>
      </c>
      <c r="H1240" s="23" t="str">
        <f aca="false">IF(J1240&lt;&gt;1,"",IF(I1240="SBJ","CB","?"))</f>
        <v/>
      </c>
      <c r="I1240" s="24" t="str">
        <f aca="false">IF(OR(E1240="",E1240="!!!",F1240="NEW"),"",INDEX(N$2:N1223,-1+SUMPRODUCT(MAX(ROW(E$2:E1223)*(E1240=E$2:E1223)))))</f>
        <v/>
      </c>
      <c r="J1240" s="25" t="str">
        <f aca="true">IF(OR(E1240="",E1240="!!!",F1240="NEW"),"",COUNTBLANK(OFFSET(M$1,,,SUMPRODUCT(MAX(ROW(E$2:E1224)*(E1240=E$2:E1224)))))-COUNTBLANK(OFFSET(M$1,,,SUMPRODUCT(MAX(ROW(Q$1:Q1223)*(E1240=Q$1:Q1223))))))</f>
        <v/>
      </c>
      <c r="K1240" s="25" t="str">
        <f aca="false">IF(OR(E1240="",E1240="!!!",F1240="NEW"),"",INDEX(V$1:V1223,SUMPRODUCT(MAX(ROW(Q$1:Q1223)*(E1240=Q$1:Q1223)))))</f>
        <v/>
      </c>
      <c r="L1240" s="26"/>
      <c r="M1240" s="27"/>
    </row>
    <row r="1241" customFormat="false" ht="15" hidden="false" customHeight="false" outlineLevel="0" collapsed="false">
      <c r="A1241" s="19" t="s">
        <v>740</v>
      </c>
      <c r="E1241" s="20" t="str">
        <f aca="false">IF(P1241="?OLD","!!!","")</f>
        <v/>
      </c>
      <c r="F1241" s="21" t="str">
        <f aca="false">IF(OR(E1241="",E1241="!!!"),"",IF(NOT(ISNA(VLOOKUP(E1241,Q$1:Q1224,1,FALSE()))),"OLD",IF(AND(E1241&lt;&gt;"",E1241&lt;&gt;"!!!"),"NEW","")))</f>
        <v/>
      </c>
      <c r="G1241" s="22" t="str">
        <f aca="false">IF(OR(E1241="",E1241="!!!"),"",IF(OR(J1241=0,AND(J1241=1,K1241=1),AND(J1241=1,I1241="SBJ"),AND(J1241=1,I1241=0)),"?IN_FOCUS",IF(J1241&lt;=2,"?ACTIVATED",IF(J1241&lt;&gt;"","?FAMILIAR",IF(F1241="NEW",IF(ISNA(VLOOKUP(E1241,#REF!,1,FALSE())),"?TYPE_IDENTIFIABLE","?REFERENTIAL"),"_")))))</f>
        <v/>
      </c>
      <c r="H1241" s="23" t="str">
        <f aca="false">IF(J1241&lt;&gt;1,"",IF(I1241="SBJ","CB","?"))</f>
        <v/>
      </c>
      <c r="I1241" s="24" t="str">
        <f aca="false">IF(OR(E1241="",E1241="!!!",F1241="NEW"),"",INDEX(N$2:N1224,-1+SUMPRODUCT(MAX(ROW(E$2:E1224)*(E1241=E$2:E1224)))))</f>
        <v/>
      </c>
      <c r="J1241" s="25" t="str">
        <f aca="true">IF(OR(E1241="",E1241="!!!",F1241="NEW"),"",COUNTBLANK(OFFSET(M$1,,,SUMPRODUCT(MAX(ROW(E$2:E1225)*(E1241=E$2:E1225)))))-COUNTBLANK(OFFSET(M$1,,,SUMPRODUCT(MAX(ROW(Q$1:Q1224)*(E1241=Q$1:Q1224))))))</f>
        <v/>
      </c>
      <c r="K1241" s="25" t="str">
        <f aca="false">IF(OR(E1241="",E1241="!!!",F1241="NEW"),"",INDEX(V$1:V1224,SUMPRODUCT(MAX(ROW(Q$1:Q1224)*(E1241=Q$1:Q1224)))))</f>
        <v/>
      </c>
      <c r="L1241" s="26"/>
      <c r="M1241" s="27"/>
    </row>
    <row r="1242" customFormat="false" ht="15" hidden="false" customHeight="false" outlineLevel="0" collapsed="false">
      <c r="A1242" s="19" t="s">
        <v>269</v>
      </c>
      <c r="E1242" s="20" t="str">
        <f aca="false">IF(P1242="?OLD","!!!","")</f>
        <v/>
      </c>
      <c r="F1242" s="21" t="str">
        <f aca="false">IF(OR(E1242="",E1242="!!!"),"",IF(NOT(ISNA(VLOOKUP(E1242,Q$1:Q1225,1,FALSE()))),"OLD",IF(AND(E1242&lt;&gt;"",E1242&lt;&gt;"!!!"),"NEW","")))</f>
        <v/>
      </c>
      <c r="G1242" s="22" t="str">
        <f aca="false">IF(OR(E1242="",E1242="!!!"),"",IF(OR(J1242=0,AND(J1242=1,K1242=1),AND(J1242=1,I1242="SBJ"),AND(J1242=1,I1242=0)),"?IN_FOCUS",IF(J1242&lt;=2,"?ACTIVATED",IF(J1242&lt;&gt;"","?FAMILIAR",IF(F1242="NEW",IF(ISNA(VLOOKUP(E1242,#REF!,1,FALSE())),"?TYPE_IDENTIFIABLE","?REFERENTIAL"),"_")))))</f>
        <v/>
      </c>
      <c r="H1242" s="23" t="str">
        <f aca="false">IF(J1242&lt;&gt;1,"",IF(I1242="SBJ","CB","?"))</f>
        <v/>
      </c>
      <c r="I1242" s="24" t="str">
        <f aca="false">IF(OR(E1242="",E1242="!!!",F1242="NEW"),"",INDEX(N$2:N1225,-1+SUMPRODUCT(MAX(ROW(E$2:E1225)*(E1242=E$2:E1225)))))</f>
        <v/>
      </c>
      <c r="J1242" s="25" t="str">
        <f aca="true">IF(OR(E1242="",E1242="!!!",F1242="NEW"),"",COUNTBLANK(OFFSET(M$1,,,SUMPRODUCT(MAX(ROW(E$2:E1226)*(E1242=E$2:E1226)))))-COUNTBLANK(OFFSET(M$1,,,SUMPRODUCT(MAX(ROW(Q$1:Q1225)*(E1242=Q$1:Q1225))))))</f>
        <v/>
      </c>
      <c r="K1242" s="25" t="str">
        <f aca="false">IF(OR(E1242="",E1242="!!!",F1242="NEW"),"",INDEX(V$1:V1225,SUMPRODUCT(MAX(ROW(Q$1:Q1225)*(E1242=Q$1:Q1225)))))</f>
        <v/>
      </c>
      <c r="L1242" s="26"/>
      <c r="M1242" s="27"/>
    </row>
    <row r="1243" customFormat="false" ht="15" hidden="false" customHeight="false" outlineLevel="0" collapsed="false">
      <c r="A1243" s="19" t="s">
        <v>145</v>
      </c>
      <c r="E1243" s="20" t="str">
        <f aca="false">IF(P1243="?OLD","!!!","")</f>
        <v/>
      </c>
      <c r="F1243" s="21" t="str">
        <f aca="false">IF(OR(E1243="",E1243="!!!"),"",IF(NOT(ISNA(VLOOKUP(E1243,Q$1:Q1226,1,FALSE()))),"OLD",IF(AND(E1243&lt;&gt;"",E1243&lt;&gt;"!!!"),"NEW","")))</f>
        <v/>
      </c>
      <c r="G1243" s="22" t="str">
        <f aca="false">IF(OR(E1243="",E1243="!!!"),"",IF(OR(J1243=0,AND(J1243=1,K1243=1),AND(J1243=1,I1243="SBJ"),AND(J1243=1,I1243=0)),"?IN_FOCUS",IF(J1243&lt;=2,"?ACTIVATED",IF(J1243&lt;&gt;"","?FAMILIAR",IF(F1243="NEW",IF(ISNA(VLOOKUP(E1243,#REF!,1,FALSE())),"?TYPE_IDENTIFIABLE","?REFERENTIAL"),"_")))))</f>
        <v/>
      </c>
      <c r="H1243" s="23" t="str">
        <f aca="false">IF(J1243&lt;&gt;1,"",IF(I1243="SBJ","CB","?"))</f>
        <v/>
      </c>
      <c r="I1243" s="24" t="str">
        <f aca="false">IF(OR(E1243="",E1243="!!!",F1243="NEW"),"",INDEX(N$2:N1226,-1+SUMPRODUCT(MAX(ROW(E$2:E1226)*(E1243=E$2:E1226)))))</f>
        <v/>
      </c>
      <c r="J1243" s="25" t="str">
        <f aca="true">IF(OR(E1243="",E1243="!!!",F1243="NEW"),"",COUNTBLANK(OFFSET(M$1,,,SUMPRODUCT(MAX(ROW(E$2:E1227)*(E1243=E$2:E1227)))))-COUNTBLANK(OFFSET(M$1,,,SUMPRODUCT(MAX(ROW(Q$1:Q1226)*(E1243=Q$1:Q1226))))))</f>
        <v/>
      </c>
      <c r="K1243" s="25" t="str">
        <f aca="false">IF(OR(E1243="",E1243="!!!",F1243="NEW"),"",INDEX(V$1:V1226,SUMPRODUCT(MAX(ROW(Q$1:Q1226)*(E1243=Q$1:Q1226)))))</f>
        <v/>
      </c>
      <c r="L1243" s="26"/>
      <c r="M1243" s="27"/>
    </row>
    <row r="1244" customFormat="false" ht="15" hidden="false" customHeight="false" outlineLevel="0" collapsed="false">
      <c r="A1244" s="19" t="s">
        <v>270</v>
      </c>
      <c r="B1244" s="28" t="s">
        <v>306</v>
      </c>
      <c r="C1244" s="28" t="s">
        <v>272</v>
      </c>
      <c r="E1244" s="20" t="str">
        <f aca="false">IF(P1244="?OLD","!!!","")</f>
        <v/>
      </c>
      <c r="F1244" s="21" t="str">
        <f aca="false">IF(OR(E1244="",E1244="!!!"),"",IF(NOT(ISNA(VLOOKUP(E1244,Q$1:Q1227,1,FALSE()))),"OLD",IF(AND(E1244&lt;&gt;"",E1244&lt;&gt;"!!!"),"NEW","")))</f>
        <v/>
      </c>
      <c r="G1244" s="22" t="str">
        <f aca="false">IF(OR(E1244="",E1244="!!!"),"",IF(OR(J1244=0,AND(J1244=1,K1244=1),AND(J1244=1,I1244="SBJ"),AND(J1244=1,I1244=0)),"?IN_FOCUS",IF(J1244&lt;=2,"?ACTIVATED",IF(J1244&lt;&gt;"","?FAMILIAR",IF(F1244="NEW",IF(ISNA(VLOOKUP(E1244,#REF!,1,FALSE())),"?TYPE_IDENTIFIABLE","?REFERENTIAL"),"_")))))</f>
        <v/>
      </c>
      <c r="H1244" s="23" t="str">
        <f aca="false">IF(J1244&lt;&gt;1,"",IF(I1244="SBJ","CB","?"))</f>
        <v/>
      </c>
      <c r="I1244" s="24" t="str">
        <f aca="false">IF(OR(E1244="",E1244="!!!",F1244="NEW"),"",INDEX(N$2:N1227,-1+SUMPRODUCT(MAX(ROW(E$2:E1227)*(E1244=E$2:E1227)))))</f>
        <v/>
      </c>
      <c r="J1244" s="25" t="str">
        <f aca="true">IF(OR(E1244="",E1244="!!!",F1244="NEW"),"",COUNTBLANK(OFFSET(M$1,,,SUMPRODUCT(MAX(ROW(E$2:E1228)*(E1244=E$2:E1228)))))-COUNTBLANK(OFFSET(M$1,,,SUMPRODUCT(MAX(ROW(Q$1:Q1227)*(E1244=Q$1:Q1227))))))</f>
        <v/>
      </c>
      <c r="K1244" s="25" t="str">
        <f aca="false">IF(OR(E1244="",E1244="!!!",F1244="NEW"),"",INDEX(V$1:V1227,SUMPRODUCT(MAX(ROW(Q$1:Q1227)*(E1244=Q$1:Q1227)))))</f>
        <v/>
      </c>
      <c r="L1244" s="26"/>
      <c r="M1244" s="27"/>
      <c r="N1244" s="29"/>
      <c r="O1244" s="29"/>
    </row>
    <row r="1245" customFormat="false" ht="15" hidden="false" customHeight="false" outlineLevel="0" collapsed="false">
      <c r="A1245" s="19" t="s">
        <v>273</v>
      </c>
      <c r="E1245" s="20" t="str">
        <f aca="false">IF(P1245="?OLD","!!!","")</f>
        <v/>
      </c>
      <c r="F1245" s="21" t="str">
        <f aca="false">IF(OR(E1245="",E1245="!!!"),"",IF(NOT(ISNA(VLOOKUP(E1245,Q$1:Q1228,1,FALSE()))),"OLD",IF(AND(E1245&lt;&gt;"",E1245&lt;&gt;"!!!"),"NEW","")))</f>
        <v/>
      </c>
      <c r="G1245" s="22" t="str">
        <f aca="false">IF(OR(E1245="",E1245="!!!"),"",IF(OR(J1245=0,AND(J1245=1,K1245=1),AND(J1245=1,I1245="SBJ"),AND(J1245=1,I1245=0)),"?IN_FOCUS",IF(J1245&lt;=2,"?ACTIVATED",IF(J1245&lt;&gt;"","?FAMILIAR",IF(F1245="NEW",IF(ISNA(VLOOKUP(E1245,#REF!,1,FALSE())),"?TYPE_IDENTIFIABLE","?REFERENTIAL"),"_")))))</f>
        <v/>
      </c>
      <c r="H1245" s="23" t="str">
        <f aca="false">IF(J1245&lt;&gt;1,"",IF(I1245="SBJ","CB","?"))</f>
        <v/>
      </c>
      <c r="I1245" s="24" t="str">
        <f aca="false">IF(OR(E1245="",E1245="!!!",F1245="NEW"),"",INDEX(N$2:N1228,-1+SUMPRODUCT(MAX(ROW(E$2:E1228)*(E1245=E$2:E1228)))))</f>
        <v/>
      </c>
      <c r="J1245" s="25" t="str">
        <f aca="true">IF(OR(E1245="",E1245="!!!",F1245="NEW"),"",COUNTBLANK(OFFSET(M$1,,,SUMPRODUCT(MAX(ROW(E$2:E1229)*(E1245=E$2:E1229)))))-COUNTBLANK(OFFSET(M$1,,,SUMPRODUCT(MAX(ROW(Q$1:Q1228)*(E1245=Q$1:Q1228))))))</f>
        <v/>
      </c>
      <c r="K1245" s="25" t="str">
        <f aca="false">IF(OR(E1245="",E1245="!!!",F1245="NEW"),"",INDEX(V$1:V1228,SUMPRODUCT(MAX(ROW(Q$1:Q1228)*(E1245=Q$1:Q1228)))))</f>
        <v/>
      </c>
      <c r="L1245" s="26"/>
      <c r="M1245" s="27"/>
    </row>
    <row r="1246" customFormat="false" ht="15" hidden="false" customHeight="false" outlineLevel="0" collapsed="false">
      <c r="A1246" s="19" t="s">
        <v>250</v>
      </c>
      <c r="E1246" s="20" t="str">
        <f aca="false">IF(P1246="?OLD","!!!","")</f>
        <v/>
      </c>
      <c r="F1246" s="21" t="str">
        <f aca="false">IF(OR(E1246="",E1246="!!!"),"",IF(NOT(ISNA(VLOOKUP(E1246,Q$1:Q1229,1,FALSE()))),"OLD",IF(AND(E1246&lt;&gt;"",E1246&lt;&gt;"!!!"),"NEW","")))</f>
        <v/>
      </c>
      <c r="G1246" s="22" t="str">
        <f aca="false">IF(OR(E1246="",E1246="!!!"),"",IF(OR(J1246=0,AND(J1246=1,K1246=1),AND(J1246=1,I1246="SBJ"),AND(J1246=1,I1246=0)),"?IN_FOCUS",IF(J1246&lt;=2,"?ACTIVATED",IF(J1246&lt;&gt;"","?FAMILIAR",IF(F1246="NEW",IF(ISNA(VLOOKUP(E1246,#REF!,1,FALSE())),"?TYPE_IDENTIFIABLE","?REFERENTIAL"),"_")))))</f>
        <v/>
      </c>
      <c r="H1246" s="23" t="str">
        <f aca="false">IF(J1246&lt;&gt;1,"",IF(I1246="SBJ","CB","?"))</f>
        <v/>
      </c>
      <c r="I1246" s="24" t="str">
        <f aca="false">IF(OR(E1246="",E1246="!!!",F1246="NEW"),"",INDEX(N$2:N1229,-1+SUMPRODUCT(MAX(ROW(E$2:E1229)*(E1246=E$2:E1229)))))</f>
        <v/>
      </c>
      <c r="J1246" s="25" t="str">
        <f aca="true">IF(OR(E1246="",E1246="!!!",F1246="NEW"),"",COUNTBLANK(OFFSET(M$1,,,SUMPRODUCT(MAX(ROW(E$2:E1230)*(E1246=E$2:E1230)))))-COUNTBLANK(OFFSET(M$1,,,SUMPRODUCT(MAX(ROW(Q$1:Q1229)*(E1246=Q$1:Q1229))))))</f>
        <v/>
      </c>
      <c r="K1246" s="25" t="str">
        <f aca="false">IF(OR(E1246="",E1246="!!!",F1246="NEW"),"",INDEX(V$1:V1229,SUMPRODUCT(MAX(ROW(Q$1:Q1229)*(E1246=Q$1:Q1229)))))</f>
        <v/>
      </c>
      <c r="L1246" s="26"/>
      <c r="M1246" s="27"/>
    </row>
    <row r="1247" customFormat="false" ht="15" hidden="false" customHeight="false" outlineLevel="0" collapsed="false">
      <c r="A1247" s="19" t="s">
        <v>766</v>
      </c>
      <c r="B1247" s="28" t="s">
        <v>306</v>
      </c>
      <c r="C1247" s="28" t="s">
        <v>252</v>
      </c>
      <c r="D1247" s="28" t="s">
        <v>253</v>
      </c>
      <c r="E1247" s="20" t="s">
        <v>767</v>
      </c>
      <c r="F1247" s="21" t="str">
        <f aca="false">IF(OR(E1247="",E1247="!!!"),"",IF(NOT(ISNA(VLOOKUP(E1247,Q$1:Q1230,1,FALSE()))),"OLD",IF(AND(E1247&lt;&gt;"",E1247&lt;&gt;"!!!"),"NEW","")))</f>
        <v>NEW</v>
      </c>
      <c r="G1247" s="22" t="s">
        <v>255</v>
      </c>
      <c r="H1247" s="23" t="str">
        <f aca="false">IF(J1247&lt;&gt;1,"",IF(I1247="SBJ","CB","?"))</f>
        <v/>
      </c>
      <c r="I1247" s="24" t="str">
        <f aca="false">IF(OR(E1247="",E1247="!!!",F1247="NEW"),"",INDEX(N$2:N1230,-1+SUMPRODUCT(MAX(ROW(E$2:E1230)*(E1247=E$2:E1230)))))</f>
        <v/>
      </c>
      <c r="J1247" s="25" t="str">
        <f aca="true">IF(OR(E1247="",E1247="!!!",F1247="NEW"),"",COUNTBLANK(OFFSET(M$1,,,SUMPRODUCT(MAX(ROW(E$2:E1231)*(E1247=E$2:E1231)))))-COUNTBLANK(OFFSET(M$1,,,SUMPRODUCT(MAX(ROW(Q$1:Q1230)*(E1247=Q$1:Q1230))))))</f>
        <v/>
      </c>
      <c r="K1247" s="25" t="str">
        <f aca="false">IF(OR(E1247="",E1247="!!!",F1247="NEW"),"",INDEX(V$1:V1230,SUMPRODUCT(MAX(ROW(Q$1:Q1230)*(E1247=Q$1:Q1230)))))</f>
        <v/>
      </c>
      <c r="L1247" s="26"/>
      <c r="M1247" s="27"/>
      <c r="N1247" s="29"/>
      <c r="O1247" s="29"/>
      <c r="P1247" s="29"/>
    </row>
    <row r="1248" customFormat="false" ht="15" hidden="false" customHeight="false" outlineLevel="0" collapsed="false">
      <c r="A1248" s="19" t="s">
        <v>261</v>
      </c>
      <c r="E1248" s="20" t="str">
        <f aca="false">IF(P1248="?OLD","!!!","")</f>
        <v/>
      </c>
      <c r="F1248" s="21" t="str">
        <f aca="false">IF(OR(E1248="",E1248="!!!"),"",IF(NOT(ISNA(VLOOKUP(E1248,Q$1:Q1231,1,FALSE()))),"OLD",IF(AND(E1248&lt;&gt;"",E1248&lt;&gt;"!!!"),"NEW","")))</f>
        <v/>
      </c>
      <c r="G1248" s="22" t="str">
        <f aca="false">IF(OR(E1248="",E1248="!!!"),"",IF(OR(J1248=0,AND(J1248=1,K1248=1),AND(J1248=1,I1248="SBJ"),AND(J1248=1,I1248=0)),"?IN_FOCUS",IF(J1248&lt;=2,"?ACTIVATED",IF(J1248&lt;&gt;"","?FAMILIAR",IF(F1248="NEW",IF(ISNA(VLOOKUP(E1248,#REF!,1,FALSE())),"?TYPE_IDENTIFIABLE","?REFERENTIAL"),"_")))))</f>
        <v/>
      </c>
      <c r="H1248" s="23" t="str">
        <f aca="false">IF(J1248&lt;&gt;1,"",IF(I1248="SBJ","CB","?"))</f>
        <v/>
      </c>
      <c r="I1248" s="24" t="str">
        <f aca="false">IF(OR(E1248="",E1248="!!!",F1248="NEW"),"",INDEX(N$2:N1231,-1+SUMPRODUCT(MAX(ROW(E$2:E1231)*(E1248=E$2:E1231)))))</f>
        <v/>
      </c>
      <c r="J1248" s="25" t="str">
        <f aca="true">IF(OR(E1248="",E1248="!!!",F1248="NEW"),"",COUNTBLANK(OFFSET(M$1,,,SUMPRODUCT(MAX(ROW(E$2:E1232)*(E1248=E$2:E1232)))))-COUNTBLANK(OFFSET(M$1,,,SUMPRODUCT(MAX(ROW(Q$1:Q1231)*(E1248=Q$1:Q1231))))))</f>
        <v/>
      </c>
      <c r="K1248" s="25" t="str">
        <f aca="false">IF(OR(E1248="",E1248="!!!",F1248="NEW"),"",INDEX(V$1:V1231,SUMPRODUCT(MAX(ROW(Q$1:Q1231)*(E1248=Q$1:Q1231)))))</f>
        <v/>
      </c>
      <c r="L1248" s="26"/>
      <c r="M1248" s="27"/>
    </row>
    <row r="1249" customFormat="false" ht="15" hidden="false" customHeight="false" outlineLevel="0" collapsed="false">
      <c r="A1249" s="19" t="s">
        <v>294</v>
      </c>
      <c r="E1249" s="20" t="str">
        <f aca="false">IF(P1249="?OLD","!!!","")</f>
        <v/>
      </c>
      <c r="F1249" s="21" t="str">
        <f aca="false">IF(OR(E1249="",E1249="!!!"),"",IF(NOT(ISNA(VLOOKUP(E1249,Q$1:Q1232,1,FALSE()))),"OLD",IF(AND(E1249&lt;&gt;"",E1249&lt;&gt;"!!!"),"NEW","")))</f>
        <v/>
      </c>
      <c r="G1249" s="22" t="str">
        <f aca="false">IF(OR(E1249="",E1249="!!!"),"",IF(OR(J1249=0,AND(J1249=1,K1249=1),AND(J1249=1,I1249="SBJ"),AND(J1249=1,I1249=0)),"?IN_FOCUS",IF(J1249&lt;=2,"?ACTIVATED",IF(J1249&lt;&gt;"","?FAMILIAR",IF(F1249="NEW",IF(ISNA(VLOOKUP(E1249,#REF!,1,FALSE())),"?TYPE_IDENTIFIABLE","?REFERENTIAL"),"_")))))</f>
        <v/>
      </c>
      <c r="H1249" s="23" t="str">
        <f aca="false">IF(J1249&lt;&gt;1,"",IF(I1249="SBJ","CB","?"))</f>
        <v/>
      </c>
      <c r="I1249" s="24" t="str">
        <f aca="false">IF(OR(E1249="",E1249="!!!",F1249="NEW"),"",INDEX(N$2:N1232,-1+SUMPRODUCT(MAX(ROW(E$2:E1232)*(E1249=E$2:E1232)))))</f>
        <v/>
      </c>
      <c r="J1249" s="25" t="str">
        <f aca="true">IF(OR(E1249="",E1249="!!!",F1249="NEW"),"",COUNTBLANK(OFFSET(M$1,,,SUMPRODUCT(MAX(ROW(E$2:E1233)*(E1249=E$2:E1233)))))-COUNTBLANK(OFFSET(M$1,,,SUMPRODUCT(MAX(ROW(Q$1:Q1232)*(E1249=Q$1:Q1232))))))</f>
        <v/>
      </c>
      <c r="K1249" s="25" t="str">
        <f aca="false">IF(OR(E1249="",E1249="!!!",F1249="NEW"),"",INDEX(V$1:V1232,SUMPRODUCT(MAX(ROW(Q$1:Q1232)*(E1249=Q$1:Q1232)))))</f>
        <v/>
      </c>
      <c r="L1249" s="26"/>
      <c r="M1249" s="27"/>
    </row>
    <row r="1250" customFormat="false" ht="15" hidden="false" customHeight="false" outlineLevel="0" collapsed="false">
      <c r="A1250" s="19" t="s">
        <v>744</v>
      </c>
      <c r="E1250" s="20" t="str">
        <f aca="false">IF(P1250="?OLD","!!!","")</f>
        <v/>
      </c>
      <c r="F1250" s="21" t="str">
        <f aca="false">IF(OR(E1250="",E1250="!!!"),"",IF(NOT(ISNA(VLOOKUP(E1250,Q$1:Q1233,1,FALSE()))),"OLD",IF(AND(E1250&lt;&gt;"",E1250&lt;&gt;"!!!"),"NEW","")))</f>
        <v/>
      </c>
      <c r="G1250" s="22" t="str">
        <f aca="false">IF(OR(E1250="",E1250="!!!"),"",IF(OR(J1250=0,AND(J1250=1,K1250=1),AND(J1250=1,I1250="SBJ"),AND(J1250=1,I1250=0)),"?IN_FOCUS",IF(J1250&lt;=2,"?ACTIVATED",IF(J1250&lt;&gt;"","?FAMILIAR",IF(F1250="NEW",IF(ISNA(VLOOKUP(E1250,#REF!,1,FALSE())),"?TYPE_IDENTIFIABLE","?REFERENTIAL"),"_")))))</f>
        <v/>
      </c>
      <c r="H1250" s="23" t="str">
        <f aca="false">IF(J1250&lt;&gt;1,"",IF(I1250="SBJ","CB","?"))</f>
        <v/>
      </c>
      <c r="I1250" s="24" t="str">
        <f aca="false">IF(OR(E1250="",E1250="!!!",F1250="NEW"),"",INDEX(N$2:N1233,-1+SUMPRODUCT(MAX(ROW(E$2:E1233)*(E1250=E$2:E1233)))))</f>
        <v/>
      </c>
      <c r="J1250" s="25" t="str">
        <f aca="true">IF(OR(E1250="",E1250="!!!",F1250="NEW"),"",COUNTBLANK(OFFSET(M$1,,,SUMPRODUCT(MAX(ROW(E$2:E1234)*(E1250=E$2:E1234)))))-COUNTBLANK(OFFSET(M$1,,,SUMPRODUCT(MAX(ROW(Q$1:Q1233)*(E1250=Q$1:Q1233))))))</f>
        <v/>
      </c>
      <c r="K1250" s="25" t="str">
        <f aca="false">IF(OR(E1250="",E1250="!!!",F1250="NEW"),"",INDEX(V$1:V1233,SUMPRODUCT(MAX(ROW(Q$1:Q1233)*(E1250=Q$1:Q1233)))))</f>
        <v/>
      </c>
      <c r="L1250" s="26"/>
      <c r="M1250" s="27"/>
    </row>
    <row r="1251" customFormat="false" ht="15" hidden="false" customHeight="false" outlineLevel="0" collapsed="false">
      <c r="A1251" s="19" t="s">
        <v>746</v>
      </c>
      <c r="B1251" s="28" t="s">
        <v>271</v>
      </c>
      <c r="C1251" s="28" t="s">
        <v>259</v>
      </c>
      <c r="E1251" s="20" t="str">
        <f aca="false">IF(P1251="?OLD","!!!","")</f>
        <v/>
      </c>
      <c r="F1251" s="21" t="str">
        <f aca="false">IF(OR(E1251="",E1251="!!!"),"",IF(NOT(ISNA(VLOOKUP(E1251,Q$1:Q1234,1,FALSE()))),"OLD",IF(AND(E1251&lt;&gt;"",E1251&lt;&gt;"!!!"),"NEW","")))</f>
        <v/>
      </c>
      <c r="G1251" s="22" t="str">
        <f aca="false">IF(OR(E1251="",E1251="!!!"),"",IF(OR(J1251=0,AND(J1251=1,K1251=1),AND(J1251=1,I1251="SBJ"),AND(J1251=1,I1251=0)),"?IN_FOCUS",IF(J1251&lt;=2,"?ACTIVATED",IF(J1251&lt;&gt;"","?FAMILIAR",IF(F1251="NEW",IF(ISNA(VLOOKUP(E1251,#REF!,1,FALSE())),"?TYPE_IDENTIFIABLE","?REFERENTIAL"),"_")))))</f>
        <v/>
      </c>
      <c r="H1251" s="23" t="str">
        <f aca="false">IF(J1251&lt;&gt;1,"",IF(I1251="SBJ","CB","?"))</f>
        <v/>
      </c>
      <c r="I1251" s="24" t="str">
        <f aca="false">IF(OR(E1251="",E1251="!!!",F1251="NEW"),"",INDEX(N$2:N1234,-1+SUMPRODUCT(MAX(ROW(E$2:E1234)*(E1251=E$2:E1234)))))</f>
        <v/>
      </c>
      <c r="J1251" s="25" t="str">
        <f aca="true">IF(OR(E1251="",E1251="!!!",F1251="NEW"),"",COUNTBLANK(OFFSET(M$1,,,SUMPRODUCT(MAX(ROW(E$2:E1235)*(E1251=E$2:E1235)))))-COUNTBLANK(OFFSET(M$1,,,SUMPRODUCT(MAX(ROW(Q$1:Q1234)*(E1251=Q$1:Q1234))))))</f>
        <v/>
      </c>
      <c r="K1251" s="25" t="str">
        <f aca="false">IF(OR(E1251="",E1251="!!!",F1251="NEW"),"",INDEX(V$1:V1234,SUMPRODUCT(MAX(ROW(Q$1:Q1234)*(E1251=Q$1:Q1234)))))</f>
        <v/>
      </c>
      <c r="L1251" s="26"/>
      <c r="M1251" s="27"/>
      <c r="N1251" s="29"/>
      <c r="O1251" s="29"/>
    </row>
    <row r="1252" customFormat="false" ht="15" hidden="false" customHeight="false" outlineLevel="0" collapsed="false">
      <c r="A1252" s="19" t="s">
        <v>445</v>
      </c>
      <c r="E1252" s="20" t="str">
        <f aca="false">IF(P1252="?OLD","!!!","")</f>
        <v/>
      </c>
      <c r="F1252" s="21" t="str">
        <f aca="false">IF(OR(E1252="",E1252="!!!"),"",IF(NOT(ISNA(VLOOKUP(E1252,Q$1:Q1235,1,FALSE()))),"OLD",IF(AND(E1252&lt;&gt;"",E1252&lt;&gt;"!!!"),"NEW","")))</f>
        <v/>
      </c>
      <c r="G1252" s="22" t="str">
        <f aca="false">IF(OR(E1252="",E1252="!!!"),"",IF(OR(J1252=0,AND(J1252=1,K1252=1),AND(J1252=1,I1252="SBJ"),AND(J1252=1,I1252=0)),"?IN_FOCUS",IF(J1252&lt;=2,"?ACTIVATED",IF(J1252&lt;&gt;"","?FAMILIAR",IF(F1252="NEW",IF(ISNA(VLOOKUP(E1252,#REF!,1,FALSE())),"?TYPE_IDENTIFIABLE","?REFERENTIAL"),"_")))))</f>
        <v/>
      </c>
      <c r="H1252" s="23" t="str">
        <f aca="false">IF(J1252&lt;&gt;1,"",IF(I1252="SBJ","CB","?"))</f>
        <v/>
      </c>
      <c r="I1252" s="24" t="str">
        <f aca="false">IF(OR(E1252="",E1252="!!!",F1252="NEW"),"",INDEX(N$2:N1235,-1+SUMPRODUCT(MAX(ROW(E$2:E1235)*(E1252=E$2:E1235)))))</f>
        <v/>
      </c>
      <c r="J1252" s="25" t="str">
        <f aca="true">IF(OR(E1252="",E1252="!!!",F1252="NEW"),"",COUNTBLANK(OFFSET(M$1,,,SUMPRODUCT(MAX(ROW(E$2:E1236)*(E1252=E$2:E1236)))))-COUNTBLANK(OFFSET(M$1,,,SUMPRODUCT(MAX(ROW(Q$1:Q1235)*(E1252=Q$1:Q1235))))))</f>
        <v/>
      </c>
      <c r="K1252" s="25" t="str">
        <f aca="false">IF(OR(E1252="",E1252="!!!",F1252="NEW"),"",INDEX(V$1:V1235,SUMPRODUCT(MAX(ROW(Q$1:Q1235)*(E1252=Q$1:Q1235)))))</f>
        <v/>
      </c>
      <c r="L1252" s="26"/>
      <c r="M1252" s="27"/>
    </row>
    <row r="1253" customFormat="false" ht="15" hidden="false" customHeight="false" outlineLevel="0" collapsed="false">
      <c r="A1253" s="19" t="s">
        <v>768</v>
      </c>
      <c r="B1253" s="28" t="s">
        <v>306</v>
      </c>
      <c r="C1253" s="28" t="s">
        <v>259</v>
      </c>
      <c r="E1253" s="20" t="str">
        <f aca="false">IF(P1253="?OLD","!!!","")</f>
        <v/>
      </c>
      <c r="F1253" s="21" t="str">
        <f aca="false">IF(OR(E1253="",E1253="!!!"),"",IF(NOT(ISNA(VLOOKUP(E1253,Q$1:Q1236,1,FALSE()))),"OLD",IF(AND(E1253&lt;&gt;"",E1253&lt;&gt;"!!!"),"NEW","")))</f>
        <v/>
      </c>
      <c r="G1253" s="22" t="str">
        <f aca="false">IF(OR(E1253="",E1253="!!!"),"",IF(OR(J1253=0,AND(J1253=1,K1253=1),AND(J1253=1,I1253="SBJ"),AND(J1253=1,I1253=0)),"?IN_FOCUS",IF(J1253&lt;=2,"?ACTIVATED",IF(J1253&lt;&gt;"","?FAMILIAR",IF(F1253="NEW",IF(ISNA(VLOOKUP(E1253,#REF!,1,FALSE())),"?TYPE_IDENTIFIABLE","?REFERENTIAL"),"_")))))</f>
        <v/>
      </c>
      <c r="H1253" s="23" t="str">
        <f aca="false">IF(J1253&lt;&gt;1,"",IF(I1253="SBJ","CB","?"))</f>
        <v/>
      </c>
      <c r="I1253" s="24" t="str">
        <f aca="false">IF(OR(E1253="",E1253="!!!",F1253="NEW"),"",INDEX(N$2:N1236,-1+SUMPRODUCT(MAX(ROW(E$2:E1236)*(E1253=E$2:E1236)))))</f>
        <v/>
      </c>
      <c r="J1253" s="25" t="str">
        <f aca="true">IF(OR(E1253="",E1253="!!!",F1253="NEW"),"",COUNTBLANK(OFFSET(M$1,,,SUMPRODUCT(MAX(ROW(E$2:E1237)*(E1253=E$2:E1237)))))-COUNTBLANK(OFFSET(M$1,,,SUMPRODUCT(MAX(ROW(Q$1:Q1236)*(E1253=Q$1:Q1236))))))</f>
        <v/>
      </c>
      <c r="K1253" s="25" t="str">
        <f aca="false">IF(OR(E1253="",E1253="!!!",F1253="NEW"),"",INDEX(V$1:V1236,SUMPRODUCT(MAX(ROW(Q$1:Q1236)*(E1253=Q$1:Q1236)))))</f>
        <v/>
      </c>
      <c r="L1253" s="26"/>
      <c r="M1253" s="27"/>
      <c r="N1253" s="29"/>
      <c r="O1253" s="29"/>
    </row>
    <row r="1254" customFormat="false" ht="15" hidden="false" customHeight="false" outlineLevel="0" collapsed="false">
      <c r="A1254" s="19" t="s">
        <v>261</v>
      </c>
      <c r="E1254" s="20" t="str">
        <f aca="false">IF(P1254="?OLD","!!!","")</f>
        <v/>
      </c>
      <c r="F1254" s="21" t="str">
        <f aca="false">IF(OR(E1254="",E1254="!!!"),"",IF(NOT(ISNA(VLOOKUP(E1254,Q$1:Q1237,1,FALSE()))),"OLD",IF(AND(E1254&lt;&gt;"",E1254&lt;&gt;"!!!"),"NEW","")))</f>
        <v/>
      </c>
      <c r="G1254" s="22" t="str">
        <f aca="false">IF(OR(E1254="",E1254="!!!"),"",IF(OR(J1254=0,AND(J1254=1,K1254=1),AND(J1254=1,I1254="SBJ"),AND(J1254=1,I1254=0)),"?IN_FOCUS",IF(J1254&lt;=2,"?ACTIVATED",IF(J1254&lt;&gt;"","?FAMILIAR",IF(F1254="NEW",IF(ISNA(VLOOKUP(E1254,#REF!,1,FALSE())),"?TYPE_IDENTIFIABLE","?REFERENTIAL"),"_")))))</f>
        <v/>
      </c>
      <c r="H1254" s="23" t="str">
        <f aca="false">IF(J1254&lt;&gt;1,"",IF(I1254="SBJ","CB","?"))</f>
        <v/>
      </c>
      <c r="I1254" s="24" t="str">
        <f aca="false">IF(OR(E1254="",E1254="!!!",F1254="NEW"),"",INDEX(N$2:N1237,-1+SUMPRODUCT(MAX(ROW(E$2:E1237)*(E1254=E$2:E1237)))))</f>
        <v/>
      </c>
      <c r="J1254" s="25" t="str">
        <f aca="true">IF(OR(E1254="",E1254="!!!",F1254="NEW"),"",COUNTBLANK(OFFSET(M$1,,,SUMPRODUCT(MAX(ROW(E$2:E1238)*(E1254=E$2:E1238)))))-COUNTBLANK(OFFSET(M$1,,,SUMPRODUCT(MAX(ROW(Q$1:Q1237)*(E1254=Q$1:Q1237))))))</f>
        <v/>
      </c>
      <c r="K1254" s="25" t="str">
        <f aca="false">IF(OR(E1254="",E1254="!!!",F1254="NEW"),"",INDEX(V$1:V1237,SUMPRODUCT(MAX(ROW(Q$1:Q1237)*(E1254=Q$1:Q1237)))))</f>
        <v/>
      </c>
      <c r="L1254" s="26"/>
      <c r="M1254" s="27"/>
    </row>
    <row r="1255" customFormat="false" ht="15" hidden="false" customHeight="false" outlineLevel="0" collapsed="false">
      <c r="A1255" s="19" t="s">
        <v>262</v>
      </c>
      <c r="B1255" s="28" t="s">
        <v>251</v>
      </c>
      <c r="C1255" s="28" t="s">
        <v>264</v>
      </c>
      <c r="D1255" s="28" t="s">
        <v>253</v>
      </c>
      <c r="E1255" s="20" t="s">
        <v>265</v>
      </c>
      <c r="F1255" s="21" t="str">
        <f aca="false">IF(OR(E1255="",E1255="!!!"),"",IF(NOT(ISNA(VLOOKUP(E1255,Q$1:Q1238,1,FALSE()))),"OLD",IF(AND(E1255&lt;&gt;"",E1255&lt;&gt;"!!!"),"NEW","")))</f>
        <v>NEW</v>
      </c>
      <c r="G1255" s="22" t="s">
        <v>266</v>
      </c>
      <c r="H1255" s="23" t="s">
        <v>243</v>
      </c>
      <c r="I1255" s="24" t="str">
        <f aca="false">IF(OR(E1255="",E1255="!!!",F1255="NEW"),"",INDEX(N$2:N1238,-1+SUMPRODUCT(MAX(ROW(E$2:E1238)*(E1255=E$2:E1238)))))</f>
        <v/>
      </c>
      <c r="J1255" s="25" t="str">
        <f aca="true">IF(OR(E1255="",E1255="!!!",F1255="NEW"),"",COUNTBLANK(OFFSET(M$1,,,SUMPRODUCT(MAX(ROW(E$2:E1239)*(E1255=E$2:E1239)))))-COUNTBLANK(OFFSET(M$1,,,SUMPRODUCT(MAX(ROW(Q$1:Q1238)*(E1255=Q$1:Q1238))))))</f>
        <v/>
      </c>
      <c r="K1255" s="25" t="str">
        <f aca="false">IF(OR(E1255="",E1255="!!!",F1255="NEW"),"",INDEX(V$1:V1238,SUMPRODUCT(MAX(ROW(Q$1:Q1238)*(E1255=Q$1:Q1238)))))</f>
        <v/>
      </c>
      <c r="L1255" s="26"/>
      <c r="M1255" s="27"/>
      <c r="N1255" s="29"/>
      <c r="O1255" s="29"/>
      <c r="P1255" s="29"/>
    </row>
    <row r="1256" customFormat="false" ht="15" hidden="false" customHeight="false" outlineLevel="0" collapsed="false">
      <c r="A1256" s="19" t="s">
        <v>769</v>
      </c>
      <c r="E1256" s="20" t="str">
        <f aca="false">IF(P1256="?OLD","!!!","")</f>
        <v/>
      </c>
      <c r="F1256" s="21" t="str">
        <f aca="false">IF(OR(E1256="",E1256="!!!"),"",IF(NOT(ISNA(VLOOKUP(E1256,Q$1:Q1239,1,FALSE()))),"OLD",IF(AND(E1256&lt;&gt;"",E1256&lt;&gt;"!!!"),"NEW","")))</f>
        <v/>
      </c>
      <c r="G1256" s="22" t="str">
        <f aca="false">IF(OR(E1256="",E1256="!!!"),"",IF(OR(J1256=0,AND(J1256=1,K1256=1),AND(J1256=1,I1256="SBJ"),AND(J1256=1,I1256=0)),"?IN_FOCUS",IF(J1256&lt;=2,"?ACTIVATED",IF(J1256&lt;&gt;"","?FAMILIAR",IF(F1256="NEW",IF(ISNA(VLOOKUP(E1256,#REF!,1,FALSE())),"?TYPE_IDENTIFIABLE","?REFERENTIAL"),"_")))))</f>
        <v/>
      </c>
      <c r="H1256" s="23" t="str">
        <f aca="false">IF(J1256&lt;&gt;1,"",IF(I1256="SBJ","CB","?"))</f>
        <v/>
      </c>
      <c r="I1256" s="24" t="str">
        <f aca="false">IF(OR(E1256="",E1256="!!!",F1256="NEW"),"",INDEX(N$2:N1239,-1+SUMPRODUCT(MAX(ROW(E$2:E1239)*(E1256=E$2:E1239)))))</f>
        <v/>
      </c>
      <c r="J1256" s="25" t="str">
        <f aca="true">IF(OR(E1256="",E1256="!!!",F1256="NEW"),"",COUNTBLANK(OFFSET(M$1,,,SUMPRODUCT(MAX(ROW(E$2:E1240)*(E1256=E$2:E1240)))))-COUNTBLANK(OFFSET(M$1,,,SUMPRODUCT(MAX(ROW(Q$1:Q1239)*(E1256=Q$1:Q1239))))))</f>
        <v/>
      </c>
      <c r="K1256" s="25" t="str">
        <f aca="false">IF(OR(E1256="",E1256="!!!",F1256="NEW"),"",INDEX(V$1:V1239,SUMPRODUCT(MAX(ROW(Q$1:Q1239)*(E1256=Q$1:Q1239)))))</f>
        <v/>
      </c>
      <c r="L1256" s="26"/>
      <c r="M1256" s="27"/>
    </row>
    <row r="1257" customFormat="false" ht="15" hidden="false" customHeight="false" outlineLevel="0" collapsed="false">
      <c r="A1257" s="19" t="s">
        <v>758</v>
      </c>
      <c r="B1257" s="28" t="s">
        <v>258</v>
      </c>
      <c r="C1257" s="28" t="s">
        <v>358</v>
      </c>
      <c r="D1257" s="28" t="s">
        <v>253</v>
      </c>
      <c r="E1257" s="20" t="s">
        <v>265</v>
      </c>
      <c r="F1257" s="21" t="str">
        <f aca="false">IF(OR(E1257="",E1257="!!!"),"",IF(NOT(ISNA(VLOOKUP(E1257,Q$1:Q1240,1,FALSE()))),"OLD",IF(AND(E1257&lt;&gt;"",E1257&lt;&gt;"!!!"),"NEW","")))</f>
        <v>NEW</v>
      </c>
      <c r="G1257" s="22" t="s">
        <v>296</v>
      </c>
      <c r="H1257" s="23" t="str">
        <f aca="false">IF(J1257&lt;&gt;1,"",IF(I1257="SBJ","CB","?"))</f>
        <v/>
      </c>
      <c r="I1257" s="24" t="str">
        <f aca="false">IF(OR(E1257="",E1257="!!!",F1257="NEW"),"",INDEX(N$2:N1240,-1+SUMPRODUCT(MAX(ROW(E$2:E1240)*(E1257=E$2:E1240)))))</f>
        <v/>
      </c>
      <c r="J1257" s="25" t="str">
        <f aca="true">IF(OR(E1257="",E1257="!!!",F1257="NEW"),"",COUNTBLANK(OFFSET(M$1,,,SUMPRODUCT(MAX(ROW(E$2:E1241)*(E1257=E$2:E1241)))))-COUNTBLANK(OFFSET(M$1,,,SUMPRODUCT(MAX(ROW(Q$1:Q1240)*(E1257=Q$1:Q1240))))))</f>
        <v/>
      </c>
      <c r="K1257" s="25" t="str">
        <f aca="false">IF(OR(E1257="",E1257="!!!",F1257="NEW"),"",INDEX(V$1:V1240,SUMPRODUCT(MAX(ROW(Q$1:Q1240)*(E1257=Q$1:Q1240)))))</f>
        <v/>
      </c>
      <c r="L1257" s="26"/>
      <c r="M1257" s="27"/>
      <c r="N1257" s="29"/>
      <c r="O1257" s="29"/>
      <c r="P1257" s="29"/>
    </row>
    <row r="1258" customFormat="false" ht="15" hidden="false" customHeight="false" outlineLevel="0" collapsed="false">
      <c r="A1258" s="19" t="s">
        <v>770</v>
      </c>
      <c r="B1258" s="28" t="s">
        <v>286</v>
      </c>
      <c r="C1258" s="28" t="s">
        <v>314</v>
      </c>
      <c r="D1258" s="28" t="s">
        <v>253</v>
      </c>
      <c r="E1258" s="20" t="s">
        <v>771</v>
      </c>
      <c r="F1258" s="21" t="str">
        <f aca="false">IF(OR(E1258="",E1258="!!!"),"",IF(NOT(ISNA(VLOOKUP(E1258,Q$1:Q1241,1,FALSE()))),"OLD",IF(AND(E1258&lt;&gt;"",E1258&lt;&gt;"!!!"),"NEW","")))</f>
        <v>NEW</v>
      </c>
      <c r="G1258" s="22" t="s">
        <v>255</v>
      </c>
      <c r="H1258" s="23" t="str">
        <f aca="false">IF(J1258&lt;&gt;1,"",IF(I1258="SBJ","CB","?"))</f>
        <v/>
      </c>
      <c r="I1258" s="24" t="str">
        <f aca="false">IF(OR(E1258="",E1258="!!!",F1258="NEW"),"",INDEX(N$2:N1241,-1+SUMPRODUCT(MAX(ROW(E$2:E1241)*(E1258=E$2:E1241)))))</f>
        <v/>
      </c>
      <c r="J1258" s="25" t="str">
        <f aca="true">IF(OR(E1258="",E1258="!!!",F1258="NEW"),"",COUNTBLANK(OFFSET(M$1,,,SUMPRODUCT(MAX(ROW(E$2:E1242)*(E1258=E$2:E1242)))))-COUNTBLANK(OFFSET(M$1,,,SUMPRODUCT(MAX(ROW(Q$1:Q1241)*(E1258=Q$1:Q1241))))))</f>
        <v/>
      </c>
      <c r="K1258" s="25" t="str">
        <f aca="false">IF(OR(E1258="",E1258="!!!",F1258="NEW"),"",INDEX(V$1:V1241,SUMPRODUCT(MAX(ROW(Q$1:Q1241)*(E1258=Q$1:Q1241)))))</f>
        <v/>
      </c>
      <c r="L1258" s="26"/>
      <c r="M1258" s="27"/>
      <c r="N1258" s="29"/>
      <c r="O1258" s="29"/>
      <c r="P1258" s="29"/>
    </row>
    <row r="1259" customFormat="false" ht="15" hidden="false" customHeight="false" outlineLevel="0" collapsed="false">
      <c r="A1259" s="19" t="s">
        <v>269</v>
      </c>
      <c r="E1259" s="20" t="str">
        <f aca="false">IF(P1259="?OLD","!!!","")</f>
        <v/>
      </c>
      <c r="F1259" s="21" t="str">
        <f aca="false">IF(OR(E1259="",E1259="!!!"),"",IF(NOT(ISNA(VLOOKUP(E1259,Q$1:Q1242,1,FALSE()))),"OLD",IF(AND(E1259&lt;&gt;"",E1259&lt;&gt;"!!!"),"NEW","")))</f>
        <v/>
      </c>
      <c r="G1259" s="22" t="str">
        <f aca="false">IF(OR(E1259="",E1259="!!!"),"",IF(OR(J1259=0,AND(J1259=1,K1259=1),AND(J1259=1,I1259="SBJ"),AND(J1259=1,I1259=0)),"?IN_FOCUS",IF(J1259&lt;=2,"?ACTIVATED",IF(J1259&lt;&gt;"","?FAMILIAR",IF(F1259="NEW",IF(ISNA(VLOOKUP(E1259,#REF!,1,FALSE())),"?TYPE_IDENTIFIABLE","?REFERENTIAL"),"_")))))</f>
        <v/>
      </c>
      <c r="H1259" s="23" t="str">
        <f aca="false">IF(J1259&lt;&gt;1,"",IF(I1259="SBJ","CB","?"))</f>
        <v/>
      </c>
      <c r="I1259" s="24" t="str">
        <f aca="false">IF(OR(E1259="",E1259="!!!",F1259="NEW"),"",INDEX(N$2:N1242,-1+SUMPRODUCT(MAX(ROW(E$2:E1242)*(E1259=E$2:E1242)))))</f>
        <v/>
      </c>
      <c r="J1259" s="25" t="str">
        <f aca="true">IF(OR(E1259="",E1259="!!!",F1259="NEW"),"",COUNTBLANK(OFFSET(M$1,,,SUMPRODUCT(MAX(ROW(E$2:E1243)*(E1259=E$2:E1243)))))-COUNTBLANK(OFFSET(M$1,,,SUMPRODUCT(MAX(ROW(Q$1:Q1242)*(E1259=Q$1:Q1242))))))</f>
        <v/>
      </c>
      <c r="K1259" s="25" t="str">
        <f aca="false">IF(OR(E1259="",E1259="!!!",F1259="NEW"),"",INDEX(V$1:V1242,SUMPRODUCT(MAX(ROW(Q$1:Q1242)*(E1259=Q$1:Q1242)))))</f>
        <v/>
      </c>
      <c r="L1259" s="26"/>
      <c r="M1259" s="27"/>
    </row>
    <row r="1260" customFormat="false" ht="15" hidden="false" customHeight="false" outlineLevel="0" collapsed="false">
      <c r="A1260" s="19" t="s">
        <v>627</v>
      </c>
      <c r="B1260" s="28" t="s">
        <v>306</v>
      </c>
      <c r="C1260" s="28" t="s">
        <v>259</v>
      </c>
      <c r="E1260" s="20" t="str">
        <f aca="false">IF(P1260="?OLD","!!!","")</f>
        <v/>
      </c>
      <c r="F1260" s="21" t="str">
        <f aca="false">IF(OR(E1260="",E1260="!!!"),"",IF(NOT(ISNA(VLOOKUP(E1260,Q$1:Q1243,1,FALSE()))),"OLD",IF(AND(E1260&lt;&gt;"",E1260&lt;&gt;"!!!"),"NEW","")))</f>
        <v/>
      </c>
      <c r="G1260" s="22" t="str">
        <f aca="false">IF(OR(E1260="",E1260="!!!"),"",IF(OR(J1260=0,AND(J1260=1,K1260=1),AND(J1260=1,I1260="SBJ"),AND(J1260=1,I1260=0)),"?IN_FOCUS",IF(J1260&lt;=2,"?ACTIVATED",IF(J1260&lt;&gt;"","?FAMILIAR",IF(F1260="NEW",IF(ISNA(VLOOKUP(E1260,#REF!,1,FALSE())),"?TYPE_IDENTIFIABLE","?REFERENTIAL"),"_")))))</f>
        <v/>
      </c>
      <c r="H1260" s="23" t="str">
        <f aca="false">IF(J1260&lt;&gt;1,"",IF(I1260="SBJ","CB","?"))</f>
        <v/>
      </c>
      <c r="I1260" s="24" t="str">
        <f aca="false">IF(OR(E1260="",E1260="!!!",F1260="NEW"),"",INDEX(N$2:N1243,-1+SUMPRODUCT(MAX(ROW(E$2:E1243)*(E1260=E$2:E1243)))))</f>
        <v/>
      </c>
      <c r="J1260" s="25" t="str">
        <f aca="true">IF(OR(E1260="",E1260="!!!",F1260="NEW"),"",COUNTBLANK(OFFSET(M$1,,,SUMPRODUCT(MAX(ROW(E$2:E1244)*(E1260=E$2:E1244)))))-COUNTBLANK(OFFSET(M$1,,,SUMPRODUCT(MAX(ROW(Q$1:Q1243)*(E1260=Q$1:Q1243))))))</f>
        <v/>
      </c>
      <c r="K1260" s="25" t="str">
        <f aca="false">IF(OR(E1260="",E1260="!!!",F1260="NEW"),"",INDEX(V$1:V1243,SUMPRODUCT(MAX(ROW(Q$1:Q1243)*(E1260=Q$1:Q1243)))))</f>
        <v/>
      </c>
      <c r="L1260" s="26"/>
      <c r="M1260" s="27"/>
      <c r="N1260" s="29"/>
      <c r="O1260" s="29"/>
    </row>
    <row r="1261" customFormat="false" ht="15" hidden="false" customHeight="false" outlineLevel="0" collapsed="false">
      <c r="A1261" s="19" t="s">
        <v>294</v>
      </c>
      <c r="E1261" s="20" t="str">
        <f aca="false">IF(P1261="?OLD","!!!","")</f>
        <v/>
      </c>
      <c r="F1261" s="21" t="str">
        <f aca="false">IF(OR(E1261="",E1261="!!!"),"",IF(NOT(ISNA(VLOOKUP(E1261,Q$1:Q1244,1,FALSE()))),"OLD",IF(AND(E1261&lt;&gt;"",E1261&lt;&gt;"!!!"),"NEW","")))</f>
        <v/>
      </c>
      <c r="G1261" s="22" t="str">
        <f aca="false">IF(OR(E1261="",E1261="!!!"),"",IF(OR(J1261=0,AND(J1261=1,K1261=1),AND(J1261=1,I1261="SBJ"),AND(J1261=1,I1261=0)),"?IN_FOCUS",IF(J1261&lt;=2,"?ACTIVATED",IF(J1261&lt;&gt;"","?FAMILIAR",IF(F1261="NEW",IF(ISNA(VLOOKUP(E1261,#REF!,1,FALSE())),"?TYPE_IDENTIFIABLE","?REFERENTIAL"),"_")))))</f>
        <v/>
      </c>
      <c r="H1261" s="23" t="str">
        <f aca="false">IF(J1261&lt;&gt;1,"",IF(I1261="SBJ","CB","?"))</f>
        <v/>
      </c>
      <c r="I1261" s="24" t="str">
        <f aca="false">IF(OR(E1261="",E1261="!!!",F1261="NEW"),"",INDEX(N$2:N1244,-1+SUMPRODUCT(MAX(ROW(E$2:E1244)*(E1261=E$2:E1244)))))</f>
        <v/>
      </c>
      <c r="J1261" s="25" t="str">
        <f aca="true">IF(OR(E1261="",E1261="!!!",F1261="NEW"),"",COUNTBLANK(OFFSET(M$1,,,SUMPRODUCT(MAX(ROW(E$2:E1245)*(E1261=E$2:E1245)))))-COUNTBLANK(OFFSET(M$1,,,SUMPRODUCT(MAX(ROW(Q$1:Q1244)*(E1261=Q$1:Q1244))))))</f>
        <v/>
      </c>
      <c r="K1261" s="25" t="str">
        <f aca="false">IF(OR(E1261="",E1261="!!!",F1261="NEW"),"",INDEX(V$1:V1244,SUMPRODUCT(MAX(ROW(Q$1:Q1244)*(E1261=Q$1:Q1244)))))</f>
        <v/>
      </c>
      <c r="L1261" s="26"/>
      <c r="M1261" s="27"/>
    </row>
    <row r="1262" customFormat="false" ht="15" hidden="false" customHeight="false" outlineLevel="0" collapsed="false">
      <c r="A1262" s="19" t="s">
        <v>772</v>
      </c>
      <c r="B1262" s="28" t="s">
        <v>258</v>
      </c>
      <c r="C1262" s="28" t="s">
        <v>259</v>
      </c>
      <c r="E1262" s="20" t="str">
        <f aca="false">IF(P1262="?OLD","!!!","")</f>
        <v/>
      </c>
      <c r="F1262" s="21" t="str">
        <f aca="false">IF(OR(E1262="",E1262="!!!"),"",IF(NOT(ISNA(VLOOKUP(E1262,Q$1:Q1245,1,FALSE()))),"OLD",IF(AND(E1262&lt;&gt;"",E1262&lt;&gt;"!!!"),"NEW","")))</f>
        <v/>
      </c>
      <c r="G1262" s="22" t="str">
        <f aca="false">IF(OR(E1262="",E1262="!!!"),"",IF(OR(J1262=0,AND(J1262=1,K1262=1),AND(J1262=1,I1262="SBJ"),AND(J1262=1,I1262=0)),"?IN_FOCUS",IF(J1262&lt;=2,"?ACTIVATED",IF(J1262&lt;&gt;"","?FAMILIAR",IF(F1262="NEW",IF(ISNA(VLOOKUP(E1262,#REF!,1,FALSE())),"?TYPE_IDENTIFIABLE","?REFERENTIAL"),"_")))))</f>
        <v/>
      </c>
      <c r="H1262" s="23" t="str">
        <f aca="false">IF(J1262&lt;&gt;1,"",IF(I1262="SBJ","CB","?"))</f>
        <v/>
      </c>
      <c r="I1262" s="24" t="str">
        <f aca="false">IF(OR(E1262="",E1262="!!!",F1262="NEW"),"",INDEX(N$2:N1245,-1+SUMPRODUCT(MAX(ROW(E$2:E1245)*(E1262=E$2:E1245)))))</f>
        <v/>
      </c>
      <c r="J1262" s="25" t="str">
        <f aca="true">IF(OR(E1262="",E1262="!!!",F1262="NEW"),"",COUNTBLANK(OFFSET(M$1,,,SUMPRODUCT(MAX(ROW(E$2:E1246)*(E1262=E$2:E1246)))))-COUNTBLANK(OFFSET(M$1,,,SUMPRODUCT(MAX(ROW(Q$1:Q1245)*(E1262=Q$1:Q1245))))))</f>
        <v/>
      </c>
      <c r="K1262" s="25" t="str">
        <f aca="false">IF(OR(E1262="",E1262="!!!",F1262="NEW"),"",INDEX(V$1:V1245,SUMPRODUCT(MAX(ROW(Q$1:Q1245)*(E1262=Q$1:Q1245)))))</f>
        <v/>
      </c>
      <c r="L1262" s="26"/>
      <c r="M1262" s="27"/>
      <c r="N1262" s="29"/>
      <c r="O1262" s="29"/>
    </row>
    <row r="1263" customFormat="false" ht="15" hidden="false" customHeight="false" outlineLevel="0" collapsed="false">
      <c r="A1263" s="19" t="s">
        <v>256</v>
      </c>
      <c r="E1263" s="20" t="str">
        <f aca="false">IF(P1263="?OLD","!!!","")</f>
        <v/>
      </c>
      <c r="F1263" s="21" t="str">
        <f aca="false">IF(OR(E1263="",E1263="!!!"),"",IF(NOT(ISNA(VLOOKUP(E1263,Q$1:Q1246,1,FALSE()))),"OLD",IF(AND(E1263&lt;&gt;"",E1263&lt;&gt;"!!!"),"NEW","")))</f>
        <v/>
      </c>
      <c r="G1263" s="22" t="str">
        <f aca="false">IF(OR(E1263="",E1263="!!!"),"",IF(OR(J1263=0,AND(J1263=1,K1263=1),AND(J1263=1,I1263="SBJ"),AND(J1263=1,I1263=0)),"?IN_FOCUS",IF(J1263&lt;=2,"?ACTIVATED",IF(J1263&lt;&gt;"","?FAMILIAR",IF(F1263="NEW",IF(ISNA(VLOOKUP(E1263,#REF!,1,FALSE())),"?TYPE_IDENTIFIABLE","?REFERENTIAL"),"_")))))</f>
        <v/>
      </c>
      <c r="H1263" s="23" t="str">
        <f aca="false">IF(J1263&lt;&gt;1,"",IF(I1263="SBJ","CB","?"))</f>
        <v/>
      </c>
      <c r="I1263" s="24" t="str">
        <f aca="false">IF(OR(E1263="",E1263="!!!",F1263="NEW"),"",INDEX(N$2:N1246,-1+SUMPRODUCT(MAX(ROW(E$2:E1246)*(E1263=E$2:E1246)))))</f>
        <v/>
      </c>
      <c r="J1263" s="25" t="str">
        <f aca="true">IF(OR(E1263="",E1263="!!!",F1263="NEW"),"",COUNTBLANK(OFFSET(M$1,,,SUMPRODUCT(MAX(ROW(E$2:E1247)*(E1263=E$2:E1247)))))-COUNTBLANK(OFFSET(M$1,,,SUMPRODUCT(MAX(ROW(Q$1:Q1246)*(E1263=Q$1:Q1246))))))</f>
        <v/>
      </c>
      <c r="K1263" s="25" t="str">
        <f aca="false">IF(OR(E1263="",E1263="!!!",F1263="NEW"),"",INDEX(V$1:V1246,SUMPRODUCT(MAX(ROW(Q$1:Q1246)*(E1263=Q$1:Q1246)))))</f>
        <v/>
      </c>
      <c r="L1263" s="26"/>
      <c r="M1263" s="27"/>
    </row>
    <row r="1264" customFormat="false" ht="15" hidden="false" customHeight="false" outlineLevel="0" collapsed="false">
      <c r="A1264" s="19" t="s">
        <v>599</v>
      </c>
      <c r="B1264" s="28" t="s">
        <v>258</v>
      </c>
      <c r="C1264" s="28" t="s">
        <v>259</v>
      </c>
      <c r="E1264" s="20" t="str">
        <f aca="false">IF(P1264="?OLD","!!!","")</f>
        <v/>
      </c>
      <c r="F1264" s="21" t="str">
        <f aca="false">IF(OR(E1264="",E1264="!!!"),"",IF(NOT(ISNA(VLOOKUP(E1264,Q$1:Q1247,1,FALSE()))),"OLD",IF(AND(E1264&lt;&gt;"",E1264&lt;&gt;"!!!"),"NEW","")))</f>
        <v/>
      </c>
      <c r="G1264" s="22" t="str">
        <f aca="false">IF(OR(E1264="",E1264="!!!"),"",IF(OR(J1264=0,AND(J1264=1,K1264=1),AND(J1264=1,I1264="SBJ"),AND(J1264=1,I1264=0)),"?IN_FOCUS",IF(J1264&lt;=2,"?ACTIVATED",IF(J1264&lt;&gt;"","?FAMILIAR",IF(F1264="NEW",IF(ISNA(VLOOKUP(E1264,#REF!,1,FALSE())),"?TYPE_IDENTIFIABLE","?REFERENTIAL"),"_")))))</f>
        <v/>
      </c>
      <c r="H1264" s="23" t="str">
        <f aca="false">IF(J1264&lt;&gt;1,"",IF(I1264="SBJ","CB","?"))</f>
        <v/>
      </c>
      <c r="I1264" s="24" t="str">
        <f aca="false">IF(OR(E1264="",E1264="!!!",F1264="NEW"),"",INDEX(N$2:N1247,-1+SUMPRODUCT(MAX(ROW(E$2:E1247)*(E1264=E$2:E1247)))))</f>
        <v/>
      </c>
      <c r="J1264" s="25" t="str">
        <f aca="true">IF(OR(E1264="",E1264="!!!",F1264="NEW"),"",COUNTBLANK(OFFSET(M$1,,,SUMPRODUCT(MAX(ROW(E$2:E1248)*(E1264=E$2:E1248)))))-COUNTBLANK(OFFSET(M$1,,,SUMPRODUCT(MAX(ROW(Q$1:Q1247)*(E1264=Q$1:Q1247))))))</f>
        <v/>
      </c>
      <c r="K1264" s="25" t="str">
        <f aca="false">IF(OR(E1264="",E1264="!!!",F1264="NEW"),"",INDEX(V$1:V1247,SUMPRODUCT(MAX(ROW(Q$1:Q1247)*(E1264=Q$1:Q1247)))))</f>
        <v/>
      </c>
      <c r="L1264" s="26"/>
      <c r="M1264" s="27"/>
      <c r="N1264" s="29"/>
      <c r="O1264" s="29"/>
    </row>
    <row r="1265" customFormat="false" ht="15" hidden="false" customHeight="false" outlineLevel="0" collapsed="false">
      <c r="A1265" s="19" t="s">
        <v>261</v>
      </c>
      <c r="E1265" s="20" t="str">
        <f aca="false">IF(P1265="?OLD","!!!","")</f>
        <v/>
      </c>
      <c r="F1265" s="21" t="str">
        <f aca="false">IF(OR(E1265="",E1265="!!!"),"",IF(NOT(ISNA(VLOOKUP(E1265,Q$1:Q1248,1,FALSE()))),"OLD",IF(AND(E1265&lt;&gt;"",E1265&lt;&gt;"!!!"),"NEW","")))</f>
        <v/>
      </c>
      <c r="G1265" s="22" t="str">
        <f aca="false">IF(OR(E1265="",E1265="!!!"),"",IF(OR(J1265=0,AND(J1265=1,K1265=1),AND(J1265=1,I1265="SBJ"),AND(J1265=1,I1265=0)),"?IN_FOCUS",IF(J1265&lt;=2,"?ACTIVATED",IF(J1265&lt;&gt;"","?FAMILIAR",IF(F1265="NEW",IF(ISNA(VLOOKUP(E1265,#REF!,1,FALSE())),"?TYPE_IDENTIFIABLE","?REFERENTIAL"),"_")))))</f>
        <v/>
      </c>
      <c r="H1265" s="23" t="str">
        <f aca="false">IF(J1265&lt;&gt;1,"",IF(I1265="SBJ","CB","?"))</f>
        <v/>
      </c>
      <c r="I1265" s="24" t="str">
        <f aca="false">IF(OR(E1265="",E1265="!!!",F1265="NEW"),"",INDEX(N$2:N1248,-1+SUMPRODUCT(MAX(ROW(E$2:E1248)*(E1265=E$2:E1248)))))</f>
        <v/>
      </c>
      <c r="J1265" s="25" t="str">
        <f aca="true">IF(OR(E1265="",E1265="!!!",F1265="NEW"),"",COUNTBLANK(OFFSET(M$1,,,SUMPRODUCT(MAX(ROW(E$2:E1249)*(E1265=E$2:E1249)))))-COUNTBLANK(OFFSET(M$1,,,SUMPRODUCT(MAX(ROW(Q$1:Q1248)*(E1265=Q$1:Q1248))))))</f>
        <v/>
      </c>
      <c r="K1265" s="25" t="str">
        <f aca="false">IF(OR(E1265="",E1265="!!!",F1265="NEW"),"",INDEX(V$1:V1248,SUMPRODUCT(MAX(ROW(Q$1:Q1248)*(E1265=Q$1:Q1248)))))</f>
        <v/>
      </c>
      <c r="L1265" s="26"/>
      <c r="M1265" s="27"/>
    </row>
    <row r="1266" customFormat="false" ht="15" hidden="false" customHeight="false" outlineLevel="0" collapsed="false">
      <c r="A1266" s="19"/>
    </row>
    <row r="1267" customFormat="false" ht="15" hidden="false" customHeight="false" outlineLevel="0" collapsed="false">
      <c r="A1267" s="19" t="s">
        <v>773</v>
      </c>
    </row>
    <row r="1268" customFormat="false" ht="15" hidden="false" customHeight="false" outlineLevel="0" collapsed="false">
      <c r="A1268" s="19" t="s">
        <v>774</v>
      </c>
      <c r="E1268" s="20" t="str">
        <f aca="false">IF(P1268="?OLD","!!!","")</f>
        <v/>
      </c>
      <c r="F1268" s="21" t="str">
        <f aca="false">IF(OR(E1268="",E1268="!!!"),"",IF(NOT(ISNA(VLOOKUP(E1268,Q$1:Q1249,1,FALSE()))),"OLD",IF(AND(E1268&lt;&gt;"",E1268&lt;&gt;"!!!"),"NEW","")))</f>
        <v/>
      </c>
      <c r="G1268" s="22" t="str">
        <f aca="false">IF(OR(E1268="",E1268="!!!"),"",IF(OR(J1268=0,AND(J1268=1,K1268=1),AND(J1268=1,I1268="SBJ"),AND(J1268=1,I1268=0)),"?IN_FOCUS",IF(J1268&lt;=2,"?ACTIVATED",IF(J1268&lt;&gt;"","?FAMILIAR",IF(F1268="NEW",IF(ISNA(VLOOKUP(E1268,#REF!,1,FALSE())),"?TYPE_IDENTIFIABLE","?REFERENTIAL"),"_")))))</f>
        <v/>
      </c>
      <c r="H1268" s="23" t="str">
        <f aca="false">IF(J1268&lt;&gt;1,"",IF(I1268="SBJ","CB","?"))</f>
        <v/>
      </c>
      <c r="I1268" s="24" t="str">
        <f aca="false">IF(OR(E1268="",E1268="!!!",F1268="NEW"),"",INDEX(N$2:N1249,-1+SUMPRODUCT(MAX(ROW(E$2:E1249)*(E1268=E$2:E1249)))))</f>
        <v/>
      </c>
      <c r="J1268" s="25" t="str">
        <f aca="true">IF(OR(E1268="",E1268="!!!",F1268="NEW"),"",COUNTBLANK(OFFSET(M$1,,,SUMPRODUCT(MAX(ROW(E$2:E1250)*(E1268=E$2:E1250)))))-COUNTBLANK(OFFSET(M$1,,,SUMPRODUCT(MAX(ROW(Q$1:Q1249)*(E1268=Q$1:Q1249))))))</f>
        <v/>
      </c>
      <c r="K1268" s="25" t="str">
        <f aca="false">IF(OR(E1268="",E1268="!!!",F1268="NEW"),"",INDEX(V$1:V1249,SUMPRODUCT(MAX(ROW(Q$1:Q1249)*(E1268=Q$1:Q1249)))))</f>
        <v/>
      </c>
      <c r="L1268" s="26"/>
      <c r="M1268" s="27"/>
    </row>
    <row r="1269" customFormat="false" ht="15" hidden="false" customHeight="false" outlineLevel="0" collapsed="false">
      <c r="A1269" s="19" t="s">
        <v>413</v>
      </c>
      <c r="B1269" s="28" t="s">
        <v>380</v>
      </c>
      <c r="C1269" s="28" t="s">
        <v>333</v>
      </c>
      <c r="D1269" s="28" t="s">
        <v>253</v>
      </c>
      <c r="E1269" s="20" t="s">
        <v>413</v>
      </c>
      <c r="F1269" s="21" t="str">
        <f aca="false">IF(OR(E1269="",E1269="!!!"),"",IF(NOT(ISNA(VLOOKUP(E1269,Q$1:Q1250,1,FALSE()))),"OLD",IF(AND(E1269&lt;&gt;"",E1269&lt;&gt;"!!!"),"NEW","")))</f>
        <v>NEW</v>
      </c>
      <c r="G1269" s="22" t="s">
        <v>283</v>
      </c>
      <c r="H1269" s="23" t="str">
        <f aca="false">IF(J1269&lt;&gt;1,"",IF(I1269="SBJ","CB","?"))</f>
        <v/>
      </c>
      <c r="I1269" s="24" t="str">
        <f aca="false">IF(OR(E1269="",E1269="!!!",F1269="NEW"),"",INDEX(N$2:N1250,-1+SUMPRODUCT(MAX(ROW(E$2:E1250)*(E1269=E$2:E1250)))))</f>
        <v/>
      </c>
      <c r="J1269" s="25" t="str">
        <f aca="true">IF(OR(E1269="",E1269="!!!",F1269="NEW"),"",COUNTBLANK(OFFSET(M$1,,,SUMPRODUCT(MAX(ROW(E$2:E1251)*(E1269=E$2:E1251)))))-COUNTBLANK(OFFSET(M$1,,,SUMPRODUCT(MAX(ROW(Q$1:Q1250)*(E1269=Q$1:Q1250))))))</f>
        <v/>
      </c>
      <c r="K1269" s="25" t="str">
        <f aca="false">IF(OR(E1269="",E1269="!!!",F1269="NEW"),"",INDEX(V$1:V1250,SUMPRODUCT(MAX(ROW(Q$1:Q1250)*(E1269=Q$1:Q1250)))))</f>
        <v/>
      </c>
      <c r="L1269" s="26"/>
      <c r="M1269" s="27"/>
      <c r="N1269" s="29"/>
      <c r="O1269" s="29"/>
      <c r="P1269" s="29"/>
    </row>
    <row r="1270" customFormat="false" ht="15" hidden="false" customHeight="false" outlineLevel="0" collapsed="false">
      <c r="A1270" s="19" t="s">
        <v>261</v>
      </c>
      <c r="E1270" s="20"/>
      <c r="F1270" s="21"/>
      <c r="G1270" s="22"/>
      <c r="H1270" s="23"/>
      <c r="I1270" s="24" t="str">
        <f aca="false">IF(OR(E1270="",E1270="!!!",F1270="NEW"),"",INDEX(N$2:N1251,-1+SUMPRODUCT(MAX(ROW(E$2:E1251)*(E1270=E$2:E1251)))))</f>
        <v/>
      </c>
      <c r="J1270" s="25" t="str">
        <f aca="true">IF(OR(E1270="",E1270="!!!",F1270="NEW"),"",COUNTBLANK(OFFSET(M$1,,,SUMPRODUCT(MAX(ROW(E$2:E1252)*(E1270=E$2:E1252)))))-COUNTBLANK(OFFSET(M$1,,,SUMPRODUCT(MAX(ROW(Q$1:Q1251)*(E1270=Q$1:Q1251))))))</f>
        <v/>
      </c>
      <c r="K1270" s="25" t="str">
        <f aca="false">IF(OR(E1270="",E1270="!!!",F1270="NEW"),"",INDEX(V$1:V1251,SUMPRODUCT(MAX(ROW(Q$1:Q1251)*(E1270=Q$1:Q1251)))))</f>
        <v/>
      </c>
      <c r="L1270" s="26"/>
      <c r="M1270" s="27"/>
    </row>
    <row r="1271" customFormat="false" ht="15" hidden="false" customHeight="false" outlineLevel="0" collapsed="false">
      <c r="A1271" s="19" t="s">
        <v>294</v>
      </c>
      <c r="E1271" s="20"/>
      <c r="F1271" s="21"/>
      <c r="G1271" s="22"/>
      <c r="H1271" s="23"/>
      <c r="I1271" s="24" t="str">
        <f aca="false">IF(OR(E1271="",E1271="!!!",F1271="NEW"),"",INDEX(N$2:N1252,-1+SUMPRODUCT(MAX(ROW(E$2:E1252)*(E1271=E$2:E1252)))))</f>
        <v/>
      </c>
      <c r="J1271" s="25" t="str">
        <f aca="true">IF(OR(E1271="",E1271="!!!",F1271="NEW"),"",COUNTBLANK(OFFSET(M$1,,,SUMPRODUCT(MAX(ROW(E$2:E1253)*(E1271=E$2:E1253)))))-COUNTBLANK(OFFSET(M$1,,,SUMPRODUCT(MAX(ROW(Q$1:Q1252)*(E1271=Q$1:Q1252))))))</f>
        <v/>
      </c>
      <c r="K1271" s="25" t="str">
        <f aca="false">IF(OR(E1271="",E1271="!!!",F1271="NEW"),"",INDEX(V$1:V1252,SUMPRODUCT(MAX(ROW(Q$1:Q1252)*(E1271=Q$1:Q1252)))))</f>
        <v/>
      </c>
      <c r="L1271" s="26"/>
      <c r="M1271" s="27"/>
    </row>
    <row r="1272" customFormat="false" ht="15" hidden="false" customHeight="false" outlineLevel="0" collapsed="false">
      <c r="A1272" s="19" t="s">
        <v>574</v>
      </c>
      <c r="E1272" s="20"/>
      <c r="F1272" s="21"/>
      <c r="G1272" s="22"/>
      <c r="H1272" s="23"/>
      <c r="I1272" s="24" t="str">
        <f aca="false">IF(OR(E1272="",E1272="!!!",F1272="NEW"),"",INDEX(N$2:N1253,-1+SUMPRODUCT(MAX(ROW(E$2:E1253)*(E1272=E$2:E1253)))))</f>
        <v/>
      </c>
      <c r="J1272" s="25" t="str">
        <f aca="true">IF(OR(E1272="",E1272="!!!",F1272="NEW"),"",COUNTBLANK(OFFSET(M$1,,,SUMPRODUCT(MAX(ROW(E$2:E1254)*(E1272=E$2:E1254)))))-COUNTBLANK(OFFSET(M$1,,,SUMPRODUCT(MAX(ROW(Q$1:Q1253)*(E1272=Q$1:Q1253))))))</f>
        <v/>
      </c>
      <c r="K1272" s="25" t="str">
        <f aca="false">IF(OR(E1272="",E1272="!!!",F1272="NEW"),"",INDEX(V$1:V1253,SUMPRODUCT(MAX(ROW(Q$1:Q1253)*(E1272=Q$1:Q1253)))))</f>
        <v/>
      </c>
      <c r="L1272" s="26"/>
      <c r="M1272" s="27"/>
    </row>
    <row r="1273" customFormat="false" ht="15" hidden="false" customHeight="false" outlineLevel="0" collapsed="false">
      <c r="A1273" s="19" t="s">
        <v>775</v>
      </c>
      <c r="B1273" s="28" t="s">
        <v>286</v>
      </c>
      <c r="C1273" s="28" t="s">
        <v>259</v>
      </c>
      <c r="E1273" s="20"/>
      <c r="F1273" s="21"/>
      <c r="G1273" s="22"/>
      <c r="H1273" s="23"/>
      <c r="I1273" s="24" t="str">
        <f aca="false">IF(OR(E1273="",E1273="!!!",F1273="NEW"),"",INDEX(N$2:N1254,-1+SUMPRODUCT(MAX(ROW(E$2:E1254)*(E1273=E$2:E1254)))))</f>
        <v/>
      </c>
      <c r="J1273" s="25" t="str">
        <f aca="true">IF(OR(E1273="",E1273="!!!",F1273="NEW"),"",COUNTBLANK(OFFSET(M$1,,,SUMPRODUCT(MAX(ROW(E$2:E1255)*(E1273=E$2:E1255)))))-COUNTBLANK(OFFSET(M$1,,,SUMPRODUCT(MAX(ROW(Q$1:Q1254)*(E1273=Q$1:Q1254))))))</f>
        <v/>
      </c>
      <c r="K1273" s="25" t="str">
        <f aca="false">IF(OR(E1273="",E1273="!!!",F1273="NEW"),"",INDEX(V$1:V1254,SUMPRODUCT(MAX(ROW(Q$1:Q1254)*(E1273=Q$1:Q1254)))))</f>
        <v/>
      </c>
      <c r="L1273" s="26"/>
      <c r="M1273" s="27"/>
      <c r="N1273" s="29"/>
      <c r="O1273" s="29"/>
    </row>
    <row r="1274" customFormat="false" ht="15" hidden="false" customHeight="false" outlineLevel="0" collapsed="false">
      <c r="A1274" s="19" t="s">
        <v>269</v>
      </c>
      <c r="E1274" s="20"/>
      <c r="F1274" s="21"/>
      <c r="G1274" s="22"/>
      <c r="H1274" s="23"/>
      <c r="I1274" s="24" t="str">
        <f aca="false">IF(OR(E1274="",E1274="!!!",F1274="NEW"),"",INDEX(N$2:N1255,-1+SUMPRODUCT(MAX(ROW(E$2:E1255)*(E1274=E$2:E1255)))))</f>
        <v/>
      </c>
      <c r="J1274" s="25" t="str">
        <f aca="true">IF(OR(E1274="",E1274="!!!",F1274="NEW"),"",COUNTBLANK(OFFSET(M$1,,,SUMPRODUCT(MAX(ROW(E$2:E1256)*(E1274=E$2:E1256)))))-COUNTBLANK(OFFSET(M$1,,,SUMPRODUCT(MAX(ROW(Q$1:Q1255)*(E1274=Q$1:Q1255))))))</f>
        <v/>
      </c>
      <c r="K1274" s="25" t="str">
        <f aca="false">IF(OR(E1274="",E1274="!!!",F1274="NEW"),"",INDEX(V$1:V1255,SUMPRODUCT(MAX(ROW(Q$1:Q1255)*(E1274=Q$1:Q1255)))))</f>
        <v/>
      </c>
      <c r="L1274" s="26"/>
      <c r="M1274" s="27"/>
    </row>
    <row r="1275" customFormat="false" ht="15" hidden="false" customHeight="false" outlineLevel="0" collapsed="false">
      <c r="A1275" s="19" t="s">
        <v>218</v>
      </c>
      <c r="E1275" s="20"/>
      <c r="F1275" s="21"/>
      <c r="G1275" s="22"/>
      <c r="H1275" s="23"/>
      <c r="I1275" s="24" t="str">
        <f aca="false">IF(OR(E1275="",E1275="!!!",F1275="NEW"),"",INDEX(N$2:N1256,-1+SUMPRODUCT(MAX(ROW(E$2:E1256)*(E1275=E$2:E1256)))))</f>
        <v/>
      </c>
      <c r="J1275" s="25" t="str">
        <f aca="true">IF(OR(E1275="",E1275="!!!",F1275="NEW"),"",COUNTBLANK(OFFSET(M$1,,,SUMPRODUCT(MAX(ROW(E$2:E1257)*(E1275=E$2:E1257)))))-COUNTBLANK(OFFSET(M$1,,,SUMPRODUCT(MAX(ROW(Q$1:Q1256)*(E1275=Q$1:Q1256))))))</f>
        <v/>
      </c>
      <c r="K1275" s="25" t="str">
        <f aca="false">IF(OR(E1275="",E1275="!!!",F1275="NEW"),"",INDEX(V$1:V1256,SUMPRODUCT(MAX(ROW(Q$1:Q1256)*(E1275=Q$1:Q1256)))))</f>
        <v/>
      </c>
      <c r="L1275" s="26"/>
      <c r="M1275" s="27"/>
    </row>
    <row r="1276" customFormat="false" ht="15" hidden="false" customHeight="false" outlineLevel="0" collapsed="false">
      <c r="A1276" s="19" t="s">
        <v>250</v>
      </c>
      <c r="E1276" s="20"/>
      <c r="F1276" s="21"/>
      <c r="G1276" s="22"/>
      <c r="H1276" s="23"/>
      <c r="I1276" s="24" t="str">
        <f aca="false">IF(OR(E1276="",E1276="!!!",F1276="NEW"),"",INDEX(N$2:N1257,-1+SUMPRODUCT(MAX(ROW(E$2:E1257)*(E1276=E$2:E1257)))))</f>
        <v/>
      </c>
      <c r="J1276" s="25" t="str">
        <f aca="true">IF(OR(E1276="",E1276="!!!",F1276="NEW"),"",COUNTBLANK(OFFSET(M$1,,,SUMPRODUCT(MAX(ROW(E$2:E1258)*(E1276=E$2:E1258)))))-COUNTBLANK(OFFSET(M$1,,,SUMPRODUCT(MAX(ROW(Q$1:Q1257)*(E1276=Q$1:Q1257))))))</f>
        <v/>
      </c>
      <c r="K1276" s="25" t="str">
        <f aca="false">IF(OR(E1276="",E1276="!!!",F1276="NEW"),"",INDEX(V$1:V1257,SUMPRODUCT(MAX(ROW(Q$1:Q1257)*(E1276=Q$1:Q1257)))))</f>
        <v/>
      </c>
      <c r="L1276" s="26"/>
      <c r="M1276" s="27"/>
    </row>
    <row r="1277" customFormat="false" ht="15" hidden="false" customHeight="false" outlineLevel="0" collapsed="false">
      <c r="A1277" s="19" t="s">
        <v>388</v>
      </c>
      <c r="B1277" s="28" t="s">
        <v>258</v>
      </c>
      <c r="C1277" s="28" t="s">
        <v>252</v>
      </c>
      <c r="D1277" s="28" t="s">
        <v>253</v>
      </c>
      <c r="E1277" s="20" t="s">
        <v>776</v>
      </c>
      <c r="F1277" s="21" t="str">
        <f aca="false">IF(OR(E1277="",E1277="!!!"),"",IF(NOT(ISNA(VLOOKUP(E1277,Q$1:Q1258,1,FALSE()))),"OLD",IF(AND(E1277&lt;&gt;"",E1277&lt;&gt;"!!!"),"NEW","")))</f>
        <v>NEW</v>
      </c>
      <c r="G1277" s="22" t="s">
        <v>255</v>
      </c>
      <c r="H1277" s="23" t="str">
        <f aca="false">IF(J1277&lt;&gt;1,"",IF(I1277="SBJ","CB","?"))</f>
        <v/>
      </c>
      <c r="I1277" s="24" t="str">
        <f aca="false">IF(OR(E1277="",E1277="!!!",F1277="NEW"),"",INDEX(N$2:N1258,-1+SUMPRODUCT(MAX(ROW(E$2:E1258)*(E1277=E$2:E1258)))))</f>
        <v/>
      </c>
      <c r="J1277" s="25" t="str">
        <f aca="true">IF(OR(E1277="",E1277="!!!",F1277="NEW"),"",COUNTBLANK(OFFSET(M$1,,,SUMPRODUCT(MAX(ROW(E$2:E1259)*(E1277=E$2:E1259)))))-COUNTBLANK(OFFSET(M$1,,,SUMPRODUCT(MAX(ROW(Q$1:Q1258)*(E1277=Q$1:Q1258))))))</f>
        <v/>
      </c>
      <c r="K1277" s="25" t="str">
        <f aca="false">IF(OR(E1277="",E1277="!!!",F1277="NEW"),"",INDEX(V$1:V1258,SUMPRODUCT(MAX(ROW(Q$1:Q1258)*(E1277=Q$1:Q1258)))))</f>
        <v/>
      </c>
      <c r="L1277" s="26"/>
      <c r="M1277" s="27"/>
      <c r="N1277" s="29"/>
      <c r="O1277" s="29"/>
      <c r="P1277" s="29"/>
    </row>
    <row r="1278" customFormat="false" ht="15" hidden="false" customHeight="false" outlineLevel="0" collapsed="false">
      <c r="A1278" s="19" t="s">
        <v>275</v>
      </c>
      <c r="E1278" s="20"/>
      <c r="F1278" s="21"/>
      <c r="G1278" s="22"/>
      <c r="H1278" s="23"/>
      <c r="I1278" s="24" t="str">
        <f aca="false">IF(OR(E1278="",E1278="!!!",F1278="NEW"),"",INDEX(N$2:N1259,-1+SUMPRODUCT(MAX(ROW(E$2:E1259)*(E1278=E$2:E1259)))))</f>
        <v/>
      </c>
      <c r="J1278" s="25" t="str">
        <f aca="true">IF(OR(E1278="",E1278="!!!",F1278="NEW"),"",COUNTBLANK(OFFSET(M$1,,,SUMPRODUCT(MAX(ROW(E$2:E1260)*(E1278=E$2:E1260)))))-COUNTBLANK(OFFSET(M$1,,,SUMPRODUCT(MAX(ROW(Q$1:Q1259)*(E1278=Q$1:Q1259))))))</f>
        <v/>
      </c>
      <c r="K1278" s="25" t="str">
        <f aca="false">IF(OR(E1278="",E1278="!!!",F1278="NEW"),"",INDEX(V$1:V1259,SUMPRODUCT(MAX(ROW(Q$1:Q1259)*(E1278=Q$1:Q1259)))))</f>
        <v/>
      </c>
      <c r="L1278" s="26"/>
      <c r="M1278" s="27"/>
    </row>
    <row r="1279" customFormat="false" ht="15" hidden="false" customHeight="false" outlineLevel="0" collapsed="false">
      <c r="A1279" s="19"/>
      <c r="E1279" s="20"/>
      <c r="F1279" s="21"/>
      <c r="G1279" s="22"/>
      <c r="H1279" s="23"/>
      <c r="I1279" s="24" t="str">
        <f aca="false">IF(OR(E1279="",E1279="!!!",F1279="NEW"),"",INDEX(N$2:N1260,-1+SUMPRODUCT(MAX(ROW(E$2:E1260)*(E1279=E$2:E1260)))))</f>
        <v/>
      </c>
      <c r="J1279" s="25" t="str">
        <f aca="true">IF(OR(E1279="",E1279="!!!",F1279="NEW"),"",COUNTBLANK(OFFSET(M$1,,,SUMPRODUCT(MAX(ROW(E$2:E1261)*(E1279=E$2:E1261)))))-COUNTBLANK(OFFSET(M$1,,,SUMPRODUCT(MAX(ROW(Q$1:Q1260)*(E1279=Q$1:Q1260))))))</f>
        <v/>
      </c>
      <c r="K1279" s="25" t="str">
        <f aca="false">IF(OR(E1279="",E1279="!!!",F1279="NEW"),"",INDEX(V$1:V1260,SUMPRODUCT(MAX(ROW(Q$1:Q1260)*(E1279=Q$1:Q1260)))))</f>
        <v/>
      </c>
      <c r="L1279" s="26"/>
    </row>
    <row r="1280" customFormat="false" ht="15" hidden="false" customHeight="false" outlineLevel="0" collapsed="false">
      <c r="A1280" s="19" t="s">
        <v>777</v>
      </c>
      <c r="E1280" s="20"/>
      <c r="F1280" s="21"/>
      <c r="G1280" s="22"/>
      <c r="H1280" s="23"/>
      <c r="I1280" s="24" t="str">
        <f aca="false">IF(OR(E1280="",E1280="!!!",F1280="NEW"),"",INDEX(N$2:N1261,-1+SUMPRODUCT(MAX(ROW(E$2:E1261)*(E1280=E$2:E1261)))))</f>
        <v/>
      </c>
      <c r="J1280" s="25" t="str">
        <f aca="true">IF(OR(E1280="",E1280="!!!",F1280="NEW"),"",COUNTBLANK(OFFSET(M$1,,,SUMPRODUCT(MAX(ROW(E$2:E1262)*(E1280=E$2:E1262)))))-COUNTBLANK(OFFSET(M$1,,,SUMPRODUCT(MAX(ROW(Q$1:Q1261)*(E1280=Q$1:Q1261))))))</f>
        <v/>
      </c>
      <c r="K1280" s="25" t="str">
        <f aca="false">IF(OR(E1280="",E1280="!!!",F1280="NEW"),"",INDEX(V$1:V1261,SUMPRODUCT(MAX(ROW(Q$1:Q1261)*(E1280=Q$1:Q1261)))))</f>
        <v/>
      </c>
      <c r="L1280" s="26"/>
      <c r="M1280" s="27"/>
    </row>
    <row r="1281" customFormat="false" ht="15" hidden="false" customHeight="false" outlineLevel="0" collapsed="false">
      <c r="A1281" s="19" t="s">
        <v>522</v>
      </c>
      <c r="E1281" s="20"/>
      <c r="F1281" s="21"/>
      <c r="G1281" s="22"/>
      <c r="H1281" s="23"/>
      <c r="I1281" s="24" t="str">
        <f aca="false">IF(OR(E1281="",E1281="!!!",F1281="NEW"),"",INDEX(N$2:N1262,-1+SUMPRODUCT(MAX(ROW(E$2:E1262)*(E1281=E$2:E1262)))))</f>
        <v/>
      </c>
      <c r="J1281" s="25" t="str">
        <f aca="true">IF(OR(E1281="",E1281="!!!",F1281="NEW"),"",COUNTBLANK(OFFSET(M$1,,,SUMPRODUCT(MAX(ROW(E$2:E1263)*(E1281=E$2:E1263)))))-COUNTBLANK(OFFSET(M$1,,,SUMPRODUCT(MAX(ROW(Q$1:Q1262)*(E1281=Q$1:Q1262))))))</f>
        <v/>
      </c>
      <c r="K1281" s="25" t="str">
        <f aca="false">IF(OR(E1281="",E1281="!!!",F1281="NEW"),"",INDEX(V$1:V1262,SUMPRODUCT(MAX(ROW(Q$1:Q1262)*(E1281=Q$1:Q1262)))))</f>
        <v/>
      </c>
      <c r="L1281" s="26"/>
      <c r="M1281" s="27"/>
    </row>
    <row r="1282" customFormat="false" ht="15" hidden="false" customHeight="false" outlineLevel="0" collapsed="false">
      <c r="A1282" s="19" t="s">
        <v>534</v>
      </c>
      <c r="B1282" s="28" t="s">
        <v>263</v>
      </c>
      <c r="C1282" s="28" t="s">
        <v>333</v>
      </c>
      <c r="D1282" s="28" t="s">
        <v>253</v>
      </c>
      <c r="E1282" s="20" t="s">
        <v>413</v>
      </c>
      <c r="F1282" s="21" t="str">
        <f aca="false">IF(OR(E1282="",E1282="!!!"),"",IF(NOT(ISNA(VLOOKUP(E1282,Q$1:Q1263,1,FALSE()))),"OLD",IF(AND(E1282&lt;&gt;"",E1282&lt;&gt;"!!!"),"NEW","")))</f>
        <v>NEW</v>
      </c>
      <c r="G1282" s="22" t="s">
        <v>266</v>
      </c>
      <c r="H1282" s="23" t="s">
        <v>243</v>
      </c>
      <c r="I1282" s="24" t="str">
        <f aca="false">IF(OR(E1282="",E1282="!!!",F1282="NEW"),"",INDEX(N$2:N1263,-1+SUMPRODUCT(MAX(ROW(E$2:E1263)*(E1282=E$2:E1263)))))</f>
        <v/>
      </c>
      <c r="J1282" s="25" t="str">
        <f aca="true">IF(OR(E1282="",E1282="!!!",F1282="NEW"),"",COUNTBLANK(OFFSET(M$1,,,SUMPRODUCT(MAX(ROW(E$2:E1264)*(E1282=E$2:E1264)))))-COUNTBLANK(OFFSET(M$1,,,SUMPRODUCT(MAX(ROW(Q$1:Q1263)*(E1282=Q$1:Q1263))))))</f>
        <v/>
      </c>
      <c r="K1282" s="25" t="str">
        <f aca="false">IF(OR(E1282="",E1282="!!!",F1282="NEW"),"",INDEX(V$1:V1263,SUMPRODUCT(MAX(ROW(Q$1:Q1263)*(E1282=Q$1:Q1263)))))</f>
        <v/>
      </c>
      <c r="L1282" s="26"/>
      <c r="M1282" s="27"/>
      <c r="N1282" s="29"/>
      <c r="O1282" s="29"/>
      <c r="P1282" s="29"/>
    </row>
    <row r="1283" customFormat="false" ht="15" hidden="false" customHeight="false" outlineLevel="0" collapsed="false">
      <c r="A1283" s="19" t="s">
        <v>734</v>
      </c>
      <c r="E1283" s="20"/>
      <c r="F1283" s="21"/>
      <c r="G1283" s="22"/>
      <c r="H1283" s="23"/>
      <c r="I1283" s="24" t="str">
        <f aca="false">IF(OR(E1283="",E1283="!!!",F1283="NEW"),"",INDEX(N$2:N1264,-1+SUMPRODUCT(MAX(ROW(E$2:E1264)*(E1283=E$2:E1264)))))</f>
        <v/>
      </c>
      <c r="J1283" s="25" t="str">
        <f aca="true">IF(OR(E1283="",E1283="!!!",F1283="NEW"),"",COUNTBLANK(OFFSET(M$1,,,SUMPRODUCT(MAX(ROW(E$2:E1265)*(E1283=E$2:E1265)))))-COUNTBLANK(OFFSET(M$1,,,SUMPRODUCT(MAX(ROW(Q$1:Q1264)*(E1283=Q$1:Q1264))))))</f>
        <v/>
      </c>
      <c r="K1283" s="25" t="str">
        <f aca="false">IF(OR(E1283="",E1283="!!!",F1283="NEW"),"",INDEX(V$1:V1264,SUMPRODUCT(MAX(ROW(Q$1:Q1264)*(E1283=Q$1:Q1264)))))</f>
        <v/>
      </c>
      <c r="L1283" s="26"/>
      <c r="M1283" s="27"/>
    </row>
    <row r="1284" customFormat="false" ht="15" hidden="false" customHeight="false" outlineLevel="0" collapsed="false">
      <c r="A1284" s="19" t="s">
        <v>309</v>
      </c>
      <c r="E1284" s="20"/>
      <c r="F1284" s="21"/>
      <c r="G1284" s="22"/>
      <c r="H1284" s="23"/>
      <c r="I1284" s="24" t="str">
        <f aca="false">IF(OR(E1284="",E1284="!!!",F1284="NEW"),"",INDEX(N$2:N1265,-1+SUMPRODUCT(MAX(ROW(E$2:E1265)*(E1284=E$2:E1265)))))</f>
        <v/>
      </c>
      <c r="J1284" s="25" t="str">
        <f aca="true">IF(OR(E1284="",E1284="!!!",F1284="NEW"),"",COUNTBLANK(OFFSET(M$1,,,SUMPRODUCT(MAX(ROW(E$2:E1266)*(E1284=E$2:E1266)))))-COUNTBLANK(OFFSET(M$1,,,SUMPRODUCT(MAX(ROW(Q$1:Q1265)*(E1284=Q$1:Q1265))))))</f>
        <v/>
      </c>
      <c r="K1284" s="25" t="str">
        <f aca="false">IF(OR(E1284="",E1284="!!!",F1284="NEW"),"",INDEX(V$1:V1265,SUMPRODUCT(MAX(ROW(Q$1:Q1265)*(E1284=Q$1:Q1265)))))</f>
        <v/>
      </c>
      <c r="L1284" s="26"/>
      <c r="M1284" s="27"/>
    </row>
    <row r="1285" customFormat="false" ht="15" hidden="false" customHeight="false" outlineLevel="0" collapsed="false">
      <c r="A1285" s="19" t="s">
        <v>250</v>
      </c>
      <c r="E1285" s="20"/>
      <c r="F1285" s="21"/>
      <c r="G1285" s="22"/>
      <c r="H1285" s="23"/>
      <c r="I1285" s="24" t="str">
        <f aca="false">IF(OR(E1285="",E1285="!!!",F1285="NEW"),"",INDEX(N$2:N1266,-1+SUMPRODUCT(MAX(ROW(E$2:E1266)*(E1285=E$2:E1266)))))</f>
        <v/>
      </c>
      <c r="J1285" s="25" t="str">
        <f aca="true">IF(OR(E1285="",E1285="!!!",F1285="NEW"),"",COUNTBLANK(OFFSET(M$1,,,SUMPRODUCT(MAX(ROW(E$2:E1267)*(E1285=E$2:E1267)))))-COUNTBLANK(OFFSET(M$1,,,SUMPRODUCT(MAX(ROW(Q$1:Q1266)*(E1285=Q$1:Q1266))))))</f>
        <v/>
      </c>
      <c r="K1285" s="25" t="str">
        <f aca="false">IF(OR(E1285="",E1285="!!!",F1285="NEW"),"",INDEX(V$1:V1266,SUMPRODUCT(MAX(ROW(Q$1:Q1266)*(E1285=Q$1:Q1266)))))</f>
        <v/>
      </c>
      <c r="L1285" s="26"/>
      <c r="M1285" s="27"/>
    </row>
    <row r="1286" customFormat="false" ht="15" hidden="false" customHeight="false" outlineLevel="0" collapsed="false">
      <c r="A1286" s="19" t="s">
        <v>778</v>
      </c>
      <c r="E1286" s="20"/>
      <c r="F1286" s="21"/>
      <c r="G1286" s="22"/>
      <c r="H1286" s="23"/>
      <c r="I1286" s="24" t="str">
        <f aca="false">IF(OR(E1286="",E1286="!!!",F1286="NEW"),"",INDEX(N$2:N1267,-1+SUMPRODUCT(MAX(ROW(E$2:E1267)*(E1286=E$2:E1267)))))</f>
        <v/>
      </c>
      <c r="J1286" s="25" t="str">
        <f aca="true">IF(OR(E1286="",E1286="!!!",F1286="NEW"),"",COUNTBLANK(OFFSET(M$1,,,SUMPRODUCT(MAX(ROW(E$2:E1268)*(E1286=E$2:E1268)))))-COUNTBLANK(OFFSET(M$1,,,SUMPRODUCT(MAX(ROW(Q$1:Q1267)*(E1286=Q$1:Q1267))))))</f>
        <v/>
      </c>
      <c r="K1286" s="25" t="str">
        <f aca="false">IF(OR(E1286="",E1286="!!!",F1286="NEW"),"",INDEX(V$1:V1267,SUMPRODUCT(MAX(ROW(Q$1:Q1267)*(E1286=Q$1:Q1267)))))</f>
        <v/>
      </c>
      <c r="L1286" s="26"/>
      <c r="M1286" s="27"/>
    </row>
    <row r="1287" customFormat="false" ht="15" hidden="false" customHeight="false" outlineLevel="0" collapsed="false">
      <c r="A1287" s="19" t="s">
        <v>226</v>
      </c>
      <c r="B1287" s="28" t="s">
        <v>271</v>
      </c>
      <c r="C1287" s="28" t="s">
        <v>252</v>
      </c>
      <c r="D1287" s="28" t="s">
        <v>253</v>
      </c>
      <c r="E1287" s="20" t="s">
        <v>465</v>
      </c>
      <c r="F1287" s="21" t="str">
        <f aca="false">IF(OR(E1287="",E1287="!!!"),"",IF(NOT(ISNA(VLOOKUP(E1287,Q$1:Q1268,1,FALSE()))),"OLD",IF(AND(E1287&lt;&gt;"",E1287&lt;&gt;"!!!"),"NEW","")))</f>
        <v>NEW</v>
      </c>
      <c r="G1287" s="22" t="s">
        <v>283</v>
      </c>
      <c r="H1287" s="23" t="str">
        <f aca="false">IF(J1287&lt;&gt;1,"",IF(I1287="SBJ","CB","?"))</f>
        <v/>
      </c>
      <c r="I1287" s="24" t="str">
        <f aca="false">IF(OR(E1287="",E1287="!!!",F1287="NEW"),"",INDEX(N$2:N1268,-1+SUMPRODUCT(MAX(ROW(E$2:E1268)*(E1287=E$2:E1268)))))</f>
        <v/>
      </c>
      <c r="J1287" s="25" t="str">
        <f aca="true">IF(OR(E1287="",E1287="!!!",F1287="NEW"),"",COUNTBLANK(OFFSET(M$1,,,SUMPRODUCT(MAX(ROW(E$2:E1269)*(E1287=E$2:E1269)))))-COUNTBLANK(OFFSET(M$1,,,SUMPRODUCT(MAX(ROW(Q$1:Q1268)*(E1287=Q$1:Q1268))))))</f>
        <v/>
      </c>
      <c r="K1287" s="25" t="str">
        <f aca="false">IF(OR(E1287="",E1287="!!!",F1287="NEW"),"",INDEX(V$1:V1268,SUMPRODUCT(MAX(ROW(Q$1:Q1268)*(E1287=Q$1:Q1268)))))</f>
        <v/>
      </c>
      <c r="L1287" s="26"/>
      <c r="M1287" s="27"/>
      <c r="N1287" s="29"/>
      <c r="O1287" s="29"/>
      <c r="P1287" s="29"/>
    </row>
    <row r="1288" customFormat="false" ht="15" hidden="false" customHeight="false" outlineLevel="0" collapsed="false">
      <c r="A1288" s="19" t="s">
        <v>549</v>
      </c>
      <c r="E1288" s="20"/>
      <c r="F1288" s="21"/>
      <c r="G1288" s="22"/>
      <c r="H1288" s="23"/>
      <c r="I1288" s="24" t="str">
        <f aca="false">IF(OR(E1288="",E1288="!!!",F1288="NEW"),"",INDEX(N$2:N1269,-1+SUMPRODUCT(MAX(ROW(E$2:E1269)*(E1288=E$2:E1269)))))</f>
        <v/>
      </c>
      <c r="J1288" s="25" t="str">
        <f aca="true">IF(OR(E1288="",E1288="!!!",F1288="NEW"),"",COUNTBLANK(OFFSET(M$1,,,SUMPRODUCT(MAX(ROW(E$2:E1270)*(E1288=E$2:E1270)))))-COUNTBLANK(OFFSET(M$1,,,SUMPRODUCT(MAX(ROW(Q$1:Q1269)*(E1288=Q$1:Q1269))))))</f>
        <v/>
      </c>
      <c r="K1288" s="25" t="str">
        <f aca="false">IF(OR(E1288="",E1288="!!!",F1288="NEW"),"",INDEX(V$1:V1269,SUMPRODUCT(MAX(ROW(Q$1:Q1269)*(E1288=Q$1:Q1269)))))</f>
        <v/>
      </c>
      <c r="L1288" s="26"/>
      <c r="M1288" s="27"/>
    </row>
    <row r="1289" customFormat="false" ht="15" hidden="false" customHeight="false" outlineLevel="0" collapsed="false">
      <c r="A1289" s="19" t="s">
        <v>226</v>
      </c>
      <c r="B1289" s="28" t="s">
        <v>306</v>
      </c>
      <c r="C1289" s="28" t="s">
        <v>259</v>
      </c>
      <c r="E1289" s="20"/>
      <c r="F1289" s="21"/>
      <c r="G1289" s="22"/>
      <c r="H1289" s="23"/>
      <c r="I1289" s="24" t="str">
        <f aca="false">IF(OR(E1289="",E1289="!!!",F1289="NEW"),"",INDEX(N$2:N1270,-1+SUMPRODUCT(MAX(ROW(E$2:E1270)*(E1289=E$2:E1270)))))</f>
        <v/>
      </c>
      <c r="J1289" s="25" t="str">
        <f aca="true">IF(OR(E1289="",E1289="!!!",F1289="NEW"),"",COUNTBLANK(OFFSET(M$1,,,SUMPRODUCT(MAX(ROW(E$2:E1271)*(E1289=E$2:E1271)))))-COUNTBLANK(OFFSET(M$1,,,SUMPRODUCT(MAX(ROW(Q$1:Q1270)*(E1289=Q$1:Q1270))))))</f>
        <v/>
      </c>
      <c r="K1289" s="25" t="str">
        <f aca="false">IF(OR(E1289="",E1289="!!!",F1289="NEW"),"",INDEX(V$1:V1270,SUMPRODUCT(MAX(ROW(Q$1:Q1270)*(E1289=Q$1:Q1270)))))</f>
        <v/>
      </c>
      <c r="L1289" s="26"/>
      <c r="M1289" s="27"/>
      <c r="N1289" s="29"/>
      <c r="O1289" s="29"/>
    </row>
    <row r="1290" customFormat="false" ht="15" hidden="false" customHeight="false" outlineLevel="0" collapsed="false">
      <c r="A1290" s="19" t="s">
        <v>506</v>
      </c>
      <c r="B1290" s="28" t="s">
        <v>380</v>
      </c>
      <c r="C1290" s="28" t="s">
        <v>420</v>
      </c>
      <c r="D1290" s="28" t="s">
        <v>253</v>
      </c>
      <c r="E1290" s="20"/>
      <c r="F1290" s="21" t="s">
        <v>448</v>
      </c>
      <c r="G1290" s="22" t="str">
        <f aca="false">IF(OR(E1290="",E1290="!!!"),"",IF(OR(J1290=0,AND(J1290=1,K1290=1),AND(J1290=1,I1290="SBJ"),AND(J1290=1,I1290=0)),"?IN_FOCUS",IF(J1290&lt;=2,"?ACTIVATED",IF(J1290&lt;&gt;"","?FAMILIAR",IF(F1290="NEW",IF(ISNA(VLOOKUP(E1290,#REF!,1,FALSE())),"?TYPE_IDENTIFIABLE","?REFERENTIAL"),"_")))))</f>
        <v/>
      </c>
      <c r="H1290" s="23" t="str">
        <f aca="false">IF(J1290&lt;&gt;1,"",IF(I1290="SBJ","CB","?"))</f>
        <v/>
      </c>
      <c r="I1290" s="24" t="str">
        <f aca="false">IF(OR(E1290="",E1290="!!!",F1290="NEW"),"",INDEX(N$2:N1271,-1+SUMPRODUCT(MAX(ROW(E$2:E1271)*(E1290=E$2:E1271)))))</f>
        <v/>
      </c>
      <c r="J1290" s="25" t="str">
        <f aca="true">IF(OR(E1290="",E1290="!!!",F1290="NEW"),"",COUNTBLANK(OFFSET(M$1,,,SUMPRODUCT(MAX(ROW(E$2:E1272)*(E1290=E$2:E1272)))))-COUNTBLANK(OFFSET(M$1,,,SUMPRODUCT(MAX(ROW(Q$1:Q1271)*(E1290=Q$1:Q1271))))))</f>
        <v/>
      </c>
      <c r="K1290" s="25" t="str">
        <f aca="false">IF(OR(E1290="",E1290="!!!",F1290="NEW"),"",INDEX(V$1:V1271,SUMPRODUCT(MAX(ROW(Q$1:Q1271)*(E1290=Q$1:Q1271)))))</f>
        <v/>
      </c>
      <c r="L1290" s="26"/>
      <c r="M1290" s="27"/>
      <c r="N1290" s="29"/>
      <c r="O1290" s="29"/>
      <c r="P1290" s="29"/>
    </row>
    <row r="1291" customFormat="false" ht="15" hidden="false" customHeight="false" outlineLevel="0" collapsed="false">
      <c r="A1291" s="19" t="s">
        <v>372</v>
      </c>
      <c r="B1291" s="28" t="s">
        <v>324</v>
      </c>
      <c r="E1291" s="20"/>
      <c r="F1291" s="21"/>
      <c r="G1291" s="22"/>
      <c r="H1291" s="23"/>
      <c r="I1291" s="24" t="str">
        <f aca="false">IF(OR(E1291="",E1291="!!!",F1291="NEW"),"",INDEX(N$2:N1272,-1+SUMPRODUCT(MAX(ROW(E$2:E1272)*(E1291=E$2:E1272)))))</f>
        <v/>
      </c>
      <c r="J1291" s="25" t="str">
        <f aca="true">IF(OR(E1291="",E1291="!!!",F1291="NEW"),"",COUNTBLANK(OFFSET(M$1,,,SUMPRODUCT(MAX(ROW(E$2:E1273)*(E1291=E$2:E1273)))))-COUNTBLANK(OFFSET(M$1,,,SUMPRODUCT(MAX(ROW(Q$1:Q1272)*(E1291=Q$1:Q1272))))))</f>
        <v/>
      </c>
      <c r="K1291" s="25" t="str">
        <f aca="false">IF(OR(E1291="",E1291="!!!",F1291="NEW"),"",INDEX(V$1:V1272,SUMPRODUCT(MAX(ROW(Q$1:Q1272)*(E1291=Q$1:Q1272)))))</f>
        <v/>
      </c>
      <c r="L1291" s="26"/>
      <c r="M1291" s="27"/>
      <c r="N1291" s="29"/>
    </row>
    <row r="1292" customFormat="false" ht="15" hidden="false" customHeight="false" outlineLevel="0" collapsed="false">
      <c r="A1292" s="19" t="s">
        <v>268</v>
      </c>
      <c r="E1292" s="20"/>
      <c r="F1292" s="21"/>
      <c r="G1292" s="22"/>
      <c r="H1292" s="23"/>
      <c r="I1292" s="24" t="str">
        <f aca="false">IF(OR(E1292="",E1292="!!!",F1292="NEW"),"",INDEX(N$2:N1273,-1+SUMPRODUCT(MAX(ROW(E$2:E1273)*(E1292=E$2:E1273)))))</f>
        <v/>
      </c>
      <c r="J1292" s="25" t="str">
        <f aca="true">IF(OR(E1292="",E1292="!!!",F1292="NEW"),"",COUNTBLANK(OFFSET(M$1,,,SUMPRODUCT(MAX(ROW(E$2:E1274)*(E1292=E$2:E1274)))))-COUNTBLANK(OFFSET(M$1,,,SUMPRODUCT(MAX(ROW(Q$1:Q1273)*(E1292=Q$1:Q1273))))))</f>
        <v/>
      </c>
      <c r="K1292" s="25" t="str">
        <f aca="false">IF(OR(E1292="",E1292="!!!",F1292="NEW"),"",INDEX(V$1:V1273,SUMPRODUCT(MAX(ROW(Q$1:Q1273)*(E1292=Q$1:Q1273)))))</f>
        <v/>
      </c>
      <c r="L1292" s="26"/>
      <c r="M1292" s="27"/>
    </row>
    <row r="1293" customFormat="false" ht="15" hidden="false" customHeight="false" outlineLevel="0" collapsed="false">
      <c r="A1293" s="19" t="s">
        <v>558</v>
      </c>
      <c r="E1293" s="20"/>
      <c r="F1293" s="21"/>
      <c r="G1293" s="22"/>
      <c r="H1293" s="23"/>
      <c r="I1293" s="24" t="str">
        <f aca="false">IF(OR(E1293="",E1293="!!!",F1293="NEW"),"",INDEX(N$2:N1274,-1+SUMPRODUCT(MAX(ROW(E$2:E1274)*(E1293=E$2:E1274)))))</f>
        <v/>
      </c>
      <c r="J1293" s="25" t="str">
        <f aca="true">IF(OR(E1293="",E1293="!!!",F1293="NEW"),"",COUNTBLANK(OFFSET(M$1,,,SUMPRODUCT(MAX(ROW(E$2:E1275)*(E1293=E$2:E1275)))))-COUNTBLANK(OFFSET(M$1,,,SUMPRODUCT(MAX(ROW(Q$1:Q1274)*(E1293=Q$1:Q1274))))))</f>
        <v/>
      </c>
      <c r="K1293" s="25" t="str">
        <f aca="false">IF(OR(E1293="",E1293="!!!",F1293="NEW"),"",INDEX(V$1:V1274,SUMPRODUCT(MAX(ROW(Q$1:Q1274)*(E1293=Q$1:Q1274)))))</f>
        <v/>
      </c>
      <c r="L1293" s="26"/>
      <c r="M1293" s="27"/>
    </row>
    <row r="1294" customFormat="false" ht="15" hidden="false" customHeight="false" outlineLevel="0" collapsed="false">
      <c r="A1294" s="19" t="s">
        <v>540</v>
      </c>
      <c r="E1294" s="20"/>
      <c r="F1294" s="21"/>
      <c r="G1294" s="22"/>
      <c r="H1294" s="23"/>
      <c r="I1294" s="24" t="str">
        <f aca="false">IF(OR(E1294="",E1294="!!!",F1294="NEW"),"",INDEX(N$2:N1275,-1+SUMPRODUCT(MAX(ROW(E$2:E1275)*(E1294=E$2:E1275)))))</f>
        <v/>
      </c>
      <c r="J1294" s="25" t="str">
        <f aca="true">IF(OR(E1294="",E1294="!!!",F1294="NEW"),"",COUNTBLANK(OFFSET(M$1,,,SUMPRODUCT(MAX(ROW(E$2:E1276)*(E1294=E$2:E1276)))))-COUNTBLANK(OFFSET(M$1,,,SUMPRODUCT(MAX(ROW(Q$1:Q1275)*(E1294=Q$1:Q1275))))))</f>
        <v/>
      </c>
      <c r="K1294" s="25" t="str">
        <f aca="false">IF(OR(E1294="",E1294="!!!",F1294="NEW"),"",INDEX(V$1:V1275,SUMPRODUCT(MAX(ROW(Q$1:Q1275)*(E1294=Q$1:Q1275)))))</f>
        <v/>
      </c>
      <c r="L1294" s="26"/>
      <c r="M1294" s="27"/>
    </row>
    <row r="1295" customFormat="false" ht="15" hidden="false" customHeight="false" outlineLevel="0" collapsed="false">
      <c r="A1295" s="19" t="s">
        <v>275</v>
      </c>
      <c r="E1295" s="20"/>
      <c r="F1295" s="21"/>
      <c r="G1295" s="22"/>
      <c r="H1295" s="23"/>
      <c r="I1295" s="24" t="str">
        <f aca="false">IF(OR(E1295="",E1295="!!!",F1295="NEW"),"",INDEX(N$2:N1276,-1+SUMPRODUCT(MAX(ROW(E$2:E1276)*(E1295=E$2:E1276)))))</f>
        <v/>
      </c>
      <c r="J1295" s="25" t="str">
        <f aca="true">IF(OR(E1295="",E1295="!!!",F1295="NEW"),"",COUNTBLANK(OFFSET(M$1,,,SUMPRODUCT(MAX(ROW(E$2:E1277)*(E1295=E$2:E1277)))))-COUNTBLANK(OFFSET(M$1,,,SUMPRODUCT(MAX(ROW(Q$1:Q1276)*(E1295=Q$1:Q1276))))))</f>
        <v/>
      </c>
      <c r="K1295" s="25" t="str">
        <f aca="false">IF(OR(E1295="",E1295="!!!",F1295="NEW"),"",INDEX(V$1:V1276,SUMPRODUCT(MAX(ROW(Q$1:Q1276)*(E1295=Q$1:Q1276)))))</f>
        <v/>
      </c>
      <c r="L1295" s="26"/>
      <c r="M1295" s="27"/>
    </row>
    <row r="1296" customFormat="false" ht="15" hidden="false" customHeight="false" outlineLevel="0" collapsed="false">
      <c r="A1296" s="19"/>
      <c r="E1296" s="20"/>
      <c r="F1296" s="21"/>
      <c r="G1296" s="22"/>
      <c r="H1296" s="23"/>
      <c r="I1296" s="24" t="str">
        <f aca="false">IF(OR(E1296="",E1296="!!!",F1296="NEW"),"",INDEX(N$2:N1277,-1+SUMPRODUCT(MAX(ROW(E$2:E1277)*(E1296=E$2:E1277)))))</f>
        <v/>
      </c>
      <c r="J1296" s="25" t="str">
        <f aca="true">IF(OR(E1296="",E1296="!!!",F1296="NEW"),"",COUNTBLANK(OFFSET(M$1,,,SUMPRODUCT(MAX(ROW(E$2:E1278)*(E1296=E$2:E1278)))))-COUNTBLANK(OFFSET(M$1,,,SUMPRODUCT(MAX(ROW(Q$1:Q1277)*(E1296=Q$1:Q1277))))))</f>
        <v/>
      </c>
      <c r="K1296" s="25" t="str">
        <f aca="false">IF(OR(E1296="",E1296="!!!",F1296="NEW"),"",INDEX(V$1:V1277,SUMPRODUCT(MAX(ROW(Q$1:Q1277)*(E1296=Q$1:Q1277)))))</f>
        <v/>
      </c>
      <c r="L1296" s="26"/>
    </row>
  </sheetData>
  <autoFilter ref="A1:L129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2025-11-25T13:42:02Z</dcterms:created>
  <dc:creator/>
  <dc:description/>
  <dc:language>en-US</dc:language>
  <cp:lastModifiedBy/>
  <dcterms:modified xsi:type="dcterms:W3CDTF">2026-01-14T13:04:04Z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