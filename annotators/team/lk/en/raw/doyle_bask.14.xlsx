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<sst xmlns="http://schemas.openxmlformats.org/spreadsheetml/2006/main" count="11410" uniqueCount="2572">
  <si>
    <t>ID</t>
  </si>
  <si>
    <t>PRED_ID</t>
  </si>
  <si>
    <t>MARKER_AUTO</t>
  </si>
  <si>
    <t>PREDICATE</t>
  </si>
  <si>
    <t>TEXT</t>
  </si>
  <si>
    <t>SENTENCE</t>
  </si>
  <si>
    <t>MARKER</t>
  </si>
  <si>
    <t>TARGET</t>
  </si>
  <si>
    <t>RELATION</t>
  </si>
  <si>
    <t>COMMENT</t>
  </si>
  <si>
    <t>1</t>
  </si>
  <si>
    <t>13</t>
  </si>
  <si>
    <t>indeed?</t>
  </si>
  <si>
    <t>call</t>
  </si>
  <si>
    <t>One of Sherlock Holmes 's defects —if , indeed , one may call it a defect —was that he was exceedingly loath to communicate his full plans to any other person until the instant of their fulfilment .</t>
  </si>
  <si>
    <t>file://conllu/en/doyle_bask.14.conllu#s1_0</t>
  </si>
  <si>
    <t>_</t>
  </si>
  <si>
    <t>2</t>
  </si>
  <si>
    <t>3</t>
  </si>
  <si>
    <t>come</t>
  </si>
  <si>
    <t>Partly it came no doubt from his own masterful nature , which loved to dominate and surprise those who were around him .</t>
  </si>
  <si>
    <t>file://conllu/en/doyle_bask.14.conllu#s2_0</t>
  </si>
  <si>
    <t>6</t>
  </si>
  <si>
    <t>also?</t>
  </si>
  <si>
    <t>caution</t>
  </si>
  <si>
    <t>Partly also from his professional caution , which urged him never to take any chances .</t>
  </si>
  <si>
    <t>file://conllu/en/doyle_bask.14.conllu#s3_0</t>
  </si>
  <si>
    <t>4</t>
  </si>
  <si>
    <t>8</t>
  </si>
  <si>
    <t>however?</t>
  </si>
  <si>
    <t>try</t>
  </si>
  <si>
    <t>The result , however , was very trying for those who were acting as his agents and assistants .</t>
  </si>
  <si>
    <t>file://conllu/en/doyle_bask.14.conllu#s4_0</t>
  </si>
  <si>
    <t>5</t>
  </si>
  <si>
    <t>but?</t>
  </si>
  <si>
    <t>suffer</t>
  </si>
  <si>
    <t>I had often suffered under it , but never more so than during that long drive in the darkness .</t>
  </si>
  <si>
    <t>file://conllu/en/doyle_bask.14.conllu#s5_0</t>
  </si>
  <si>
    <t>and?</t>
  </si>
  <si>
    <t>be (be front)</t>
  </si>
  <si>
    <t>The great ordeal was in front of us ; at last we were about to make our final effort , and yet Holmes had said nothing , and I could only surmise what his course of action would be .</t>
  </si>
  <si>
    <t>file://conllu/en/doyle_bask.14.conllu#s6_0</t>
  </si>
  <si>
    <t>7</t>
  </si>
  <si>
    <t>when?</t>
  </si>
  <si>
    <t>thrill</t>
  </si>
  <si>
    <t>My nerves thrilled with anticipation when at last the cold wind upon our faces and the dark , void spaces on either side of the narrow road told me that we were back upon the moor once again .</t>
  </si>
  <si>
    <t>file://conllu/en/doyle_bask.14.conllu#s7_0</t>
  </si>
  <si>
    <t>stride</t>
  </si>
  <si>
    <t>Every stride of the horses and every turn of the wheels was taking us nearer to our supreme adventure .</t>
  </si>
  <si>
    <t>file://conllu/en/doyle_bask.14.conllu#s8_0</t>
  </si>
  <si>
    <t>9</t>
  </si>
  <si>
    <t>so?</t>
  </si>
  <si>
    <t>hamper</t>
  </si>
  <si>
    <t>Our conversation was hampered by the presence of the driver of the hired wagonette , so that we were forced to talk of trivial matters when our nerves were tense with emotion and anticipation .</t>
  </si>
  <si>
    <t>file://conllu/en/doyle_bask.14.conllu#s9_0</t>
  </si>
  <si>
    <t>10</t>
  </si>
  <si>
    <t>after?</t>
  </si>
  <si>
    <t>be (be relief)</t>
  </si>
  <si>
    <t>It was a relief to me , after that unnatural restraint , when we at last passed Frankland 's house and knew that we were drawing near to the Hall and to the scene of action .</t>
  </si>
  <si>
    <t>file://conllu/en/doyle_bask.14.conllu#s10_0</t>
  </si>
  <si>
    <t>11</t>
  </si>
  <si>
    <t>drive</t>
  </si>
  <si>
    <t>We did not drive up to the door but got down near the gate of the avenue .</t>
  </si>
  <si>
    <t>file://conllu/en/doyle_bask.14.conllu#s11_0</t>
  </si>
  <si>
    <t>12</t>
  </si>
  <si>
    <t>while?</t>
  </si>
  <si>
    <t>pay</t>
  </si>
  <si>
    <t>The wagonette was paid off and ordered to return to Coombe Tracey forthwith , while we started to walk to Merripit House .</t>
  </si>
  <si>
    <t>file://conllu/en/doyle_bask.14.conllu#s12_0</t>
  </si>
  <si>
    <t>be (be Lestrade)</t>
  </si>
  <si>
    <t>&amp;quot; Are you armed , Lestrade ? &amp;quot;</t>
  </si>
  <si>
    <t>file://conllu/en/doyle_bask.14.conllu#s13_0</t>
  </si>
  <si>
    <t>14</t>
  </si>
  <si>
    <t>detective</t>
  </si>
  <si>
    <t>The little detective smiled .</t>
  </si>
  <si>
    <t>file://conllu/en/doyle_bask.14.conllu#s14_0</t>
  </si>
  <si>
    <t>15</t>
  </si>
  <si>
    <t>as long as?</t>
  </si>
  <si>
    <t>long</t>
  </si>
  <si>
    <t>&amp;quot; As long as I have my trousers I have a hip pocket , and as long as I have my hip pocket I have something in it . &amp;quot;</t>
  </si>
  <si>
    <t>file://conllu/en/doyle_bask.14.conllu#s15_0</t>
  </si>
  <si>
    <t>16</t>
  </si>
  <si>
    <t>good</t>
  </si>
  <si>
    <t>&amp;quot; Good !</t>
  </si>
  <si>
    <t>file://conllu/en/doyle_bask.14.conllu#s16_0</t>
  </si>
  <si>
    <t>17</t>
  </si>
  <si>
    <t>be (be ready)</t>
  </si>
  <si>
    <t>My friend and I are also ready for emergencies . &amp;quot;</t>
  </si>
  <si>
    <t>file://conllu/en/doyle_bask.14.conllu#s17_0</t>
  </si>
  <si>
    <t>18</t>
  </si>
  <si>
    <t>Mr.</t>
  </si>
  <si>
    <t>&amp;quot; You 're mighty close about this affair , Mr. Holmes .</t>
  </si>
  <si>
    <t>file://conllu/en/doyle_bask.14.conllu#s18_0</t>
  </si>
  <si>
    <t>19</t>
  </si>
  <si>
    <t>be (be what)</t>
  </si>
  <si>
    <t>What 's the game now ? &amp;quot;</t>
  </si>
  <si>
    <t>file://conllu/en/doyle_bask.14.conllu#s19_0</t>
  </si>
  <si>
    <t>20</t>
  </si>
  <si>
    <t>game</t>
  </si>
  <si>
    <t>&amp;quot; A waiting game . &amp;quot;</t>
  </si>
  <si>
    <t>file://conllu/en/doyle_bask.14.conllu#s20_0</t>
  </si>
  <si>
    <t>21</t>
  </si>
  <si>
    <t>seem (seem say)</t>
  </si>
  <si>
    <t>&amp;quot; My word , it does not seem a very cheerful place , &amp;quot; said the detective with a shiver , glancing round him at the gloomy slopes of the hill and at the huge lake of fog which lay over the Grimpen Mire .</t>
  </si>
  <si>
    <t>file://conllu/en/doyle_bask.14.conllu#s21_0</t>
  </si>
  <si>
    <t>22</t>
  </si>
  <si>
    <t>see</t>
  </si>
  <si>
    <t>&amp;quot; I see the lights of a house ahead of us . &amp;quot;</t>
  </si>
  <si>
    <t>file://conllu/en/doyle_bask.14.conllu#s22_0</t>
  </si>
  <si>
    <t>23</t>
  </si>
  <si>
    <t>be (be House)</t>
  </si>
  <si>
    <t>&amp;quot; That is Merripit House and the end of our journey .</t>
  </si>
  <si>
    <t>file://conllu/en/doyle_bask.14.conllu#s23_0</t>
  </si>
  <si>
    <t>24</t>
  </si>
  <si>
    <t>request</t>
  </si>
  <si>
    <t>I must request you to walk on tiptoe and not to talk above a whisper . &amp;quot;</t>
  </si>
  <si>
    <t>file://conllu/en/doyle_bask.14.conllu#s24_0</t>
  </si>
  <si>
    <t>25</t>
  </si>
  <si>
    <t>as if?</t>
  </si>
  <si>
    <t>move</t>
  </si>
  <si>
    <t>We moved cautiously along the track as if we were bound for the house , but Holmes halted us when we were about two hundred yards from it .</t>
  </si>
  <si>
    <t>file://conllu/en/doyle_bask.14.conllu#s25_0</t>
  </si>
  <si>
    <t>26</t>
  </si>
  <si>
    <t>say</t>
  </si>
  <si>
    <t>&amp;quot; This will do , &amp;quot; said he .</t>
  </si>
  <si>
    <t>file://conllu/en/doyle_bask.14.conllu#s26_0</t>
  </si>
  <si>
    <t>27</t>
  </si>
  <si>
    <t>make</t>
  </si>
  <si>
    <t>&amp;quot; These rocks upon the right make an admirable screen . &amp;quot;</t>
  </si>
  <si>
    <t>file://conllu/en/doyle_bask.14.conllu#s27_0</t>
  </si>
  <si>
    <t>28</t>
  </si>
  <si>
    <t>wait</t>
  </si>
  <si>
    <t>&amp;quot; We are to wait here ? &amp;quot;</t>
  </si>
  <si>
    <t>file://conllu/en/doyle_bask.14.conllu#s28_0</t>
  </si>
  <si>
    <t>29</t>
  </si>
  <si>
    <t>&amp;quot; Yes , we shall make our little ambush here .</t>
  </si>
  <si>
    <t>file://conllu/en/doyle_bask.14.conllu#s29_0</t>
  </si>
  <si>
    <t>30</t>
  </si>
  <si>
    <t>get</t>
  </si>
  <si>
    <t>Get into this hollow , Lestrade .</t>
  </si>
  <si>
    <t>file://conllu/en/doyle_bask.14.conllu#s30_0</t>
  </si>
  <si>
    <t>31</t>
  </si>
  <si>
    <t>be (be house)</t>
  </si>
  <si>
    <t>You have been inside the house , have you not , Watson ?</t>
  </si>
  <si>
    <t>file://conllu/en/doyle_bask.14.conllu#s31_0</t>
  </si>
  <si>
    <t>32</t>
  </si>
  <si>
    <t>tell</t>
  </si>
  <si>
    <t>Can you tell the position of the rooms ?</t>
  </si>
  <si>
    <t>file://conllu/en/doyle_bask.14.conllu#s32_0</t>
  </si>
  <si>
    <t>33</t>
  </si>
  <si>
    <t>What are those latticed windows at this end ? &amp;quot;</t>
  </si>
  <si>
    <t>file://conllu/en/doyle_bask.14.conllu#s33_0</t>
  </si>
  <si>
    <t>34</t>
  </si>
  <si>
    <t>think</t>
  </si>
  <si>
    <t>&amp;quot; I think they are the kitchen windows . &amp;quot;</t>
  </si>
  <si>
    <t>file://conllu/en/doyle_bask.14.conllu#s34_0</t>
  </si>
  <si>
    <t>35</t>
  </si>
  <si>
    <t>beyond</t>
  </si>
  <si>
    <t>&amp;quot; And the one beyond , which shines so brightly ? &amp;quot;</t>
  </si>
  <si>
    <t>file://conllu/en/doyle_bask.14.conllu#s35_0</t>
  </si>
  <si>
    <t>36</t>
  </si>
  <si>
    <t>be (be room)</t>
  </si>
  <si>
    <t>&amp;quot; That is certainly the dining room . &amp;quot;</t>
  </si>
  <si>
    <t>file://conllu/en/doyle_bask.14.conllu#s36_0</t>
  </si>
  <si>
    <t>37</t>
  </si>
  <si>
    <t>be (be up)</t>
  </si>
  <si>
    <t>&amp;quot; The blinds are up .</t>
  </si>
  <si>
    <t>file://conllu/en/doyle_bask.14.conllu#s37_0</t>
  </si>
  <si>
    <t>38</t>
  </si>
  <si>
    <t>know</t>
  </si>
  <si>
    <t>You know the lie of the land best .</t>
  </si>
  <si>
    <t>file://conllu/en/doyle_bask.14.conllu#s38_0</t>
  </si>
  <si>
    <t>39</t>
  </si>
  <si>
    <t>Creep</t>
  </si>
  <si>
    <t>Creep forward quietly and see what they are doing —but for heaven 's sake do n't let them know that they are watched ! &amp;quot;</t>
  </si>
  <si>
    <t>file://conllu/en/doyle_bask.14.conllu#s39_0</t>
  </si>
  <si>
    <t>40</t>
  </si>
  <si>
    <t>tipto</t>
  </si>
  <si>
    <t>I tiptoed down the path and stooped behind the low wall which surrounded the stunted orchard .</t>
  </si>
  <si>
    <t>file://conllu/en/doyle_bask.14.conllu#s40_0</t>
  </si>
  <si>
    <t>41</t>
  </si>
  <si>
    <t>creepe</t>
  </si>
  <si>
    <t>Creeping in it s shadow I reached a point whence I could look straight through the uncurtained window .</t>
  </si>
  <si>
    <t>file://conllu/en/doyle_bask.14.conllu#s41_0</t>
  </si>
  <si>
    <t>42</t>
  </si>
  <si>
    <t>be</t>
  </si>
  <si>
    <t>There were only two men in the room , Sir Henry and Stapleton .</t>
  </si>
  <si>
    <t>file://conllu/en/doyle_bask.14.conllu#s42_0</t>
  </si>
  <si>
    <t>43</t>
  </si>
  <si>
    <t>sit</t>
  </si>
  <si>
    <t>They sat with their profiles towards me on either side of the round table .</t>
  </si>
  <si>
    <t>file://conllu/en/doyle_bask.14.conllu#s43_0</t>
  </si>
  <si>
    <t>44</t>
  </si>
  <si>
    <t>smoke</t>
  </si>
  <si>
    <t>Both of them were smoking cigars , and coffee and wine were in front of them .</t>
  </si>
  <si>
    <t>file://conllu/en/doyle_bask.14.conllu#s44_0</t>
  </si>
  <si>
    <t>45</t>
  </si>
  <si>
    <t>talk</t>
  </si>
  <si>
    <t>Stapleton was talking with animation , but the baronet looked pale and distrait .</t>
  </si>
  <si>
    <t>file://conllu/en/doyle_bask.14.conllu#s45_0</t>
  </si>
  <si>
    <t>46</t>
  </si>
  <si>
    <t>weigh</t>
  </si>
  <si>
    <t>Perhaps the thought of that lonely walk across the ill omened moor was weighing heavily upon his mind .</t>
  </si>
  <si>
    <t>file://conllu/en/doyle_bask.14.conllu#s46_0</t>
  </si>
  <si>
    <t>47</t>
  </si>
  <si>
    <t>watch</t>
  </si>
  <si>
    <t>As I watched them Stapleton rose and left the room , while Sir Henry filled his glass again and leaned back in his chair , puffing at his cigar .</t>
  </si>
  <si>
    <t>file://conllu/en/doyle_bask.14.conllu#s47_0</t>
  </si>
  <si>
    <t>48</t>
  </si>
  <si>
    <t>hear</t>
  </si>
  <si>
    <t>I heard the creak of a door and the crisp sound of boots upon gravel .</t>
  </si>
  <si>
    <t>file://conllu/en/doyle_bask.14.conllu#s48_0</t>
  </si>
  <si>
    <t>49</t>
  </si>
  <si>
    <t>pass</t>
  </si>
  <si>
    <t>The steps passed along the path on the other side of the wall under which I crouched .</t>
  </si>
  <si>
    <t>file://conllu/en/doyle_bask.14.conllu#s49_0</t>
  </si>
  <si>
    <t>50</t>
  </si>
  <si>
    <t>Looking over , I saw the naturalist pause at the door of an out house in the corner of the orchard .</t>
  </si>
  <si>
    <t>file://conllu/en/doyle_bask.14.conllu#s50_0</t>
  </si>
  <si>
    <t>51</t>
  </si>
  <si>
    <t>turn</t>
  </si>
  <si>
    <t>A key turned in a lock , and as he passed in there was a curious scuffling noise from within .</t>
  </si>
  <si>
    <t>file://conllu/en/doyle_bask.14.conllu#s51_0</t>
  </si>
  <si>
    <t>52</t>
  </si>
  <si>
    <t>then?</t>
  </si>
  <si>
    <t>be (be minute)</t>
  </si>
  <si>
    <t>He was only a minute or so inside , and then I heard the key turn once more and he passed me and re-entered the house .</t>
  </si>
  <si>
    <t>file://conllu/en/doyle_bask.14.conllu#s52_0</t>
  </si>
  <si>
    <t>53</t>
  </si>
  <si>
    <t>I saw him rejoin his guest , and I crept quietly back to where my companions were waiting to tell them what I had seen .</t>
  </si>
  <si>
    <t>file://conllu/en/doyle_bask.14.conllu#s53_0</t>
  </si>
  <si>
    <t>54</t>
  </si>
  <si>
    <t>&amp;quot; You say , Watson , that the lady is not there ? &amp;quot;</t>
  </si>
  <si>
    <t>file://conllu/en/doyle_bask.14.conllu#s54_0</t>
  </si>
  <si>
    <t>55</t>
  </si>
  <si>
    <t>ask</t>
  </si>
  <si>
    <t>Holmes asked , when I had finished my report .</t>
  </si>
  <si>
    <t>file://conllu/en/doyle_bask.14.conllu#s55_0</t>
  </si>
  <si>
    <t>56</t>
  </si>
  <si>
    <t>since?</t>
  </si>
  <si>
    <t>&amp;quot; No . &amp;quot; &amp;quot; Where can she be , then , since there is no light in any other room except the kitchen ? &amp;quot;</t>
  </si>
  <si>
    <t>file://conllu/en/doyle_bask.14.conllu#s56_0</t>
  </si>
  <si>
    <t>57</t>
  </si>
  <si>
    <t>&amp;quot; I can not think where she is . &amp;quot;</t>
  </si>
  <si>
    <t>file://conllu/en/doyle_bask.14.conllu#s57_0</t>
  </si>
  <si>
    <t>58</t>
  </si>
  <si>
    <t>I have said that over the great Grimpen Mire there hung a dense , white fog .</t>
  </si>
  <si>
    <t>file://conllu/en/doyle_bask.14.conllu#s58_0</t>
  </si>
  <si>
    <t>59</t>
  </si>
  <si>
    <t>drift</t>
  </si>
  <si>
    <t>It was drifting slowly in our direction , and banked itself up like a wall on that side of us , low , but thick and well defined .</t>
  </si>
  <si>
    <t>file://conllu/en/doyle_bask.14.conllu#s59_0</t>
  </si>
  <si>
    <t>60</t>
  </si>
  <si>
    <t>shone</t>
  </si>
  <si>
    <t>The moon shone on it , and it looked like a great shimmering ice field , with the heads of the distant tors as rocks borne upon its surface .</t>
  </si>
  <si>
    <t>file://conllu/en/doyle_bask.14.conllu#s60_0</t>
  </si>
  <si>
    <t>61</t>
  </si>
  <si>
    <t>Holmes 's face was turned towards it , and he muttered impatiently as he watched its sluggish drift .</t>
  </si>
  <si>
    <t>file://conllu/en/doyle_bask.14.conllu#s61_0</t>
  </si>
  <si>
    <t>62</t>
  </si>
  <si>
    <t>&amp;quot; It 's moving towards us , Watson . &amp;quot;</t>
  </si>
  <si>
    <t>file://conllu/en/doyle_bask.14.conllu#s62_0</t>
  </si>
  <si>
    <t>63</t>
  </si>
  <si>
    <t>be (be serious)</t>
  </si>
  <si>
    <t>&amp;quot; Is that serious ? &amp;quot;</t>
  </si>
  <si>
    <t>file://conllu/en/doyle_bask.14.conllu#s63_0</t>
  </si>
  <si>
    <t>64</t>
  </si>
  <si>
    <t>thing</t>
  </si>
  <si>
    <t>&amp;quot; Very serious , indeed —the one thing upon earth which could have disarranged my plans .</t>
  </si>
  <si>
    <t>file://conllu/en/doyle_bask.14.conllu#s64_0</t>
  </si>
  <si>
    <t>65</t>
  </si>
  <si>
    <t>be (be long)</t>
  </si>
  <si>
    <t>He ca n't be very long , now .</t>
  </si>
  <si>
    <t>file://conllu/en/doyle_bask.14.conllu#s65_0</t>
  </si>
  <si>
    <t>66</t>
  </si>
  <si>
    <t>be (be o'clock)</t>
  </si>
  <si>
    <t>It is already ten o'clock .</t>
  </si>
  <si>
    <t>file://conllu/en/doyle_bask.14.conllu#s66_0</t>
  </si>
  <si>
    <t>67</t>
  </si>
  <si>
    <t>be (be path)</t>
  </si>
  <si>
    <t>Our success and even his life may depend upon his coming out before the fog is over the path . &amp;quot;</t>
  </si>
  <si>
    <t>file://conllu/en/doyle_bask.14.conllu#s67_0</t>
  </si>
  <si>
    <t>68</t>
  </si>
  <si>
    <t>be (be clear)</t>
  </si>
  <si>
    <t>The night was clear and fine above us .</t>
  </si>
  <si>
    <t>file://conllu/en/doyle_bask.14.conllu#s68_0</t>
  </si>
  <si>
    <t>69</t>
  </si>
  <si>
    <t>The stars shone cold and bright , while a half moon bathed the whole scene in a soft , uncertain light .</t>
  </si>
  <si>
    <t>file://conllu/en/doyle_bask.14.conllu#s69_0</t>
  </si>
  <si>
    <t>70</t>
  </si>
  <si>
    <t>before?</t>
  </si>
  <si>
    <t>be (be roof)</t>
  </si>
  <si>
    <t>Before us lay the dark bulk of the house , it s serrated roof and bristling chimneys hard outlined against the silver spangled sky .</t>
  </si>
  <si>
    <t>file://conllu/en/doyle_bask.14.conllu#s70_0</t>
  </si>
  <si>
    <t>71</t>
  </si>
  <si>
    <t>bar</t>
  </si>
  <si>
    <t>Broad bars of golden light from the lower windows stretched across the orchard and the moor .</t>
  </si>
  <si>
    <t>file://conllu/en/doyle_bask.14.conllu#s71_0</t>
  </si>
  <si>
    <t>72</t>
  </si>
  <si>
    <t>shut</t>
  </si>
  <si>
    <t>One of them was suddenly shut off .</t>
  </si>
  <si>
    <t>file://conllu/en/doyle_bask.14.conllu#s72_0</t>
  </si>
  <si>
    <t>73</t>
  </si>
  <si>
    <t>leave</t>
  </si>
  <si>
    <t>The servants had left the kitchen .</t>
  </si>
  <si>
    <t>file://conllu/en/doyle_bask.14.conllu#s73_0</t>
  </si>
  <si>
    <t>74</t>
  </si>
  <si>
    <t>remain</t>
  </si>
  <si>
    <t>There only remained the lamp in the dining room where the two men , the murderous host and the unconscious guest , still chatted over their cigars .</t>
  </si>
  <si>
    <t>file://conllu/en/doyle_bask.14.conllu#s74_0</t>
  </si>
  <si>
    <t>75</t>
  </si>
  <si>
    <t>minute</t>
  </si>
  <si>
    <t>Every minute that white woolly plain which covered one half of the moor was drifting closer and closer to the house .</t>
  </si>
  <si>
    <t>file://conllu/en/doyle_bask.14.conllu#s75_0</t>
  </si>
  <si>
    <t>76</t>
  </si>
  <si>
    <t>curl</t>
  </si>
  <si>
    <t>Already the first thin wisps of it were curling across the golden square of the lighted window .</t>
  </si>
  <si>
    <t>file://conllu/en/doyle_bask.14.conllu#s76_0</t>
  </si>
  <si>
    <t>77</t>
  </si>
  <si>
    <t>be (be invisible)</t>
  </si>
  <si>
    <t>The farther wall of the orchard was already invisible , and the trees were standing out of a swirl of white vapour .</t>
  </si>
  <si>
    <t>file://conllu/en/doyle_bask.14.conllu#s77_0</t>
  </si>
  <si>
    <t>78</t>
  </si>
  <si>
    <t>as?</t>
  </si>
  <si>
    <t>As we watched it the fog wreaths came crawling round both corners of the house and rolled slowly into one dense bank , on which the upper floor and the roof floated like a strange ship upon a shadowy sea .</t>
  </si>
  <si>
    <t>file://conllu/en/doyle_bask.14.conllu#s78_0</t>
  </si>
  <si>
    <t>79</t>
  </si>
  <si>
    <t>struck</t>
  </si>
  <si>
    <t>Holmes struck his hand passionately upon the rock in front of us and stamped his feet in his impatience .</t>
  </si>
  <si>
    <t>file://conllu/en/doyle_bask.14.conllu#s79_0</t>
  </si>
  <si>
    <t>80</t>
  </si>
  <si>
    <t>if?</t>
  </si>
  <si>
    <t>cover</t>
  </si>
  <si>
    <t>&amp;quot; If he is n't out in a quarter of an hour the path will be covered .</t>
  </si>
  <si>
    <t>file://conllu/en/doyle_bask.14.conllu#s80_0</t>
  </si>
  <si>
    <t>81</t>
  </si>
  <si>
    <t>be (be able)</t>
  </si>
  <si>
    <t>In half an hour we wo n't be able to see our hands in front of us . &amp;quot;</t>
  </si>
  <si>
    <t>file://conllu/en/doyle_bask.14.conllu#s81_0</t>
  </si>
  <si>
    <t>82</t>
  </si>
  <si>
    <t>&amp;quot; Shall we move farther back upon higher ground ? &amp;quot;</t>
  </si>
  <si>
    <t>file://conllu/en/doyle_bask.14.conllu#s82_0</t>
  </si>
  <si>
    <t>83</t>
  </si>
  <si>
    <t>as well?</t>
  </si>
  <si>
    <t>&amp;quot; Yes , I think it would be as well . &amp;quot;</t>
  </si>
  <si>
    <t>file://conllu/en/doyle_bask.14.conllu#s83_0</t>
  </si>
  <si>
    <t>84</t>
  </si>
  <si>
    <t>flow</t>
  </si>
  <si>
    <t>So as the fog bank flowed onward we fell back before it until we were half a mile from the house , and still that dense white sea , with the moon silvering its upper edge , swept slowly and inexorably on .</t>
  </si>
  <si>
    <t>file://conllu/en/doyle_bask.14.conllu#s84_0</t>
  </si>
  <si>
    <t>85</t>
  </si>
  <si>
    <t>&amp;quot; We are going too far , &amp;quot; said Holmes .</t>
  </si>
  <si>
    <t>file://conllu/en/doyle_bask.14.conllu#s85_0</t>
  </si>
  <si>
    <t>86</t>
  </si>
  <si>
    <t>dare</t>
  </si>
  <si>
    <t>&amp;quot; We dare not take the chance of his being overtaken before he can reach us .</t>
  </si>
  <si>
    <t>file://conllu/en/doyle_bask.14.conllu#s86_0</t>
  </si>
  <si>
    <t>87</t>
  </si>
  <si>
    <t>hold</t>
  </si>
  <si>
    <t>At all costs we must hold our ground where we are . &amp;quot;</t>
  </si>
  <si>
    <t>file://conllu/en/doyle_bask.14.conllu#s87_0</t>
  </si>
  <si>
    <t>88</t>
  </si>
  <si>
    <t>drop</t>
  </si>
  <si>
    <t>He dropped on his knees and clapped his ear to the ground .</t>
  </si>
  <si>
    <t>file://conllu/en/doyle_bask.14.conllu#s88_0</t>
  </si>
  <si>
    <t>89</t>
  </si>
  <si>
    <t>thank</t>
  </si>
  <si>
    <t>&amp;quot; Thank God , I think that I hear him coming . &amp;quot;</t>
  </si>
  <si>
    <t>file://conllu/en/doyle_bask.14.conllu#s89_0</t>
  </si>
  <si>
    <t>90</t>
  </si>
  <si>
    <t>break</t>
  </si>
  <si>
    <t>A sound of quick steps broke the silence of the moor .</t>
  </si>
  <si>
    <t>file://conllu/en/doyle_bask.14.conllu#s90_0</t>
  </si>
  <si>
    <t>91</t>
  </si>
  <si>
    <t>stare</t>
  </si>
  <si>
    <t>Crouching among the stones we stared intently at the silver tipped bank in front of us .</t>
  </si>
  <si>
    <t>file://conllu/en/doyle_bask.14.conllu#s91_0</t>
  </si>
  <si>
    <t>92</t>
  </si>
  <si>
    <t>grow</t>
  </si>
  <si>
    <t>The steps grew louder , and through the fog , as through a curtain , there stepped the man whom we were awaiting .</t>
  </si>
  <si>
    <t>file://conllu/en/doyle_bask.14.conllu#s92_0</t>
  </si>
  <si>
    <t>93</t>
  </si>
  <si>
    <t>look</t>
  </si>
  <si>
    <t>He looked round him in surprise as he emerged into the clear , starlit night .</t>
  </si>
  <si>
    <t>file://conllu/en/doyle_bask.14.conllu#s93_0</t>
  </si>
  <si>
    <t>94</t>
  </si>
  <si>
    <t>Then he came swiftly along the path , passed close to where we lay , and went on up the long slope behind us .</t>
  </si>
  <si>
    <t>file://conllu/en/doyle_bask.14.conllu#s94_0</t>
  </si>
  <si>
    <t>95</t>
  </si>
  <si>
    <t>glance</t>
  </si>
  <si>
    <t>As he walked he glanced continually over either shoulder , like a man who is ill at ease .</t>
  </si>
  <si>
    <t>file://conllu/en/doyle_bask.14.conllu#s95_0</t>
  </si>
  <si>
    <t>96</t>
  </si>
  <si>
    <t>hear (hear cry)</t>
  </si>
  <si>
    <t>&amp;quot; Hist ! &amp;quot; cried Holmes , and I heard the sharp click of a cocking pistol .</t>
  </si>
  <si>
    <t>file://conllu/en/doyle_bask.14.conllu#s96_0</t>
  </si>
  <si>
    <t>97</t>
  </si>
  <si>
    <t>&amp;quot; Look out !</t>
  </si>
  <si>
    <t>file://conllu/en/doyle_bask.14.conllu#s97_0</t>
  </si>
  <si>
    <t>98</t>
  </si>
  <si>
    <t>It 's coming ! &amp;quot;</t>
  </si>
  <si>
    <t>file://conllu/en/doyle_bask.14.conllu#s98_0</t>
  </si>
  <si>
    <t>99</t>
  </si>
  <si>
    <t>There was a thin , crisp , continuous patter from somewhere in the heart of that crawling bank .</t>
  </si>
  <si>
    <t>file://conllu/en/doyle_bask.14.conllu#s99_0</t>
  </si>
  <si>
    <t>100</t>
  </si>
  <si>
    <t>be (be yard)</t>
  </si>
  <si>
    <t>The cloud was within fifty yards of where we lay , and we glared at it , all three , uncertain what horror was about to break from the heart of it .</t>
  </si>
  <si>
    <t>file://conllu/en/doyle_bask.14.conllu#s100_0</t>
  </si>
  <si>
    <t>101</t>
  </si>
  <si>
    <t>be (be elbow)</t>
  </si>
  <si>
    <t>I was at Holmes 's elbow , and I glanced for an instant at his face .</t>
  </si>
  <si>
    <t>file://conllu/en/doyle_bask.14.conllu#s101_0</t>
  </si>
  <si>
    <t>102</t>
  </si>
  <si>
    <t>be (be pale)</t>
  </si>
  <si>
    <t>It was pale and exultant , his eyes shining brightly in the moonlight .</t>
  </si>
  <si>
    <t>file://conllu/en/doyle_bask.14.conllu#s102_0</t>
  </si>
  <si>
    <t>103</t>
  </si>
  <si>
    <t>start</t>
  </si>
  <si>
    <t>But suddenly they started forward in a rigid , fixed stare , and his lips parted in amazement .</t>
  </si>
  <si>
    <t>file://conllu/en/doyle_bask.14.conllu#s103_0</t>
  </si>
  <si>
    <t>104</t>
  </si>
  <si>
    <t>give</t>
  </si>
  <si>
    <t>At the same instant Lestrade gave a yell of terror and threw himself face downward upon the ground .</t>
  </si>
  <si>
    <t>file://conllu/en/doyle_bask.14.conllu#s104_0</t>
  </si>
  <si>
    <t>105</t>
  </si>
  <si>
    <t>spring</t>
  </si>
  <si>
    <t>I sprang to my feet , my inert hand grasping my pistol , my mind paralyzed by the dreadful shape which had sprung out upon us from the shadows of the fog .</t>
  </si>
  <si>
    <t>file://conllu/en/doyle_bask.14.conllu#s105_0</t>
  </si>
  <si>
    <t>106</t>
  </si>
  <si>
    <t>A hound it was , an enormous coal black hound , but not such a hound as mortal eyes have ever seen .</t>
  </si>
  <si>
    <t>file://conllu/en/doyle_bask.14.conllu#s106_0</t>
  </si>
  <si>
    <t>107</t>
  </si>
  <si>
    <t>fire</t>
  </si>
  <si>
    <t>Fire burst from its open mouth , it s eyes glowed with a smouldering glare , its muzzle and hackles and dewlap were outlined in flickering flame .</t>
  </si>
  <si>
    <t>file://conllu/en/doyle_bask.14.conllu#s107_0</t>
  </si>
  <si>
    <t>108</t>
  </si>
  <si>
    <t>conceive</t>
  </si>
  <si>
    <t>Never in the delirious dream of a disordered brain could anything more savage , more appalling , more hellish be conceived than that dark form and savage face which broke upon us out of the wall of fog .</t>
  </si>
  <si>
    <t>file://conllu/en/doyle_bask.14.conllu#s108_0</t>
  </si>
  <si>
    <t>109</t>
  </si>
  <si>
    <t>leap</t>
  </si>
  <si>
    <t>With long bounds the huge black creature was leaping down the track , following hard upon the footsteps of our friend .</t>
  </si>
  <si>
    <t>file://conllu/en/doyle_bask.14.conllu#s109_0</t>
  </si>
  <si>
    <t>110</t>
  </si>
  <si>
    <t>be (be paralyzed)</t>
  </si>
  <si>
    <t>So paralyzed were we by the apparition that we allowed him to pass before we had recovered our nerve .</t>
  </si>
  <si>
    <t>file://conllu/en/doyle_bask.14.conllu#s110_0</t>
  </si>
  <si>
    <t>111</t>
  </si>
  <si>
    <t>Then Holmes and I both fired together , and the creature gave a hideous howl , which showed that one at least had hit him .</t>
  </si>
  <si>
    <t>file://conllu/en/doyle_bask.14.conllu#s111_0</t>
  </si>
  <si>
    <t>112</t>
  </si>
  <si>
    <t>pause</t>
  </si>
  <si>
    <t>He did not pause , however , but bounded onward .</t>
  </si>
  <si>
    <t>file://conllu/en/doyle_bask.14.conllu#s112_0</t>
  </si>
  <si>
    <t>113</t>
  </si>
  <si>
    <t>Far away on the path we saw Sir Henry looking back , his face white in the moonlight , his hands raised in horror , glaring helplessly at the frightful thing which was hunting him down .</t>
  </si>
  <si>
    <t>file://conllu/en/doyle_bask.14.conllu#s113_0</t>
  </si>
  <si>
    <t>114</t>
  </si>
  <si>
    <t>blow</t>
  </si>
  <si>
    <t>But that cry of pain from the hound had blown all our fears to the winds .</t>
  </si>
  <si>
    <t>file://conllu/en/doyle_bask.14.conllu#s114_0</t>
  </si>
  <si>
    <t>115</t>
  </si>
  <si>
    <t>be (be mortal)</t>
  </si>
  <si>
    <t>If he was vulnerable he was mortal , and if we could wound him we could kill him .</t>
  </si>
  <si>
    <t>file://conllu/en/doyle_bask.14.conllu#s115_0</t>
  </si>
  <si>
    <t>116</t>
  </si>
  <si>
    <t>Never have I seen a man run as Holmes ran that night .</t>
  </si>
  <si>
    <t>file://conllu/en/doyle_bask.14.conllu#s116_0</t>
  </si>
  <si>
    <t>117</t>
  </si>
  <si>
    <t>reckon</t>
  </si>
  <si>
    <t>I am reckoned fleet of foot , but he outpaced me as much as I outpaced the little professional .</t>
  </si>
  <si>
    <t>file://conllu/en/doyle_bask.14.conllu#s117_0</t>
  </si>
  <si>
    <t>118</t>
  </si>
  <si>
    <t>fly</t>
  </si>
  <si>
    <t>In front of us as we flew up the track we heard scream after scream from Sir Henry and the deep roar of the hound .</t>
  </si>
  <si>
    <t>file://conllu/en/doyle_bask.14.conllu#s118_0</t>
  </si>
  <si>
    <t>119</t>
  </si>
  <si>
    <t>be (be time)</t>
  </si>
  <si>
    <t>I was in time to see the beast spring upon it s victim , hurl him to the ground , and worry at his throat .</t>
  </si>
  <si>
    <t>file://conllu/en/doyle_bask.14.conllu#s119_0</t>
  </si>
  <si>
    <t>120</t>
  </si>
  <si>
    <t>next?</t>
  </si>
  <si>
    <t>empty</t>
  </si>
  <si>
    <t>But the next instant Holmes had emptied five barrels of his revolver into the creature 's flank .</t>
  </si>
  <si>
    <t>file://conllu/en/doyle_bask.14.conllu#s120_0</t>
  </si>
  <si>
    <t>121</t>
  </si>
  <si>
    <t>roll</t>
  </si>
  <si>
    <t>With a last howl of agony and a vicious snap in the air , it rolled upon its back , four feet pawing furiously , and then fell limp upon its side .</t>
  </si>
  <si>
    <t>file://conllu/en/doyle_bask.14.conllu#s121_0</t>
  </si>
  <si>
    <t>122</t>
  </si>
  <si>
    <t>stoop</t>
  </si>
  <si>
    <t>I stooped , panting , and pressed my pistol to the dreadful , shimmering head , but it was useless to press the trigger .</t>
  </si>
  <si>
    <t>file://conllu/en/doyle_bask.14.conllu#s122_0</t>
  </si>
  <si>
    <t>123</t>
  </si>
  <si>
    <t>be (be dead)</t>
  </si>
  <si>
    <t>The giant hound was dead .</t>
  </si>
  <si>
    <t>file://conllu/en/doyle_bask.14.conllu#s123_0</t>
  </si>
  <si>
    <t>124</t>
  </si>
  <si>
    <t>Sir</t>
  </si>
  <si>
    <t>file://conllu/en/doyle_bask.14.conllu#s124_0</t>
  </si>
  <si>
    <t>125</t>
  </si>
  <si>
    <t>lay</t>
  </si>
  <si>
    <t>Henry lay insensible where he had fallen .</t>
  </si>
  <si>
    <t>file://conllu/en/doyle_bask.14.conllu#s125_0</t>
  </si>
  <si>
    <t>126</t>
  </si>
  <si>
    <t>tore</t>
  </si>
  <si>
    <t>We tore away his collar , and Holmes breathed a prayer of gratitude when we saw that there was no sign of a wound and that the rescue had been in time .</t>
  </si>
  <si>
    <t>file://conllu/en/doyle_bask.14.conllu#s126_0</t>
  </si>
  <si>
    <t>127</t>
  </si>
  <si>
    <t>shiver</t>
  </si>
  <si>
    <t>Already our friend 's eyelids shivered and he made a feeble effort to move .</t>
  </si>
  <si>
    <t>file://conllu/en/doyle_bask.14.conllu#s127_0</t>
  </si>
  <si>
    <t>128</t>
  </si>
  <si>
    <t>thrust</t>
  </si>
  <si>
    <t>Lestrade thrust his brandy flask between the baronet 's teeth , and two frightened eyes were looking up at us .</t>
  </si>
  <si>
    <t>file://conllu/en/doyle_bask.14.conllu#s128_0</t>
  </si>
  <si>
    <t>129</t>
  </si>
  <si>
    <t>whisper</t>
  </si>
  <si>
    <t>&amp;quot; My God ! &amp;quot; he whispered .</t>
  </si>
  <si>
    <t>file://conllu/en/doyle_bask.14.conllu#s129_0</t>
  </si>
  <si>
    <t>130</t>
  </si>
  <si>
    <t>&amp;quot; What was it ?</t>
  </si>
  <si>
    <t>file://conllu/en/doyle_bask.14.conllu#s130_0</t>
  </si>
  <si>
    <t>131</t>
  </si>
  <si>
    <t>What , in heaven 's name , was it ? &amp;quot;</t>
  </si>
  <si>
    <t>file://conllu/en/doyle_bask.14.conllu#s131_0</t>
  </si>
  <si>
    <t>132</t>
  </si>
  <si>
    <t>&amp;quot; It 's dead , whatever it is , &amp;quot; said Holmes .</t>
  </si>
  <si>
    <t>file://conllu/en/doyle_bask.14.conllu#s132_0</t>
  </si>
  <si>
    <t>133</t>
  </si>
  <si>
    <t>once?</t>
  </si>
  <si>
    <t>&amp;quot; We 've laid the family ghost once and forever . &amp;quot;</t>
  </si>
  <si>
    <t>file://conllu/en/doyle_bask.14.conllu#s133_0</t>
  </si>
  <si>
    <t>134</t>
  </si>
  <si>
    <t>be (be creature)</t>
  </si>
  <si>
    <t>In mere size and strength it was a terrible creature which was lying stretched before us .</t>
  </si>
  <si>
    <t>file://conllu/en/doyle_bask.14.conllu#s134_0</t>
  </si>
  <si>
    <t>135</t>
  </si>
  <si>
    <t>be (be bloodhound)</t>
  </si>
  <si>
    <t>It was not a pure bloodhound and it was not a pure mastiff ; but it appeared to be a combination of the two —gaunt , savage , and as large as a small lioness .</t>
  </si>
  <si>
    <t>file://conllu/en/doyle_bask.14.conllu#s135_0</t>
  </si>
  <si>
    <t>136</t>
  </si>
  <si>
    <t>seem</t>
  </si>
  <si>
    <t>Even now , in the stillness of death , the huge jaws seemed to be dripping with a bluish flame and the small , deep set , cruel eyes were ringed with fire .</t>
  </si>
  <si>
    <t>file://conllu/en/doyle_bask.14.conllu#s136_0</t>
  </si>
  <si>
    <t>137</t>
  </si>
  <si>
    <t>place</t>
  </si>
  <si>
    <t>I placed my hand upon the glowing muzzle , and as I held them up my own fingers smouldered and gleamed in the darkness .</t>
  </si>
  <si>
    <t>file://conllu/en/doyle_bask.14.conllu#s137_0</t>
  </si>
  <si>
    <t>138</t>
  </si>
  <si>
    <t>&amp;quot; Phosphorus , &amp;quot; I said .</t>
  </si>
  <si>
    <t>file://conllu/en/doyle_bask.14.conllu#s138_0</t>
  </si>
  <si>
    <t>139</t>
  </si>
  <si>
    <t>&amp;quot; A cunning preparation of it , &amp;quot; said Holmes , sniffing at the dead animal .</t>
  </si>
  <si>
    <t>file://conllu/en/doyle_bask.14.conllu#s139_0</t>
  </si>
  <si>
    <t>140</t>
  </si>
  <si>
    <t>&amp;quot; There is no smell which might have interfered with his power of scent .</t>
  </si>
  <si>
    <t>file://conllu/en/doyle_bask.14.conllu#s140_0</t>
  </si>
  <si>
    <t>141</t>
  </si>
  <si>
    <t>for?</t>
  </si>
  <si>
    <t>owe</t>
  </si>
  <si>
    <t>We owe you a deep apology , Sir Henry , for having exposed you to this fright .</t>
  </si>
  <si>
    <t>file://conllu/en/doyle_bask.14.conllu#s141_0</t>
  </si>
  <si>
    <t>142</t>
  </si>
  <si>
    <t>prepare</t>
  </si>
  <si>
    <t>I was prepared for a hound , but not for such a creature as this .</t>
  </si>
  <si>
    <t>file://conllu/en/doyle_bask.14.conllu#s142_0</t>
  </si>
  <si>
    <t>143</t>
  </si>
  <si>
    <t>And the fog gave us little time to receive him . &amp;quot;</t>
  </si>
  <si>
    <t>file://conllu/en/doyle_bask.14.conllu#s143_0</t>
  </si>
  <si>
    <t>144</t>
  </si>
  <si>
    <t>save</t>
  </si>
  <si>
    <t>&amp;quot; You have saved my life . &amp;quot;</t>
  </si>
  <si>
    <t>file://conllu/en/doyle_bask.14.conllu#s144_0</t>
  </si>
  <si>
    <t>145</t>
  </si>
  <si>
    <t>have</t>
  </si>
  <si>
    <t>&amp;quot; Having first endangered it .</t>
  </si>
  <si>
    <t>file://conllu/en/doyle_bask.14.conllu#s145_0</t>
  </si>
  <si>
    <t>146</t>
  </si>
  <si>
    <t>be (be enough)</t>
  </si>
  <si>
    <t>Are you strong enough to stand ? &amp;quot;</t>
  </si>
  <si>
    <t>file://conllu/en/doyle_bask.14.conllu#s146_0</t>
  </si>
  <si>
    <t>147</t>
  </si>
  <si>
    <t>&amp;quot; Give me another mouthful of that brandy and I shall be ready for anything .</t>
  </si>
  <si>
    <t>file://conllu/en/doyle_bask.14.conllu#s147_0</t>
  </si>
  <si>
    <t>148</t>
  </si>
  <si>
    <t>so</t>
  </si>
  <si>
    <t>So !</t>
  </si>
  <si>
    <t>file://conllu/en/doyle_bask.14.conllu#s148_0</t>
  </si>
  <si>
    <t>149</t>
  </si>
  <si>
    <t>help</t>
  </si>
  <si>
    <t>Now , if you will help me up .</t>
  </si>
  <si>
    <t>file://conllu/en/doyle_bask.14.conllu#s149_0</t>
  </si>
  <si>
    <t>150</t>
  </si>
  <si>
    <t>propose</t>
  </si>
  <si>
    <t>What do you propose to do ? &amp;quot;</t>
  </si>
  <si>
    <t>file://conllu/en/doyle_bask.14.conllu#s150_0</t>
  </si>
  <si>
    <t>151</t>
  </si>
  <si>
    <t>&amp;quot; To leave you here .</t>
  </si>
  <si>
    <t>file://conllu/en/doyle_bask.14.conllu#s151_0</t>
  </si>
  <si>
    <t>152</t>
  </si>
  <si>
    <t>further?</t>
  </si>
  <si>
    <t>fit</t>
  </si>
  <si>
    <t>You are not fit for further adventures to night .</t>
  </si>
  <si>
    <t>file://conllu/en/doyle_bask.14.conllu#s152_0</t>
  </si>
  <si>
    <t>153</t>
  </si>
  <si>
    <t>&amp;quot;</t>
  </si>
  <si>
    <t>If you will wait , one or other of us will go back with you to the Hall . &amp;quot;</t>
  </si>
  <si>
    <t>file://conllu/en/doyle_bask.14.conllu#s153_0</t>
  </si>
  <si>
    <t>154</t>
  </si>
  <si>
    <t>still?</t>
  </si>
  <si>
    <t>He tried to stagger to his feet ; but he was still ghastly pale and trembling in every limb .</t>
  </si>
  <si>
    <t>file://conllu/en/doyle_bask.14.conllu#s154_0</t>
  </si>
  <si>
    <t>155</t>
  </si>
  <si>
    <t>We helped him to a rock , where he sat shivering with his face buried in his hands .</t>
  </si>
  <si>
    <t>file://conllu/en/doyle_bask.14.conllu#s155_0</t>
  </si>
  <si>
    <t>156</t>
  </si>
  <si>
    <t>&amp;quot; We must leave you now , &amp;quot; said Holmes .</t>
  </si>
  <si>
    <t>file://conllu/en/doyle_bask.14.conllu#s156_0</t>
  </si>
  <si>
    <t>157</t>
  </si>
  <si>
    <t>do</t>
  </si>
  <si>
    <t>&amp;quot; The rest of our work must be done , and every moment is of importance .</t>
  </si>
  <si>
    <t>file://conllu/en/doyle_bask.14.conllu#s157_0</t>
  </si>
  <si>
    <t>158</t>
  </si>
  <si>
    <t>We have our case , and now we only want our man .</t>
  </si>
  <si>
    <t>file://conllu/en/doyle_bask.14.conllu#s158_0</t>
  </si>
  <si>
    <t>159</t>
  </si>
  <si>
    <t>be (be thousand)</t>
  </si>
  <si>
    <t>&amp;quot; It 's a thousand to one against our finding him at the house , &amp;quot; he continued as we retraced our steps swiftly down the path .</t>
  </si>
  <si>
    <t>file://conllu/en/doyle_bask.14.conllu#s159_0</t>
  </si>
  <si>
    <t>160</t>
  </si>
  <si>
    <t>&amp;quot; Those shots must have told him that the game was up . &amp;quot;</t>
  </si>
  <si>
    <t>file://conllu/en/doyle_bask.14.conllu#s160_0</t>
  </si>
  <si>
    <t>161</t>
  </si>
  <si>
    <t>be (be off)</t>
  </si>
  <si>
    <t>&amp;quot; We were some distance off , and this fog may have deadened them . &amp;quot;</t>
  </si>
  <si>
    <t>file://conllu/en/doyle_bask.14.conllu#s161_0</t>
  </si>
  <si>
    <t>162</t>
  </si>
  <si>
    <t>follow</t>
  </si>
  <si>
    <t>&amp;quot; He followed the hound to call him off —of that you may be certain .</t>
  </si>
  <si>
    <t>file://conllu/en/doyle_bask.14.conllu#s162_0</t>
  </si>
  <si>
    <t>163</t>
  </si>
  <si>
    <t>go</t>
  </si>
  <si>
    <t>No , no , he 's gone by this time !</t>
  </si>
  <si>
    <t>file://conllu/en/doyle_bask.14.conllu#s163_0</t>
  </si>
  <si>
    <t>164</t>
  </si>
  <si>
    <t>search</t>
  </si>
  <si>
    <t>But we 'll search the house and make sure . &amp;quot;</t>
  </si>
  <si>
    <t>file://conllu/en/doyle_bask.14.conllu#s164_0</t>
  </si>
  <si>
    <t>165</t>
  </si>
  <si>
    <t>be (be open)</t>
  </si>
  <si>
    <t>The front door was open , so we rushed in and hurried from room to room to the amazement of a doddering old manservant , who met us in the passage .</t>
  </si>
  <si>
    <t>file://conllu/en/doyle_bask.14.conllu#s165_0</t>
  </si>
  <si>
    <t>166</t>
  </si>
  <si>
    <t>There was no light save in the dining room , but Holmes caught up the lamp and left no corner of the house unexplored .</t>
  </si>
  <si>
    <t>file://conllu/en/doyle_bask.14.conllu#s166_0</t>
  </si>
  <si>
    <t>167</t>
  </si>
  <si>
    <t>No sign could we see of the man whom we were chasing .</t>
  </si>
  <si>
    <t>file://conllu/en/doyle_bask.14.conllu#s167_0</t>
  </si>
  <si>
    <t>168</t>
  </si>
  <si>
    <t>lock</t>
  </si>
  <si>
    <t>On the upper floor , however , one of the bedroom doors was locked .</t>
  </si>
  <si>
    <t>file://conllu/en/doyle_bask.14.conllu#s168_0</t>
  </si>
  <si>
    <t>169</t>
  </si>
  <si>
    <t>&amp;quot; There 's someone in here , &amp;quot; cried Lestrade .</t>
  </si>
  <si>
    <t>file://conllu/en/doyle_bask.14.conllu#s169_0</t>
  </si>
  <si>
    <t>170</t>
  </si>
  <si>
    <t>&amp;quot; I can hear a movement .</t>
  </si>
  <si>
    <t>file://conllu/en/doyle_bask.14.conllu#s170_0</t>
  </si>
  <si>
    <t>171</t>
  </si>
  <si>
    <t>open</t>
  </si>
  <si>
    <t>Open this door ! &amp;quot;</t>
  </si>
  <si>
    <t>file://conllu/en/doyle_bask.14.conllu#s171_0</t>
  </si>
  <si>
    <t>172</t>
  </si>
  <si>
    <t>moan</t>
  </si>
  <si>
    <t>A fai nt moaning and rustling came from within .</t>
  </si>
  <si>
    <t>file://conllu/en/doyle_bask.14.conllu#s172_0</t>
  </si>
  <si>
    <t>173</t>
  </si>
  <si>
    <t>Holmes struck the door just over the lock with the flat of his foot and it flew open .</t>
  </si>
  <si>
    <t>file://conllu/en/doyle_bask.14.conllu#s173_0</t>
  </si>
  <si>
    <t>174</t>
  </si>
  <si>
    <t>Pistol</t>
  </si>
  <si>
    <t>Pistol in hand , we all three rushed into the room .</t>
  </si>
  <si>
    <t>file://conllu/en/doyle_bask.14.conllu#s174_0</t>
  </si>
  <si>
    <t>175</t>
  </si>
  <si>
    <t>But there was no sign within it of that desperate and defiant villain whom we expected to see .</t>
  </si>
  <si>
    <t>file://conllu/en/doyle_bask.14.conllu#s175_0</t>
  </si>
  <si>
    <t>176</t>
  </si>
  <si>
    <t>instead?</t>
  </si>
  <si>
    <t>face</t>
  </si>
  <si>
    <t>Instead we were faced by an object so strange and so unexpected that we stood for a moment staring at it in amazement .</t>
  </si>
  <si>
    <t>file://conllu/en/doyle_bask.14.conllu#s176_0</t>
  </si>
  <si>
    <t>177</t>
  </si>
  <si>
    <t>fashio</t>
  </si>
  <si>
    <t>The room had been fashioned into a small museum , and the walls were lined by a number of glass topped cases full of that collection of butterflies and moths the formation of which had been the relaxation of this complex and dangerous man .</t>
  </si>
  <si>
    <t>file://conllu/en/doyle_bask.14.conllu#s177_0</t>
  </si>
  <si>
    <t>178</t>
  </si>
  <si>
    <t>In the centre of this room there was an upright beam , which had been placed at some period as a support for the old worm -eaten baulk of timber which spanned the roof .</t>
  </si>
  <si>
    <t>file://conllu/en/doyle_bask.14.conllu#s178_0</t>
  </si>
  <si>
    <t>179</t>
  </si>
  <si>
    <t>tie</t>
  </si>
  <si>
    <t>To this post a figure was tied , so swathed and muffled in the sheets which had been used to secure it that one could not for the moment tell whether it was that of a man or a woman .</t>
  </si>
  <si>
    <t>file://conllu/en/doyle_bask.14.conllu#s179_0</t>
  </si>
  <si>
    <t>180</t>
  </si>
  <si>
    <t>towel</t>
  </si>
  <si>
    <t>One towel passed round the throat and was secured at the back of the pillar .</t>
  </si>
  <si>
    <t>file://conllu/en/doyle_bask.14.conllu#s180_0</t>
  </si>
  <si>
    <t>181</t>
  </si>
  <si>
    <t>Another covered the lower part of the face , and over it two dark eyes —eyes full of grief and shame and a dreadful questioning —stared back at us .</t>
  </si>
  <si>
    <t>file://conllu/en/doyle_bask.14.conllu#s181_0</t>
  </si>
  <si>
    <t>182</t>
  </si>
  <si>
    <t>tear</t>
  </si>
  <si>
    <t>In a minute we had torn off the gag , unswathed the bonds , and Mrs.</t>
  </si>
  <si>
    <t>file://conllu/en/doyle_bask.14.conllu#s182_0</t>
  </si>
  <si>
    <t>183</t>
  </si>
  <si>
    <t>sank</t>
  </si>
  <si>
    <t>Stapleton sank upon the floor in front of us .</t>
  </si>
  <si>
    <t>file://conllu/en/doyle_bask.14.conllu#s183_0</t>
  </si>
  <si>
    <t>184</t>
  </si>
  <si>
    <t>fall</t>
  </si>
  <si>
    <t>As her beautiful head fell upon her chest I saw the clear red weal of a whiplash across her neck .</t>
  </si>
  <si>
    <t>file://conllu/en/doyle_bask.14.conllu#s184_0</t>
  </si>
  <si>
    <t>185</t>
  </si>
  <si>
    <t>cry</t>
  </si>
  <si>
    <t>&amp;quot; The brute ! &amp;quot; cried Holmes .</t>
  </si>
  <si>
    <t>file://conllu/en/doyle_bask.14.conllu#s185_0</t>
  </si>
  <si>
    <t>186</t>
  </si>
  <si>
    <t>here</t>
  </si>
  <si>
    <t>&amp;quot; Here , Lestrade , your brandy bottle !</t>
  </si>
  <si>
    <t>file://conllu/en/doyle_bask.14.conllu#s186_0</t>
  </si>
  <si>
    <t>187</t>
  </si>
  <si>
    <t>put</t>
  </si>
  <si>
    <t>Put her in the chair !</t>
  </si>
  <si>
    <t>file://conllu/en/doyle_bask.14.conllu#s187_0</t>
  </si>
  <si>
    <t>188</t>
  </si>
  <si>
    <t>faint</t>
  </si>
  <si>
    <t>She has fainted from ill usage and exhaustion . &amp;quot;</t>
  </si>
  <si>
    <t>file://conllu/en/doyle_bask.14.conllu#s188_0</t>
  </si>
  <si>
    <t>189</t>
  </si>
  <si>
    <t>She opened her eyes again .</t>
  </si>
  <si>
    <t>file://conllu/en/doyle_bask.14.conllu#s189_0</t>
  </si>
  <si>
    <t>190</t>
  </si>
  <si>
    <t>&amp;quot; Is he safe ? &amp;quot; she asked .</t>
  </si>
  <si>
    <t>file://conllu/en/doyle_bask.14.conllu#s190_0</t>
  </si>
  <si>
    <t>191</t>
  </si>
  <si>
    <t>escape</t>
  </si>
  <si>
    <t>&amp;quot; Has he escaped ? &amp;quot;</t>
  </si>
  <si>
    <t>file://conllu/en/doyle_bask.14.conllu#s191_0</t>
  </si>
  <si>
    <t>192</t>
  </si>
  <si>
    <t>&amp;quot; He can not escape us , madam . &amp;quot;</t>
  </si>
  <si>
    <t>file://conllu/en/doyle_bask.14.conllu#s192_0</t>
  </si>
  <si>
    <t>193</t>
  </si>
  <si>
    <t>mean</t>
  </si>
  <si>
    <t>&amp;quot; No , no , I did not mean my husband .</t>
  </si>
  <si>
    <t>file://conllu/en/doyle_bask.14.conllu#s193_0</t>
  </si>
  <si>
    <t>194</t>
  </si>
  <si>
    <t>Sir Henry ?</t>
  </si>
  <si>
    <t>file://conllu/en/doyle_bask.14.conllu#s194_0</t>
  </si>
  <si>
    <t>195</t>
  </si>
  <si>
    <t>be (be safe)</t>
  </si>
  <si>
    <t>Is he safe ? &amp;quot;</t>
  </si>
  <si>
    <t>file://conllu/en/doyle_bask.14.conllu#s195_0</t>
  </si>
  <si>
    <t>196</t>
  </si>
  <si>
    <t>yes</t>
  </si>
  <si>
    <t>&amp;quot; Yes . &amp;quot;</t>
  </si>
  <si>
    <t>file://conllu/en/doyle_bask.14.conllu#s196_0</t>
  </si>
  <si>
    <t>197</t>
  </si>
  <si>
    <t>hound</t>
  </si>
  <si>
    <t>&amp;quot; And the hound ? &amp;quot;</t>
  </si>
  <si>
    <t>file://conllu/en/doyle_bask.14.conllu#s197_0</t>
  </si>
  <si>
    <t>198</t>
  </si>
  <si>
    <t>&amp;quot; It is dead . &amp;quot;</t>
  </si>
  <si>
    <t>file://conllu/en/doyle_bask.14.conllu#s198_0</t>
  </si>
  <si>
    <t>199</t>
  </si>
  <si>
    <t>She gave a long sigh of satisfaction .</t>
  </si>
  <si>
    <t>file://conllu/en/doyle_bask.14.conllu#s199_0</t>
  </si>
  <si>
    <t>200</t>
  </si>
  <si>
    <t>&amp;quot; Thank God !</t>
  </si>
  <si>
    <t>file://conllu/en/doyle_bask.14.conllu#s200_0</t>
  </si>
  <si>
    <t>201</t>
  </si>
  <si>
    <t>Thank God !</t>
  </si>
  <si>
    <t>file://conllu/en/doyle_bask.14.conllu#s201_0</t>
  </si>
  <si>
    <t>202</t>
  </si>
  <si>
    <t>villain</t>
  </si>
  <si>
    <t>Oh , this villain !</t>
  </si>
  <si>
    <t>file://conllu/en/doyle_bask.14.conllu#s202_0</t>
  </si>
  <si>
    <t>203</t>
  </si>
  <si>
    <t>See how he has treated me ! &amp;quot;</t>
  </si>
  <si>
    <t>file://conllu/en/doyle_bask.14.conllu#s203_0</t>
  </si>
  <si>
    <t>204</t>
  </si>
  <si>
    <t>shot</t>
  </si>
  <si>
    <t>She shot her arms out from her sleeves , and we saw with horror that they were all mottled with bruises .</t>
  </si>
  <si>
    <t>file://conllu/en/doyle_bask.14.conllu#s204_0</t>
  </si>
  <si>
    <t>205</t>
  </si>
  <si>
    <t>be (be nothing)</t>
  </si>
  <si>
    <t>&amp;quot; But this is nothing —nothing !</t>
  </si>
  <si>
    <t>file://conllu/en/doyle_bask.14.conllu#s205_0</t>
  </si>
  <si>
    <t>206</t>
  </si>
  <si>
    <t>be (be mind)</t>
  </si>
  <si>
    <t>It is my mind and soul that he has tortured and defiled .</t>
  </si>
  <si>
    <t>file://conllu/en/doyle_bask.14.conllu#s206_0</t>
  </si>
  <si>
    <t>207</t>
  </si>
  <si>
    <t>endure</t>
  </si>
  <si>
    <t>I could endure it all , ill usage , solitude , a life of deception , everything , as long as I could still cling to the hope that I had his love , but now I know that in this also I have been his dupe and his tool . &amp;quot;</t>
  </si>
  <si>
    <t>file://conllu/en/doyle_bask.14.conllu#s207_0</t>
  </si>
  <si>
    <t>208</t>
  </si>
  <si>
    <t>She broke into passionate sobbing as she spoke .</t>
  </si>
  <si>
    <t>file://conllu/en/doyle_bask.14.conllu#s208_0</t>
  </si>
  <si>
    <t>209</t>
  </si>
  <si>
    <t>&amp;quot; You bear him no good will , madam , &amp;quot; said Holmes .</t>
  </si>
  <si>
    <t>file://conllu/en/doyle_bask.14.conllu#s209_0</t>
  </si>
  <si>
    <t>210</t>
  </si>
  <si>
    <t>find (find tell)</t>
  </si>
  <si>
    <t>&amp;quot; Tell us then where we shall find him .</t>
  </si>
  <si>
    <t>file://conllu/en/doyle_bask.14.conllu#s210_0</t>
  </si>
  <si>
    <t>211</t>
  </si>
  <si>
    <t>If you have ever aided him in evil , help us now and so atone . &amp;quot;</t>
  </si>
  <si>
    <t>file://conllu/en/doyle_bask.14.conllu#s211_0</t>
  </si>
  <si>
    <t>212</t>
  </si>
  <si>
    <t>&amp;quot; There is but one place where he can have fled , &amp;quot; she answered .</t>
  </si>
  <si>
    <t>file://conllu/en/doyle_bask.14.conllu#s212_0</t>
  </si>
  <si>
    <t>213</t>
  </si>
  <si>
    <t>&amp;quot; There is an old tin mine on an island in the heart of the mire .</t>
  </si>
  <si>
    <t>file://conllu/en/doyle_bask.14.conllu#s213_0</t>
  </si>
  <si>
    <t>214</t>
  </si>
  <si>
    <t>be (be there)</t>
  </si>
  <si>
    <t>It was there that he kept his hound and there also he had made preparations so that he might have a refuge .</t>
  </si>
  <si>
    <t>file://conllu/en/doyle_bask.14.conllu#s214_0</t>
  </si>
  <si>
    <t>215</t>
  </si>
  <si>
    <t>be (be where)</t>
  </si>
  <si>
    <t>That is where he would fly . &amp;quot;</t>
  </si>
  <si>
    <t>file://conllu/en/doyle_bask.14.conllu#s215_0</t>
  </si>
  <si>
    <t>216</t>
  </si>
  <si>
    <t>The fog bank lay like white wool against the window .</t>
  </si>
  <si>
    <t>file://conllu/en/doyle_bask.14.conllu#s216_0</t>
  </si>
  <si>
    <t>217</t>
  </si>
  <si>
    <t>Holmes held the lamp towards it .</t>
  </si>
  <si>
    <t>file://conllu/en/doyle_bask.14.conllu#s217_0</t>
  </si>
  <si>
    <t>218</t>
  </si>
  <si>
    <t>see (see say)</t>
  </si>
  <si>
    <t>&amp;quot; See , &amp;quot; said he .</t>
  </si>
  <si>
    <t>file://conllu/en/doyle_bask.14.conllu#s218_0</t>
  </si>
  <si>
    <t>219</t>
  </si>
  <si>
    <t>find</t>
  </si>
  <si>
    <t>&amp;quot; No one could find his way into the Grimpen Mire to night . &amp;quot;</t>
  </si>
  <si>
    <t>file://conllu/en/doyle_bask.14.conllu#s219_0</t>
  </si>
  <si>
    <t>220</t>
  </si>
  <si>
    <t>laugh</t>
  </si>
  <si>
    <t>She laughed and clapped her hands .</t>
  </si>
  <si>
    <t>file://conllu/en/doyle_bask.14.conllu#s220_0</t>
  </si>
  <si>
    <t>221</t>
  </si>
  <si>
    <t>eye</t>
  </si>
  <si>
    <t>Her eyes and teeth gleamed with fierce merriment .</t>
  </si>
  <si>
    <t>file://conllu/en/doyle_bask.14.conllu#s221_0</t>
  </si>
  <si>
    <t>222</t>
  </si>
  <si>
    <t>out (out find)</t>
  </si>
  <si>
    <t>&amp;quot; He may find his way in , but never out , &amp;quot; she cried .</t>
  </si>
  <si>
    <t>file://conllu/en/doyle_bask.14.conllu#s222_0</t>
  </si>
  <si>
    <t>223</t>
  </si>
  <si>
    <t>&amp;quot; How can he see the guiding wands to night ?</t>
  </si>
  <si>
    <t>file://conllu/en/doyle_bask.14.conllu#s223_0</t>
  </si>
  <si>
    <t>224</t>
  </si>
  <si>
    <t>plan</t>
  </si>
  <si>
    <t>We planted them together , he and I , to mark the pathway through the mire .</t>
  </si>
  <si>
    <t>file://conllu/en/doyle_bask.14.conllu#s224_0</t>
  </si>
  <si>
    <t>225</t>
  </si>
  <si>
    <t>pluck</t>
  </si>
  <si>
    <t>Oh , if I could only have plucked them out to day .</t>
  </si>
  <si>
    <t>file://conllu/en/doyle_bask.14.conllu#s225_0</t>
  </si>
  <si>
    <t>226</t>
  </si>
  <si>
    <t>Then indeed you would have had him at your mercy ! &amp;quot;</t>
  </si>
  <si>
    <t>file://conllu/en/doyle_bask.14.conllu#s226_0</t>
  </si>
  <si>
    <t>227</t>
  </si>
  <si>
    <t>be (be evident)</t>
  </si>
  <si>
    <t>It was evident to us that all pursuit was in vain until the fog had lifted .</t>
  </si>
  <si>
    <t>file://conllu/en/doyle_bask.14.conllu#s227_0</t>
  </si>
  <si>
    <t>228</t>
  </si>
  <si>
    <t>meanwhile?</t>
  </si>
  <si>
    <t>Meanwhile we left Lestrade in possession of the house while Holmes and I went back with the baronet to Baskerville Hall .</t>
  </si>
  <si>
    <t>file://conllu/en/doyle_bask.14.conllu#s228_0</t>
  </si>
  <si>
    <t>229</t>
  </si>
  <si>
    <t>withheld</t>
  </si>
  <si>
    <t>The story of the Stapletons could no longer be withheld from him , but he took the blow bravely when he learned the truth about the woman whom he had loved .</t>
  </si>
  <si>
    <t>file://conllu/en/doyle_bask.14.conllu#s229_0</t>
  </si>
  <si>
    <t>230</t>
  </si>
  <si>
    <t>shatte</t>
  </si>
  <si>
    <t>But the shock of the night 's adventures had shattered his nerves , and before morning he lay delirious in a high fever , under the care of Dr. Mortimer .</t>
  </si>
  <si>
    <t>file://conllu/en/doyle_bask.14.conllu#s230_0</t>
  </si>
  <si>
    <t>231</t>
  </si>
  <si>
    <t>destin</t>
  </si>
  <si>
    <t>The two of them were destined to travel together round the world before Sir Henry had become once more the hale , hearty man that he had been before he became master of that ill omened estate .</t>
  </si>
  <si>
    <t>file://conllu/en/doyle_bask.14.conllu#s231_0</t>
  </si>
  <si>
    <t>232</t>
  </si>
  <si>
    <t>And now I come rapidly to the conclusion of this singular narrative , in which I have tried to make the reader share those dark fears and vague surmises which clouded our lives so long and ended in so tragic a manner .</t>
  </si>
  <si>
    <t>file://conllu/en/doyle_bask.14.conllu#s232_0</t>
  </si>
  <si>
    <t>233</t>
  </si>
  <si>
    <t>lifte</t>
  </si>
  <si>
    <t>On the morning after the death of the hound the fog had lifted and we were guided by Mrs. Stapleton to the point where they had found a pathway through the bog .</t>
  </si>
  <si>
    <t>file://conllu/en/doyle_bask.14.conllu#s233_0</t>
  </si>
  <si>
    <t>234</t>
  </si>
  <si>
    <t>see (see realize help)</t>
  </si>
  <si>
    <t>It helped us to realize the horror of this woman 's life when we saw the eagerness and joy with which she laid us on her husband 's track .</t>
  </si>
  <si>
    <t>file://conllu/en/doyle_bask.14.conllu#s234_0</t>
  </si>
  <si>
    <t>235</t>
  </si>
  <si>
    <t>We left her standing upon the thin peninsula of firm , peaty soil which tapered out into the widespread bog .</t>
  </si>
  <si>
    <t>file://conllu/en/doyle_bask.14.conllu#s235_0</t>
  </si>
  <si>
    <t>236</t>
  </si>
  <si>
    <t>wand</t>
  </si>
  <si>
    <t>From the end of it a small wand planted here and there showed where the path zigzagged from tuft to tuft of rushes among those green scummed pits and foul quagmires which barred the way to the stranger .</t>
  </si>
  <si>
    <t>file://conllu/en/doyle_bask.14.conllu#s236_0</t>
  </si>
  <si>
    <t>237</t>
  </si>
  <si>
    <t>rank</t>
  </si>
  <si>
    <t>Rank reeds and lush , slimy water plants sent an odour of decay and a heavy miasmatic vapour onto our faces , while a false step plunged us more than once thigh deep into the dark , quivering mire , which shook for yards in soft undulations around our feet .</t>
  </si>
  <si>
    <t>file://conllu/en/doyle_bask.14.conllu#s237_0</t>
  </si>
  <si>
    <t>238</t>
  </si>
  <si>
    <t>be (be grip)</t>
  </si>
  <si>
    <t>It s tenacious grip plucked at our heels as we walked , and when we sank into it it was as if some malignant hand was tugging us down into those obscene depths , so grim and purposeful was the clutch in which it held us .</t>
  </si>
  <si>
    <t>file://conllu/en/doyle_bask.14.conllu#s238_0</t>
  </si>
  <si>
    <t>239</t>
  </si>
  <si>
    <t>Once only we saw a trace that someone had passed that perilous way before us .</t>
  </si>
  <si>
    <t>file://conllu/en/doyle_bask.14.conllu#s239_0</t>
  </si>
  <si>
    <t>240</t>
  </si>
  <si>
    <t>.</t>
  </si>
  <si>
    <t>From amid a tuft of cotton grass which bore it up out of the slime some dark thing was projecting .</t>
  </si>
  <si>
    <t>file://conllu/en/doyle_bask.14.conllu#s240_0</t>
  </si>
  <si>
    <t>241</t>
  </si>
  <si>
    <t>Holmes sank to his waist as he stepped from the path to seize it , and had we not been there to drag him out he could never have set his foot upon firm land again .</t>
  </si>
  <si>
    <t>file://conllu/en/doyle_bask.14.conllu#s241_0</t>
  </si>
  <si>
    <t>242</t>
  </si>
  <si>
    <t>He held an old black boot in the air .</t>
  </si>
  <si>
    <t>file://conllu/en/doyle_bask.14.conllu#s242_0</t>
  </si>
  <si>
    <t>243</t>
  </si>
  <si>
    <t>print</t>
  </si>
  <si>
    <t>&amp;quot; Meyers , Toronto , &amp;quot; was printed on the leather inside .</t>
  </si>
  <si>
    <t>file://conllu/en/doyle_bask.14.conllu#s243_0</t>
  </si>
  <si>
    <t>244</t>
  </si>
  <si>
    <t>&amp;quot; It is worth a mud bath , &amp;quot; said he .</t>
  </si>
  <si>
    <t>file://conllu/en/doyle_bask.14.conllu#s244_0</t>
  </si>
  <si>
    <t>245</t>
  </si>
  <si>
    <t>&amp;quot; It is our friend Sir Henry 's missing boot . &amp;quot;</t>
  </si>
  <si>
    <t>file://conllu/en/doyle_bask.14.conllu#s245_0</t>
  </si>
  <si>
    <t>246</t>
  </si>
  <si>
    <t>throw</t>
  </si>
  <si>
    <t>&amp;quot; Thrown there by Stapleton in his flight . &amp;quot;</t>
  </si>
  <si>
    <t>file://conllu/en/doyle_bask.14.conllu#s246_0</t>
  </si>
  <si>
    <t>247</t>
  </si>
  <si>
    <t>exactly</t>
  </si>
  <si>
    <t>&amp;quot; Exactly .</t>
  </si>
  <si>
    <t>file://conllu/en/doyle_bask.14.conllu#s247_0</t>
  </si>
  <si>
    <t>248</t>
  </si>
  <si>
    <t>retain</t>
  </si>
  <si>
    <t>He retained it in his hand after using it to set the hound upon the track .</t>
  </si>
  <si>
    <t>file://conllu/en/doyle_bask.14.conllu#s248_0</t>
  </si>
  <si>
    <t>249</t>
  </si>
  <si>
    <t>fle</t>
  </si>
  <si>
    <t>He fled when he knew the game was up , still clutching it .</t>
  </si>
  <si>
    <t>file://conllu/en/doyle_bask.14.conllu#s249_0</t>
  </si>
  <si>
    <t>250</t>
  </si>
  <si>
    <t>hurl</t>
  </si>
  <si>
    <t>And he hurled it away at this point of his flight .</t>
  </si>
  <si>
    <t>file://conllu/en/doyle_bask.14.conllu#s250_0</t>
  </si>
  <si>
    <t>251</t>
  </si>
  <si>
    <t>We know at least that he came so far in safety . &amp;quot;</t>
  </si>
  <si>
    <t>file://conllu/en/doyle_bask.14.conllu#s251_0</t>
  </si>
  <si>
    <t>252</t>
  </si>
  <si>
    <t>though?</t>
  </si>
  <si>
    <t>more</t>
  </si>
  <si>
    <t>But more than that we were never destined to know , though there was much which we might surmise .</t>
  </si>
  <si>
    <t>file://conllu/en/doyle_bask.14.conllu#s252_0</t>
  </si>
  <si>
    <t>253</t>
  </si>
  <si>
    <t>There was no chance of finding footsteps in the mire , for the rising mud oozed swiftly in upon them , but as we at last reached firmer ground beyond the morass we all looked eagerly for them .</t>
  </si>
  <si>
    <t>file://conllu/en/doyle_bask.14.conllu#s253_0</t>
  </si>
  <si>
    <t>254</t>
  </si>
  <si>
    <t>meet</t>
  </si>
  <si>
    <t>But no slightest sign of them ever met our eyes .</t>
  </si>
  <si>
    <t>file://conllu/en/doyle_bask.14.conllu#s254_0</t>
  </si>
  <si>
    <t>255</t>
  </si>
  <si>
    <t>reach</t>
  </si>
  <si>
    <t>If the earth told a true story , then Stapleton never reached that island of refuge towards which he struggled through the fog upon that last night .</t>
  </si>
  <si>
    <t>file://conllu/en/doyle_bask.14.conllu#s255_0</t>
  </si>
  <si>
    <t>256</t>
  </si>
  <si>
    <t>bury</t>
  </si>
  <si>
    <t>Somewhere in the heart of the great Grimpen Mire , down in the foul slime of the huge morass which had sucked him in , this cold and cruel hearted man is forever buried .</t>
  </si>
  <si>
    <t>file://conllu/en/doyle_bask.14.conllu#s256_0</t>
  </si>
  <si>
    <t>257</t>
  </si>
  <si>
    <t>trace</t>
  </si>
  <si>
    <t>Many traces we found of him in the bog girt island where he had hid his savage ally .</t>
  </si>
  <si>
    <t>file://conllu/en/doyle_bask.14.conllu#s257_0</t>
  </si>
  <si>
    <t>258</t>
  </si>
  <si>
    <t>show</t>
  </si>
  <si>
    <t>A huge driving wheel and a shaft half filled with rubbish showed the position of an abandoned mine .</t>
  </si>
  <si>
    <t>file://conllu/en/doyle_bask.14.conllu#s258_0</t>
  </si>
  <si>
    <t>259</t>
  </si>
  <si>
    <t>be (be remain)</t>
  </si>
  <si>
    <t>Beside it were the crumbling remains of the cottages of the miners , driven away no doubt by the foul reek of the surrounding swamp .</t>
  </si>
  <si>
    <t>file://conllu/en/doyle_bask.14.conllu#s259_0</t>
  </si>
  <si>
    <t>260</t>
  </si>
  <si>
    <t>In one of these a staple and chain with a quantity of gnawed bones showed where the animal had been confined .</t>
  </si>
  <si>
    <t>file://conllu/en/doyle_bask.14.conllu#s260_0</t>
  </si>
  <si>
    <t>261</t>
  </si>
  <si>
    <t>skeleton</t>
  </si>
  <si>
    <t>A skeleton with a tangle of brown hair adhering to it lay among the debris .</t>
  </si>
  <si>
    <t>file://conllu/en/doyle_bask.14.conllu#s261_0</t>
  </si>
  <si>
    <t>262</t>
  </si>
  <si>
    <t>&amp;quot; A dog ! &amp;quot; said Holmes .</t>
  </si>
  <si>
    <t>file://conllu/en/doyle_bask.14.conllu#s262_0</t>
  </si>
  <si>
    <t>263</t>
  </si>
  <si>
    <t>Jove</t>
  </si>
  <si>
    <t>&amp;quot; By Jove , a curly haired spaniel .</t>
  </si>
  <si>
    <t>file://conllu/en/doyle_bask.14.conllu#s263_0</t>
  </si>
  <si>
    <t>264</t>
  </si>
  <si>
    <t>Poor Mortimer will never see his pet again .</t>
  </si>
  <si>
    <t>file://conllu/en/doyle_bask.14.conllu#s264_0</t>
  </si>
  <si>
    <t>265</t>
  </si>
  <si>
    <t>Well , I do not know that this place contains any secret which we have not already fathomed .</t>
  </si>
  <si>
    <t>file://conllu/en/doyle_bask.14.conllu#s265_0</t>
  </si>
  <si>
    <t>266</t>
  </si>
  <si>
    <t>hide</t>
  </si>
  <si>
    <t>He could hide his hound , but he could not hush it s voice , and hence came those cries which even in daylight were not pleasant to hear .</t>
  </si>
  <si>
    <t>file://conllu/en/doyle_bask.14.conllu#s266_0</t>
  </si>
  <si>
    <t>267</t>
  </si>
  <si>
    <t>keep</t>
  </si>
  <si>
    <t>On an emergency he could keep the hound in the out house at Merripit , but it was always a risk , and it was only on the supreme day , which he regarded as the end of all his efforts , that he dared do it .</t>
  </si>
  <si>
    <t>file://conllu/en/doyle_bask.14.conllu#s267_0</t>
  </si>
  <si>
    <t>268</t>
  </si>
  <si>
    <t>be (be mixture)</t>
  </si>
  <si>
    <t>This paste in the tin is no doubt the luminous mixture with which the creature was daubed .</t>
  </si>
  <si>
    <t>file://conllu/en/doyle_bask.14.conllu#s268_0</t>
  </si>
  <si>
    <t>269</t>
  </si>
  <si>
    <t>suggest</t>
  </si>
  <si>
    <t>It was suggested , of course , by the story of the family hell hound , and by the desire to frighten old Sir Charles to death .</t>
  </si>
  <si>
    <t>file://conllu/en/doyle_bask.14.conllu#s269_0</t>
  </si>
  <si>
    <t>270</t>
  </si>
  <si>
    <t>see (see wonder)</t>
  </si>
  <si>
    <t>No wonder the poor devil of a convict ran and screamed , even as our friend did , and as we ourselves might have done , when he saw such a creature bounding through the darkness of the moor upon his track .</t>
  </si>
  <si>
    <t>file://conllu/en/doyle_bask.14.conllu#s270_0</t>
  </si>
  <si>
    <t>271</t>
  </si>
  <si>
    <t>be (be device)</t>
  </si>
  <si>
    <t>It was a cunning device , for , apart from the chance of driving your victim to his death , what peasant would venture to inquire too closely into such a creature should he get sight of it , as many have done , upon the moor ?</t>
  </si>
  <si>
    <t>file://conllu/en/doyle_bask.14.conllu#s271_0</t>
  </si>
  <si>
    <t>272</t>
  </si>
  <si>
    <t>say (say say)</t>
  </si>
  <si>
    <t>I said it in London , Watson , and I say it again now , that never yet have we helped to hunt down a more dangerous man than he who is lying yonder &amp;quot; —he swept his long arm towards the huge mottled expanse of green splotched bog which stretched away until it merged into the russet slopes of the moor .</t>
  </si>
  <si>
    <t>file://conllu/en/doyle_bask.14.conllu#s272_0</t>
  </si>
  <si>
    <t>WORD</t>
  </si>
  <si>
    <t>GR</t>
  </si>
  <si>
    <t>NP_TYPE</t>
  </si>
  <si>
    <t>REF_AUTO</t>
  </si>
  <si>
    <t>COREF</t>
  </si>
  <si>
    <t>REF</t>
  </si>
  <si>
    <t>IS</t>
  </si>
  <si>
    <t>CB</t>
  </si>
  <si>
    <t>GR_ANTE</t>
  </si>
  <si>
    <t>REF_DIST</t>
  </si>
  <si>
    <t>REF_DIST_ANTE</t>
  </si>
  <si>
    <t># text = One of Sherlock Holmes's defects—if, indeed, one may call it a defect—was that he was exceedingly loath to communicate his full plans to any other person until the instant of their fulfilment.</t>
  </si>
  <si>
    <t>One</t>
  </si>
  <si>
    <t>SBJ</t>
  </si>
  <si>
    <t>def-np.poss</t>
  </si>
  <si>
    <t>?OLD</t>
  </si>
  <si>
    <t>of</t>
  </si>
  <si>
    <t>Sherlock</t>
  </si>
  <si>
    <t>Holmes</t>
  </si>
  <si>
    <t>other_3</t>
  </si>
  <si>
    <t>ne</t>
  </si>
  <si>
    <t>'s</t>
  </si>
  <si>
    <t>defects</t>
  </si>
  <si>
    <t>other_2</t>
  </si>
  <si>
    <t>—if</t>
  </si>
  <si>
    <t>,</t>
  </si>
  <si>
    <t>indeed</t>
  </si>
  <si>
    <t>one</t>
  </si>
  <si>
    <t>may</t>
  </si>
  <si>
    <t>it</t>
  </si>
  <si>
    <t>OBJ</t>
  </si>
  <si>
    <t>pron.pper</t>
  </si>
  <si>
    <t>a</t>
  </si>
  <si>
    <t>defect</t>
  </si>
  <si>
    <t>SBJ_2</t>
  </si>
  <si>
    <t>indef-np.a</t>
  </si>
  <si>
    <t>—was</t>
  </si>
  <si>
    <t>that</t>
  </si>
  <si>
    <t>he</t>
  </si>
  <si>
    <t>SBJ_3</t>
  </si>
  <si>
    <t>was</t>
  </si>
  <si>
    <t>exceedingly</t>
  </si>
  <si>
    <t>loath</t>
  </si>
  <si>
    <t>to</t>
  </si>
  <si>
    <t>communicate</t>
  </si>
  <si>
    <t>his</t>
  </si>
  <si>
    <t>other_5</t>
  </si>
  <si>
    <t>pron.ppos</t>
  </si>
  <si>
    <t>full</t>
  </si>
  <si>
    <t>plans</t>
  </si>
  <si>
    <t>OBJ_4</t>
  </si>
  <si>
    <t>any</t>
  </si>
  <si>
    <t>other</t>
  </si>
  <si>
    <t>person</t>
  </si>
  <si>
    <t>other_4</t>
  </si>
  <si>
    <t>until</t>
  </si>
  <si>
    <t>the</t>
  </si>
  <si>
    <t>instant</t>
  </si>
  <si>
    <t>their</t>
  </si>
  <si>
    <t>other_6</t>
  </si>
  <si>
    <t>fulfilment</t>
  </si>
  <si>
    <t># text = Partly it came no doubt from his own masterful nature, which loved to dominate and surprise those who were around him.</t>
  </si>
  <si>
    <t>Partly</t>
  </si>
  <si>
    <t>came</t>
  </si>
  <si>
    <t>no</t>
  </si>
  <si>
    <t>doubt</t>
  </si>
  <si>
    <t>from</t>
  </si>
  <si>
    <t>own</t>
  </si>
  <si>
    <t>masterful</t>
  </si>
  <si>
    <t>nature</t>
  </si>
  <si>
    <t>which</t>
  </si>
  <si>
    <t>loved</t>
  </si>
  <si>
    <t>dominate</t>
  </si>
  <si>
    <t>and</t>
  </si>
  <si>
    <t>surprise</t>
  </si>
  <si>
    <t>those</t>
  </si>
  <si>
    <t>OBJ_5</t>
  </si>
  <si>
    <t>pron.pds</t>
  </si>
  <si>
    <t>who</t>
  </si>
  <si>
    <t>SBJ_7</t>
  </si>
  <si>
    <t>were</t>
  </si>
  <si>
    <t>around</t>
  </si>
  <si>
    <t>him</t>
  </si>
  <si>
    <t># text = Partly also from his professional caution, which urged him never to take any chances.</t>
  </si>
  <si>
    <t>also</t>
  </si>
  <si>
    <t>professional</t>
  </si>
  <si>
    <t>urged</t>
  </si>
  <si>
    <t>OBJ_2</t>
  </si>
  <si>
    <t>never</t>
  </si>
  <si>
    <t>take</t>
  </si>
  <si>
    <t>chances</t>
  </si>
  <si>
    <t>OBJ_3</t>
  </si>
  <si>
    <t># text = The result, however, was very trying for those who were acting as his agents and assistants.</t>
  </si>
  <si>
    <t>The</t>
  </si>
  <si>
    <t>result</t>
  </si>
  <si>
    <t>def-np.the</t>
  </si>
  <si>
    <t>however</t>
  </si>
  <si>
    <t>very</t>
  </si>
  <si>
    <t>trying</t>
  </si>
  <si>
    <t>for</t>
  </si>
  <si>
    <t>acting</t>
  </si>
  <si>
    <t>as</t>
  </si>
  <si>
    <t>agents</t>
  </si>
  <si>
    <t>assistants</t>
  </si>
  <si>
    <t>indef-np.bare</t>
  </si>
  <si>
    <t># text = I had often suffered under it, but never more so than during that long drive in the darkness.</t>
  </si>
  <si>
    <t>I</t>
  </si>
  <si>
    <t>had</t>
  </si>
  <si>
    <t>often</t>
  </si>
  <si>
    <t>suffered</t>
  </si>
  <si>
    <t>under</t>
  </si>
  <si>
    <t>but</t>
  </si>
  <si>
    <t>than</t>
  </si>
  <si>
    <t>during</t>
  </si>
  <si>
    <t>def-np.dem</t>
  </si>
  <si>
    <t>in</t>
  </si>
  <si>
    <t>darkness</t>
  </si>
  <si>
    <t># text = The great ordeal was in front of us; at last we were about to make our final effort, and yet Holmes had said nothing, and I could only surmise what his course of action would be.</t>
  </si>
  <si>
    <t>great</t>
  </si>
  <si>
    <t>ordeal</t>
  </si>
  <si>
    <t>front</t>
  </si>
  <si>
    <t>us</t>
  </si>
  <si>
    <t>;</t>
  </si>
  <si>
    <t>at</t>
  </si>
  <si>
    <t>last</t>
  </si>
  <si>
    <t>we</t>
  </si>
  <si>
    <t>about</t>
  </si>
  <si>
    <t>our</t>
  </si>
  <si>
    <t>final</t>
  </si>
  <si>
    <t>effort</t>
  </si>
  <si>
    <t>yet</t>
  </si>
  <si>
    <t>said</t>
  </si>
  <si>
    <t>nothing</t>
  </si>
  <si>
    <t>pron</t>
  </si>
  <si>
    <t>SBJ_4</t>
  </si>
  <si>
    <t>could</t>
  </si>
  <si>
    <t>only</t>
  </si>
  <si>
    <t>surmise</t>
  </si>
  <si>
    <t>what</t>
  </si>
  <si>
    <t>pron.pint</t>
  </si>
  <si>
    <t>other_7</t>
  </si>
  <si>
    <t>course</t>
  </si>
  <si>
    <t>SBJ_6</t>
  </si>
  <si>
    <t>action</t>
  </si>
  <si>
    <t>would</t>
  </si>
  <si>
    <t># text = My nerves thrilled with anticipation when at last the cold wind upon our faces and the dark, void spaces on either side of the narrow road told me that we were back upon the moor once again.</t>
  </si>
  <si>
    <t>My</t>
  </si>
  <si>
    <t>nerves</t>
  </si>
  <si>
    <t>thrilled</t>
  </si>
  <si>
    <t>with</t>
  </si>
  <si>
    <t>anticipation</t>
  </si>
  <si>
    <t>when</t>
  </si>
  <si>
    <t>cold</t>
  </si>
  <si>
    <t>wind</t>
  </si>
  <si>
    <t>upon</t>
  </si>
  <si>
    <t>faces</t>
  </si>
  <si>
    <t>dark</t>
  </si>
  <si>
    <t>void</t>
  </si>
  <si>
    <t>spaces</t>
  </si>
  <si>
    <t>on</t>
  </si>
  <si>
    <t>either</t>
  </si>
  <si>
    <t>side</t>
  </si>
  <si>
    <t>indef-np</t>
  </si>
  <si>
    <t>narrow</t>
  </si>
  <si>
    <t>road</t>
  </si>
  <si>
    <t>told</t>
  </si>
  <si>
    <t>me</t>
  </si>
  <si>
    <t>back</t>
  </si>
  <si>
    <t>moor</t>
  </si>
  <si>
    <t>once</t>
  </si>
  <si>
    <t>again</t>
  </si>
  <si>
    <t># text = Every stride of the horses and every turn of the wheels was taking us nearer to our supreme adventure.</t>
  </si>
  <si>
    <t>Every</t>
  </si>
  <si>
    <t>horses</t>
  </si>
  <si>
    <t>every</t>
  </si>
  <si>
    <t>wheels</t>
  </si>
  <si>
    <t>taking</t>
  </si>
  <si>
    <t>nearer</t>
  </si>
  <si>
    <t>supreme</t>
  </si>
  <si>
    <t>adventure</t>
  </si>
  <si>
    <t># text = Our conversation was hampered by the presence of the driver of the hired wagonette, so that we were forced to talk of trivial matters when our nerves were tense with emotion and anticipation.</t>
  </si>
  <si>
    <t>Our</t>
  </si>
  <si>
    <t>conversation</t>
  </si>
  <si>
    <t>hampered</t>
  </si>
  <si>
    <t>by</t>
  </si>
  <si>
    <t>presence</t>
  </si>
  <si>
    <t>driver</t>
  </si>
  <si>
    <t>hired</t>
  </si>
  <si>
    <t>wagonette</t>
  </si>
  <si>
    <t>forced</t>
  </si>
  <si>
    <t>trivial</t>
  </si>
  <si>
    <t>matters</t>
  </si>
  <si>
    <t>tense</t>
  </si>
  <si>
    <t>emotion</t>
  </si>
  <si>
    <t># text = It was a relief to me, after that unnatural restraint, when we at last passed Frankland's house and knew that we were drawing near to the Hall and to the scene of action.</t>
  </si>
  <si>
    <t>It</t>
  </si>
  <si>
    <t>relief</t>
  </si>
  <si>
    <t>after</t>
  </si>
  <si>
    <t>unnatural</t>
  </si>
  <si>
    <t>restraint</t>
  </si>
  <si>
    <t>passed</t>
  </si>
  <si>
    <t>Frankland</t>
  </si>
  <si>
    <t>house</t>
  </si>
  <si>
    <t>knew</t>
  </si>
  <si>
    <t>drawing</t>
  </si>
  <si>
    <t>near</t>
  </si>
  <si>
    <t>Hall</t>
  </si>
  <si>
    <t>scene</t>
  </si>
  <si>
    <t># text = We did not drive up to the door but got down near the gate of the avenue.</t>
  </si>
  <si>
    <t>We</t>
  </si>
  <si>
    <t>did</t>
  </si>
  <si>
    <t>not</t>
  </si>
  <si>
    <t>up</t>
  </si>
  <si>
    <t>door</t>
  </si>
  <si>
    <t>got</t>
  </si>
  <si>
    <t>down</t>
  </si>
  <si>
    <t>gate</t>
  </si>
  <si>
    <t>avenue</t>
  </si>
  <si>
    <t># text = The wagonette was paid off and ordered to return to Coombe Tracey forthwith, while we started to walk to Merripit House.</t>
  </si>
  <si>
    <t>paid</t>
  </si>
  <si>
    <t>off</t>
  </si>
  <si>
    <t>ordered</t>
  </si>
  <si>
    <t>return</t>
  </si>
  <si>
    <t>Coombe</t>
  </si>
  <si>
    <t>Tracey</t>
  </si>
  <si>
    <t>forthwith</t>
  </si>
  <si>
    <t>while</t>
  </si>
  <si>
    <t>started</t>
  </si>
  <si>
    <t>walk</t>
  </si>
  <si>
    <t>Merripit</t>
  </si>
  <si>
    <t>House</t>
  </si>
  <si>
    <t>--</t>
  </si>
  <si>
    <t># text = "Are you armed, Lestrade?"</t>
  </si>
  <si>
    <t>Are</t>
  </si>
  <si>
    <t>you</t>
  </si>
  <si>
    <t>armed</t>
  </si>
  <si>
    <t>Lestrade</t>
  </si>
  <si>
    <t>?</t>
  </si>
  <si>
    <t># text = The little detective smiled.</t>
  </si>
  <si>
    <t>little</t>
  </si>
  <si>
    <t>smiled</t>
  </si>
  <si>
    <t># text = \"As long as I have my trousers I have a hip-pocket, and as long as I have my hip-pocket I have something in it.\"</t>
  </si>
  <si>
    <t>As</t>
  </si>
  <si>
    <t>my</t>
  </si>
  <si>
    <t>trousers</t>
  </si>
  <si>
    <t>hip</t>
  </si>
  <si>
    <t>pocket</t>
  </si>
  <si>
    <t>other_9</t>
  </si>
  <si>
    <t>OBJ_7</t>
  </si>
  <si>
    <t>SBJ_9</t>
  </si>
  <si>
    <t>something</t>
  </si>
  <si>
    <t>OBJ_9</t>
  </si>
  <si>
    <t>other_10</t>
  </si>
  <si>
    <t># text = "Good!</t>
  </si>
  <si>
    <t>Good</t>
  </si>
  <si>
    <t>!</t>
  </si>
  <si>
    <t># text = My friend and I are also ready for emergencies."</t>
  </si>
  <si>
    <t>friend</t>
  </si>
  <si>
    <t>are</t>
  </si>
  <si>
    <t>ready</t>
  </si>
  <si>
    <t>emergencies</t>
  </si>
  <si>
    <t># text = "You're mighty close about this affair, Mr. Holmes.</t>
  </si>
  <si>
    <t>You</t>
  </si>
  <si>
    <t>'re</t>
  </si>
  <si>
    <t>mighty</t>
  </si>
  <si>
    <t>close</t>
  </si>
  <si>
    <t>this</t>
  </si>
  <si>
    <t>affair</t>
  </si>
  <si>
    <t># text = What's the game now?"</t>
  </si>
  <si>
    <t>What</t>
  </si>
  <si>
    <t>now</t>
  </si>
  <si>
    <t># text = \"A waiting game.\"</t>
  </si>
  <si>
    <t>A</t>
  </si>
  <si>
    <t>waiting</t>
  </si>
  <si>
    <t># text = "My word, it does not seem a very cheerful place," said the detective with a shiver, glancing round him at the gloomy slopes of the hill and at the huge lake of fog which lay over the Grimpen Mire.</t>
  </si>
  <si>
    <t>word</t>
  </si>
  <si>
    <t>does</t>
  </si>
  <si>
    <t>cheerful</t>
  </si>
  <si>
    <t>glancing</t>
  </si>
  <si>
    <t>round</t>
  </si>
  <si>
    <t>gloomy</t>
  </si>
  <si>
    <t>slopes</t>
  </si>
  <si>
    <t>hill</t>
  </si>
  <si>
    <t>huge</t>
  </si>
  <si>
    <t>lake</t>
  </si>
  <si>
    <t>fog</t>
  </si>
  <si>
    <t>SBJ_5</t>
  </si>
  <si>
    <t>over</t>
  </si>
  <si>
    <t>Grimpen</t>
  </si>
  <si>
    <t>Mire</t>
  </si>
  <si>
    <t># text = \"I see the lights of a house ahead of us.\"</t>
  </si>
  <si>
    <t>lights</t>
  </si>
  <si>
    <t>ahead</t>
  </si>
  <si>
    <t># text = "That is Merripit House and the end of our journey.</t>
  </si>
  <si>
    <t>That</t>
  </si>
  <si>
    <t>is</t>
  </si>
  <si>
    <t>end</t>
  </si>
  <si>
    <t>journey</t>
  </si>
  <si>
    <t># text = I must request you to walk on tiptoe and not to talk above a whisper.\"</t>
  </si>
  <si>
    <t>must</t>
  </si>
  <si>
    <t>tiptoe</t>
  </si>
  <si>
    <t>above</t>
  </si>
  <si>
    <t># text = We moved cautiously along the track as if we were bound for the house, but Holmes halted us when we were about two hundred yards from it.</t>
  </si>
  <si>
    <t>moved</t>
  </si>
  <si>
    <t>cautiously</t>
  </si>
  <si>
    <t>along</t>
  </si>
  <si>
    <t>track</t>
  </si>
  <si>
    <t>if</t>
  </si>
  <si>
    <t>bound</t>
  </si>
  <si>
    <t>halted</t>
  </si>
  <si>
    <t>two</t>
  </si>
  <si>
    <t>hundred</t>
  </si>
  <si>
    <t>yards</t>
  </si>
  <si>
    <t>indef-np.quant</t>
  </si>
  <si>
    <t># text = \"This will do,\" said he.</t>
  </si>
  <si>
    <t>This</t>
  </si>
  <si>
    <t>will</t>
  </si>
  <si>
    <t># text = \"These rocks upon the right make an admirable screen.\"</t>
  </si>
  <si>
    <t>These</t>
  </si>
  <si>
    <t>rocks</t>
  </si>
  <si>
    <t>right</t>
  </si>
  <si>
    <t>an</t>
  </si>
  <si>
    <t>admirable</t>
  </si>
  <si>
    <t>screen</t>
  </si>
  <si>
    <t># text = "We are to wait here?"</t>
  </si>
  <si>
    <t># text = "Yes, we shall make our little ambush here.</t>
  </si>
  <si>
    <t>Yes</t>
  </si>
  <si>
    <t>shall</t>
  </si>
  <si>
    <t>ambush</t>
  </si>
  <si>
    <t># text = Get into this hollow, Lestrade.</t>
  </si>
  <si>
    <t>Get</t>
  </si>
  <si>
    <t>into</t>
  </si>
  <si>
    <t>hollow</t>
  </si>
  <si>
    <t># text = You have been inside the house, have you not, Watson?</t>
  </si>
  <si>
    <t>been</t>
  </si>
  <si>
    <t>inside</t>
  </si>
  <si>
    <t>Watson</t>
  </si>
  <si>
    <t># text = Can you tell the position of the rooms?</t>
  </si>
  <si>
    <t>Can</t>
  </si>
  <si>
    <t>position</t>
  </si>
  <si>
    <t>rooms</t>
  </si>
  <si>
    <t># text = What are those latticed windows at this end?\"</t>
  </si>
  <si>
    <t>latticed</t>
  </si>
  <si>
    <t>windows</t>
  </si>
  <si>
    <t># text = \"I think they are the kitchen windows.\"</t>
  </si>
  <si>
    <t>they</t>
  </si>
  <si>
    <t>kitchen</t>
  </si>
  <si>
    <t># text = \"And the one beyond, which shines so brightly?\"</t>
  </si>
  <si>
    <t>And</t>
  </si>
  <si>
    <t>def-np.quant</t>
  </si>
  <si>
    <t>shines</t>
  </si>
  <si>
    <t>brightly</t>
  </si>
  <si>
    <t># text = "That is certainly the dining-room."</t>
  </si>
  <si>
    <t>certainly</t>
  </si>
  <si>
    <t>dining</t>
  </si>
  <si>
    <t>room</t>
  </si>
  <si>
    <t># text = \"The blinds are up.</t>
  </si>
  <si>
    <t>blinds</t>
  </si>
  <si>
    <t># text = You know the lie of the land best.</t>
  </si>
  <si>
    <t>lie</t>
  </si>
  <si>
    <t>land</t>
  </si>
  <si>
    <t>best</t>
  </si>
  <si>
    <t># text = Creep forward quietly and see what they are doing—but for heaven's sake don't let them know that they are watched!"</t>
  </si>
  <si>
    <t>forward</t>
  </si>
  <si>
    <t>quietly</t>
  </si>
  <si>
    <t>doing</t>
  </si>
  <si>
    <t>—but</t>
  </si>
  <si>
    <t>heaven</t>
  </si>
  <si>
    <t>sake</t>
  </si>
  <si>
    <t>n't</t>
  </si>
  <si>
    <t>let</t>
  </si>
  <si>
    <t>them</t>
  </si>
  <si>
    <t>watched</t>
  </si>
  <si>
    <t># text = I tiptoed down the path and stooped behind the low wall which surrounded the stunted orchard.</t>
  </si>
  <si>
    <t>tiptoed</t>
  </si>
  <si>
    <t>path</t>
  </si>
  <si>
    <t>stooped</t>
  </si>
  <si>
    <t>behind</t>
  </si>
  <si>
    <t>low</t>
  </si>
  <si>
    <t>wall</t>
  </si>
  <si>
    <t>surrounded</t>
  </si>
  <si>
    <t>stunted</t>
  </si>
  <si>
    <t>orchard</t>
  </si>
  <si>
    <t># text = Creeping in its shadow I reached a point whence I could look straight through the uncurtained window.</t>
  </si>
  <si>
    <t>Creeping</t>
  </si>
  <si>
    <t>s</t>
  </si>
  <si>
    <t>shadow</t>
  </si>
  <si>
    <t>reached</t>
  </si>
  <si>
    <t>point</t>
  </si>
  <si>
    <t>whence</t>
  </si>
  <si>
    <t>straight</t>
  </si>
  <si>
    <t>through</t>
  </si>
  <si>
    <t>uncurtained</t>
  </si>
  <si>
    <t>window</t>
  </si>
  <si>
    <t># text = There were only two men in the room, Sir Henry and Stapleton.</t>
  </si>
  <si>
    <t>There</t>
  </si>
  <si>
    <t>men</t>
  </si>
  <si>
    <t>Henry</t>
  </si>
  <si>
    <t>Stapleton</t>
  </si>
  <si>
    <t># text = They sat with their profiles towards me on either side of the round table.</t>
  </si>
  <si>
    <t>They</t>
  </si>
  <si>
    <t>sat</t>
  </si>
  <si>
    <t>profiles</t>
  </si>
  <si>
    <t>towards</t>
  </si>
  <si>
    <t>table</t>
  </si>
  <si>
    <t># text = Both of them were smoking cigars, and coffee and wine were in front of them.</t>
  </si>
  <si>
    <t>Both</t>
  </si>
  <si>
    <t>smoking</t>
  </si>
  <si>
    <t>cigars</t>
  </si>
  <si>
    <t>coffee</t>
  </si>
  <si>
    <t>wine</t>
  </si>
  <si>
    <t># text = Stapleton was talking with animation, but the baronet looked pale and distrait.</t>
  </si>
  <si>
    <t>talking</t>
  </si>
  <si>
    <t>animation</t>
  </si>
  <si>
    <t>baronet</t>
  </si>
  <si>
    <t>looked</t>
  </si>
  <si>
    <t>pale</t>
  </si>
  <si>
    <t>distrait</t>
  </si>
  <si>
    <t># text = Perhaps the thought of that lonely walk across the ill-omened moor was weighing heavily upon his mind.</t>
  </si>
  <si>
    <t>Perhaps</t>
  </si>
  <si>
    <t>thought</t>
  </si>
  <si>
    <t>lonely</t>
  </si>
  <si>
    <t>across</t>
  </si>
  <si>
    <t>ill</t>
  </si>
  <si>
    <t>omened</t>
  </si>
  <si>
    <t>weighing</t>
  </si>
  <si>
    <t>heavily</t>
  </si>
  <si>
    <t>mind</t>
  </si>
  <si>
    <t># text = As I watched them Stapleton rose and left the room, while Sir Henry filled his glass again and leaned back in his chair, puffing at his cigar.</t>
  </si>
  <si>
    <t>rose</t>
  </si>
  <si>
    <t>left</t>
  </si>
  <si>
    <t>filled</t>
  </si>
  <si>
    <t>glass</t>
  </si>
  <si>
    <t>leaned</t>
  </si>
  <si>
    <t>chair</t>
  </si>
  <si>
    <t>puffing</t>
  </si>
  <si>
    <t>cigar</t>
  </si>
  <si>
    <t># text = I heard the creak of a door and the crisp sound of boots upon gravel.</t>
  </si>
  <si>
    <t>heard</t>
  </si>
  <si>
    <t>creak</t>
  </si>
  <si>
    <t>crisp</t>
  </si>
  <si>
    <t>sound</t>
  </si>
  <si>
    <t>boots</t>
  </si>
  <si>
    <t>gravel</t>
  </si>
  <si>
    <t># text = The steps passed along the path on the other side of the wall under which I crouched.</t>
  </si>
  <si>
    <t>steps</t>
  </si>
  <si>
    <t>def-np.the.other</t>
  </si>
  <si>
    <t>crouched</t>
  </si>
  <si>
    <t># text = Looking over, I saw the naturalist pause at the door of an out-house in the corner of the orchard.</t>
  </si>
  <si>
    <t>Looking</t>
  </si>
  <si>
    <t>saw</t>
  </si>
  <si>
    <t>naturalist</t>
  </si>
  <si>
    <t>out</t>
  </si>
  <si>
    <t>corner</t>
  </si>
  <si>
    <t># text = A key turned in a lock, and as he passed in there was a curious scuffling noise from within.</t>
  </si>
  <si>
    <t>key</t>
  </si>
  <si>
    <t>turned</t>
  </si>
  <si>
    <t>there</t>
  </si>
  <si>
    <t>curious</t>
  </si>
  <si>
    <t>scuffling</t>
  </si>
  <si>
    <t>noise</t>
  </si>
  <si>
    <t>within</t>
  </si>
  <si>
    <t># text = He was only a minute or so inside, and then I heard the key turn once more and he passed me and re-entered the house.</t>
  </si>
  <si>
    <t>He</t>
  </si>
  <si>
    <t>or</t>
  </si>
  <si>
    <t>then</t>
  </si>
  <si>
    <t>re-entered</t>
  </si>
  <si>
    <t># text = I saw him rejoin his guest, and I crept quietly back to where my companions were waiting to tell them what I had seen.</t>
  </si>
  <si>
    <t>rejoin</t>
  </si>
  <si>
    <t>guest</t>
  </si>
  <si>
    <t>crept</t>
  </si>
  <si>
    <t>where</t>
  </si>
  <si>
    <t>companions</t>
  </si>
  <si>
    <t>OBJ_6</t>
  </si>
  <si>
    <t>seen</t>
  </si>
  <si>
    <t># text = "You say, Watson, that the lady is not there?"</t>
  </si>
  <si>
    <t>lady</t>
  </si>
  <si>
    <t>pron.padv</t>
  </si>
  <si>
    <t># text = Holmes asked, when I had finished my report.</t>
  </si>
  <si>
    <t>asked</t>
  </si>
  <si>
    <t>finished</t>
  </si>
  <si>
    <t>report</t>
  </si>
  <si>
    <t># text = \"No.\" \"Where can she be, then, since there is no light in any other room except the kitchen?\"</t>
  </si>
  <si>
    <t>No</t>
  </si>
  <si>
    <t>Where</t>
  </si>
  <si>
    <t>can</t>
  </si>
  <si>
    <t>she</t>
  </si>
  <si>
    <t>since</t>
  </si>
  <si>
    <t>light</t>
  </si>
  <si>
    <t>except</t>
  </si>
  <si>
    <t># text = "I cannot think where she is."</t>
  </si>
  <si>
    <t># text = I have said that over the great Grimpen Mire there hung a dense, white fog.</t>
  </si>
  <si>
    <t>hung</t>
  </si>
  <si>
    <t>dense</t>
  </si>
  <si>
    <t>white</t>
  </si>
  <si>
    <t># text = It was drifting slowly in our direction, and banked itself up like a wall on that side of us, low, but thick and well defined.</t>
  </si>
  <si>
    <t>drifting</t>
  </si>
  <si>
    <t>slowly</t>
  </si>
  <si>
    <t>direction</t>
  </si>
  <si>
    <t>banked</t>
  </si>
  <si>
    <t>itself</t>
  </si>
  <si>
    <t>like</t>
  </si>
  <si>
    <t>thick</t>
  </si>
  <si>
    <t>well</t>
  </si>
  <si>
    <t>defined</t>
  </si>
  <si>
    <t># text = The moon shone on it, and it looked like a great shimmering ice-field, with the heads of the distant tors as rocks borne upon its surface.</t>
  </si>
  <si>
    <t>moon</t>
  </si>
  <si>
    <t>shimmering</t>
  </si>
  <si>
    <t>ice</t>
  </si>
  <si>
    <t>field</t>
  </si>
  <si>
    <t>heads</t>
  </si>
  <si>
    <t>distant</t>
  </si>
  <si>
    <t>tors</t>
  </si>
  <si>
    <t>borne</t>
  </si>
  <si>
    <t>its</t>
  </si>
  <si>
    <t>surface</t>
  </si>
  <si>
    <t># text = Holmes's face was turned towards it, and he muttered impatiently as he watched its sluggish drift.</t>
  </si>
  <si>
    <t>muttered</t>
  </si>
  <si>
    <t>impatiently</t>
  </si>
  <si>
    <t>sluggish</t>
  </si>
  <si>
    <t># text = "It's moving towards us, Watson."</t>
  </si>
  <si>
    <t>moving</t>
  </si>
  <si>
    <t># text = "Is that serious?"</t>
  </si>
  <si>
    <t>Is</t>
  </si>
  <si>
    <t>serious</t>
  </si>
  <si>
    <t># text = "Very serious, indeed—the one thing upon earth which could have disarranged my plans.</t>
  </si>
  <si>
    <t>Very</t>
  </si>
  <si>
    <t>—the</t>
  </si>
  <si>
    <t>def-np</t>
  </si>
  <si>
    <t>earth</t>
  </si>
  <si>
    <t>disarranged</t>
  </si>
  <si>
    <t># text = He can't be very long, now.</t>
  </si>
  <si>
    <t>ca</t>
  </si>
  <si>
    <t># text = It is already ten o'clock.</t>
  </si>
  <si>
    <t>already</t>
  </si>
  <si>
    <t>ten</t>
  </si>
  <si>
    <t>o'clock</t>
  </si>
  <si>
    <t># text = Our success and even his life may depend upon his coming out before the fog is over the path."</t>
  </si>
  <si>
    <t>success</t>
  </si>
  <si>
    <t>even</t>
  </si>
  <si>
    <t>life</t>
  </si>
  <si>
    <t>depend</t>
  </si>
  <si>
    <t>coming</t>
  </si>
  <si>
    <t>before</t>
  </si>
  <si>
    <t># text = The night was clear and fine above us.</t>
  </si>
  <si>
    <t>night</t>
  </si>
  <si>
    <t>clear</t>
  </si>
  <si>
    <t>fine</t>
  </si>
  <si>
    <t># text = The stars shone cold and bright, while a half-moon bathed the whole scene in a soft, uncertain light.</t>
  </si>
  <si>
    <t>stars</t>
  </si>
  <si>
    <t>bright</t>
  </si>
  <si>
    <t>half</t>
  </si>
  <si>
    <t>bathed</t>
  </si>
  <si>
    <t>whole</t>
  </si>
  <si>
    <t>soft</t>
  </si>
  <si>
    <t>uncertain</t>
  </si>
  <si>
    <t># text = Before us lay the dark bulk of the house, its serrated roof and bristling chimneys hard outlined against the silver-spangled sky.</t>
  </si>
  <si>
    <t>Before</t>
  </si>
  <si>
    <t>bulk</t>
  </si>
  <si>
    <t>serrated</t>
  </si>
  <si>
    <t>roof</t>
  </si>
  <si>
    <t>bristling</t>
  </si>
  <si>
    <t>chimneys</t>
  </si>
  <si>
    <t>hard</t>
  </si>
  <si>
    <t>outlined</t>
  </si>
  <si>
    <t>against</t>
  </si>
  <si>
    <t>silver</t>
  </si>
  <si>
    <t>spangled</t>
  </si>
  <si>
    <t>sky</t>
  </si>
  <si>
    <t># text = Broad bars of golden light from the lower windows stretched across the orchard and the moor.</t>
  </si>
  <si>
    <t>Broad</t>
  </si>
  <si>
    <t>bars</t>
  </si>
  <si>
    <t>golden</t>
  </si>
  <si>
    <t>lower</t>
  </si>
  <si>
    <t>stretched</t>
  </si>
  <si>
    <t># text = One of them was suddenly shut off.</t>
  </si>
  <si>
    <t>suddenly</t>
  </si>
  <si>
    <t># text = The servants had left the kitchen.</t>
  </si>
  <si>
    <t>servants</t>
  </si>
  <si>
    <t># text = There only remained the lamp in the dining-room where the two men, the murderous host and the unconscious guest, still chatted over their cigars.</t>
  </si>
  <si>
    <t>remained</t>
  </si>
  <si>
    <t>lamp</t>
  </si>
  <si>
    <t>murderous</t>
  </si>
  <si>
    <t>host</t>
  </si>
  <si>
    <t>unconscious</t>
  </si>
  <si>
    <t>still</t>
  </si>
  <si>
    <t>chatted</t>
  </si>
  <si>
    <t># text = Every minute that white woolly plain which covered one half of the moor was drifting closer and closer to the house.</t>
  </si>
  <si>
    <t>woolly</t>
  </si>
  <si>
    <t>plain</t>
  </si>
  <si>
    <t>covered</t>
  </si>
  <si>
    <t>closer</t>
  </si>
  <si>
    <t># text = Already the first thin wisps of it were curling across the golden square of the lighted window.</t>
  </si>
  <si>
    <t>Already</t>
  </si>
  <si>
    <t>first</t>
  </si>
  <si>
    <t>thin</t>
  </si>
  <si>
    <t>wisps</t>
  </si>
  <si>
    <t>curling</t>
  </si>
  <si>
    <t>square</t>
  </si>
  <si>
    <t>lighted</t>
  </si>
  <si>
    <t># text = The farther wall of the orchard was already invisible, and the trees were standing out of a swirl of white vapour.</t>
  </si>
  <si>
    <t>farther</t>
  </si>
  <si>
    <t>invisible</t>
  </si>
  <si>
    <t>trees</t>
  </si>
  <si>
    <t>standing</t>
  </si>
  <si>
    <t>swirl</t>
  </si>
  <si>
    <t>vapour</t>
  </si>
  <si>
    <t># text = As we watched it the fog-wreaths came crawling round both corners of the house and rolled slowly into one dense bank, on which the upper floor and the roof floated like a strange ship upon a shadowy sea.</t>
  </si>
  <si>
    <t>wreaths</t>
  </si>
  <si>
    <t>crawling</t>
  </si>
  <si>
    <t>both</t>
  </si>
  <si>
    <t>corners</t>
  </si>
  <si>
    <t>rolled</t>
  </si>
  <si>
    <t>bank</t>
  </si>
  <si>
    <t>upper</t>
  </si>
  <si>
    <t>floor</t>
  </si>
  <si>
    <t>floated</t>
  </si>
  <si>
    <t>strange</t>
  </si>
  <si>
    <t>ship</t>
  </si>
  <si>
    <t>shadowy</t>
  </si>
  <si>
    <t>sea</t>
  </si>
  <si>
    <t># text = Holmes struck his hand passionately upon the rock in front of us and stamped his feet in his impatience.</t>
  </si>
  <si>
    <t>hand</t>
  </si>
  <si>
    <t>passionately</t>
  </si>
  <si>
    <t>rock</t>
  </si>
  <si>
    <t>stamped</t>
  </si>
  <si>
    <t>feet</t>
  </si>
  <si>
    <t>impatience</t>
  </si>
  <si>
    <t># text = \"If he isn't out in a quarter of an hour the path will be covered.</t>
  </si>
  <si>
    <t>If</t>
  </si>
  <si>
    <t>quarter</t>
  </si>
  <si>
    <t>hour</t>
  </si>
  <si>
    <t># text = In half an hour we won't be able to see our hands in front of us."</t>
  </si>
  <si>
    <t>In</t>
  </si>
  <si>
    <t>wo</t>
  </si>
  <si>
    <t>able</t>
  </si>
  <si>
    <t>hands</t>
  </si>
  <si>
    <t># text = "Shall we move farther back upon higher ground?"</t>
  </si>
  <si>
    <t>Shall</t>
  </si>
  <si>
    <t>higher</t>
  </si>
  <si>
    <t>ground</t>
  </si>
  <si>
    <t># text = \"Yes, I think it would be as well.\"</t>
  </si>
  <si>
    <t># text = So as the fog-bank flowed onward we fell back before it until we were half a mile from the house, and still that dense white sea, with the moon silvering its upper edge, swept slowly and inexorably on.</t>
  </si>
  <si>
    <t>So</t>
  </si>
  <si>
    <t>flowed</t>
  </si>
  <si>
    <t>onward</t>
  </si>
  <si>
    <t>fell</t>
  </si>
  <si>
    <t>mile</t>
  </si>
  <si>
    <t>silvering</t>
  </si>
  <si>
    <t>edge</t>
  </si>
  <si>
    <t>swept</t>
  </si>
  <si>
    <t>inexorably</t>
  </si>
  <si>
    <t># text = \"We are going too far,\" said Holmes.</t>
  </si>
  <si>
    <t>going</t>
  </si>
  <si>
    <t>too</t>
  </si>
  <si>
    <t>far</t>
  </si>
  <si>
    <t># text = "We dare not take the chance of his being overtaken before he can reach us.</t>
  </si>
  <si>
    <t>chance</t>
  </si>
  <si>
    <t>being</t>
  </si>
  <si>
    <t>overtaken</t>
  </si>
  <si>
    <t># text = At all costs we must hold our ground where we are."</t>
  </si>
  <si>
    <t>At</t>
  </si>
  <si>
    <t>all</t>
  </si>
  <si>
    <t>costs</t>
  </si>
  <si>
    <t># text = He dropped on his knees and clapped his ear to the ground.</t>
  </si>
  <si>
    <t>dropped</t>
  </si>
  <si>
    <t>knees</t>
  </si>
  <si>
    <t>clapped</t>
  </si>
  <si>
    <t>ear</t>
  </si>
  <si>
    <t># text = \"Thank God, I think that I hear him coming.\"</t>
  </si>
  <si>
    <t>Thank</t>
  </si>
  <si>
    <t>God</t>
  </si>
  <si>
    <t># text = A sound of quick steps broke the silence of the moor.</t>
  </si>
  <si>
    <t>quick</t>
  </si>
  <si>
    <t>broke</t>
  </si>
  <si>
    <t>silence</t>
  </si>
  <si>
    <t># text = Crouching among the stones we stared intently at the silver-tipped bank in front of us.</t>
  </si>
  <si>
    <t>Crouching</t>
  </si>
  <si>
    <t>among</t>
  </si>
  <si>
    <t>stones</t>
  </si>
  <si>
    <t>stared</t>
  </si>
  <si>
    <t>intently</t>
  </si>
  <si>
    <t>tipped</t>
  </si>
  <si>
    <t># text = The steps grew louder, and through the fog, as through a curtain, there stepped the man whom we were awaiting.</t>
  </si>
  <si>
    <t>grew</t>
  </si>
  <si>
    <t>louder</t>
  </si>
  <si>
    <t>curtain</t>
  </si>
  <si>
    <t>stepped</t>
  </si>
  <si>
    <t>man</t>
  </si>
  <si>
    <t>whom</t>
  </si>
  <si>
    <t>awaiting</t>
  </si>
  <si>
    <t># text = He looked round him in surprise as he emerged into the clear, starlit night.</t>
  </si>
  <si>
    <t>emerged</t>
  </si>
  <si>
    <t>starlit</t>
  </si>
  <si>
    <t># text = Then he came swiftly along the path, passed close to where we lay, and went on up the long slope behind us.</t>
  </si>
  <si>
    <t>Then</t>
  </si>
  <si>
    <t>swiftly</t>
  </si>
  <si>
    <t>went</t>
  </si>
  <si>
    <t>slope</t>
  </si>
  <si>
    <t># text = As he walked he glanced continually over either shoulder, like a man who is ill at ease.</t>
  </si>
  <si>
    <t>walked</t>
  </si>
  <si>
    <t>glanced</t>
  </si>
  <si>
    <t>continually</t>
  </si>
  <si>
    <t>shoulder</t>
  </si>
  <si>
    <t>ease</t>
  </si>
  <si>
    <t># text = "Hist!" cried Holmes, and I heard the sharp click of a cocking pistol.</t>
  </si>
  <si>
    <t>Hist</t>
  </si>
  <si>
    <t>cried</t>
  </si>
  <si>
    <t>sharp</t>
  </si>
  <si>
    <t>click</t>
  </si>
  <si>
    <t>cocking</t>
  </si>
  <si>
    <t>pistol</t>
  </si>
  <si>
    <t># text = \"Look out!</t>
  </si>
  <si>
    <t>Look</t>
  </si>
  <si>
    <t># text = It's coming!\"</t>
  </si>
  <si>
    <t># text = There was a thin, crisp, continuous patter from somewhere in the heart of that crawling bank.</t>
  </si>
  <si>
    <t>continuous</t>
  </si>
  <si>
    <t>patter</t>
  </si>
  <si>
    <t>somewhere</t>
  </si>
  <si>
    <t>heart</t>
  </si>
  <si>
    <t># text = The cloud was within fifty yards of where we lay, and we glared at it, all three, uncertain what horror was about to break from the heart of it.</t>
  </si>
  <si>
    <t>cloud</t>
  </si>
  <si>
    <t>fifty</t>
  </si>
  <si>
    <t>glared</t>
  </si>
  <si>
    <t>three</t>
  </si>
  <si>
    <t>horror</t>
  </si>
  <si>
    <t># text = I was at Holmes's elbow, and I glanced for an instant at his face.</t>
  </si>
  <si>
    <t>elbow</t>
  </si>
  <si>
    <t># text = It was pale and exultant, his eyes shining brightly in the moonlight.</t>
  </si>
  <si>
    <t>exultant</t>
  </si>
  <si>
    <t>eyes</t>
  </si>
  <si>
    <t>shining</t>
  </si>
  <si>
    <t>moonlight</t>
  </si>
  <si>
    <t># text = But suddenly they started forward in a rigid, fixed stare, and his lips parted in amazement.</t>
  </si>
  <si>
    <t>But</t>
  </si>
  <si>
    <t>rigid</t>
  </si>
  <si>
    <t>fixed</t>
  </si>
  <si>
    <t>lips</t>
  </si>
  <si>
    <t>parted</t>
  </si>
  <si>
    <t>amazement</t>
  </si>
  <si>
    <t># text = At the same instant Lestrade gave a yell of terror and threw himself face downward upon the ground.</t>
  </si>
  <si>
    <t>same</t>
  </si>
  <si>
    <t>gave</t>
  </si>
  <si>
    <t>yell</t>
  </si>
  <si>
    <t>terror</t>
  </si>
  <si>
    <t>threw</t>
  </si>
  <si>
    <t>himself</t>
  </si>
  <si>
    <t>downward</t>
  </si>
  <si>
    <t># text = I sprang to my feet, my inert hand grasping my pistol, my mind paralyzed by the dreadful shape which had sprung out upon us from the shadows of the fog.</t>
  </si>
  <si>
    <t>sprang</t>
  </si>
  <si>
    <t>inert</t>
  </si>
  <si>
    <t>grasping</t>
  </si>
  <si>
    <t>paralyzed</t>
  </si>
  <si>
    <t>dreadful</t>
  </si>
  <si>
    <t>shape</t>
  </si>
  <si>
    <t>sprung</t>
  </si>
  <si>
    <t>shadows</t>
  </si>
  <si>
    <t>other_8</t>
  </si>
  <si>
    <t># text = A hound it was, an enormous coal-black hound, but not such a hound as mortal eyes have ever seen.</t>
  </si>
  <si>
    <t>enormous</t>
  </si>
  <si>
    <t>coal</t>
  </si>
  <si>
    <t>black</t>
  </si>
  <si>
    <t>such</t>
  </si>
  <si>
    <t>mortal</t>
  </si>
  <si>
    <t>ever</t>
  </si>
  <si>
    <t># text = Fire burst from its open mouth, its eyes glowed with a smouldering glare, its muzzle and hackles and dewlap were outlined in flickering flame.</t>
  </si>
  <si>
    <t>Fire</t>
  </si>
  <si>
    <t>burst</t>
  </si>
  <si>
    <t>mouth</t>
  </si>
  <si>
    <t>glowed</t>
  </si>
  <si>
    <t>smouldering</t>
  </si>
  <si>
    <t>glare</t>
  </si>
  <si>
    <t>muzzle</t>
  </si>
  <si>
    <t>hackles</t>
  </si>
  <si>
    <t>dewlap</t>
  </si>
  <si>
    <t>flickering</t>
  </si>
  <si>
    <t>flame</t>
  </si>
  <si>
    <t># text = Never in the delirious dream of a disordered brain could anything more savage, more appalling, more hellish be conceived than that dark form and savage face which broke upon us out of the wall of fog.</t>
  </si>
  <si>
    <t>Never</t>
  </si>
  <si>
    <t>delirious</t>
  </si>
  <si>
    <t>dream</t>
  </si>
  <si>
    <t>disordered</t>
  </si>
  <si>
    <t>brain</t>
  </si>
  <si>
    <t>anything</t>
  </si>
  <si>
    <t>savage</t>
  </si>
  <si>
    <t>appalling</t>
  </si>
  <si>
    <t>hellish</t>
  </si>
  <si>
    <t>conceived</t>
  </si>
  <si>
    <t>form</t>
  </si>
  <si>
    <t># text = With long bounds the huge black creature was leaping down the track, following hard upon the footsteps of our friend.</t>
  </si>
  <si>
    <t>With</t>
  </si>
  <si>
    <t>bounds</t>
  </si>
  <si>
    <t>creature</t>
  </si>
  <si>
    <t>leaping</t>
  </si>
  <si>
    <t>following</t>
  </si>
  <si>
    <t>footsteps</t>
  </si>
  <si>
    <t># text = So paralyzed were we by the apparition that we allowed him to pass before we had recovered our nerve.</t>
  </si>
  <si>
    <t>apparition</t>
  </si>
  <si>
    <t>allowed</t>
  </si>
  <si>
    <t>recovered</t>
  </si>
  <si>
    <t>nerve</t>
  </si>
  <si>
    <t># text = Then Holmes and I both fired together, and the creature gave a hideous howl, which showed that one at least had hit him.</t>
  </si>
  <si>
    <t>fired</t>
  </si>
  <si>
    <t>together</t>
  </si>
  <si>
    <t>hideous</t>
  </si>
  <si>
    <t>howl</t>
  </si>
  <si>
    <t>showed</t>
  </si>
  <si>
    <t>least</t>
  </si>
  <si>
    <t>hit</t>
  </si>
  <si>
    <t># text = He did not pause, however, but bounded onward.</t>
  </si>
  <si>
    <t>bounded</t>
  </si>
  <si>
    <t># text = Far away on the path we saw Sir Henry looking back, his face white in the moonlight, his hands raised in horror, glaring helplessly at the frightful thing which was hunting him down.</t>
  </si>
  <si>
    <t>Far</t>
  </si>
  <si>
    <t>away</t>
  </si>
  <si>
    <t>looking</t>
  </si>
  <si>
    <t>raised</t>
  </si>
  <si>
    <t>glaring</t>
  </si>
  <si>
    <t>helplessly</t>
  </si>
  <si>
    <t>frightful</t>
  </si>
  <si>
    <t>hunting</t>
  </si>
  <si>
    <t># text = But that cry of pain from the hound had blown all our fears to the winds.</t>
  </si>
  <si>
    <t>pain</t>
  </si>
  <si>
    <t>blown</t>
  </si>
  <si>
    <t>fears</t>
  </si>
  <si>
    <t>winds</t>
  </si>
  <si>
    <t># text = If he was vulnerable he was mortal, and if we could wound him we could kill him.</t>
  </si>
  <si>
    <t>vulnerable</t>
  </si>
  <si>
    <t>wound</t>
  </si>
  <si>
    <t>kill</t>
  </si>
  <si>
    <t># text = Never have I seen a man run as Holmes ran that night.</t>
  </si>
  <si>
    <t>run</t>
  </si>
  <si>
    <t>ran</t>
  </si>
  <si>
    <t># text = I am reckoned fleet of foot, but he outpaced me as much as I outpaced the little professional.</t>
  </si>
  <si>
    <t>am</t>
  </si>
  <si>
    <t>reckoned</t>
  </si>
  <si>
    <t>fleet</t>
  </si>
  <si>
    <t>foot</t>
  </si>
  <si>
    <t>outpaced</t>
  </si>
  <si>
    <t>much</t>
  </si>
  <si>
    <t># text = In front of us as we flew up the track we heard scream after scream from Sir Henry and the deep roar of the hound.</t>
  </si>
  <si>
    <t>flew</t>
  </si>
  <si>
    <t>scream</t>
  </si>
  <si>
    <t>deep</t>
  </si>
  <si>
    <t>roar</t>
  </si>
  <si>
    <t># text = I was in time to see the beast spring upon its victim, hurl him to the ground, and worry at his throat.</t>
  </si>
  <si>
    <t>time</t>
  </si>
  <si>
    <t>beast</t>
  </si>
  <si>
    <t>victim</t>
  </si>
  <si>
    <t>worry</t>
  </si>
  <si>
    <t>throat</t>
  </si>
  <si>
    <t># text = But the next instant Holmes had emptied five barrels of his revolver into the creature's flank.</t>
  </si>
  <si>
    <t>next</t>
  </si>
  <si>
    <t>emptied</t>
  </si>
  <si>
    <t>five</t>
  </si>
  <si>
    <t>barrels</t>
  </si>
  <si>
    <t>revolver</t>
  </si>
  <si>
    <t>flank</t>
  </si>
  <si>
    <t># text = With a last howl of agony and a vicious snap in the air, it rolled upon its back, four feet pawing furiously, and then fell limp upon its side.</t>
  </si>
  <si>
    <t>agony</t>
  </si>
  <si>
    <t>vicious</t>
  </si>
  <si>
    <t>snap</t>
  </si>
  <si>
    <t>air</t>
  </si>
  <si>
    <t>four</t>
  </si>
  <si>
    <t>pawing</t>
  </si>
  <si>
    <t>furiously</t>
  </si>
  <si>
    <t>limp</t>
  </si>
  <si>
    <t># text = I stooped, panting, and pressed my pistol to the dreadful, shimmering head, but it was useless to press the trigger.</t>
  </si>
  <si>
    <t>panting</t>
  </si>
  <si>
    <t>pressed</t>
  </si>
  <si>
    <t>head</t>
  </si>
  <si>
    <t>useless</t>
  </si>
  <si>
    <t>press</t>
  </si>
  <si>
    <t>trigger</t>
  </si>
  <si>
    <t># text = The giant hound was dead.</t>
  </si>
  <si>
    <t>giant</t>
  </si>
  <si>
    <t>dead</t>
  </si>
  <si>
    <t># text = Sir</t>
  </si>
  <si>
    <t># text = Henry lay insensible where he had fallen.</t>
  </si>
  <si>
    <t>insensible</t>
  </si>
  <si>
    <t>fallen</t>
  </si>
  <si>
    <t># text = We tore away his collar, and Holmes breathed a prayer of gratitude when we saw that there was no sign of a wound and that the rescue had been in time.</t>
  </si>
  <si>
    <t>collar</t>
  </si>
  <si>
    <t>breathed</t>
  </si>
  <si>
    <t>prayer</t>
  </si>
  <si>
    <t>gratitude</t>
  </si>
  <si>
    <t>sign</t>
  </si>
  <si>
    <t>rescue</t>
  </si>
  <si>
    <t># text = Already our friend's eyelids shivered and he made a feeble effort to move.</t>
  </si>
  <si>
    <t>eyelids</t>
  </si>
  <si>
    <t>shivered</t>
  </si>
  <si>
    <t>made</t>
  </si>
  <si>
    <t>feeble</t>
  </si>
  <si>
    <t># text = Lestrade thrust his brandy-flask between the baronet's teeth, and two frightened eyes were looking up at us.</t>
  </si>
  <si>
    <t>brandy</t>
  </si>
  <si>
    <t>flask</t>
  </si>
  <si>
    <t>between</t>
  </si>
  <si>
    <t>teeth</t>
  </si>
  <si>
    <t>frightened</t>
  </si>
  <si>
    <t># text = \"My God!\" he whispered.</t>
  </si>
  <si>
    <t>whispered</t>
  </si>
  <si>
    <t># text = \"What was it?</t>
  </si>
  <si>
    <t># text = What, in heaven's name, was it?"</t>
  </si>
  <si>
    <t>name</t>
  </si>
  <si>
    <t># text = "It's dead, whatever it is," said Holmes.</t>
  </si>
  <si>
    <t>whatever</t>
  </si>
  <si>
    <t># text = \"We've laid the family ghost once and forever.\"</t>
  </si>
  <si>
    <t>'ve</t>
  </si>
  <si>
    <t>laid</t>
  </si>
  <si>
    <t>family</t>
  </si>
  <si>
    <t>ghost</t>
  </si>
  <si>
    <t>forever</t>
  </si>
  <si>
    <t># text = In mere size and strength it was a terrible creature which was lying stretched before us.</t>
  </si>
  <si>
    <t>mere</t>
  </si>
  <si>
    <t>size</t>
  </si>
  <si>
    <t>strength</t>
  </si>
  <si>
    <t>terrible</t>
  </si>
  <si>
    <t>lying</t>
  </si>
  <si>
    <t># text = It was not a pure bloodhound and it was not a pure mastiff; but it appeared to be a combination of the two—gaunt, savage, and as large as a small lioness.</t>
  </si>
  <si>
    <t>pure</t>
  </si>
  <si>
    <t>bloodhound</t>
  </si>
  <si>
    <t>mastiff</t>
  </si>
  <si>
    <t>appeared</t>
  </si>
  <si>
    <t>combination</t>
  </si>
  <si>
    <t>—gaunt</t>
  </si>
  <si>
    <t>large</t>
  </si>
  <si>
    <t>small</t>
  </si>
  <si>
    <t>lioness</t>
  </si>
  <si>
    <t># text = Even now, in the stillness of death, the huge jaws seemed to be dripping with a bluish flame and the small, deep-set, cruel eyes were ringed with fire.</t>
  </si>
  <si>
    <t>Even</t>
  </si>
  <si>
    <t>stillness</t>
  </si>
  <si>
    <t>death</t>
  </si>
  <si>
    <t>jaws</t>
  </si>
  <si>
    <t>seemed</t>
  </si>
  <si>
    <t>dripping</t>
  </si>
  <si>
    <t>bluish</t>
  </si>
  <si>
    <t>set</t>
  </si>
  <si>
    <t>cruel</t>
  </si>
  <si>
    <t>ringed</t>
  </si>
  <si>
    <t># text = I placed my hand upon the glowing muzzle, and as I held them up my own fingers smouldered and gleamed in the darkness.</t>
  </si>
  <si>
    <t>placed</t>
  </si>
  <si>
    <t>glowing</t>
  </si>
  <si>
    <t>held</t>
  </si>
  <si>
    <t>fingers</t>
  </si>
  <si>
    <t>smouldered</t>
  </si>
  <si>
    <t>gleamed</t>
  </si>
  <si>
    <t># text = "Phosphorus," I said.</t>
  </si>
  <si>
    <t>Phosphorus</t>
  </si>
  <si>
    <t># text = "A cunning preparation of it," said Holmes, sniffing at the dead animal.</t>
  </si>
  <si>
    <t>cunning</t>
  </si>
  <si>
    <t>preparation</t>
  </si>
  <si>
    <t>sniffing</t>
  </si>
  <si>
    <t>animal</t>
  </si>
  <si>
    <t># text = \"There is no smell which might have interfered with his power of scent.</t>
  </si>
  <si>
    <t>smell</t>
  </si>
  <si>
    <t>might</t>
  </si>
  <si>
    <t>interfered</t>
  </si>
  <si>
    <t>power</t>
  </si>
  <si>
    <t>scent</t>
  </si>
  <si>
    <t># text = We owe you a deep apology, Sir Henry, for having exposed you to this fright.</t>
  </si>
  <si>
    <t>apology</t>
  </si>
  <si>
    <t>having</t>
  </si>
  <si>
    <t>exposed</t>
  </si>
  <si>
    <t>fright</t>
  </si>
  <si>
    <t># text = I was prepared for a hound, but not for such a creature as this.</t>
  </si>
  <si>
    <t>prepared</t>
  </si>
  <si>
    <t># text = And the fog gave us little time to receive him.\"</t>
  </si>
  <si>
    <t>receive</t>
  </si>
  <si>
    <t># text = \"You have saved my life.\"</t>
  </si>
  <si>
    <t>saved</t>
  </si>
  <si>
    <t># text = \"Having first endangered it.</t>
  </si>
  <si>
    <t>Having</t>
  </si>
  <si>
    <t>endangered</t>
  </si>
  <si>
    <t># text = Are you strong enough to stand?\"</t>
  </si>
  <si>
    <t>strong</t>
  </si>
  <si>
    <t>enough</t>
  </si>
  <si>
    <t>stand</t>
  </si>
  <si>
    <t># text = "Give me another mouthful of that brandy and I shall be ready for anything.</t>
  </si>
  <si>
    <t>Give</t>
  </si>
  <si>
    <t>another</t>
  </si>
  <si>
    <t>mouthful</t>
  </si>
  <si>
    <t># text = So!</t>
  </si>
  <si>
    <t># text = Now, if you will help me up.</t>
  </si>
  <si>
    <t>Now</t>
  </si>
  <si>
    <t># text = What do you propose to do?\"</t>
  </si>
  <si>
    <t># text = \"To leave you here.</t>
  </si>
  <si>
    <t>To</t>
  </si>
  <si>
    <t># text = You are not fit for further adventures to-night.</t>
  </si>
  <si>
    <t>further</t>
  </si>
  <si>
    <t>adventures</t>
  </si>
  <si>
    <t># text = If you will wait, one or other of us will go back with you to the Hall."</t>
  </si>
  <si>
    <t># text = He tried to stagger to his feet; but he was still ghastly pale and trembling in every limb.</t>
  </si>
  <si>
    <t>tried</t>
  </si>
  <si>
    <t>stagger</t>
  </si>
  <si>
    <t>ghastly</t>
  </si>
  <si>
    <t>trembling</t>
  </si>
  <si>
    <t>limb</t>
  </si>
  <si>
    <t># text = We helped him to a rock, where he sat shivering with his face buried in his hands.</t>
  </si>
  <si>
    <t>helped</t>
  </si>
  <si>
    <t>shivering</t>
  </si>
  <si>
    <t>buried</t>
  </si>
  <si>
    <t># text = "We must leave you now," said Holmes.</t>
  </si>
  <si>
    <t># text = "The rest of our work must be done, and every moment is of importance.</t>
  </si>
  <si>
    <t>rest</t>
  </si>
  <si>
    <t>work</t>
  </si>
  <si>
    <t>done</t>
  </si>
  <si>
    <t>moment</t>
  </si>
  <si>
    <t>importance</t>
  </si>
  <si>
    <t># text = We have our case, and now we only want our man.</t>
  </si>
  <si>
    <t>case</t>
  </si>
  <si>
    <t>want</t>
  </si>
  <si>
    <t># text = "It's a thousand to one against our finding him at the house," he continued as we retraced our steps swiftly down the path.</t>
  </si>
  <si>
    <t>thousand</t>
  </si>
  <si>
    <t>finding</t>
  </si>
  <si>
    <t>continued</t>
  </si>
  <si>
    <t>retraced</t>
  </si>
  <si>
    <t># text = "Those shots must have told him that the game was up."</t>
  </si>
  <si>
    <t>Those</t>
  </si>
  <si>
    <t>shots</t>
  </si>
  <si>
    <t># text = "We were some distance off, and this fog may have deadened them."</t>
  </si>
  <si>
    <t>some</t>
  </si>
  <si>
    <t>distance</t>
  </si>
  <si>
    <t>deadened</t>
  </si>
  <si>
    <t># text = "He followed the hound to call him off—of that you may be certain.</t>
  </si>
  <si>
    <t>followed</t>
  </si>
  <si>
    <t>—of</t>
  </si>
  <si>
    <t>certain</t>
  </si>
  <si>
    <t># text = No, no, he's gone by this time!</t>
  </si>
  <si>
    <t>gone</t>
  </si>
  <si>
    <t># text = But we'll search the house and make sure."</t>
  </si>
  <si>
    <t>'ll</t>
  </si>
  <si>
    <t>sure</t>
  </si>
  <si>
    <t># text = The front door was open, so we rushed in and hurried from room to room to the amazement of a doddering old manservant, who met us in the passage.</t>
  </si>
  <si>
    <t>rushed</t>
  </si>
  <si>
    <t>hurried</t>
  </si>
  <si>
    <t>doddering</t>
  </si>
  <si>
    <t>old</t>
  </si>
  <si>
    <t>manservant</t>
  </si>
  <si>
    <t>SBJ_8</t>
  </si>
  <si>
    <t>met</t>
  </si>
  <si>
    <t>OBJ_8</t>
  </si>
  <si>
    <t>passage</t>
  </si>
  <si>
    <t># text = There was no light save in the dining-room, but Holmes caught up the lamp and left no corner of the house unexplored.</t>
  </si>
  <si>
    <t>caught</t>
  </si>
  <si>
    <t>unexplored</t>
  </si>
  <si>
    <t># text = No sign could we see of the man whom we were chasing.</t>
  </si>
  <si>
    <t>chasing</t>
  </si>
  <si>
    <t># text = On the upper floor, however, one of the bedroom doors was locked.</t>
  </si>
  <si>
    <t>On</t>
  </si>
  <si>
    <t>bedroom</t>
  </si>
  <si>
    <t>doors</t>
  </si>
  <si>
    <t>locked</t>
  </si>
  <si>
    <t># text = "There's someone in here," cried Lestrade.</t>
  </si>
  <si>
    <t>someone</t>
  </si>
  <si>
    <t>pron.pind</t>
  </si>
  <si>
    <t># text = "I can hear a movement.</t>
  </si>
  <si>
    <t>movement</t>
  </si>
  <si>
    <t># text = Open this door!\"</t>
  </si>
  <si>
    <t>Open</t>
  </si>
  <si>
    <t># text = A faint moaning and rustling came from within.</t>
  </si>
  <si>
    <t>fai</t>
  </si>
  <si>
    <t>nt</t>
  </si>
  <si>
    <t>moaning</t>
  </si>
  <si>
    <t>rustling</t>
  </si>
  <si>
    <t># text = Holmes struck the door just over the lock with the flat of his foot and it flew open.</t>
  </si>
  <si>
    <t>just</t>
  </si>
  <si>
    <t>flat</t>
  </si>
  <si>
    <t># text = Pistol in hand, we all three rushed into the room.</t>
  </si>
  <si>
    <t># text = But there was no sign within it of that desperate and defiant villain whom we expected to see.</t>
  </si>
  <si>
    <t>desperate</t>
  </si>
  <si>
    <t>defiant</t>
  </si>
  <si>
    <t>expected</t>
  </si>
  <si>
    <t># text = Instead we were faced by an object so strange and so unexpected that we stood for a moment staring at it in amazement.</t>
  </si>
  <si>
    <t>Instead</t>
  </si>
  <si>
    <t>faced</t>
  </si>
  <si>
    <t>object</t>
  </si>
  <si>
    <t>unexpected</t>
  </si>
  <si>
    <t>stood</t>
  </si>
  <si>
    <t>staring</t>
  </si>
  <si>
    <t># text = The room had been fashioned into a small museum, and the walls were lined by a number of glass-topped cases full of that collection of butterflies and moths the formation of which had been the relaxation of this complex and dangerous man.</t>
  </si>
  <si>
    <t>fashioned</t>
  </si>
  <si>
    <t>museum</t>
  </si>
  <si>
    <t>walls</t>
  </si>
  <si>
    <t>lined</t>
  </si>
  <si>
    <t>number</t>
  </si>
  <si>
    <t>topped</t>
  </si>
  <si>
    <t>cases</t>
  </si>
  <si>
    <t>collection</t>
  </si>
  <si>
    <t>butterflies</t>
  </si>
  <si>
    <t>moths</t>
  </si>
  <si>
    <t>formation</t>
  </si>
  <si>
    <t>relaxation</t>
  </si>
  <si>
    <t>complex</t>
  </si>
  <si>
    <t>dangerous</t>
  </si>
  <si>
    <t># text = In the centre of this room there was an upright beam, which had been placed at some period as a support for the old worm-eaten baulk of timber which spanned the roof.</t>
  </si>
  <si>
    <t>centre</t>
  </si>
  <si>
    <t>upright</t>
  </si>
  <si>
    <t>beam</t>
  </si>
  <si>
    <t>period</t>
  </si>
  <si>
    <t>support</t>
  </si>
  <si>
    <t>worm</t>
  </si>
  <si>
    <t>-eaten</t>
  </si>
  <si>
    <t>baulk</t>
  </si>
  <si>
    <t>timber</t>
  </si>
  <si>
    <t>spanned</t>
  </si>
  <si>
    <t># text = To this post a figure was tied, so swathed and muffled in the sheets which had been used to secure it that one could not for the moment tell whether it was that of a man or a woman.</t>
  </si>
  <si>
    <t>post</t>
  </si>
  <si>
    <t>figure</t>
  </si>
  <si>
    <t>tied</t>
  </si>
  <si>
    <t>swathed</t>
  </si>
  <si>
    <t>muffled</t>
  </si>
  <si>
    <t>sheets</t>
  </si>
  <si>
    <t>used</t>
  </si>
  <si>
    <t>secure</t>
  </si>
  <si>
    <t>whether</t>
  </si>
  <si>
    <t>woman</t>
  </si>
  <si>
    <t># text = One towel passed round the throat and was secured at the back of the pillar.</t>
  </si>
  <si>
    <t>secured</t>
  </si>
  <si>
    <t>pillar</t>
  </si>
  <si>
    <t># text = Another covered the lower part of the face, and over it two dark eyes—eyes full of grief and shame and a dreadful questioning—stared back at us.</t>
  </si>
  <si>
    <t>Another</t>
  </si>
  <si>
    <t>part</t>
  </si>
  <si>
    <t>—eyes</t>
  </si>
  <si>
    <t>grief</t>
  </si>
  <si>
    <t>shame</t>
  </si>
  <si>
    <t>questioning</t>
  </si>
  <si>
    <t>—stared</t>
  </si>
  <si>
    <t># text = In a minute we had torn off the gag, unswathed the bonds, and Mrs.</t>
  </si>
  <si>
    <t>torn</t>
  </si>
  <si>
    <t>gag</t>
  </si>
  <si>
    <t>unswathed</t>
  </si>
  <si>
    <t>bonds</t>
  </si>
  <si>
    <t>Mrs.</t>
  </si>
  <si>
    <t># text = Stapleton sank upon the floor in front of us.</t>
  </si>
  <si>
    <t># text = As her beautiful head fell upon her chest I saw the clear red weal of a whiplash across her neck.</t>
  </si>
  <si>
    <t>her</t>
  </si>
  <si>
    <t>beautiful</t>
  </si>
  <si>
    <t>chest</t>
  </si>
  <si>
    <t>red</t>
  </si>
  <si>
    <t>weal</t>
  </si>
  <si>
    <t>whiplash</t>
  </si>
  <si>
    <t>neck</t>
  </si>
  <si>
    <t># text = "The brute!" cried Holmes.</t>
  </si>
  <si>
    <t>brute</t>
  </si>
  <si>
    <t># text = "Here, Lestrade, your brandy-bottle!</t>
  </si>
  <si>
    <t>Here</t>
  </si>
  <si>
    <t>your</t>
  </si>
  <si>
    <t>bottle</t>
  </si>
  <si>
    <t># text = Put her in the chair!</t>
  </si>
  <si>
    <t>Put</t>
  </si>
  <si>
    <t># text = She has fainted from ill-usage and exhaustion."</t>
  </si>
  <si>
    <t>She</t>
  </si>
  <si>
    <t>has</t>
  </si>
  <si>
    <t>fainted</t>
  </si>
  <si>
    <t>usage</t>
  </si>
  <si>
    <t>exhaustion</t>
  </si>
  <si>
    <t># text = She opened her eyes again.</t>
  </si>
  <si>
    <t>opened</t>
  </si>
  <si>
    <t># text = "Is he safe?" she asked.</t>
  </si>
  <si>
    <t>safe</t>
  </si>
  <si>
    <t># text = \"Has he escaped?\"</t>
  </si>
  <si>
    <t>Has</t>
  </si>
  <si>
    <t>escaped</t>
  </si>
  <si>
    <t># text = "He cannot escape us, madam."</t>
  </si>
  <si>
    <t>madam</t>
  </si>
  <si>
    <t># text = "No, no, I did not mean my husband.</t>
  </si>
  <si>
    <t>husband</t>
  </si>
  <si>
    <t># text = Sir Henry?</t>
  </si>
  <si>
    <t># text = Is he safe?"</t>
  </si>
  <si>
    <t># text = "Yes."</t>
  </si>
  <si>
    <t># text = "And the hound?"</t>
  </si>
  <si>
    <t># text = \"It is dead.\"</t>
  </si>
  <si>
    <t># text = She gave a long sigh of satisfaction.</t>
  </si>
  <si>
    <t>sigh</t>
  </si>
  <si>
    <t>satisfaction</t>
  </si>
  <si>
    <t># text = "Thank God!</t>
  </si>
  <si>
    <t># text = Thank God!</t>
  </si>
  <si>
    <t># text = Oh, this villain!</t>
  </si>
  <si>
    <t>Oh</t>
  </si>
  <si>
    <t># text = See how he has treated me!"</t>
  </si>
  <si>
    <t>See</t>
  </si>
  <si>
    <t>how</t>
  </si>
  <si>
    <t>treated</t>
  </si>
  <si>
    <t># text = She shot her arms out from her sleeves, and we saw with horror that they were all mottled with bruises.</t>
  </si>
  <si>
    <t>arms</t>
  </si>
  <si>
    <t>sleeves</t>
  </si>
  <si>
    <t>mottled</t>
  </si>
  <si>
    <t>bruises</t>
  </si>
  <si>
    <t># text = "But this is nothing—nothing!</t>
  </si>
  <si>
    <t>—nothing</t>
  </si>
  <si>
    <t># text = It is my mind and soul that he has tortured and defiled.</t>
  </si>
  <si>
    <t>soul</t>
  </si>
  <si>
    <t>tortured</t>
  </si>
  <si>
    <t>defiled</t>
  </si>
  <si>
    <t># text = I could endure it all, ill-usage, solitude, a life of deception, everything, as long as I could still cling to the hope that I had his love, but now I know that in this also I have been his dupe and his tool.\"</t>
  </si>
  <si>
    <t>solitude</t>
  </si>
  <si>
    <t>deception</t>
  </si>
  <si>
    <t>everything</t>
  </si>
  <si>
    <t>cling</t>
  </si>
  <si>
    <t>hope</t>
  </si>
  <si>
    <t>love</t>
  </si>
  <si>
    <t>dupe</t>
  </si>
  <si>
    <t>tool</t>
  </si>
  <si>
    <t># text = She broke into passionate sobbing as she spoke.</t>
  </si>
  <si>
    <t>passionate</t>
  </si>
  <si>
    <t>sobbing</t>
  </si>
  <si>
    <t>spoke</t>
  </si>
  <si>
    <t># text = \"You bear him no good will, madam,\" said Holmes.</t>
  </si>
  <si>
    <t>bear</t>
  </si>
  <si>
    <t># text = "Tell us then where we shall find him.</t>
  </si>
  <si>
    <t>Tell</t>
  </si>
  <si>
    <t># text = If you have ever aided him in evil, help us now and so atone."</t>
  </si>
  <si>
    <t>aided</t>
  </si>
  <si>
    <t>evil</t>
  </si>
  <si>
    <t>atone</t>
  </si>
  <si>
    <t># text = \"There is but one place where he can have fled,\" she answered.</t>
  </si>
  <si>
    <t>fled</t>
  </si>
  <si>
    <t>answered</t>
  </si>
  <si>
    <t># text = \"There is an old tin mine on an island in the heart of the mire.</t>
  </si>
  <si>
    <t>tin</t>
  </si>
  <si>
    <t>mine</t>
  </si>
  <si>
    <t>island</t>
  </si>
  <si>
    <t>mire</t>
  </si>
  <si>
    <t># text = It was there that he kept his hound and there also he had made preparations so that he might have a refuge.</t>
  </si>
  <si>
    <t>kept</t>
  </si>
  <si>
    <t>preparations</t>
  </si>
  <si>
    <t>refuge</t>
  </si>
  <si>
    <t># text = That is where he would fly.\"</t>
  </si>
  <si>
    <t># text = The fog-bank lay like white wool against the window.</t>
  </si>
  <si>
    <t>wool</t>
  </si>
  <si>
    <t># text = Holmes held the lamp towards it.</t>
  </si>
  <si>
    <t># text = "See," said he.</t>
  </si>
  <si>
    <t># text = "No one could find his way into the Grimpen Mire to-night."</t>
  </si>
  <si>
    <t>way</t>
  </si>
  <si>
    <t># text = She laughed and clapped her hands.</t>
  </si>
  <si>
    <t>laughed</t>
  </si>
  <si>
    <t># text = Her eyes and teeth gleamed with fierce merriment.</t>
  </si>
  <si>
    <t>Her</t>
  </si>
  <si>
    <t>fierce</t>
  </si>
  <si>
    <t>merriment</t>
  </si>
  <si>
    <t># text = \"He may find his way in, but never out,\" she cried.</t>
  </si>
  <si>
    <t># text = "How can he see the guiding wands to-night?</t>
  </si>
  <si>
    <t>How</t>
  </si>
  <si>
    <t>guiding</t>
  </si>
  <si>
    <t>wands</t>
  </si>
  <si>
    <t># text = We planted them together, he and I, to mark the pathway through the mire.</t>
  </si>
  <si>
    <t>planted</t>
  </si>
  <si>
    <t>mark</t>
  </si>
  <si>
    <t>pathway</t>
  </si>
  <si>
    <t># text = Oh, if I could only have plucked them out to-day.</t>
  </si>
  <si>
    <t>plucked</t>
  </si>
  <si>
    <t>day</t>
  </si>
  <si>
    <t># text = Then indeed you would have had him at your mercy!\"</t>
  </si>
  <si>
    <t>mercy</t>
  </si>
  <si>
    <t># text = It was evident to us that all pursuit was in vain until the fog had lifted.</t>
  </si>
  <si>
    <t>evident</t>
  </si>
  <si>
    <t>pursuit</t>
  </si>
  <si>
    <t>vain</t>
  </si>
  <si>
    <t>lifted</t>
  </si>
  <si>
    <t># text = Meanwhile we left Lestrade in possession of the house while Holmes and I went back with the baronet to Baskerville Hall.</t>
  </si>
  <si>
    <t>Meanwhile</t>
  </si>
  <si>
    <t>possession</t>
  </si>
  <si>
    <t>Baskerville</t>
  </si>
  <si>
    <t># text = The story of the Stapletons could no longer be withheld from him, but he took the blow bravely when he learned the truth about the woman whom he had loved.</t>
  </si>
  <si>
    <t>story</t>
  </si>
  <si>
    <t>Stapletons</t>
  </si>
  <si>
    <t>longer</t>
  </si>
  <si>
    <t>took</t>
  </si>
  <si>
    <t>bravely</t>
  </si>
  <si>
    <t>learned</t>
  </si>
  <si>
    <t>truth</t>
  </si>
  <si>
    <t># text = But the shock of the night's adventures had shattered his nerves, and before morning he lay delirious in a high fever, under the care of Dr. Mortimer.</t>
  </si>
  <si>
    <t>shock</t>
  </si>
  <si>
    <t>shattered</t>
  </si>
  <si>
    <t>morning</t>
  </si>
  <si>
    <t>high</t>
  </si>
  <si>
    <t>fever</t>
  </si>
  <si>
    <t>care</t>
  </si>
  <si>
    <t>Dr.</t>
  </si>
  <si>
    <t>Mortimer</t>
  </si>
  <si>
    <t># text = The two of them were destined to travel together round the world before Sir Henry had become once more the hale, hearty man that he had been before he became master of that ill-omened estate.</t>
  </si>
  <si>
    <t>destined</t>
  </si>
  <si>
    <t>travel</t>
  </si>
  <si>
    <t>world</t>
  </si>
  <si>
    <t>become</t>
  </si>
  <si>
    <t>hale</t>
  </si>
  <si>
    <t>hearty</t>
  </si>
  <si>
    <t>became</t>
  </si>
  <si>
    <t>master</t>
  </si>
  <si>
    <t>estate</t>
  </si>
  <si>
    <t># text = And now I come rapidly to the conclusion of this singular narrative, in which I have tried to make the reader share those dark fears and vague surmises which clouded our lives so long and ended in so tragic a manner.</t>
  </si>
  <si>
    <t>rapidly</t>
  </si>
  <si>
    <t>conclusion</t>
  </si>
  <si>
    <t>singular</t>
  </si>
  <si>
    <t>narrative</t>
  </si>
  <si>
    <t>reader</t>
  </si>
  <si>
    <t>share</t>
  </si>
  <si>
    <t>vague</t>
  </si>
  <si>
    <t>surmises</t>
  </si>
  <si>
    <t>clouded</t>
  </si>
  <si>
    <t>lives</t>
  </si>
  <si>
    <t>ended</t>
  </si>
  <si>
    <t>tragic</t>
  </si>
  <si>
    <t>manner</t>
  </si>
  <si>
    <t># text = On the morning after the death of the hound the fog had lifted and we were guided by Mrs. Stapleton to the point where they had found a pathway through the bog.</t>
  </si>
  <si>
    <t>guided</t>
  </si>
  <si>
    <t>found</t>
  </si>
  <si>
    <t>bog</t>
  </si>
  <si>
    <t># text = It helped us to realize the horror of this woman's life when we saw the eagerness and joy with which she laid us on her husband's track.</t>
  </si>
  <si>
    <t>realize</t>
  </si>
  <si>
    <t>eagerness</t>
  </si>
  <si>
    <t>joy</t>
  </si>
  <si>
    <t># text = We left her standing upon the thin peninsula of firm, peaty soil which tapered out into the widespread bog.</t>
  </si>
  <si>
    <t>peninsula</t>
  </si>
  <si>
    <t>firm</t>
  </si>
  <si>
    <t>peaty</t>
  </si>
  <si>
    <t>soil</t>
  </si>
  <si>
    <t>tapered</t>
  </si>
  <si>
    <t>widespread</t>
  </si>
  <si>
    <t># text = From the end of it a small wand planted here and there showed where the path zigzagged from tuft to tuft of rushes among those green-scummed pits and foul quagmires which barred the way to the stranger.</t>
  </si>
  <si>
    <t>From</t>
  </si>
  <si>
    <t>zigzagged</t>
  </si>
  <si>
    <t>tuft</t>
  </si>
  <si>
    <t>rushes</t>
  </si>
  <si>
    <t>green</t>
  </si>
  <si>
    <t>scummed</t>
  </si>
  <si>
    <t>pits</t>
  </si>
  <si>
    <t>foul</t>
  </si>
  <si>
    <t>quagmires</t>
  </si>
  <si>
    <t>barred</t>
  </si>
  <si>
    <t>stranger</t>
  </si>
  <si>
    <t># text = Rank reeds and lush, slimy water-plants sent an odour of decay and a heavy miasmatic vapour onto our faces, while a false step plunged us more than once thigh-deep into the dark, quivering mire, which shook for yards in soft undulations around our feet.</t>
  </si>
  <si>
    <t>Rank</t>
  </si>
  <si>
    <t>reeds</t>
  </si>
  <si>
    <t>lush</t>
  </si>
  <si>
    <t>slimy</t>
  </si>
  <si>
    <t>water</t>
  </si>
  <si>
    <t>plants</t>
  </si>
  <si>
    <t>sent</t>
  </si>
  <si>
    <t>odour</t>
  </si>
  <si>
    <t>decay</t>
  </si>
  <si>
    <t>heavy</t>
  </si>
  <si>
    <t>miasmatic</t>
  </si>
  <si>
    <t>onto</t>
  </si>
  <si>
    <t>false</t>
  </si>
  <si>
    <t>step</t>
  </si>
  <si>
    <t>plunged</t>
  </si>
  <si>
    <t>thigh</t>
  </si>
  <si>
    <t>quivering</t>
  </si>
  <si>
    <t>shook</t>
  </si>
  <si>
    <t>undulations</t>
  </si>
  <si>
    <t># text = Its tenacious grip plucked at our heels as we walked, and when we sank into it it was as if some malignant hand was tugging us down into those obscene depths, so grim and purposeful was the clutch in which it held us.</t>
  </si>
  <si>
    <t>tenacious</t>
  </si>
  <si>
    <t>grip</t>
  </si>
  <si>
    <t>heels</t>
  </si>
  <si>
    <t>malignant</t>
  </si>
  <si>
    <t>tugging</t>
  </si>
  <si>
    <t>obscene</t>
  </si>
  <si>
    <t>depths</t>
  </si>
  <si>
    <t>grim</t>
  </si>
  <si>
    <t>purposeful</t>
  </si>
  <si>
    <t>clutch</t>
  </si>
  <si>
    <t># text = Once only we saw a trace that someone had passed that perilous way before us.</t>
  </si>
  <si>
    <t>Once</t>
  </si>
  <si>
    <t>perilous</t>
  </si>
  <si>
    <t># text = From amid a tuft of cotton grass which bore it up out of the slime some dark thing was projecting.</t>
  </si>
  <si>
    <t>amid</t>
  </si>
  <si>
    <t>cotton</t>
  </si>
  <si>
    <t>grass</t>
  </si>
  <si>
    <t>bore</t>
  </si>
  <si>
    <t>slime</t>
  </si>
  <si>
    <t>projecting</t>
  </si>
  <si>
    <t># text = Holmes sank to his waist as he stepped from the path to seize it, and had we not been there to drag him out he could never have set his foot upon firm land again.</t>
  </si>
  <si>
    <t>waist</t>
  </si>
  <si>
    <t>seize</t>
  </si>
  <si>
    <t>drag</t>
  </si>
  <si>
    <t># text = He held an old black boot in the air.</t>
  </si>
  <si>
    <t>boot</t>
  </si>
  <si>
    <t># text = \"Meyers, Toronto,\" was printed on the leather inside.</t>
  </si>
  <si>
    <t>Meyers</t>
  </si>
  <si>
    <t>Toronto</t>
  </si>
  <si>
    <t>printed</t>
  </si>
  <si>
    <t>leather</t>
  </si>
  <si>
    <t># text = \"It is worth a mud bath,\" said he.</t>
  </si>
  <si>
    <t>worth</t>
  </si>
  <si>
    <t>mud</t>
  </si>
  <si>
    <t>bath</t>
  </si>
  <si>
    <t># text = \"It is our friend Sir Henry's missing boot.\"</t>
  </si>
  <si>
    <t>missing</t>
  </si>
  <si>
    <t># text = \"Thrown there by Stapleton in his flight.\"</t>
  </si>
  <si>
    <t>Thrown</t>
  </si>
  <si>
    <t>flight</t>
  </si>
  <si>
    <t># text = \"Exactly.</t>
  </si>
  <si>
    <t>Exactly</t>
  </si>
  <si>
    <t># text = He retained it in his hand after using it to set the hound upon the track.</t>
  </si>
  <si>
    <t>retained</t>
  </si>
  <si>
    <t>using</t>
  </si>
  <si>
    <t># text = He fled when he knew the game was up, still clutching it.</t>
  </si>
  <si>
    <t>clutching</t>
  </si>
  <si>
    <t># text = And he hurled it away at this point of his flight.</t>
  </si>
  <si>
    <t>hurled</t>
  </si>
  <si>
    <t># text = We know at least that he came so far in safety.\"</t>
  </si>
  <si>
    <t>safety</t>
  </si>
  <si>
    <t># text = But more than that we were never destined to know, though there was much which we might surmise.</t>
  </si>
  <si>
    <t>though</t>
  </si>
  <si>
    <t># text = There was no chance of finding footsteps in the mire, for the rising mud oozed swiftly in upon them, but as we at last reached firmer ground beyond the morass we all looked eagerly for them.</t>
  </si>
  <si>
    <t>rising</t>
  </si>
  <si>
    <t>oozed</t>
  </si>
  <si>
    <t>firmer</t>
  </si>
  <si>
    <t>morass</t>
  </si>
  <si>
    <t>eagerly</t>
  </si>
  <si>
    <t># text = But no slightest sign of them ever met our eyes.</t>
  </si>
  <si>
    <t>slightest</t>
  </si>
  <si>
    <t># text = If the earth told a true story, then Stapleton never reached that island of refuge towards which he struggled through the fog upon that last night.</t>
  </si>
  <si>
    <t>true</t>
  </si>
  <si>
    <t>struggled</t>
  </si>
  <si>
    <t># text = Somewhere in the heart of the great Grimpen Mire, down in the foul slime of the huge morass which had sucked him in, this cold and cruel-hearted man is forever buried.</t>
  </si>
  <si>
    <t>Somewhere</t>
  </si>
  <si>
    <t>sucked</t>
  </si>
  <si>
    <t>hearted</t>
  </si>
  <si>
    <t># text = Many traces we found of him in the bog-girt island where he had hid his savage ally.</t>
  </si>
  <si>
    <t>Many</t>
  </si>
  <si>
    <t>traces</t>
  </si>
  <si>
    <t>girt</t>
  </si>
  <si>
    <t>hid</t>
  </si>
  <si>
    <t>ally</t>
  </si>
  <si>
    <t># text = A huge driving-wheel and a shaft half-filled with rubbish showed the position of an abandoned mine.</t>
  </si>
  <si>
    <t>driving</t>
  </si>
  <si>
    <t>wheel</t>
  </si>
  <si>
    <t>shaft</t>
  </si>
  <si>
    <t>rubbish</t>
  </si>
  <si>
    <t>abandoned</t>
  </si>
  <si>
    <t># text = Beside it were the crumbling remains of the cottages of the miners, driven away no doubt by the foul reek of the surrounding swamp.</t>
  </si>
  <si>
    <t>Beside</t>
  </si>
  <si>
    <t>crumbling</t>
  </si>
  <si>
    <t>remains</t>
  </si>
  <si>
    <t>cottages</t>
  </si>
  <si>
    <t>miners</t>
  </si>
  <si>
    <t>driven</t>
  </si>
  <si>
    <t>reek</t>
  </si>
  <si>
    <t>surrounding</t>
  </si>
  <si>
    <t>swamp</t>
  </si>
  <si>
    <t># text = In one of these a staple and chain with a quantity of gnawed bones showed where the animal had been confined.</t>
  </si>
  <si>
    <t>these</t>
  </si>
  <si>
    <t>staple</t>
  </si>
  <si>
    <t>chain</t>
  </si>
  <si>
    <t>quantity</t>
  </si>
  <si>
    <t>gnawed</t>
  </si>
  <si>
    <t>bones</t>
  </si>
  <si>
    <t>confined</t>
  </si>
  <si>
    <t># text = A skeleton with a tangle of brown hair adhering to it lay among the debris.</t>
  </si>
  <si>
    <t>tangle</t>
  </si>
  <si>
    <t>brown</t>
  </si>
  <si>
    <t>hair</t>
  </si>
  <si>
    <t>adhering</t>
  </si>
  <si>
    <t>debris</t>
  </si>
  <si>
    <t># text = \"A dog!\" said Holmes.</t>
  </si>
  <si>
    <t>dog</t>
  </si>
  <si>
    <t># text = "By Jove, a curly-haired spaniel.</t>
  </si>
  <si>
    <t>By</t>
  </si>
  <si>
    <t>curly</t>
  </si>
  <si>
    <t>haired</t>
  </si>
  <si>
    <t>spaniel</t>
  </si>
  <si>
    <t># text = Poor Mortimer will never see his pet again.</t>
  </si>
  <si>
    <t>Poor</t>
  </si>
  <si>
    <t>pet</t>
  </si>
  <si>
    <t># text = Well, I do not know that this place contains any secret which we have not already fathomed.</t>
  </si>
  <si>
    <t>Well</t>
  </si>
  <si>
    <t>contains</t>
  </si>
  <si>
    <t>secret</t>
  </si>
  <si>
    <t>fathomed</t>
  </si>
  <si>
    <t># text = He could hide his hound, but he could not hush its voice, and hence came those cries which even in daylight were not pleasant to hear.</t>
  </si>
  <si>
    <t>hush</t>
  </si>
  <si>
    <t>voice</t>
  </si>
  <si>
    <t>hence</t>
  </si>
  <si>
    <t>cries</t>
  </si>
  <si>
    <t>daylight</t>
  </si>
  <si>
    <t>pleasant</t>
  </si>
  <si>
    <t># text = On an emergency he could keep the hound in the out-house at Merripit, but it was always a risk, and it was only on the supreme day, which he regarded as the end of all his efforts, that he dared do it.</t>
  </si>
  <si>
    <t>emergency</t>
  </si>
  <si>
    <t>always</t>
  </si>
  <si>
    <t>risk</t>
  </si>
  <si>
    <t>regarded</t>
  </si>
  <si>
    <t>efforts</t>
  </si>
  <si>
    <t>dared</t>
  </si>
  <si>
    <t># text = This paste in the tin is no doubt the luminous mixture with which the creature was daubed.</t>
  </si>
  <si>
    <t>paste</t>
  </si>
  <si>
    <t>luminous</t>
  </si>
  <si>
    <t>mixture</t>
  </si>
  <si>
    <t>daubed</t>
  </si>
  <si>
    <t># text = It was suggested, of course, by the story of the family hell-hound, and by the desire to frighten old Sir Charles to death.</t>
  </si>
  <si>
    <t>suggested</t>
  </si>
  <si>
    <t>hell</t>
  </si>
  <si>
    <t>desire</t>
  </si>
  <si>
    <t>frighten</t>
  </si>
  <si>
    <t>Charles</t>
  </si>
  <si>
    <t># text = No wonder the poor devil of a convict ran and screamed, even as our friend did, and as we ourselves might have done, when he saw such a creature bounding through the darkness of the moor upon his track.</t>
  </si>
  <si>
    <t>wonder</t>
  </si>
  <si>
    <t>poor</t>
  </si>
  <si>
    <t>devil</t>
  </si>
  <si>
    <t>convict</t>
  </si>
  <si>
    <t>screamed</t>
  </si>
  <si>
    <t>ourselves</t>
  </si>
  <si>
    <t>bounding</t>
  </si>
  <si>
    <t># text = It was a cunning device, for, apart from the chance of driving your victim to his death, what peasant would venture to inquire too closely into such a creature should he get sight of it, as many have done, upon the moor?</t>
  </si>
  <si>
    <t>device</t>
  </si>
  <si>
    <t>apart</t>
  </si>
  <si>
    <t>peasant</t>
  </si>
  <si>
    <t>venture</t>
  </si>
  <si>
    <t>inquire</t>
  </si>
  <si>
    <t>closely</t>
  </si>
  <si>
    <t>should</t>
  </si>
  <si>
    <t>sight</t>
  </si>
  <si>
    <t>many</t>
  </si>
  <si>
    <t># text = I said it in London, Watson, and I say it again now, that never yet have we helped to hunt down a more dangerous man than he who is lying yonder\"—he swept his long arm towards the huge mottled expanse of green-splotched bog which stretched away until it merged into the russet slopes of the moor.</t>
  </si>
  <si>
    <t>London</t>
  </si>
  <si>
    <t>hunt</t>
  </si>
  <si>
    <t>yonder</t>
  </si>
  <si>
    <t>—he</t>
  </si>
  <si>
    <t>arm</t>
  </si>
  <si>
    <t>expanse</t>
  </si>
  <si>
    <t>splotched</t>
  </si>
  <si>
    <t>SBJ_11</t>
  </si>
  <si>
    <t>SBJ_12</t>
  </si>
  <si>
    <t>merged</t>
  </si>
  <si>
    <t>russet</t>
  </si>
  <si>
    <t>other_12</t>
  </si>
  <si>
    <t>other_13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</si>
</sst>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73"/>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18</v>
      </c>
      <c r="C3" s="6" t="s">
        <v>16</v>
      </c>
      <c r="D3" s="7" t="s">
        <v>19</v>
      </c>
      <c r="E3" s="8" t="s">
        <v>20</v>
      </c>
      <c r="F3" s="6" t="s">
        <v>21</v>
      </c>
      <c r="G3" s="9">
        <f>IF(A3=1,"_",IF(C3="_","???",C3))</f>
        <v/>
      </c>
      <c r="H3" s="10" t="s">
        <v>16</v>
      </c>
      <c r="I3" s="11" t="s">
        <v>16</v>
      </c>
      <c r="J3" s="12"/>
    </row>
    <row r="4" spans="1:10" ht="60" customHeight="1">
      <c r="A4" s="6" t="s">
        <v>18</v>
      </c>
      <c r="B4" s="6" t="s">
        <v>22</v>
      </c>
      <c r="C4" s="6" t="s">
        <v>23</v>
      </c>
      <c r="D4" s="7" t="s">
        <v>24</v>
      </c>
      <c r="E4" s="8" t="s">
        <v>25</v>
      </c>
      <c r="F4" s="6" t="s">
        <v>26</v>
      </c>
      <c r="G4" s="9">
        <f>IF(A4=1,"_",IF(C4="_","???",C4))</f>
        <v/>
      </c>
      <c r="H4" s="10" t="s">
        <v>16</v>
      </c>
      <c r="I4" s="11" t="s">
        <v>16</v>
      </c>
      <c r="J4" s="12"/>
    </row>
    <row r="5" spans="1:10" ht="60" customHeight="1">
      <c r="A5" s="6" t="s">
        <v>27</v>
      </c>
      <c r="B5" s="6" t="s">
        <v>28</v>
      </c>
      <c r="C5" s="6" t="s">
        <v>29</v>
      </c>
      <c r="D5" s="7" t="s">
        <v>30</v>
      </c>
      <c r="E5" s="8" t="s">
        <v>31</v>
      </c>
      <c r="F5" s="6" t="s">
        <v>32</v>
      </c>
      <c r="G5" s="9">
        <f>IF(A5=1,"_",IF(C5="_","???",C5))</f>
        <v/>
      </c>
      <c r="H5" s="10" t="s">
        <v>16</v>
      </c>
      <c r="I5" s="11" t="s">
        <v>16</v>
      </c>
      <c r="J5" s="12"/>
    </row>
    <row r="6" spans="1:10" ht="60" customHeight="1">
      <c r="A6" s="6" t="s">
        <v>33</v>
      </c>
      <c r="B6" s="6" t="s">
        <v>27</v>
      </c>
      <c r="C6" s="6" t="s">
        <v>34</v>
      </c>
      <c r="D6" s="7" t="s">
        <v>35</v>
      </c>
      <c r="E6" s="8" t="s">
        <v>36</v>
      </c>
      <c r="F6" s="6" t="s">
        <v>37</v>
      </c>
      <c r="G6" s="9">
        <f>IF(A6=1,"_",IF(C6="_","???",C6))</f>
        <v/>
      </c>
      <c r="H6" s="10" t="s">
        <v>16</v>
      </c>
      <c r="I6" s="11" t="s">
        <v>16</v>
      </c>
      <c r="J6" s="12"/>
    </row>
    <row r="7" spans="1:10" ht="60" customHeight="1">
      <c r="A7" s="6" t="s">
        <v>22</v>
      </c>
      <c r="B7" s="6" t="s">
        <v>27</v>
      </c>
      <c r="C7" s="6" t="s">
        <v>38</v>
      </c>
      <c r="D7" s="7" t="s">
        <v>39</v>
      </c>
      <c r="E7" s="8" t="s">
        <v>40</v>
      </c>
      <c r="F7" s="6" t="s">
        <v>41</v>
      </c>
      <c r="G7" s="9">
        <f>IF(A7=1,"_",IF(C7="_","???",C7))</f>
        <v/>
      </c>
      <c r="H7" s="10" t="s">
        <v>16</v>
      </c>
      <c r="I7" s="11" t="s">
        <v>16</v>
      </c>
      <c r="J7" s="12"/>
    </row>
    <row r="8" spans="1:10" ht="60" customHeight="1">
      <c r="A8" s="6" t="s">
        <v>42</v>
      </c>
      <c r="B8" s="6" t="s">
        <v>18</v>
      </c>
      <c r="C8" s="6" t="s">
        <v>43</v>
      </c>
      <c r="D8" s="7" t="s">
        <v>44</v>
      </c>
      <c r="E8" s="8" t="s">
        <v>45</v>
      </c>
      <c r="F8" s="6" t="s">
        <v>46</v>
      </c>
      <c r="G8" s="9">
        <f>IF(A8=1,"_",IF(C8="_","???",C8))</f>
        <v/>
      </c>
      <c r="H8" s="10" t="s">
        <v>16</v>
      </c>
      <c r="I8" s="11" t="s">
        <v>16</v>
      </c>
      <c r="J8" s="12"/>
    </row>
    <row r="9" spans="1:10" ht="60" customHeight="1">
      <c r="A9" s="6" t="s">
        <v>28</v>
      </c>
      <c r="B9" s="6" t="s">
        <v>17</v>
      </c>
      <c r="C9" s="6" t="s">
        <v>16</v>
      </c>
      <c r="D9" s="7" t="s">
        <v>47</v>
      </c>
      <c r="E9" s="8" t="s">
        <v>48</v>
      </c>
      <c r="F9" s="6" t="s">
        <v>49</v>
      </c>
      <c r="G9" s="9">
        <f>IF(A9=1,"_",IF(C9="_","???",C9))</f>
        <v/>
      </c>
      <c r="H9" s="10" t="s">
        <v>16</v>
      </c>
      <c r="I9" s="11" t="s">
        <v>16</v>
      </c>
      <c r="J9" s="12"/>
    </row>
    <row r="10" spans="1:10" ht="60" customHeight="1">
      <c r="A10" s="6" t="s">
        <v>50</v>
      </c>
      <c r="B10" s="6" t="s">
        <v>27</v>
      </c>
      <c r="C10" s="6" t="s">
        <v>51</v>
      </c>
      <c r="D10" s="7" t="s">
        <v>52</v>
      </c>
      <c r="E10" s="8" t="s">
        <v>53</v>
      </c>
      <c r="F10" s="6" t="s">
        <v>54</v>
      </c>
      <c r="G10" s="9">
        <f>IF(A10=1,"_",IF(C10="_","???",C10))</f>
        <v/>
      </c>
      <c r="H10" s="10" t="s">
        <v>16</v>
      </c>
      <c r="I10" s="11" t="s">
        <v>16</v>
      </c>
      <c r="J10" s="12"/>
    </row>
    <row r="11" spans="1:10" ht="60" customHeight="1">
      <c r="A11" s="6" t="s">
        <v>55</v>
      </c>
      <c r="B11" s="6" t="s">
        <v>17</v>
      </c>
      <c r="C11" s="6" t="s">
        <v>56</v>
      </c>
      <c r="D11" s="7" t="s">
        <v>57</v>
      </c>
      <c r="E11" s="8" t="s">
        <v>58</v>
      </c>
      <c r="F11" s="6" t="s">
        <v>59</v>
      </c>
      <c r="G11" s="9">
        <f>IF(A11=1,"_",IF(C11="_","???",C11))</f>
        <v/>
      </c>
      <c r="H11" s="10" t="s">
        <v>16</v>
      </c>
      <c r="I11" s="11" t="s">
        <v>16</v>
      </c>
      <c r="J11" s="12"/>
    </row>
    <row r="12" spans="1:10" ht="60" customHeight="1">
      <c r="A12" s="6" t="s">
        <v>60</v>
      </c>
      <c r="B12" s="6" t="s">
        <v>27</v>
      </c>
      <c r="C12" s="6" t="s">
        <v>34</v>
      </c>
      <c r="D12" s="7" t="s">
        <v>61</v>
      </c>
      <c r="E12" s="8" t="s">
        <v>62</v>
      </c>
      <c r="F12" s="6" t="s">
        <v>63</v>
      </c>
      <c r="G12" s="9">
        <f>IF(A12=1,"_",IF(C12="_","???",C12))</f>
        <v/>
      </c>
      <c r="H12" s="10" t="s">
        <v>16</v>
      </c>
      <c r="I12" s="11" t="s">
        <v>16</v>
      </c>
      <c r="J12" s="12"/>
    </row>
    <row r="13" spans="1:10" ht="60" customHeight="1">
      <c r="A13" s="6" t="s">
        <v>64</v>
      </c>
      <c r="B13" s="6" t="s">
        <v>27</v>
      </c>
      <c r="C13" s="6" t="s">
        <v>65</v>
      </c>
      <c r="D13" s="7" t="s">
        <v>66</v>
      </c>
      <c r="E13" s="8" t="s">
        <v>67</v>
      </c>
      <c r="F13" s="6" t="s">
        <v>68</v>
      </c>
      <c r="G13" s="9">
        <f>IF(A13=1,"_",IF(C13="_","???",C13))</f>
        <v/>
      </c>
      <c r="H13" s="10" t="s">
        <v>16</v>
      </c>
      <c r="I13" s="11" t="s">
        <v>16</v>
      </c>
      <c r="J13" s="12"/>
    </row>
    <row r="14" spans="1:10" ht="60" customHeight="1">
      <c r="A14" s="6" t="s">
        <v>11</v>
      </c>
      <c r="B14" s="6" t="s">
        <v>17</v>
      </c>
      <c r="C14" s="6" t="s">
        <v>16</v>
      </c>
      <c r="D14" s="7" t="s">
        <v>69</v>
      </c>
      <c r="E14" s="8" t="s">
        <v>70</v>
      </c>
      <c r="F14" s="6" t="s">
        <v>71</v>
      </c>
      <c r="G14" s="9">
        <f>IF(A14=1,"_",IF(C14="_","???",C14))</f>
        <v/>
      </c>
      <c r="H14" s="10" t="s">
        <v>16</v>
      </c>
      <c r="I14" s="11" t="s">
        <v>16</v>
      </c>
      <c r="J14" s="12"/>
    </row>
    <row r="15" spans="1:10" ht="60" customHeight="1">
      <c r="A15" s="6" t="s">
        <v>72</v>
      </c>
      <c r="B15" s="6" t="s">
        <v>18</v>
      </c>
      <c r="C15" s="6" t="s">
        <v>16</v>
      </c>
      <c r="D15" s="7" t="s">
        <v>73</v>
      </c>
      <c r="E15" s="8" t="s">
        <v>74</v>
      </c>
      <c r="F15" s="6" t="s">
        <v>75</v>
      </c>
      <c r="G15" s="9">
        <f>IF(A15=1,"_",IF(C15="_","???",C15))</f>
        <v/>
      </c>
      <c r="H15" s="10" t="s">
        <v>16</v>
      </c>
      <c r="I15" s="11" t="s">
        <v>16</v>
      </c>
      <c r="J15" s="12"/>
    </row>
    <row r="16" spans="1:10" ht="60" customHeight="1">
      <c r="A16" s="6" t="s">
        <v>76</v>
      </c>
      <c r="B16" s="6" t="s">
        <v>18</v>
      </c>
      <c r="C16" s="6" t="s">
        <v>77</v>
      </c>
      <c r="D16" s="7" t="s">
        <v>78</v>
      </c>
      <c r="E16" s="8" t="s">
        <v>79</v>
      </c>
      <c r="F16" s="6" t="s">
        <v>80</v>
      </c>
      <c r="G16" s="9">
        <f>IF(A16=1,"_",IF(C16="_","???",C16))</f>
        <v/>
      </c>
      <c r="H16" s="10" t="s">
        <v>16</v>
      </c>
      <c r="I16" s="11" t="s">
        <v>16</v>
      </c>
      <c r="J16" s="12"/>
    </row>
    <row r="17" spans="1:10" ht="60" customHeight="1">
      <c r="A17" s="6" t="s">
        <v>81</v>
      </c>
      <c r="B17" s="6" t="s">
        <v>17</v>
      </c>
      <c r="C17" s="6" t="s">
        <v>16</v>
      </c>
      <c r="D17" s="7" t="s">
        <v>82</v>
      </c>
      <c r="E17" s="8" t="s">
        <v>83</v>
      </c>
      <c r="F17" s="6" t="s">
        <v>84</v>
      </c>
      <c r="G17" s="9">
        <f>IF(A17=1,"_",IF(C17="_","???",C17))</f>
        <v/>
      </c>
      <c r="H17" s="10" t="s">
        <v>16</v>
      </c>
      <c r="I17" s="11" t="s">
        <v>16</v>
      </c>
      <c r="J17" s="12"/>
    </row>
    <row r="18" spans="1:10" ht="60" customHeight="1">
      <c r="A18" s="6" t="s">
        <v>85</v>
      </c>
      <c r="B18" s="6" t="s">
        <v>33</v>
      </c>
      <c r="C18" s="6" t="s">
        <v>23</v>
      </c>
      <c r="D18" s="7" t="s">
        <v>86</v>
      </c>
      <c r="E18" s="8" t="s">
        <v>87</v>
      </c>
      <c r="F18" s="6" t="s">
        <v>88</v>
      </c>
      <c r="G18" s="9">
        <f>IF(A18=1,"_",IF(C18="_","???",C18))</f>
        <v/>
      </c>
      <c r="H18" s="10" t="s">
        <v>16</v>
      </c>
      <c r="I18" s="11" t="s">
        <v>16</v>
      </c>
      <c r="J18" s="12"/>
    </row>
    <row r="19" spans="1:10" ht="60" customHeight="1">
      <c r="A19" s="6" t="s">
        <v>89</v>
      </c>
      <c r="B19" s="6" t="s">
        <v>55</v>
      </c>
      <c r="C19" s="6" t="s">
        <v>16</v>
      </c>
      <c r="D19" s="7" t="s">
        <v>90</v>
      </c>
      <c r="E19" s="8" t="s">
        <v>91</v>
      </c>
      <c r="F19" s="6" t="s">
        <v>92</v>
      </c>
      <c r="G19" s="9">
        <f>IF(A19=1,"_",IF(C19="_","???",C19))</f>
        <v/>
      </c>
      <c r="H19" s="10" t="s">
        <v>16</v>
      </c>
      <c r="I19" s="11" t="s">
        <v>16</v>
      </c>
      <c r="J19" s="12"/>
    </row>
    <row r="20" spans="1:10" ht="60" customHeight="1">
      <c r="A20" s="6" t="s">
        <v>93</v>
      </c>
      <c r="B20" s="6" t="s">
        <v>17</v>
      </c>
      <c r="C20" s="6" t="s">
        <v>16</v>
      </c>
      <c r="D20" s="7" t="s">
        <v>94</v>
      </c>
      <c r="E20" s="8" t="s">
        <v>95</v>
      </c>
      <c r="F20" s="6" t="s">
        <v>96</v>
      </c>
      <c r="G20" s="9">
        <f>IF(A20=1,"_",IF(C20="_","???",C20))</f>
        <v/>
      </c>
      <c r="H20" s="10" t="s">
        <v>16</v>
      </c>
      <c r="I20" s="11" t="s">
        <v>16</v>
      </c>
      <c r="J20" s="12"/>
    </row>
    <row r="21" spans="1:10" ht="60" customHeight="1">
      <c r="A21" s="6" t="s">
        <v>97</v>
      </c>
      <c r="B21" s="6" t="s">
        <v>27</v>
      </c>
      <c r="C21" s="6" t="s">
        <v>16</v>
      </c>
      <c r="D21" s="7" t="s">
        <v>98</v>
      </c>
      <c r="E21" s="8" t="s">
        <v>99</v>
      </c>
      <c r="F21" s="6" t="s">
        <v>100</v>
      </c>
      <c r="G21" s="9">
        <f>IF(A21=1,"_",IF(C21="_","???",C21))</f>
        <v/>
      </c>
      <c r="H21" s="10" t="s">
        <v>16</v>
      </c>
      <c r="I21" s="11" t="s">
        <v>16</v>
      </c>
      <c r="J21" s="12"/>
    </row>
    <row r="22" spans="1:10" ht="60" customHeight="1">
      <c r="A22" s="6" t="s">
        <v>101</v>
      </c>
      <c r="B22" s="6" t="s">
        <v>28</v>
      </c>
      <c r="C22" s="6" t="s">
        <v>16</v>
      </c>
      <c r="D22" s="7" t="s">
        <v>102</v>
      </c>
      <c r="E22" s="8" t="s">
        <v>103</v>
      </c>
      <c r="F22" s="6" t="s">
        <v>104</v>
      </c>
      <c r="G22" s="9">
        <f>IF(A22=1,"_",IF(C22="_","???",C22))</f>
        <v/>
      </c>
      <c r="H22" s="10" t="s">
        <v>16</v>
      </c>
      <c r="I22" s="11" t="s">
        <v>16</v>
      </c>
      <c r="J22" s="12"/>
    </row>
    <row r="23" spans="1:10" ht="60" customHeight="1">
      <c r="A23" s="6" t="s">
        <v>105</v>
      </c>
      <c r="B23" s="6" t="s">
        <v>18</v>
      </c>
      <c r="C23" s="6" t="s">
        <v>16</v>
      </c>
      <c r="D23" s="7" t="s">
        <v>106</v>
      </c>
      <c r="E23" s="8" t="s">
        <v>107</v>
      </c>
      <c r="F23" s="6" t="s">
        <v>108</v>
      </c>
      <c r="G23" s="9">
        <f>IF(A23=1,"_",IF(C23="_","???",C23))</f>
        <v/>
      </c>
      <c r="H23" s="10" t="s">
        <v>16</v>
      </c>
      <c r="I23" s="11" t="s">
        <v>16</v>
      </c>
      <c r="J23" s="12"/>
    </row>
    <row r="24" spans="1:10" ht="60" customHeight="1">
      <c r="A24" s="6" t="s">
        <v>109</v>
      </c>
      <c r="B24" s="6" t="s">
        <v>18</v>
      </c>
      <c r="C24" s="6" t="s">
        <v>38</v>
      </c>
      <c r="D24" s="7" t="s">
        <v>110</v>
      </c>
      <c r="E24" s="8" t="s">
        <v>111</v>
      </c>
      <c r="F24" s="6" t="s">
        <v>112</v>
      </c>
      <c r="G24" s="9">
        <f>IF(A24=1,"_",IF(C24="_","???",C24))</f>
        <v/>
      </c>
      <c r="H24" s="10" t="s">
        <v>16</v>
      </c>
      <c r="I24" s="11" t="s">
        <v>16</v>
      </c>
      <c r="J24" s="12"/>
    </row>
    <row r="25" spans="1:10" ht="60" customHeight="1">
      <c r="A25" s="6" t="s">
        <v>113</v>
      </c>
      <c r="B25" s="6" t="s">
        <v>18</v>
      </c>
      <c r="C25" s="6" t="s">
        <v>16</v>
      </c>
      <c r="D25" s="7" t="s">
        <v>114</v>
      </c>
      <c r="E25" s="8" t="s">
        <v>115</v>
      </c>
      <c r="F25" s="6" t="s">
        <v>116</v>
      </c>
      <c r="G25" s="9">
        <f>IF(A25=1,"_",IF(C25="_","???",C25))</f>
        <v/>
      </c>
      <c r="H25" s="10" t="s">
        <v>16</v>
      </c>
      <c r="I25" s="11" t="s">
        <v>16</v>
      </c>
      <c r="J25" s="12"/>
    </row>
    <row r="26" spans="1:10" ht="60" customHeight="1">
      <c r="A26" s="6" t="s">
        <v>117</v>
      </c>
      <c r="B26" s="6" t="s">
        <v>17</v>
      </c>
      <c r="C26" s="6" t="s">
        <v>118</v>
      </c>
      <c r="D26" s="7" t="s">
        <v>119</v>
      </c>
      <c r="E26" s="8" t="s">
        <v>120</v>
      </c>
      <c r="F26" s="6" t="s">
        <v>121</v>
      </c>
      <c r="G26" s="9">
        <f>IF(A26=1,"_",IF(C26="_","???",C26))</f>
        <v/>
      </c>
      <c r="H26" s="10" t="s">
        <v>16</v>
      </c>
      <c r="I26" s="11" t="s">
        <v>16</v>
      </c>
      <c r="J26" s="12"/>
    </row>
    <row r="27" spans="1:10" ht="60" customHeight="1">
      <c r="A27" s="6" t="s">
        <v>122</v>
      </c>
      <c r="B27" s="6" t="s">
        <v>42</v>
      </c>
      <c r="C27" s="6" t="s">
        <v>16</v>
      </c>
      <c r="D27" s="7" t="s">
        <v>123</v>
      </c>
      <c r="E27" s="8" t="s">
        <v>124</v>
      </c>
      <c r="F27" s="6" t="s">
        <v>125</v>
      </c>
      <c r="G27" s="9">
        <f>IF(A27=1,"_",IF(C27="_","???",C27))</f>
        <v/>
      </c>
      <c r="H27" s="10" t="s">
        <v>16</v>
      </c>
      <c r="I27" s="11" t="s">
        <v>16</v>
      </c>
      <c r="J27" s="12"/>
    </row>
    <row r="28" spans="1:10" ht="60" customHeight="1">
      <c r="A28" s="6" t="s">
        <v>126</v>
      </c>
      <c r="B28" s="6" t="s">
        <v>42</v>
      </c>
      <c r="C28" s="6" t="s">
        <v>16</v>
      </c>
      <c r="D28" s="7" t="s">
        <v>127</v>
      </c>
      <c r="E28" s="8" t="s">
        <v>128</v>
      </c>
      <c r="F28" s="6" t="s">
        <v>129</v>
      </c>
      <c r="G28" s="9">
        <f>IF(A28=1,"_",IF(C28="_","???",C28))</f>
        <v/>
      </c>
      <c r="H28" s="10" t="s">
        <v>16</v>
      </c>
      <c r="I28" s="11" t="s">
        <v>16</v>
      </c>
      <c r="J28" s="12"/>
    </row>
    <row r="29" spans="1:10" ht="60" customHeight="1">
      <c r="A29" s="6" t="s">
        <v>130</v>
      </c>
      <c r="B29" s="6" t="s">
        <v>33</v>
      </c>
      <c r="C29" s="6" t="s">
        <v>16</v>
      </c>
      <c r="D29" s="7" t="s">
        <v>131</v>
      </c>
      <c r="E29" s="8" t="s">
        <v>132</v>
      </c>
      <c r="F29" s="6" t="s">
        <v>133</v>
      </c>
      <c r="G29" s="9">
        <f>IF(A29=1,"_",IF(C29="_","???",C29))</f>
        <v/>
      </c>
      <c r="H29" s="10" t="s">
        <v>16</v>
      </c>
      <c r="I29" s="11" t="s">
        <v>16</v>
      </c>
      <c r="J29" s="12"/>
    </row>
    <row r="30" spans="1:10" ht="60" customHeight="1">
      <c r="A30" s="6" t="s">
        <v>134</v>
      </c>
      <c r="B30" s="6" t="s">
        <v>22</v>
      </c>
      <c r="C30" s="6" t="s">
        <v>16</v>
      </c>
      <c r="D30" s="7" t="s">
        <v>127</v>
      </c>
      <c r="E30" s="8" t="s">
        <v>135</v>
      </c>
      <c r="F30" s="6" t="s">
        <v>136</v>
      </c>
      <c r="G30" s="9">
        <f>IF(A30=1,"_",IF(C30="_","???",C30))</f>
        <v/>
      </c>
      <c r="H30" s="10" t="s">
        <v>16</v>
      </c>
      <c r="I30" s="11" t="s">
        <v>16</v>
      </c>
      <c r="J30" s="12"/>
    </row>
    <row r="31" spans="1:10" ht="60" customHeight="1">
      <c r="A31" s="6" t="s">
        <v>137</v>
      </c>
      <c r="B31" s="6" t="s">
        <v>10</v>
      </c>
      <c r="C31" s="6" t="s">
        <v>16</v>
      </c>
      <c r="D31" s="7" t="s">
        <v>138</v>
      </c>
      <c r="E31" s="8" t="s">
        <v>139</v>
      </c>
      <c r="F31" s="6" t="s">
        <v>140</v>
      </c>
      <c r="G31" s="9">
        <f>IF(A31=1,"_",IF(C31="_","???",C31))</f>
        <v/>
      </c>
      <c r="H31" s="10" t="s">
        <v>16</v>
      </c>
      <c r="I31" s="11" t="s">
        <v>16</v>
      </c>
      <c r="J31" s="12"/>
    </row>
    <row r="32" spans="1:10" ht="60" customHeight="1">
      <c r="A32" s="6" t="s">
        <v>141</v>
      </c>
      <c r="B32" s="6" t="s">
        <v>18</v>
      </c>
      <c r="C32" s="6" t="s">
        <v>16</v>
      </c>
      <c r="D32" s="7" t="s">
        <v>142</v>
      </c>
      <c r="E32" s="8" t="s">
        <v>143</v>
      </c>
      <c r="F32" s="6" t="s">
        <v>144</v>
      </c>
      <c r="G32" s="9">
        <f>IF(A32=1,"_",IF(C32="_","???",C32))</f>
        <v/>
      </c>
      <c r="H32" s="10" t="s">
        <v>16</v>
      </c>
      <c r="I32" s="11" t="s">
        <v>16</v>
      </c>
      <c r="J32" s="12"/>
    </row>
    <row r="33" spans="1:10" ht="60" customHeight="1">
      <c r="A33" s="6" t="s">
        <v>145</v>
      </c>
      <c r="B33" s="6" t="s">
        <v>18</v>
      </c>
      <c r="C33" s="6" t="s">
        <v>16</v>
      </c>
      <c r="D33" s="7" t="s">
        <v>146</v>
      </c>
      <c r="E33" s="8" t="s">
        <v>147</v>
      </c>
      <c r="F33" s="6" t="s">
        <v>148</v>
      </c>
      <c r="G33" s="9">
        <f>IF(A33=1,"_",IF(C33="_","???",C33))</f>
        <v/>
      </c>
      <c r="H33" s="10" t="s">
        <v>16</v>
      </c>
      <c r="I33" s="11" t="s">
        <v>16</v>
      </c>
      <c r="J33" s="12"/>
    </row>
    <row r="34" spans="1:10" ht="60" customHeight="1">
      <c r="A34" s="6" t="s">
        <v>149</v>
      </c>
      <c r="B34" s="6" t="s">
        <v>17</v>
      </c>
      <c r="C34" s="6" t="s">
        <v>16</v>
      </c>
      <c r="D34" s="7" t="s">
        <v>94</v>
      </c>
      <c r="E34" s="8" t="s">
        <v>150</v>
      </c>
      <c r="F34" s="6" t="s">
        <v>151</v>
      </c>
      <c r="G34" s="9">
        <f>IF(A34=1,"_",IF(C34="_","???",C34))</f>
        <v/>
      </c>
      <c r="H34" s="10" t="s">
        <v>16</v>
      </c>
      <c r="I34" s="11" t="s">
        <v>16</v>
      </c>
      <c r="J34" s="12"/>
    </row>
    <row r="35" spans="1:10" ht="60" customHeight="1">
      <c r="A35" s="6" t="s">
        <v>152</v>
      </c>
      <c r="B35" s="6" t="s">
        <v>18</v>
      </c>
      <c r="C35" s="6" t="s">
        <v>16</v>
      </c>
      <c r="D35" s="7" t="s">
        <v>153</v>
      </c>
      <c r="E35" s="8" t="s">
        <v>154</v>
      </c>
      <c r="F35" s="6" t="s">
        <v>155</v>
      </c>
      <c r="G35" s="9">
        <f>IF(A35=1,"_",IF(C35="_","???",C35))</f>
        <v/>
      </c>
      <c r="H35" s="10" t="s">
        <v>16</v>
      </c>
      <c r="I35" s="11" t="s">
        <v>16</v>
      </c>
      <c r="J35" s="12"/>
    </row>
    <row r="36" spans="1:10" ht="60" customHeight="1">
      <c r="A36" s="6" t="s">
        <v>156</v>
      </c>
      <c r="B36" s="6" t="s">
        <v>33</v>
      </c>
      <c r="C36" s="6" t="s">
        <v>38</v>
      </c>
      <c r="D36" s="7" t="s">
        <v>157</v>
      </c>
      <c r="E36" s="8" t="s">
        <v>158</v>
      </c>
      <c r="F36" s="6" t="s">
        <v>159</v>
      </c>
      <c r="G36" s="9">
        <f>IF(A36=1,"_",IF(C36="_","???",C36))</f>
        <v/>
      </c>
      <c r="H36" s="10" t="s">
        <v>16</v>
      </c>
      <c r="I36" s="11" t="s">
        <v>16</v>
      </c>
      <c r="J36" s="12"/>
    </row>
    <row r="37" spans="1:10" ht="60" customHeight="1">
      <c r="A37" s="6" t="s">
        <v>160</v>
      </c>
      <c r="B37" s="6" t="s">
        <v>18</v>
      </c>
      <c r="C37" s="6" t="s">
        <v>16</v>
      </c>
      <c r="D37" s="7" t="s">
        <v>161</v>
      </c>
      <c r="E37" s="8" t="s">
        <v>162</v>
      </c>
      <c r="F37" s="6" t="s">
        <v>163</v>
      </c>
      <c r="G37" s="9">
        <f>IF(A37=1,"_",IF(C37="_","???",C37))</f>
        <v/>
      </c>
      <c r="H37" s="10" t="s">
        <v>16</v>
      </c>
      <c r="I37" s="11" t="s">
        <v>16</v>
      </c>
      <c r="J37" s="12"/>
    </row>
    <row r="38" spans="1:10" ht="60" customHeight="1">
      <c r="A38" s="6" t="s">
        <v>164</v>
      </c>
      <c r="B38" s="6" t="s">
        <v>27</v>
      </c>
      <c r="C38" s="6" t="s">
        <v>16</v>
      </c>
      <c r="D38" s="7" t="s">
        <v>165</v>
      </c>
      <c r="E38" s="8" t="s">
        <v>166</v>
      </c>
      <c r="F38" s="6" t="s">
        <v>167</v>
      </c>
      <c r="G38" s="9">
        <f>IF(A38=1,"_",IF(C38="_","???",C38))</f>
        <v/>
      </c>
      <c r="H38" s="10" t="s">
        <v>16</v>
      </c>
      <c r="I38" s="11" t="s">
        <v>16</v>
      </c>
      <c r="J38" s="12"/>
    </row>
    <row r="39" spans="1:10" ht="60" customHeight="1">
      <c r="A39" s="6" t="s">
        <v>168</v>
      </c>
      <c r="B39" s="6" t="s">
        <v>17</v>
      </c>
      <c r="C39" s="6" t="s">
        <v>16</v>
      </c>
      <c r="D39" s="7" t="s">
        <v>169</v>
      </c>
      <c r="E39" s="8" t="s">
        <v>170</v>
      </c>
      <c r="F39" s="6" t="s">
        <v>171</v>
      </c>
      <c r="G39" s="9">
        <f>IF(A39=1,"_",IF(C39="_","???",C39))</f>
        <v/>
      </c>
      <c r="H39" s="10" t="s">
        <v>16</v>
      </c>
      <c r="I39" s="11" t="s">
        <v>16</v>
      </c>
      <c r="J39" s="12"/>
    </row>
    <row r="40" spans="1:10" ht="60" customHeight="1">
      <c r="A40" s="6" t="s">
        <v>172</v>
      </c>
      <c r="B40" s="6" t="s">
        <v>10</v>
      </c>
      <c r="C40" s="6" t="s">
        <v>38</v>
      </c>
      <c r="D40" s="7" t="s">
        <v>173</v>
      </c>
      <c r="E40" s="8" t="s">
        <v>174</v>
      </c>
      <c r="F40" s="6" t="s">
        <v>175</v>
      </c>
      <c r="G40" s="9">
        <f>IF(A40=1,"_",IF(C40="_","???",C40))</f>
        <v/>
      </c>
      <c r="H40" s="10" t="s">
        <v>16</v>
      </c>
      <c r="I40" s="11" t="s">
        <v>16</v>
      </c>
      <c r="J40" s="12"/>
    </row>
    <row r="41" spans="1:10" ht="60" customHeight="1">
      <c r="A41" s="6" t="s">
        <v>176</v>
      </c>
      <c r="B41" s="6" t="s">
        <v>17</v>
      </c>
      <c r="C41" s="6" t="s">
        <v>38</v>
      </c>
      <c r="D41" s="7" t="s">
        <v>177</v>
      </c>
      <c r="E41" s="8" t="s">
        <v>178</v>
      </c>
      <c r="F41" s="6" t="s">
        <v>179</v>
      </c>
      <c r="G41" s="9">
        <f>IF(A41=1,"_",IF(C41="_","???",C41))</f>
        <v/>
      </c>
      <c r="H41" s="10" t="s">
        <v>16</v>
      </c>
      <c r="I41" s="11" t="s">
        <v>16</v>
      </c>
      <c r="J41" s="12"/>
    </row>
    <row r="42" spans="1:10" ht="60" customHeight="1">
      <c r="A42" s="6" t="s">
        <v>180</v>
      </c>
      <c r="B42" s="6" t="s">
        <v>10</v>
      </c>
      <c r="C42" s="6" t="s">
        <v>16</v>
      </c>
      <c r="D42" s="7" t="s">
        <v>181</v>
      </c>
      <c r="E42" s="8" t="s">
        <v>182</v>
      </c>
      <c r="F42" s="6" t="s">
        <v>183</v>
      </c>
      <c r="G42" s="9">
        <f>IF(A42=1,"_",IF(C42="_","???",C42))</f>
        <v/>
      </c>
      <c r="H42" s="10" t="s">
        <v>16</v>
      </c>
      <c r="I42" s="11" t="s">
        <v>16</v>
      </c>
      <c r="J42" s="12"/>
    </row>
    <row r="43" spans="1:10" ht="60" customHeight="1">
      <c r="A43" s="6" t="s">
        <v>184</v>
      </c>
      <c r="B43" s="6" t="s">
        <v>17</v>
      </c>
      <c r="C43" s="6" t="s">
        <v>16</v>
      </c>
      <c r="D43" s="7" t="s">
        <v>185</v>
      </c>
      <c r="E43" s="8" t="s">
        <v>186</v>
      </c>
      <c r="F43" s="6" t="s">
        <v>187</v>
      </c>
      <c r="G43" s="9">
        <f>IF(A43=1,"_",IF(C43="_","???",C43))</f>
        <v/>
      </c>
      <c r="H43" s="10" t="s">
        <v>16</v>
      </c>
      <c r="I43" s="11" t="s">
        <v>16</v>
      </c>
      <c r="J43" s="12"/>
    </row>
    <row r="44" spans="1:10" ht="60" customHeight="1">
      <c r="A44" s="6" t="s">
        <v>188</v>
      </c>
      <c r="B44" s="6" t="s">
        <v>17</v>
      </c>
      <c r="C44" s="6" t="s">
        <v>16</v>
      </c>
      <c r="D44" s="7" t="s">
        <v>189</v>
      </c>
      <c r="E44" s="8" t="s">
        <v>190</v>
      </c>
      <c r="F44" s="6" t="s">
        <v>191</v>
      </c>
      <c r="G44" s="9">
        <f>IF(A44=1,"_",IF(C44="_","???",C44))</f>
        <v/>
      </c>
      <c r="H44" s="10" t="s">
        <v>16</v>
      </c>
      <c r="I44" s="11" t="s">
        <v>16</v>
      </c>
      <c r="J44" s="12"/>
    </row>
    <row r="45" spans="1:10" ht="60" customHeight="1">
      <c r="A45" s="6" t="s">
        <v>192</v>
      </c>
      <c r="B45" s="6" t="s">
        <v>33</v>
      </c>
      <c r="C45" s="6" t="s">
        <v>38</v>
      </c>
      <c r="D45" s="7" t="s">
        <v>193</v>
      </c>
      <c r="E45" s="8" t="s">
        <v>194</v>
      </c>
      <c r="F45" s="6" t="s">
        <v>195</v>
      </c>
      <c r="G45" s="9">
        <f>IF(A45=1,"_",IF(C45="_","???",C45))</f>
        <v/>
      </c>
      <c r="H45" s="10" t="s">
        <v>16</v>
      </c>
      <c r="I45" s="11" t="s">
        <v>16</v>
      </c>
      <c r="J45" s="12"/>
    </row>
    <row r="46" spans="1:10" ht="60" customHeight="1">
      <c r="A46" s="6" t="s">
        <v>196</v>
      </c>
      <c r="B46" s="6" t="s">
        <v>18</v>
      </c>
      <c r="C46" s="6" t="s">
        <v>34</v>
      </c>
      <c r="D46" s="7" t="s">
        <v>197</v>
      </c>
      <c r="E46" s="8" t="s">
        <v>198</v>
      </c>
      <c r="F46" s="6" t="s">
        <v>199</v>
      </c>
      <c r="G46" s="9">
        <f>IF(A46=1,"_",IF(C46="_","???",C46))</f>
        <v/>
      </c>
      <c r="H46" s="10" t="s">
        <v>16</v>
      </c>
      <c r="I46" s="11" t="s">
        <v>16</v>
      </c>
      <c r="J46" s="12"/>
    </row>
    <row r="47" spans="1:10" ht="60" customHeight="1">
      <c r="A47" s="6" t="s">
        <v>200</v>
      </c>
      <c r="B47" s="6" t="s">
        <v>76</v>
      </c>
      <c r="C47" s="6" t="s">
        <v>16</v>
      </c>
      <c r="D47" s="7" t="s">
        <v>201</v>
      </c>
      <c r="E47" s="8" t="s">
        <v>202</v>
      </c>
      <c r="F47" s="6" t="s">
        <v>203</v>
      </c>
      <c r="G47" s="9">
        <f>IF(A47=1,"_",IF(C47="_","???",C47))</f>
        <v/>
      </c>
      <c r="H47" s="10" t="s">
        <v>16</v>
      </c>
      <c r="I47" s="11" t="s">
        <v>16</v>
      </c>
      <c r="J47" s="12"/>
    </row>
    <row r="48" spans="1:10" ht="60" customHeight="1">
      <c r="A48" s="6" t="s">
        <v>204</v>
      </c>
      <c r="B48" s="6" t="s">
        <v>18</v>
      </c>
      <c r="C48" s="6" t="s">
        <v>65</v>
      </c>
      <c r="D48" s="7" t="s">
        <v>205</v>
      </c>
      <c r="E48" s="8" t="s">
        <v>206</v>
      </c>
      <c r="F48" s="6" t="s">
        <v>207</v>
      </c>
      <c r="G48" s="9">
        <f>IF(A48=1,"_",IF(C48="_","???",C48))</f>
        <v/>
      </c>
      <c r="H48" s="10" t="s">
        <v>16</v>
      </c>
      <c r="I48" s="11" t="s">
        <v>16</v>
      </c>
      <c r="J48" s="12"/>
    </row>
    <row r="49" spans="1:10" ht="60" customHeight="1">
      <c r="A49" s="6" t="s">
        <v>208</v>
      </c>
      <c r="B49" s="6" t="s">
        <v>17</v>
      </c>
      <c r="C49" s="6" t="s">
        <v>16</v>
      </c>
      <c r="D49" s="7" t="s">
        <v>209</v>
      </c>
      <c r="E49" s="8" t="s">
        <v>210</v>
      </c>
      <c r="F49" s="6" t="s">
        <v>211</v>
      </c>
      <c r="G49" s="9">
        <f>IF(A49=1,"_",IF(C49="_","???",C49))</f>
        <v/>
      </c>
      <c r="H49" s="10" t="s">
        <v>16</v>
      </c>
      <c r="I49" s="11" t="s">
        <v>16</v>
      </c>
      <c r="J49" s="12"/>
    </row>
    <row r="50" spans="1:10" ht="60" customHeight="1">
      <c r="A50" s="6" t="s">
        <v>212</v>
      </c>
      <c r="B50" s="6" t="s">
        <v>18</v>
      </c>
      <c r="C50" s="6" t="s">
        <v>16</v>
      </c>
      <c r="D50" s="7" t="s">
        <v>213</v>
      </c>
      <c r="E50" s="8" t="s">
        <v>214</v>
      </c>
      <c r="F50" s="6" t="s">
        <v>215</v>
      </c>
      <c r="G50" s="9">
        <f>IF(A50=1,"_",IF(C50="_","???",C50))</f>
        <v/>
      </c>
      <c r="H50" s="10" t="s">
        <v>16</v>
      </c>
      <c r="I50" s="11" t="s">
        <v>16</v>
      </c>
      <c r="J50" s="12"/>
    </row>
    <row r="51" spans="1:10" ht="60" customHeight="1">
      <c r="A51" s="6" t="s">
        <v>216</v>
      </c>
      <c r="B51" s="6" t="s">
        <v>33</v>
      </c>
      <c r="C51" s="6" t="s">
        <v>16</v>
      </c>
      <c r="D51" s="7" t="s">
        <v>106</v>
      </c>
      <c r="E51" s="8" t="s">
        <v>217</v>
      </c>
      <c r="F51" s="6" t="s">
        <v>218</v>
      </c>
      <c r="G51" s="9">
        <f>IF(A51=1,"_",IF(C51="_","???",C51))</f>
        <v/>
      </c>
      <c r="H51" s="10" t="s">
        <v>16</v>
      </c>
      <c r="I51" s="11" t="s">
        <v>16</v>
      </c>
      <c r="J51" s="12"/>
    </row>
    <row r="52" spans="1:10" ht="60" customHeight="1">
      <c r="A52" s="6" t="s">
        <v>219</v>
      </c>
      <c r="B52" s="6" t="s">
        <v>18</v>
      </c>
      <c r="C52" s="6" t="s">
        <v>38</v>
      </c>
      <c r="D52" s="7" t="s">
        <v>220</v>
      </c>
      <c r="E52" s="8" t="s">
        <v>221</v>
      </c>
      <c r="F52" s="6" t="s">
        <v>222</v>
      </c>
      <c r="G52" s="9">
        <f>IF(A52=1,"_",IF(C52="_","???",C52))</f>
        <v/>
      </c>
      <c r="H52" s="10" t="s">
        <v>16</v>
      </c>
      <c r="I52" s="11" t="s">
        <v>16</v>
      </c>
      <c r="J52" s="12"/>
    </row>
    <row r="53" spans="1:10" ht="60" customHeight="1">
      <c r="A53" s="6" t="s">
        <v>223</v>
      </c>
      <c r="B53" s="6" t="s">
        <v>17</v>
      </c>
      <c r="C53" s="6" t="s">
        <v>224</v>
      </c>
      <c r="D53" s="7" t="s">
        <v>225</v>
      </c>
      <c r="E53" s="8" t="s">
        <v>226</v>
      </c>
      <c r="F53" s="6" t="s">
        <v>227</v>
      </c>
      <c r="G53" s="9">
        <f>IF(A53=1,"_",IF(C53="_","???",C53))</f>
        <v/>
      </c>
      <c r="H53" s="10" t="s">
        <v>16</v>
      </c>
      <c r="I53" s="11" t="s">
        <v>16</v>
      </c>
      <c r="J53" s="12"/>
    </row>
    <row r="54" spans="1:10" ht="60" customHeight="1">
      <c r="A54" s="6" t="s">
        <v>228</v>
      </c>
      <c r="B54" s="6" t="s">
        <v>17</v>
      </c>
      <c r="C54" s="6" t="s">
        <v>38</v>
      </c>
      <c r="D54" s="7" t="s">
        <v>106</v>
      </c>
      <c r="E54" s="8" t="s">
        <v>229</v>
      </c>
      <c r="F54" s="6" t="s">
        <v>230</v>
      </c>
      <c r="G54" s="9">
        <f>IF(A54=1,"_",IF(C54="_","???",C54))</f>
        <v/>
      </c>
      <c r="H54" s="10" t="s">
        <v>16</v>
      </c>
      <c r="I54" s="11" t="s">
        <v>16</v>
      </c>
      <c r="J54" s="12"/>
    </row>
    <row r="55" spans="1:10" ht="60" customHeight="1">
      <c r="A55" s="6" t="s">
        <v>231</v>
      </c>
      <c r="B55" s="6" t="s">
        <v>18</v>
      </c>
      <c r="C55" s="6" t="s">
        <v>16</v>
      </c>
      <c r="D55" s="7" t="s">
        <v>123</v>
      </c>
      <c r="E55" s="8" t="s">
        <v>232</v>
      </c>
      <c r="F55" s="6" t="s">
        <v>233</v>
      </c>
      <c r="G55" s="9">
        <f>IF(A55=1,"_",IF(C55="_","???",C55))</f>
        <v/>
      </c>
      <c r="H55" s="10" t="s">
        <v>16</v>
      </c>
      <c r="I55" s="11" t="s">
        <v>16</v>
      </c>
      <c r="J55" s="12"/>
    </row>
    <row r="56" spans="1:10" ht="60" customHeight="1">
      <c r="A56" s="6" t="s">
        <v>234</v>
      </c>
      <c r="B56" s="6" t="s">
        <v>17</v>
      </c>
      <c r="C56" s="6" t="s">
        <v>43</v>
      </c>
      <c r="D56" s="7" t="s">
        <v>235</v>
      </c>
      <c r="E56" s="8" t="s">
        <v>236</v>
      </c>
      <c r="F56" s="6" t="s">
        <v>237</v>
      </c>
      <c r="G56" s="9">
        <f>IF(A56=1,"_",IF(C56="_","???",C56))</f>
        <v/>
      </c>
      <c r="H56" s="10" t="s">
        <v>16</v>
      </c>
      <c r="I56" s="11" t="s">
        <v>16</v>
      </c>
      <c r="J56" s="12"/>
    </row>
    <row r="57" spans="1:10" ht="60" customHeight="1">
      <c r="A57" s="6" t="s">
        <v>238</v>
      </c>
      <c r="B57" s="6" t="s">
        <v>50</v>
      </c>
      <c r="C57" s="6" t="s">
        <v>239</v>
      </c>
      <c r="D57" s="7" t="s">
        <v>185</v>
      </c>
      <c r="E57" s="8" t="s">
        <v>240</v>
      </c>
      <c r="F57" s="6" t="s">
        <v>241</v>
      </c>
      <c r="G57" s="9">
        <f>IF(A57=1,"_",IF(C57="_","???",C57))</f>
        <v/>
      </c>
      <c r="H57" s="10" t="s">
        <v>16</v>
      </c>
      <c r="I57" s="11" t="s">
        <v>16</v>
      </c>
      <c r="J57" s="12"/>
    </row>
    <row r="58" spans="1:10" ht="60" customHeight="1">
      <c r="A58" s="6" t="s">
        <v>242</v>
      </c>
      <c r="B58" s="6" t="s">
        <v>33</v>
      </c>
      <c r="C58" s="6" t="s">
        <v>16</v>
      </c>
      <c r="D58" s="7" t="s">
        <v>153</v>
      </c>
      <c r="E58" s="8" t="s">
        <v>243</v>
      </c>
      <c r="F58" s="6" t="s">
        <v>244</v>
      </c>
      <c r="G58" s="9">
        <f>IF(A58=1,"_",IF(C58="_","???",C58))</f>
        <v/>
      </c>
      <c r="H58" s="10" t="s">
        <v>16</v>
      </c>
      <c r="I58" s="11" t="s">
        <v>16</v>
      </c>
      <c r="J58" s="12"/>
    </row>
    <row r="59" spans="1:10" ht="60" customHeight="1">
      <c r="A59" s="6" t="s">
        <v>245</v>
      </c>
      <c r="B59" s="6" t="s">
        <v>18</v>
      </c>
      <c r="C59" s="6" t="s">
        <v>16</v>
      </c>
      <c r="D59" s="7" t="s">
        <v>123</v>
      </c>
      <c r="E59" s="8" t="s">
        <v>246</v>
      </c>
      <c r="F59" s="6" t="s">
        <v>247</v>
      </c>
      <c r="G59" s="9">
        <f>IF(A59=1,"_",IF(C59="_","???",C59))</f>
        <v/>
      </c>
      <c r="H59" s="10" t="s">
        <v>16</v>
      </c>
      <c r="I59" s="11" t="s">
        <v>16</v>
      </c>
      <c r="J59" s="12"/>
    </row>
    <row r="60" spans="1:10" ht="60" customHeight="1">
      <c r="A60" s="6" t="s">
        <v>248</v>
      </c>
      <c r="B60" s="6" t="s">
        <v>18</v>
      </c>
      <c r="C60" s="6" t="s">
        <v>34</v>
      </c>
      <c r="D60" s="7" t="s">
        <v>249</v>
      </c>
      <c r="E60" s="8" t="s">
        <v>250</v>
      </c>
      <c r="F60" s="6" t="s">
        <v>251</v>
      </c>
      <c r="G60" s="9">
        <f>IF(A60=1,"_",IF(C60="_","???",C60))</f>
        <v/>
      </c>
      <c r="H60" s="10" t="s">
        <v>16</v>
      </c>
      <c r="I60" s="11" t="s">
        <v>16</v>
      </c>
      <c r="J60" s="12"/>
    </row>
    <row r="61" spans="1:10" ht="60" customHeight="1">
      <c r="A61" s="6" t="s">
        <v>252</v>
      </c>
      <c r="B61" s="6" t="s">
        <v>18</v>
      </c>
      <c r="C61" s="6" t="s">
        <v>38</v>
      </c>
      <c r="D61" s="7" t="s">
        <v>253</v>
      </c>
      <c r="E61" s="8" t="s">
        <v>254</v>
      </c>
      <c r="F61" s="6" t="s">
        <v>255</v>
      </c>
      <c r="G61" s="9">
        <f>IF(A61=1,"_",IF(C61="_","???",C61))</f>
        <v/>
      </c>
      <c r="H61" s="10" t="s">
        <v>16</v>
      </c>
      <c r="I61" s="11" t="s">
        <v>16</v>
      </c>
      <c r="J61" s="12"/>
    </row>
    <row r="62" spans="1:10" ht="60" customHeight="1">
      <c r="A62" s="6" t="s">
        <v>256</v>
      </c>
      <c r="B62" s="6" t="s">
        <v>33</v>
      </c>
      <c r="C62" s="6" t="s">
        <v>38</v>
      </c>
      <c r="D62" s="7" t="s">
        <v>220</v>
      </c>
      <c r="E62" s="8" t="s">
        <v>257</v>
      </c>
      <c r="F62" s="6" t="s">
        <v>258</v>
      </c>
      <c r="G62" s="9">
        <f>IF(A62=1,"_",IF(C62="_","???",C62))</f>
        <v/>
      </c>
      <c r="H62" s="10" t="s">
        <v>16</v>
      </c>
      <c r="I62" s="11" t="s">
        <v>16</v>
      </c>
      <c r="J62" s="12"/>
    </row>
    <row r="63" spans="1:10" ht="60" customHeight="1">
      <c r="A63" s="6" t="s">
        <v>259</v>
      </c>
      <c r="B63" s="6" t="s">
        <v>27</v>
      </c>
      <c r="C63" s="6" t="s">
        <v>16</v>
      </c>
      <c r="D63" s="7" t="s">
        <v>119</v>
      </c>
      <c r="E63" s="8" t="s">
        <v>260</v>
      </c>
      <c r="F63" s="6" t="s">
        <v>261</v>
      </c>
      <c r="G63" s="9">
        <f>IF(A63=1,"_",IF(C63="_","???",C63))</f>
        <v/>
      </c>
      <c r="H63" s="10" t="s">
        <v>16</v>
      </c>
      <c r="I63" s="11" t="s">
        <v>16</v>
      </c>
      <c r="J63" s="12"/>
    </row>
    <row r="64" spans="1:10" ht="60" customHeight="1">
      <c r="A64" s="6" t="s">
        <v>262</v>
      </c>
      <c r="B64" s="6" t="s">
        <v>17</v>
      </c>
      <c r="C64" s="6" t="s">
        <v>16</v>
      </c>
      <c r="D64" s="7" t="s">
        <v>263</v>
      </c>
      <c r="E64" s="8" t="s">
        <v>264</v>
      </c>
      <c r="F64" s="6" t="s">
        <v>265</v>
      </c>
      <c r="G64" s="9">
        <f>IF(A64=1,"_",IF(C64="_","???",C64))</f>
        <v/>
      </c>
      <c r="H64" s="10" t="s">
        <v>16</v>
      </c>
      <c r="I64" s="11" t="s">
        <v>16</v>
      </c>
      <c r="J64" s="12"/>
    </row>
    <row r="65" spans="1:10" ht="60" customHeight="1">
      <c r="A65" s="6" t="s">
        <v>266</v>
      </c>
      <c r="B65" s="6" t="s">
        <v>28</v>
      </c>
      <c r="C65" s="6" t="s">
        <v>12</v>
      </c>
      <c r="D65" s="7" t="s">
        <v>267</v>
      </c>
      <c r="E65" s="8" t="s">
        <v>268</v>
      </c>
      <c r="F65" s="6" t="s">
        <v>269</v>
      </c>
      <c r="G65" s="9">
        <f>IF(A65=1,"_",IF(C65="_","???",C65))</f>
        <v/>
      </c>
      <c r="H65" s="10" t="s">
        <v>16</v>
      </c>
      <c r="I65" s="11" t="s">
        <v>16</v>
      </c>
      <c r="J65" s="12"/>
    </row>
    <row r="66" spans="1:10" ht="60" customHeight="1">
      <c r="A66" s="6" t="s">
        <v>270</v>
      </c>
      <c r="B66" s="6" t="s">
        <v>27</v>
      </c>
      <c r="C66" s="6" t="s">
        <v>16</v>
      </c>
      <c r="D66" s="7" t="s">
        <v>271</v>
      </c>
      <c r="E66" s="8" t="s">
        <v>272</v>
      </c>
      <c r="F66" s="6" t="s">
        <v>273</v>
      </c>
      <c r="G66" s="9">
        <f>IF(A66=1,"_",IF(C66="_","???",C66))</f>
        <v/>
      </c>
      <c r="H66" s="10" t="s">
        <v>16</v>
      </c>
      <c r="I66" s="11" t="s">
        <v>16</v>
      </c>
      <c r="J66" s="12"/>
    </row>
    <row r="67" spans="1:10" ht="60" customHeight="1">
      <c r="A67" s="6" t="s">
        <v>274</v>
      </c>
      <c r="B67" s="6" t="s">
        <v>17</v>
      </c>
      <c r="C67" s="6" t="s">
        <v>16</v>
      </c>
      <c r="D67" s="7" t="s">
        <v>275</v>
      </c>
      <c r="E67" s="8" t="s">
        <v>276</v>
      </c>
      <c r="F67" s="6" t="s">
        <v>277</v>
      </c>
      <c r="G67" s="9">
        <f>IF(A67=1,"_",IF(C67="_","???",C67))</f>
        <v/>
      </c>
      <c r="H67" s="10" t="s">
        <v>16</v>
      </c>
      <c r="I67" s="11" t="s">
        <v>16</v>
      </c>
      <c r="J67" s="12"/>
    </row>
    <row r="68" spans="1:10" ht="60" customHeight="1">
      <c r="A68" s="6" t="s">
        <v>278</v>
      </c>
      <c r="B68" s="6" t="s">
        <v>81</v>
      </c>
      <c r="C68" s="6" t="s">
        <v>16</v>
      </c>
      <c r="D68" s="7" t="s">
        <v>279</v>
      </c>
      <c r="E68" s="8" t="s">
        <v>280</v>
      </c>
      <c r="F68" s="6" t="s">
        <v>281</v>
      </c>
      <c r="G68" s="9">
        <f>IF(A68=1,"_",IF(C68="_","???",C68))</f>
        <v/>
      </c>
      <c r="H68" s="10" t="s">
        <v>16</v>
      </c>
      <c r="I68" s="11" t="s">
        <v>16</v>
      </c>
      <c r="J68" s="12"/>
    </row>
    <row r="69" spans="1:10" ht="60" customHeight="1">
      <c r="A69" s="6" t="s">
        <v>282</v>
      </c>
      <c r="B69" s="6" t="s">
        <v>18</v>
      </c>
      <c r="C69" s="6" t="s">
        <v>38</v>
      </c>
      <c r="D69" s="7" t="s">
        <v>283</v>
      </c>
      <c r="E69" s="8" t="s">
        <v>284</v>
      </c>
      <c r="F69" s="6" t="s">
        <v>285</v>
      </c>
      <c r="G69" s="9">
        <f>IF(A69=1,"_",IF(C69="_","???",C69))</f>
        <v/>
      </c>
      <c r="H69" s="10" t="s">
        <v>16</v>
      </c>
      <c r="I69" s="11" t="s">
        <v>16</v>
      </c>
      <c r="J69" s="12"/>
    </row>
    <row r="70" spans="1:10" ht="60" customHeight="1">
      <c r="A70" s="6" t="s">
        <v>286</v>
      </c>
      <c r="B70" s="6" t="s">
        <v>18</v>
      </c>
      <c r="C70" s="6" t="s">
        <v>65</v>
      </c>
      <c r="D70" s="7" t="s">
        <v>253</v>
      </c>
      <c r="E70" s="8" t="s">
        <v>287</v>
      </c>
      <c r="F70" s="6" t="s">
        <v>288</v>
      </c>
      <c r="G70" s="9">
        <f>IF(A70=1,"_",IF(C70="_","???",C70))</f>
        <v/>
      </c>
      <c r="H70" s="10" t="s">
        <v>16</v>
      </c>
      <c r="I70" s="11" t="s">
        <v>16</v>
      </c>
      <c r="J70" s="12"/>
    </row>
    <row r="71" spans="1:10" ht="60" customHeight="1">
      <c r="A71" s="6" t="s">
        <v>289</v>
      </c>
      <c r="B71" s="6" t="s">
        <v>64</v>
      </c>
      <c r="C71" s="6" t="s">
        <v>290</v>
      </c>
      <c r="D71" s="7" t="s">
        <v>291</v>
      </c>
      <c r="E71" s="8" t="s">
        <v>292</v>
      </c>
      <c r="F71" s="6" t="s">
        <v>293</v>
      </c>
      <c r="G71" s="9">
        <f>IF(A71=1,"_",IF(C71="_","???",C71))</f>
        <v/>
      </c>
      <c r="H71" s="10" t="s">
        <v>16</v>
      </c>
      <c r="I71" s="11" t="s">
        <v>16</v>
      </c>
      <c r="J71" s="12"/>
    </row>
    <row r="72" spans="1:10" ht="60" customHeight="1">
      <c r="A72" s="6" t="s">
        <v>294</v>
      </c>
      <c r="B72" s="6" t="s">
        <v>17</v>
      </c>
      <c r="C72" s="6" t="s">
        <v>38</v>
      </c>
      <c r="D72" s="7" t="s">
        <v>295</v>
      </c>
      <c r="E72" s="8" t="s">
        <v>296</v>
      </c>
      <c r="F72" s="6" t="s">
        <v>297</v>
      </c>
      <c r="G72" s="9">
        <f>IF(A72=1,"_",IF(C72="_","???",C72))</f>
        <v/>
      </c>
      <c r="H72" s="10" t="s">
        <v>16</v>
      </c>
      <c r="I72" s="11" t="s">
        <v>16</v>
      </c>
      <c r="J72" s="12"/>
    </row>
    <row r="73" spans="1:10" ht="60" customHeight="1">
      <c r="A73" s="6" t="s">
        <v>298</v>
      </c>
      <c r="B73" s="6" t="s">
        <v>22</v>
      </c>
      <c r="C73" s="6" t="s">
        <v>16</v>
      </c>
      <c r="D73" s="7" t="s">
        <v>299</v>
      </c>
      <c r="E73" s="8" t="s">
        <v>300</v>
      </c>
      <c r="F73" s="6" t="s">
        <v>301</v>
      </c>
      <c r="G73" s="9">
        <f>IF(A73=1,"_",IF(C73="_","???",C73))</f>
        <v/>
      </c>
      <c r="H73" s="10" t="s">
        <v>16</v>
      </c>
      <c r="I73" s="11" t="s">
        <v>16</v>
      </c>
      <c r="J73" s="12"/>
    </row>
    <row r="74" spans="1:10" ht="60" customHeight="1">
      <c r="A74" s="6" t="s">
        <v>302</v>
      </c>
      <c r="B74" s="6" t="s">
        <v>27</v>
      </c>
      <c r="C74" s="6" t="s">
        <v>16</v>
      </c>
      <c r="D74" s="7" t="s">
        <v>303</v>
      </c>
      <c r="E74" s="8" t="s">
        <v>304</v>
      </c>
      <c r="F74" s="6" t="s">
        <v>305</v>
      </c>
      <c r="G74" s="9">
        <f>IF(A74=1,"_",IF(C74="_","???",C74))</f>
        <v/>
      </c>
      <c r="H74" s="10" t="s">
        <v>16</v>
      </c>
      <c r="I74" s="11" t="s">
        <v>16</v>
      </c>
      <c r="J74" s="12"/>
    </row>
    <row r="75" spans="1:10" ht="60" customHeight="1">
      <c r="A75" s="6" t="s">
        <v>306</v>
      </c>
      <c r="B75" s="6" t="s">
        <v>18</v>
      </c>
      <c r="C75" s="6" t="s">
        <v>16</v>
      </c>
      <c r="D75" s="7" t="s">
        <v>307</v>
      </c>
      <c r="E75" s="8" t="s">
        <v>308</v>
      </c>
      <c r="F75" s="6" t="s">
        <v>309</v>
      </c>
      <c r="G75" s="9">
        <f>IF(A75=1,"_",IF(C75="_","???",C75))</f>
        <v/>
      </c>
      <c r="H75" s="10" t="s">
        <v>16</v>
      </c>
      <c r="I75" s="11" t="s">
        <v>16</v>
      </c>
      <c r="J75" s="12"/>
    </row>
    <row r="76" spans="1:10" ht="60" customHeight="1">
      <c r="A76" s="6" t="s">
        <v>310</v>
      </c>
      <c r="B76" s="6" t="s">
        <v>17</v>
      </c>
      <c r="C76" s="6" t="s">
        <v>16</v>
      </c>
      <c r="D76" s="7" t="s">
        <v>311</v>
      </c>
      <c r="E76" s="8" t="s">
        <v>312</v>
      </c>
      <c r="F76" s="6" t="s">
        <v>313</v>
      </c>
      <c r="G76" s="9">
        <f>IF(A76=1,"_",IF(C76="_","???",C76))</f>
        <v/>
      </c>
      <c r="H76" s="10" t="s">
        <v>16</v>
      </c>
      <c r="I76" s="11" t="s">
        <v>16</v>
      </c>
      <c r="J76" s="12"/>
    </row>
    <row r="77" spans="1:10" ht="60" customHeight="1">
      <c r="A77" s="6" t="s">
        <v>314</v>
      </c>
      <c r="B77" s="6" t="s">
        <v>50</v>
      </c>
      <c r="C77" s="6" t="s">
        <v>16</v>
      </c>
      <c r="D77" s="7" t="s">
        <v>315</v>
      </c>
      <c r="E77" s="8" t="s">
        <v>316</v>
      </c>
      <c r="F77" s="6" t="s">
        <v>317</v>
      </c>
      <c r="G77" s="9">
        <f>IF(A77=1,"_",IF(C77="_","???",C77))</f>
        <v/>
      </c>
      <c r="H77" s="10" t="s">
        <v>16</v>
      </c>
      <c r="I77" s="11" t="s">
        <v>16</v>
      </c>
      <c r="J77" s="12"/>
    </row>
    <row r="78" spans="1:10" ht="60" customHeight="1">
      <c r="A78" s="6" t="s">
        <v>318</v>
      </c>
      <c r="B78" s="6" t="s">
        <v>42</v>
      </c>
      <c r="C78" s="6" t="s">
        <v>38</v>
      </c>
      <c r="D78" s="7" t="s">
        <v>319</v>
      </c>
      <c r="E78" s="8" t="s">
        <v>320</v>
      </c>
      <c r="F78" s="6" t="s">
        <v>321</v>
      </c>
      <c r="G78" s="9">
        <f>IF(A78=1,"_",IF(C78="_","???",C78))</f>
        <v/>
      </c>
      <c r="H78" s="10" t="s">
        <v>16</v>
      </c>
      <c r="I78" s="11" t="s">
        <v>16</v>
      </c>
      <c r="J78" s="12"/>
    </row>
    <row r="79" spans="1:10" ht="60" customHeight="1">
      <c r="A79" s="6" t="s">
        <v>322</v>
      </c>
      <c r="B79" s="6" t="s">
        <v>50</v>
      </c>
      <c r="C79" s="6" t="s">
        <v>323</v>
      </c>
      <c r="D79" s="7" t="s">
        <v>19</v>
      </c>
      <c r="E79" s="8" t="s">
        <v>324</v>
      </c>
      <c r="F79" s="6" t="s">
        <v>325</v>
      </c>
      <c r="G79" s="9">
        <f>IF(A79=1,"_",IF(C79="_","???",C79))</f>
        <v/>
      </c>
      <c r="H79" s="10" t="s">
        <v>16</v>
      </c>
      <c r="I79" s="11" t="s">
        <v>16</v>
      </c>
      <c r="J79" s="12"/>
    </row>
    <row r="80" spans="1:10" ht="60" customHeight="1">
      <c r="A80" s="6" t="s">
        <v>326</v>
      </c>
      <c r="B80" s="6" t="s">
        <v>17</v>
      </c>
      <c r="C80" s="6" t="s">
        <v>38</v>
      </c>
      <c r="D80" s="7" t="s">
        <v>327</v>
      </c>
      <c r="E80" s="8" t="s">
        <v>328</v>
      </c>
      <c r="F80" s="6" t="s">
        <v>329</v>
      </c>
      <c r="G80" s="9">
        <f>IF(A80=1,"_",IF(C80="_","???",C80))</f>
        <v/>
      </c>
      <c r="H80" s="10" t="s">
        <v>16</v>
      </c>
      <c r="I80" s="11" t="s">
        <v>16</v>
      </c>
      <c r="J80" s="12"/>
    </row>
    <row r="81" spans="1:10" ht="60" customHeight="1">
      <c r="A81" s="6" t="s">
        <v>330</v>
      </c>
      <c r="B81" s="6" t="s">
        <v>85</v>
      </c>
      <c r="C81" s="6" t="s">
        <v>331</v>
      </c>
      <c r="D81" s="7" t="s">
        <v>332</v>
      </c>
      <c r="E81" s="8" t="s">
        <v>333</v>
      </c>
      <c r="F81" s="6" t="s">
        <v>334</v>
      </c>
      <c r="G81" s="9">
        <f>IF(A81=1,"_",IF(C81="_","???",C81))</f>
        <v/>
      </c>
      <c r="H81" s="10" t="s">
        <v>16</v>
      </c>
      <c r="I81" s="11" t="s">
        <v>16</v>
      </c>
      <c r="J81" s="12"/>
    </row>
    <row r="82" spans="1:10" ht="60" customHeight="1">
      <c r="A82" s="6" t="s">
        <v>335</v>
      </c>
      <c r="B82" s="6" t="s">
        <v>28</v>
      </c>
      <c r="C82" s="6" t="s">
        <v>16</v>
      </c>
      <c r="D82" s="7" t="s">
        <v>336</v>
      </c>
      <c r="E82" s="8" t="s">
        <v>337</v>
      </c>
      <c r="F82" s="6" t="s">
        <v>338</v>
      </c>
      <c r="G82" s="9">
        <f>IF(A82=1,"_",IF(C82="_","???",C82))</f>
        <v/>
      </c>
      <c r="H82" s="10" t="s">
        <v>16</v>
      </c>
      <c r="I82" s="11" t="s">
        <v>16</v>
      </c>
      <c r="J82" s="12"/>
    </row>
    <row r="83" spans="1:10" ht="60" customHeight="1">
      <c r="A83" s="6" t="s">
        <v>339</v>
      </c>
      <c r="B83" s="6" t="s">
        <v>27</v>
      </c>
      <c r="C83" s="6" t="s">
        <v>16</v>
      </c>
      <c r="D83" s="7" t="s">
        <v>119</v>
      </c>
      <c r="E83" s="8" t="s">
        <v>340</v>
      </c>
      <c r="F83" s="6" t="s">
        <v>341</v>
      </c>
      <c r="G83" s="9">
        <f>IF(A83=1,"_",IF(C83="_","???",C83))</f>
        <v/>
      </c>
      <c r="H83" s="10" t="s">
        <v>16</v>
      </c>
      <c r="I83" s="11" t="s">
        <v>16</v>
      </c>
      <c r="J83" s="12"/>
    </row>
    <row r="84" spans="1:10" ht="60" customHeight="1">
      <c r="A84" s="6" t="s">
        <v>342</v>
      </c>
      <c r="B84" s="6" t="s">
        <v>33</v>
      </c>
      <c r="C84" s="6" t="s">
        <v>343</v>
      </c>
      <c r="D84" s="7" t="s">
        <v>153</v>
      </c>
      <c r="E84" s="8" t="s">
        <v>344</v>
      </c>
      <c r="F84" s="6" t="s">
        <v>345</v>
      </c>
      <c r="G84" s="9">
        <f>IF(A84=1,"_",IF(C84="_","???",C84))</f>
        <v/>
      </c>
      <c r="H84" s="10" t="s">
        <v>16</v>
      </c>
      <c r="I84" s="11" t="s">
        <v>16</v>
      </c>
      <c r="J84" s="12"/>
    </row>
    <row r="85" spans="1:10" ht="60" customHeight="1">
      <c r="A85" s="6" t="s">
        <v>346</v>
      </c>
      <c r="B85" s="6" t="s">
        <v>42</v>
      </c>
      <c r="C85" s="6" t="s">
        <v>51</v>
      </c>
      <c r="D85" s="7" t="s">
        <v>347</v>
      </c>
      <c r="E85" s="8" t="s">
        <v>348</v>
      </c>
      <c r="F85" s="6" t="s">
        <v>349</v>
      </c>
      <c r="G85" s="9">
        <f>IF(A85=1,"_",IF(C85="_","???",C85))</f>
        <v/>
      </c>
      <c r="H85" s="10" t="s">
        <v>16</v>
      </c>
      <c r="I85" s="11" t="s">
        <v>16</v>
      </c>
      <c r="J85" s="12"/>
    </row>
    <row r="86" spans="1:10" ht="60" customHeight="1">
      <c r="A86" s="6" t="s">
        <v>350</v>
      </c>
      <c r="B86" s="6" t="s">
        <v>50</v>
      </c>
      <c r="C86" s="6" t="s">
        <v>16</v>
      </c>
      <c r="D86" s="7" t="s">
        <v>123</v>
      </c>
      <c r="E86" s="8" t="s">
        <v>351</v>
      </c>
      <c r="F86" s="6" t="s">
        <v>352</v>
      </c>
      <c r="G86" s="9">
        <f>IF(A86=1,"_",IF(C86="_","???",C86))</f>
        <v/>
      </c>
      <c r="H86" s="10" t="s">
        <v>16</v>
      </c>
      <c r="I86" s="11" t="s">
        <v>16</v>
      </c>
      <c r="J86" s="12"/>
    </row>
    <row r="87" spans="1:10" ht="60" customHeight="1">
      <c r="A87" s="6" t="s">
        <v>353</v>
      </c>
      <c r="B87" s="6" t="s">
        <v>18</v>
      </c>
      <c r="C87" s="6" t="s">
        <v>16</v>
      </c>
      <c r="D87" s="7" t="s">
        <v>354</v>
      </c>
      <c r="E87" s="8" t="s">
        <v>355</v>
      </c>
      <c r="F87" s="6" t="s">
        <v>356</v>
      </c>
      <c r="G87" s="9">
        <f>IF(A87=1,"_",IF(C87="_","???",C87))</f>
        <v/>
      </c>
      <c r="H87" s="10" t="s">
        <v>16</v>
      </c>
      <c r="I87" s="11" t="s">
        <v>16</v>
      </c>
      <c r="J87" s="12"/>
    </row>
    <row r="88" spans="1:10" ht="60" customHeight="1">
      <c r="A88" s="6" t="s">
        <v>357</v>
      </c>
      <c r="B88" s="6" t="s">
        <v>22</v>
      </c>
      <c r="C88" s="6" t="s">
        <v>16</v>
      </c>
      <c r="D88" s="7" t="s">
        <v>358</v>
      </c>
      <c r="E88" s="8" t="s">
        <v>359</v>
      </c>
      <c r="F88" s="6" t="s">
        <v>360</v>
      </c>
      <c r="G88" s="9">
        <f>IF(A88=1,"_",IF(C88="_","???",C88))</f>
        <v/>
      </c>
      <c r="H88" s="10" t="s">
        <v>16</v>
      </c>
      <c r="I88" s="11" t="s">
        <v>16</v>
      </c>
      <c r="J88" s="12"/>
    </row>
    <row r="89" spans="1:10" ht="60" customHeight="1">
      <c r="A89" s="6" t="s">
        <v>361</v>
      </c>
      <c r="B89" s="6" t="s">
        <v>17</v>
      </c>
      <c r="C89" s="6" t="s">
        <v>38</v>
      </c>
      <c r="D89" s="7" t="s">
        <v>362</v>
      </c>
      <c r="E89" s="8" t="s">
        <v>363</v>
      </c>
      <c r="F89" s="6" t="s">
        <v>364</v>
      </c>
      <c r="G89" s="9">
        <f>IF(A89=1,"_",IF(C89="_","???",C89))</f>
        <v/>
      </c>
      <c r="H89" s="10" t="s">
        <v>16</v>
      </c>
      <c r="I89" s="11" t="s">
        <v>16</v>
      </c>
      <c r="J89" s="12"/>
    </row>
    <row r="90" spans="1:10" ht="60" customHeight="1">
      <c r="A90" s="6" t="s">
        <v>365</v>
      </c>
      <c r="B90" s="6" t="s">
        <v>17</v>
      </c>
      <c r="C90" s="6" t="s">
        <v>16</v>
      </c>
      <c r="D90" s="7" t="s">
        <v>366</v>
      </c>
      <c r="E90" s="8" t="s">
        <v>367</v>
      </c>
      <c r="F90" s="6" t="s">
        <v>368</v>
      </c>
      <c r="G90" s="9">
        <f>IF(A90=1,"_",IF(C90="_","???",C90))</f>
        <v/>
      </c>
      <c r="H90" s="10" t="s">
        <v>16</v>
      </c>
      <c r="I90" s="11" t="s">
        <v>16</v>
      </c>
      <c r="J90" s="12"/>
    </row>
    <row r="91" spans="1:10" ht="60" customHeight="1">
      <c r="A91" s="6" t="s">
        <v>369</v>
      </c>
      <c r="B91" s="6" t="s">
        <v>22</v>
      </c>
      <c r="C91" s="6" t="s">
        <v>16</v>
      </c>
      <c r="D91" s="7" t="s">
        <v>370</v>
      </c>
      <c r="E91" s="8" t="s">
        <v>371</v>
      </c>
      <c r="F91" s="6" t="s">
        <v>372</v>
      </c>
      <c r="G91" s="9">
        <f>IF(A91=1,"_",IF(C91="_","???",C91))</f>
        <v/>
      </c>
      <c r="H91" s="10" t="s">
        <v>16</v>
      </c>
      <c r="I91" s="11" t="s">
        <v>16</v>
      </c>
      <c r="J91" s="12"/>
    </row>
    <row r="92" spans="1:10" ht="60" customHeight="1">
      <c r="A92" s="6" t="s">
        <v>373</v>
      </c>
      <c r="B92" s="6" t="s">
        <v>22</v>
      </c>
      <c r="C92" s="6" t="s">
        <v>16</v>
      </c>
      <c r="D92" s="7" t="s">
        <v>374</v>
      </c>
      <c r="E92" s="8" t="s">
        <v>375</v>
      </c>
      <c r="F92" s="6" t="s">
        <v>376</v>
      </c>
      <c r="G92" s="9">
        <f>IF(A92=1,"_",IF(C92="_","???",C92))</f>
        <v/>
      </c>
      <c r="H92" s="10" t="s">
        <v>16</v>
      </c>
      <c r="I92" s="11" t="s">
        <v>16</v>
      </c>
      <c r="J92" s="12"/>
    </row>
    <row r="93" spans="1:10" ht="60" customHeight="1">
      <c r="A93" s="6" t="s">
        <v>377</v>
      </c>
      <c r="B93" s="6" t="s">
        <v>18</v>
      </c>
      <c r="C93" s="6" t="s">
        <v>38</v>
      </c>
      <c r="D93" s="7" t="s">
        <v>378</v>
      </c>
      <c r="E93" s="8" t="s">
        <v>379</v>
      </c>
      <c r="F93" s="6" t="s">
        <v>380</v>
      </c>
      <c r="G93" s="9">
        <f>IF(A93=1,"_",IF(C93="_","???",C93))</f>
        <v/>
      </c>
      <c r="H93" s="10" t="s">
        <v>16</v>
      </c>
      <c r="I93" s="11" t="s">
        <v>16</v>
      </c>
      <c r="J93" s="12"/>
    </row>
    <row r="94" spans="1:10" ht="60" customHeight="1">
      <c r="A94" s="6" t="s">
        <v>381</v>
      </c>
      <c r="B94" s="6" t="s">
        <v>17</v>
      </c>
      <c r="C94" s="6" t="s">
        <v>323</v>
      </c>
      <c r="D94" s="7" t="s">
        <v>382</v>
      </c>
      <c r="E94" s="8" t="s">
        <v>383</v>
      </c>
      <c r="F94" s="6" t="s">
        <v>384</v>
      </c>
      <c r="G94" s="9">
        <f>IF(A94=1,"_",IF(C94="_","???",C94))</f>
        <v/>
      </c>
      <c r="H94" s="10" t="s">
        <v>16</v>
      </c>
      <c r="I94" s="11" t="s">
        <v>16</v>
      </c>
      <c r="J94" s="12"/>
    </row>
    <row r="95" spans="1:10" ht="60" customHeight="1">
      <c r="A95" s="6" t="s">
        <v>385</v>
      </c>
      <c r="B95" s="6" t="s">
        <v>18</v>
      </c>
      <c r="C95" s="6" t="s">
        <v>224</v>
      </c>
      <c r="D95" s="7" t="s">
        <v>19</v>
      </c>
      <c r="E95" s="8" t="s">
        <v>386</v>
      </c>
      <c r="F95" s="6" t="s">
        <v>387</v>
      </c>
      <c r="G95" s="9">
        <f>IF(A95=1,"_",IF(C95="_","???",C95))</f>
        <v/>
      </c>
      <c r="H95" s="10" t="s">
        <v>16</v>
      </c>
      <c r="I95" s="11" t="s">
        <v>16</v>
      </c>
      <c r="J95" s="12"/>
    </row>
    <row r="96" spans="1:10" ht="60" customHeight="1">
      <c r="A96" s="6" t="s">
        <v>388</v>
      </c>
      <c r="B96" s="6" t="s">
        <v>33</v>
      </c>
      <c r="C96" s="6" t="s">
        <v>323</v>
      </c>
      <c r="D96" s="7" t="s">
        <v>389</v>
      </c>
      <c r="E96" s="8" t="s">
        <v>390</v>
      </c>
      <c r="F96" s="6" t="s">
        <v>391</v>
      </c>
      <c r="G96" s="9">
        <f>IF(A96=1,"_",IF(C96="_","???",C96))</f>
        <v/>
      </c>
      <c r="H96" s="10" t="s">
        <v>16</v>
      </c>
      <c r="I96" s="11" t="s">
        <v>16</v>
      </c>
      <c r="J96" s="12"/>
    </row>
    <row r="97" spans="1:10" ht="60" customHeight="1">
      <c r="A97" s="6" t="s">
        <v>392</v>
      </c>
      <c r="B97" s="6" t="s">
        <v>55</v>
      </c>
      <c r="C97" s="6" t="s">
        <v>38</v>
      </c>
      <c r="D97" s="7" t="s">
        <v>393</v>
      </c>
      <c r="E97" s="8" t="s">
        <v>394</v>
      </c>
      <c r="F97" s="6" t="s">
        <v>395</v>
      </c>
      <c r="G97" s="9">
        <f>IF(A97=1,"_",IF(C97="_","???",C97))</f>
        <v/>
      </c>
      <c r="H97" s="10" t="s">
        <v>16</v>
      </c>
      <c r="I97" s="11" t="s">
        <v>16</v>
      </c>
      <c r="J97" s="12"/>
    </row>
    <row r="98" spans="1:10" ht="60" customHeight="1">
      <c r="A98" s="6" t="s">
        <v>396</v>
      </c>
      <c r="B98" s="6" t="s">
        <v>17</v>
      </c>
      <c r="C98" s="6" t="s">
        <v>16</v>
      </c>
      <c r="D98" s="7" t="s">
        <v>382</v>
      </c>
      <c r="E98" s="8" t="s">
        <v>397</v>
      </c>
      <c r="F98" s="6" t="s">
        <v>398</v>
      </c>
      <c r="G98" s="9">
        <f>IF(A98=1,"_",IF(C98="_","???",C98))</f>
        <v/>
      </c>
      <c r="H98" s="10" t="s">
        <v>16</v>
      </c>
      <c r="I98" s="11" t="s">
        <v>16</v>
      </c>
      <c r="J98" s="12"/>
    </row>
    <row r="99" spans="1:10" ht="60" customHeight="1">
      <c r="A99" s="6" t="s">
        <v>399</v>
      </c>
      <c r="B99" s="6" t="s">
        <v>18</v>
      </c>
      <c r="C99" s="6" t="s">
        <v>16</v>
      </c>
      <c r="D99" s="7" t="s">
        <v>19</v>
      </c>
      <c r="E99" s="8" t="s">
        <v>400</v>
      </c>
      <c r="F99" s="6" t="s">
        <v>401</v>
      </c>
      <c r="G99" s="9">
        <f>IF(A99=1,"_",IF(C99="_","???",C99))</f>
        <v/>
      </c>
      <c r="H99" s="10" t="s">
        <v>16</v>
      </c>
      <c r="I99" s="11" t="s">
        <v>16</v>
      </c>
      <c r="J99" s="12"/>
    </row>
    <row r="100" spans="1:10" ht="60" customHeight="1">
      <c r="A100" s="6" t="s">
        <v>402</v>
      </c>
      <c r="B100" s="6" t="s">
        <v>17</v>
      </c>
      <c r="C100" s="6" t="s">
        <v>16</v>
      </c>
      <c r="D100" s="7" t="s">
        <v>185</v>
      </c>
      <c r="E100" s="8" t="s">
        <v>403</v>
      </c>
      <c r="F100" s="6" t="s">
        <v>404</v>
      </c>
      <c r="G100" s="9">
        <f>IF(A100=1,"_",IF(C100="_","???",C100))</f>
        <v/>
      </c>
      <c r="H100" s="10" t="s">
        <v>16</v>
      </c>
      <c r="I100" s="11" t="s">
        <v>16</v>
      </c>
      <c r="J100" s="12"/>
    </row>
    <row r="101" spans="1:10" ht="60" customHeight="1">
      <c r="A101" s="6" t="s">
        <v>405</v>
      </c>
      <c r="B101" s="6" t="s">
        <v>18</v>
      </c>
      <c r="C101" s="6" t="s">
        <v>38</v>
      </c>
      <c r="D101" s="7" t="s">
        <v>406</v>
      </c>
      <c r="E101" s="8" t="s">
        <v>407</v>
      </c>
      <c r="F101" s="6" t="s">
        <v>408</v>
      </c>
      <c r="G101" s="9">
        <f>IF(A101=1,"_",IF(C101="_","???",C101))</f>
        <v/>
      </c>
      <c r="H101" s="10" t="s">
        <v>16</v>
      </c>
      <c r="I101" s="11" t="s">
        <v>16</v>
      </c>
      <c r="J101" s="12"/>
    </row>
    <row r="102" spans="1:10" ht="60" customHeight="1">
      <c r="A102" s="6" t="s">
        <v>409</v>
      </c>
      <c r="B102" s="6" t="s">
        <v>17</v>
      </c>
      <c r="C102" s="6" t="s">
        <v>38</v>
      </c>
      <c r="D102" s="7" t="s">
        <v>410</v>
      </c>
      <c r="E102" s="8" t="s">
        <v>411</v>
      </c>
      <c r="F102" s="6" t="s">
        <v>412</v>
      </c>
      <c r="G102" s="9">
        <f>IF(A102=1,"_",IF(C102="_","???",C102))</f>
        <v/>
      </c>
      <c r="H102" s="10" t="s">
        <v>16</v>
      </c>
      <c r="I102" s="11" t="s">
        <v>16</v>
      </c>
      <c r="J102" s="12"/>
    </row>
    <row r="103" spans="1:10" ht="60" customHeight="1">
      <c r="A103" s="6" t="s">
        <v>413</v>
      </c>
      <c r="B103" s="6" t="s">
        <v>17</v>
      </c>
      <c r="C103" s="6" t="s">
        <v>38</v>
      </c>
      <c r="D103" s="7" t="s">
        <v>414</v>
      </c>
      <c r="E103" s="8" t="s">
        <v>415</v>
      </c>
      <c r="F103" s="6" t="s">
        <v>416</v>
      </c>
      <c r="G103" s="9">
        <f>IF(A103=1,"_",IF(C103="_","???",C103))</f>
        <v/>
      </c>
      <c r="H103" s="10" t="s">
        <v>16</v>
      </c>
      <c r="I103" s="11" t="s">
        <v>16</v>
      </c>
      <c r="J103" s="12"/>
    </row>
    <row r="104" spans="1:10" ht="60" customHeight="1">
      <c r="A104" s="6" t="s">
        <v>417</v>
      </c>
      <c r="B104" s="6" t="s">
        <v>27</v>
      </c>
      <c r="C104" s="6" t="s">
        <v>34</v>
      </c>
      <c r="D104" s="7" t="s">
        <v>418</v>
      </c>
      <c r="E104" s="8" t="s">
        <v>419</v>
      </c>
      <c r="F104" s="6" t="s">
        <v>420</v>
      </c>
      <c r="G104" s="9">
        <f>IF(A104=1,"_",IF(C104="_","???",C104))</f>
        <v/>
      </c>
      <c r="H104" s="10" t="s">
        <v>16</v>
      </c>
      <c r="I104" s="11" t="s">
        <v>16</v>
      </c>
      <c r="J104" s="12"/>
    </row>
    <row r="105" spans="1:10" ht="60" customHeight="1">
      <c r="A105" s="6" t="s">
        <v>421</v>
      </c>
      <c r="B105" s="6" t="s">
        <v>22</v>
      </c>
      <c r="C105" s="6" t="s">
        <v>38</v>
      </c>
      <c r="D105" s="7" t="s">
        <v>422</v>
      </c>
      <c r="E105" s="8" t="s">
        <v>423</v>
      </c>
      <c r="F105" s="6" t="s">
        <v>424</v>
      </c>
      <c r="G105" s="9">
        <f>IF(A105=1,"_",IF(C105="_","???",C105))</f>
        <v/>
      </c>
      <c r="H105" s="10" t="s">
        <v>16</v>
      </c>
      <c r="I105" s="11" t="s">
        <v>16</v>
      </c>
      <c r="J105" s="12"/>
    </row>
    <row r="106" spans="1:10" ht="60" customHeight="1">
      <c r="A106" s="6" t="s">
        <v>425</v>
      </c>
      <c r="B106" s="6" t="s">
        <v>17</v>
      </c>
      <c r="C106" s="6" t="s">
        <v>16</v>
      </c>
      <c r="D106" s="7" t="s">
        <v>426</v>
      </c>
      <c r="E106" s="8" t="s">
        <v>427</v>
      </c>
      <c r="F106" s="6" t="s">
        <v>428</v>
      </c>
      <c r="G106" s="9">
        <f>IF(A106=1,"_",IF(C106="_","???",C106))</f>
        <v/>
      </c>
      <c r="H106" s="10" t="s">
        <v>16</v>
      </c>
      <c r="I106" s="11" t="s">
        <v>16</v>
      </c>
      <c r="J106" s="12"/>
    </row>
    <row r="107" spans="1:10" ht="60" customHeight="1">
      <c r="A107" s="6" t="s">
        <v>429</v>
      </c>
      <c r="B107" s="6" t="s">
        <v>109</v>
      </c>
      <c r="C107" s="6" t="s">
        <v>16</v>
      </c>
      <c r="D107" s="7" t="s">
        <v>106</v>
      </c>
      <c r="E107" s="8" t="s">
        <v>430</v>
      </c>
      <c r="F107" s="6" t="s">
        <v>431</v>
      </c>
      <c r="G107" s="9">
        <f>IF(A107=1,"_",IF(C107="_","???",C107))</f>
        <v/>
      </c>
      <c r="H107" s="10" t="s">
        <v>16</v>
      </c>
      <c r="I107" s="11" t="s">
        <v>16</v>
      </c>
      <c r="J107" s="12"/>
    </row>
    <row r="108" spans="1:10" ht="60" customHeight="1">
      <c r="A108" s="6" t="s">
        <v>432</v>
      </c>
      <c r="B108" s="6" t="s">
        <v>10</v>
      </c>
      <c r="C108" s="6" t="s">
        <v>16</v>
      </c>
      <c r="D108" s="7" t="s">
        <v>433</v>
      </c>
      <c r="E108" s="8" t="s">
        <v>434</v>
      </c>
      <c r="F108" s="6" t="s">
        <v>435</v>
      </c>
      <c r="G108" s="9">
        <f>IF(A108=1,"_",IF(C108="_","???",C108))</f>
        <v/>
      </c>
      <c r="H108" s="10" t="s">
        <v>16</v>
      </c>
      <c r="I108" s="11" t="s">
        <v>16</v>
      </c>
      <c r="J108" s="12"/>
    </row>
    <row r="109" spans="1:10" ht="60" customHeight="1">
      <c r="A109" s="6" t="s">
        <v>436</v>
      </c>
      <c r="B109" s="6" t="s">
        <v>101</v>
      </c>
      <c r="C109" s="6" t="s">
        <v>16</v>
      </c>
      <c r="D109" s="7" t="s">
        <v>437</v>
      </c>
      <c r="E109" s="8" t="s">
        <v>438</v>
      </c>
      <c r="F109" s="6" t="s">
        <v>439</v>
      </c>
      <c r="G109" s="9">
        <f>IF(A109=1,"_",IF(C109="_","???",C109))</f>
        <v/>
      </c>
      <c r="H109" s="10" t="s">
        <v>16</v>
      </c>
      <c r="I109" s="11" t="s">
        <v>16</v>
      </c>
      <c r="J109" s="12"/>
    </row>
    <row r="110" spans="1:10" ht="60" customHeight="1">
      <c r="A110" s="6" t="s">
        <v>440</v>
      </c>
      <c r="B110" s="6" t="s">
        <v>50</v>
      </c>
      <c r="C110" s="6" t="s">
        <v>16</v>
      </c>
      <c r="D110" s="7" t="s">
        <v>441</v>
      </c>
      <c r="E110" s="8" t="s">
        <v>442</v>
      </c>
      <c r="F110" s="6" t="s">
        <v>443</v>
      </c>
      <c r="G110" s="9">
        <f>IF(A110=1,"_",IF(C110="_","???",C110))</f>
        <v/>
      </c>
      <c r="H110" s="10" t="s">
        <v>16</v>
      </c>
      <c r="I110" s="11" t="s">
        <v>16</v>
      </c>
      <c r="J110" s="12"/>
    </row>
    <row r="111" spans="1:10" ht="60" customHeight="1">
      <c r="A111" s="6" t="s">
        <v>444</v>
      </c>
      <c r="B111" s="6" t="s">
        <v>18</v>
      </c>
      <c r="C111" s="6" t="s">
        <v>51</v>
      </c>
      <c r="D111" s="7" t="s">
        <v>445</v>
      </c>
      <c r="E111" s="8" t="s">
        <v>446</v>
      </c>
      <c r="F111" s="6" t="s">
        <v>447</v>
      </c>
      <c r="G111" s="9">
        <f>IF(A111=1,"_",IF(C111="_","???",C111))</f>
        <v/>
      </c>
      <c r="H111" s="10" t="s">
        <v>16</v>
      </c>
      <c r="I111" s="11" t="s">
        <v>16</v>
      </c>
      <c r="J111" s="12"/>
    </row>
    <row r="112" spans="1:10" ht="60" customHeight="1">
      <c r="A112" s="6" t="s">
        <v>448</v>
      </c>
      <c r="B112" s="6" t="s">
        <v>22</v>
      </c>
      <c r="C112" s="6" t="s">
        <v>224</v>
      </c>
      <c r="D112" s="7" t="s">
        <v>433</v>
      </c>
      <c r="E112" s="8" t="s">
        <v>449</v>
      </c>
      <c r="F112" s="6" t="s">
        <v>450</v>
      </c>
      <c r="G112" s="9">
        <f>IF(A112=1,"_",IF(C112="_","???",C112))</f>
        <v/>
      </c>
      <c r="H112" s="10" t="s">
        <v>16</v>
      </c>
      <c r="I112" s="11" t="s">
        <v>16</v>
      </c>
      <c r="J112" s="12"/>
    </row>
    <row r="113" spans="1:10" ht="60" customHeight="1">
      <c r="A113" s="6" t="s">
        <v>451</v>
      </c>
      <c r="B113" s="6" t="s">
        <v>27</v>
      </c>
      <c r="C113" s="6" t="s">
        <v>29</v>
      </c>
      <c r="D113" s="7" t="s">
        <v>452</v>
      </c>
      <c r="E113" s="8" t="s">
        <v>453</v>
      </c>
      <c r="F113" s="6" t="s">
        <v>454</v>
      </c>
      <c r="G113" s="9">
        <f>IF(A113=1,"_",IF(C113="_","???",C113))</f>
        <v/>
      </c>
      <c r="H113" s="10" t="s">
        <v>16</v>
      </c>
      <c r="I113" s="11" t="s">
        <v>16</v>
      </c>
      <c r="J113" s="12"/>
    </row>
    <row r="114" spans="1:10" ht="60" customHeight="1">
      <c r="A114" s="6" t="s">
        <v>455</v>
      </c>
      <c r="B114" s="6" t="s">
        <v>42</v>
      </c>
      <c r="C114" s="6" t="s">
        <v>16</v>
      </c>
      <c r="D114" s="7" t="s">
        <v>106</v>
      </c>
      <c r="E114" s="8" t="s">
        <v>456</v>
      </c>
      <c r="F114" s="6" t="s">
        <v>457</v>
      </c>
      <c r="G114" s="9">
        <f>IF(A114=1,"_",IF(C114="_","???",C114))</f>
        <v/>
      </c>
      <c r="H114" s="10" t="s">
        <v>16</v>
      </c>
      <c r="I114" s="11" t="s">
        <v>16</v>
      </c>
      <c r="J114" s="12"/>
    </row>
    <row r="115" spans="1:10" ht="60" customHeight="1">
      <c r="A115" s="6" t="s">
        <v>458</v>
      </c>
      <c r="B115" s="6" t="s">
        <v>55</v>
      </c>
      <c r="C115" s="6" t="s">
        <v>34</v>
      </c>
      <c r="D115" s="7" t="s">
        <v>459</v>
      </c>
      <c r="E115" s="8" t="s">
        <v>460</v>
      </c>
      <c r="F115" s="6" t="s">
        <v>461</v>
      </c>
      <c r="G115" s="9">
        <f>IF(A115=1,"_",IF(C115="_","???",C115))</f>
        <v/>
      </c>
      <c r="H115" s="10" t="s">
        <v>16</v>
      </c>
      <c r="I115" s="11" t="s">
        <v>16</v>
      </c>
      <c r="J115" s="12"/>
    </row>
    <row r="116" spans="1:10" ht="60" customHeight="1">
      <c r="A116" s="6" t="s">
        <v>462</v>
      </c>
      <c r="B116" s="6" t="s">
        <v>22</v>
      </c>
      <c r="C116" s="6" t="s">
        <v>38</v>
      </c>
      <c r="D116" s="7" t="s">
        <v>463</v>
      </c>
      <c r="E116" s="8" t="s">
        <v>464</v>
      </c>
      <c r="F116" s="6" t="s">
        <v>465</v>
      </c>
      <c r="G116" s="9">
        <f>IF(A116=1,"_",IF(C116="_","???",C116))</f>
        <v/>
      </c>
      <c r="H116" s="10" t="s">
        <v>16</v>
      </c>
      <c r="I116" s="11" t="s">
        <v>16</v>
      </c>
      <c r="J116" s="12"/>
    </row>
    <row r="117" spans="1:10" ht="60" customHeight="1">
      <c r="A117" s="6" t="s">
        <v>466</v>
      </c>
      <c r="B117" s="6" t="s">
        <v>27</v>
      </c>
      <c r="C117" s="6" t="s">
        <v>323</v>
      </c>
      <c r="D117" s="7" t="s">
        <v>106</v>
      </c>
      <c r="E117" s="8" t="s">
        <v>467</v>
      </c>
      <c r="F117" s="6" t="s">
        <v>468</v>
      </c>
      <c r="G117" s="9">
        <f>IF(A117=1,"_",IF(C117="_","???",C117))</f>
        <v/>
      </c>
      <c r="H117" s="10" t="s">
        <v>16</v>
      </c>
      <c r="I117" s="11" t="s">
        <v>16</v>
      </c>
      <c r="J117" s="12"/>
    </row>
    <row r="118" spans="1:10" ht="60" customHeight="1">
      <c r="A118" s="6" t="s">
        <v>469</v>
      </c>
      <c r="B118" s="6" t="s">
        <v>18</v>
      </c>
      <c r="C118" s="6" t="s">
        <v>34</v>
      </c>
      <c r="D118" s="7" t="s">
        <v>470</v>
      </c>
      <c r="E118" s="8" t="s">
        <v>471</v>
      </c>
      <c r="F118" s="6" t="s">
        <v>472</v>
      </c>
      <c r="G118" s="9">
        <f>IF(A118=1,"_",IF(C118="_","???",C118))</f>
        <v/>
      </c>
      <c r="H118" s="10" t="s">
        <v>16</v>
      </c>
      <c r="I118" s="11" t="s">
        <v>16</v>
      </c>
      <c r="J118" s="12"/>
    </row>
    <row r="119" spans="1:10" ht="60" customHeight="1">
      <c r="A119" s="6" t="s">
        <v>473</v>
      </c>
      <c r="B119" s="6" t="s">
        <v>42</v>
      </c>
      <c r="C119" s="6" t="s">
        <v>323</v>
      </c>
      <c r="D119" s="7" t="s">
        <v>474</v>
      </c>
      <c r="E119" s="8" t="s">
        <v>475</v>
      </c>
      <c r="F119" s="6" t="s">
        <v>476</v>
      </c>
      <c r="G119" s="9">
        <f>IF(A119=1,"_",IF(C119="_","???",C119))</f>
        <v/>
      </c>
      <c r="H119" s="10" t="s">
        <v>16</v>
      </c>
      <c r="I119" s="11" t="s">
        <v>16</v>
      </c>
      <c r="J119" s="12"/>
    </row>
    <row r="120" spans="1:10" ht="60" customHeight="1">
      <c r="A120" s="6" t="s">
        <v>477</v>
      </c>
      <c r="B120" s="6" t="s">
        <v>17</v>
      </c>
      <c r="C120" s="6" t="s">
        <v>16</v>
      </c>
      <c r="D120" s="7" t="s">
        <v>478</v>
      </c>
      <c r="E120" s="8" t="s">
        <v>479</v>
      </c>
      <c r="F120" s="6" t="s">
        <v>480</v>
      </c>
      <c r="G120" s="9">
        <f>IF(A120=1,"_",IF(C120="_","???",C120))</f>
        <v/>
      </c>
      <c r="H120" s="10" t="s">
        <v>16</v>
      </c>
      <c r="I120" s="11" t="s">
        <v>16</v>
      </c>
      <c r="J120" s="12"/>
    </row>
    <row r="121" spans="1:10" ht="60" customHeight="1">
      <c r="A121" s="6" t="s">
        <v>481</v>
      </c>
      <c r="B121" s="6" t="s">
        <v>42</v>
      </c>
      <c r="C121" s="6" t="s">
        <v>482</v>
      </c>
      <c r="D121" s="7" t="s">
        <v>483</v>
      </c>
      <c r="E121" s="8" t="s">
        <v>484</v>
      </c>
      <c r="F121" s="6" t="s">
        <v>485</v>
      </c>
      <c r="G121" s="9">
        <f>IF(A121=1,"_",IF(C121="_","???",C121))</f>
        <v/>
      </c>
      <c r="H121" s="10" t="s">
        <v>16</v>
      </c>
      <c r="I121" s="11" t="s">
        <v>16</v>
      </c>
      <c r="J121" s="12"/>
    </row>
    <row r="122" spans="1:10" ht="60" customHeight="1">
      <c r="A122" s="6" t="s">
        <v>486</v>
      </c>
      <c r="B122" s="6" t="s">
        <v>81</v>
      </c>
      <c r="C122" s="6" t="s">
        <v>224</v>
      </c>
      <c r="D122" s="7" t="s">
        <v>487</v>
      </c>
      <c r="E122" s="8" t="s">
        <v>488</v>
      </c>
      <c r="F122" s="6" t="s">
        <v>489</v>
      </c>
      <c r="G122" s="9">
        <f>IF(A122=1,"_",IF(C122="_","???",C122))</f>
        <v/>
      </c>
      <c r="H122" s="10" t="s">
        <v>16</v>
      </c>
      <c r="I122" s="11" t="s">
        <v>16</v>
      </c>
      <c r="J122" s="12"/>
    </row>
    <row r="123" spans="1:10" ht="60" customHeight="1">
      <c r="A123" s="6" t="s">
        <v>490</v>
      </c>
      <c r="B123" s="6" t="s">
        <v>17</v>
      </c>
      <c r="C123" s="6" t="s">
        <v>34</v>
      </c>
      <c r="D123" s="7" t="s">
        <v>491</v>
      </c>
      <c r="E123" s="8" t="s">
        <v>492</v>
      </c>
      <c r="F123" s="6" t="s">
        <v>493</v>
      </c>
      <c r="G123" s="9">
        <f>IF(A123=1,"_",IF(C123="_","???",C123))</f>
        <v/>
      </c>
      <c r="H123" s="10" t="s">
        <v>16</v>
      </c>
      <c r="I123" s="11" t="s">
        <v>16</v>
      </c>
      <c r="J123" s="12"/>
    </row>
    <row r="124" spans="1:10" ht="60" customHeight="1">
      <c r="A124" s="6" t="s">
        <v>494</v>
      </c>
      <c r="B124" s="6" t="s">
        <v>27</v>
      </c>
      <c r="C124" s="6" t="s">
        <v>16</v>
      </c>
      <c r="D124" s="7" t="s">
        <v>495</v>
      </c>
      <c r="E124" s="8" t="s">
        <v>496</v>
      </c>
      <c r="F124" s="6" t="s">
        <v>497</v>
      </c>
      <c r="G124" s="9">
        <f>IF(A124=1,"_",IF(C124="_","???",C124))</f>
        <v/>
      </c>
      <c r="H124" s="10" t="s">
        <v>16</v>
      </c>
      <c r="I124" s="11" t="s">
        <v>16</v>
      </c>
      <c r="J124" s="12"/>
    </row>
    <row r="125" spans="1:10" ht="60" customHeight="1">
      <c r="A125" s="6" t="s">
        <v>498</v>
      </c>
      <c r="B125" s="6" t="s">
        <v>10</v>
      </c>
      <c r="C125" s="6" t="s">
        <v>16</v>
      </c>
      <c r="D125" s="7" t="s">
        <v>499</v>
      </c>
      <c r="E125" s="8" t="s">
        <v>499</v>
      </c>
      <c r="F125" s="6" t="s">
        <v>500</v>
      </c>
      <c r="G125" s="9">
        <f>IF(A125=1,"_",IF(C125="_","???",C125))</f>
        <v/>
      </c>
      <c r="H125" s="10" t="s">
        <v>16</v>
      </c>
      <c r="I125" s="11" t="s">
        <v>16</v>
      </c>
      <c r="J125" s="12"/>
    </row>
    <row r="126" spans="1:10" ht="60" customHeight="1">
      <c r="A126" s="6" t="s">
        <v>501</v>
      </c>
      <c r="B126" s="6" t="s">
        <v>17</v>
      </c>
      <c r="C126" s="6" t="s">
        <v>16</v>
      </c>
      <c r="D126" s="7" t="s">
        <v>502</v>
      </c>
      <c r="E126" s="8" t="s">
        <v>503</v>
      </c>
      <c r="F126" s="6" t="s">
        <v>504</v>
      </c>
      <c r="G126" s="9">
        <f>IF(A126=1,"_",IF(C126="_","???",C126))</f>
        <v/>
      </c>
      <c r="H126" s="10" t="s">
        <v>16</v>
      </c>
      <c r="I126" s="11" t="s">
        <v>16</v>
      </c>
      <c r="J126" s="12"/>
    </row>
    <row r="127" spans="1:10" ht="60" customHeight="1">
      <c r="A127" s="6" t="s">
        <v>505</v>
      </c>
      <c r="B127" s="6" t="s">
        <v>17</v>
      </c>
      <c r="C127" s="6" t="s">
        <v>38</v>
      </c>
      <c r="D127" s="7" t="s">
        <v>506</v>
      </c>
      <c r="E127" s="8" t="s">
        <v>507</v>
      </c>
      <c r="F127" s="6" t="s">
        <v>508</v>
      </c>
      <c r="G127" s="9">
        <f>IF(A127=1,"_",IF(C127="_","???",C127))</f>
        <v/>
      </c>
      <c r="H127" s="10" t="s">
        <v>16</v>
      </c>
      <c r="I127" s="11" t="s">
        <v>16</v>
      </c>
      <c r="J127" s="12"/>
    </row>
    <row r="128" spans="1:10" ht="60" customHeight="1">
      <c r="A128" s="6" t="s">
        <v>509</v>
      </c>
      <c r="B128" s="6" t="s">
        <v>22</v>
      </c>
      <c r="C128" s="6" t="s">
        <v>38</v>
      </c>
      <c r="D128" s="7" t="s">
        <v>510</v>
      </c>
      <c r="E128" s="8" t="s">
        <v>511</v>
      </c>
      <c r="F128" s="6" t="s">
        <v>512</v>
      </c>
      <c r="G128" s="9">
        <f>IF(A128=1,"_",IF(C128="_","???",C128))</f>
        <v/>
      </c>
      <c r="H128" s="10" t="s">
        <v>16</v>
      </c>
      <c r="I128" s="11" t="s">
        <v>16</v>
      </c>
      <c r="J128" s="12"/>
    </row>
    <row r="129" spans="1:10" ht="60" customHeight="1">
      <c r="A129" s="6" t="s">
        <v>513</v>
      </c>
      <c r="B129" s="6" t="s">
        <v>17</v>
      </c>
      <c r="C129" s="6" t="s">
        <v>38</v>
      </c>
      <c r="D129" s="7" t="s">
        <v>514</v>
      </c>
      <c r="E129" s="8" t="s">
        <v>515</v>
      </c>
      <c r="F129" s="6" t="s">
        <v>516</v>
      </c>
      <c r="G129" s="9">
        <f>IF(A129=1,"_",IF(C129="_","???",C129))</f>
        <v/>
      </c>
      <c r="H129" s="10" t="s">
        <v>16</v>
      </c>
      <c r="I129" s="11" t="s">
        <v>16</v>
      </c>
      <c r="J129" s="12"/>
    </row>
    <row r="130" spans="1:10" ht="60" customHeight="1">
      <c r="A130" s="6" t="s">
        <v>517</v>
      </c>
      <c r="B130" s="6" t="s">
        <v>42</v>
      </c>
      <c r="C130" s="6" t="s">
        <v>16</v>
      </c>
      <c r="D130" s="7" t="s">
        <v>518</v>
      </c>
      <c r="E130" s="8" t="s">
        <v>519</v>
      </c>
      <c r="F130" s="6" t="s">
        <v>520</v>
      </c>
      <c r="G130" s="9">
        <f>IF(A130=1,"_",IF(C130="_","???",C130))</f>
        <v/>
      </c>
      <c r="H130" s="10" t="s">
        <v>16</v>
      </c>
      <c r="I130" s="11" t="s">
        <v>16</v>
      </c>
      <c r="J130" s="12"/>
    </row>
    <row r="131" spans="1:10" ht="60" customHeight="1">
      <c r="A131" s="6" t="s">
        <v>521</v>
      </c>
      <c r="B131" s="6" t="s">
        <v>18</v>
      </c>
      <c r="C131" s="6" t="s">
        <v>16</v>
      </c>
      <c r="D131" s="7" t="s">
        <v>185</v>
      </c>
      <c r="E131" s="8" t="s">
        <v>522</v>
      </c>
      <c r="F131" s="6" t="s">
        <v>523</v>
      </c>
      <c r="G131" s="9">
        <f>IF(A131=1,"_",IF(C131="_","???",C131))</f>
        <v/>
      </c>
      <c r="H131" s="10" t="s">
        <v>16</v>
      </c>
      <c r="I131" s="11" t="s">
        <v>16</v>
      </c>
      <c r="J131" s="12"/>
    </row>
    <row r="132" spans="1:10" ht="60" customHeight="1">
      <c r="A132" s="6" t="s">
        <v>524</v>
      </c>
      <c r="B132" s="6" t="s">
        <v>28</v>
      </c>
      <c r="C132" s="6" t="s">
        <v>16</v>
      </c>
      <c r="D132" s="7" t="s">
        <v>185</v>
      </c>
      <c r="E132" s="8" t="s">
        <v>525</v>
      </c>
      <c r="F132" s="6" t="s">
        <v>526</v>
      </c>
      <c r="G132" s="9">
        <f>IF(A132=1,"_",IF(C132="_","???",C132))</f>
        <v/>
      </c>
      <c r="H132" s="10" t="s">
        <v>16</v>
      </c>
      <c r="I132" s="11" t="s">
        <v>16</v>
      </c>
      <c r="J132" s="12"/>
    </row>
    <row r="133" spans="1:10" ht="60" customHeight="1">
      <c r="A133" s="6" t="s">
        <v>527</v>
      </c>
      <c r="B133" s="6" t="s">
        <v>60</v>
      </c>
      <c r="C133" s="6" t="s">
        <v>16</v>
      </c>
      <c r="D133" s="7" t="s">
        <v>123</v>
      </c>
      <c r="E133" s="8" t="s">
        <v>528</v>
      </c>
      <c r="F133" s="6" t="s">
        <v>529</v>
      </c>
      <c r="G133" s="9">
        <f>IF(A133=1,"_",IF(C133="_","???",C133))</f>
        <v/>
      </c>
      <c r="H133" s="10" t="s">
        <v>16</v>
      </c>
      <c r="I133" s="11" t="s">
        <v>16</v>
      </c>
      <c r="J133" s="12"/>
    </row>
    <row r="134" spans="1:10" ht="60" customHeight="1">
      <c r="A134" s="6" t="s">
        <v>530</v>
      </c>
      <c r="B134" s="6" t="s">
        <v>27</v>
      </c>
      <c r="C134" s="6" t="s">
        <v>531</v>
      </c>
      <c r="D134" s="7" t="s">
        <v>502</v>
      </c>
      <c r="E134" s="8" t="s">
        <v>532</v>
      </c>
      <c r="F134" s="6" t="s">
        <v>533</v>
      </c>
      <c r="G134" s="9">
        <f>IF(A134=1,"_",IF(C134="_","???",C134))</f>
        <v/>
      </c>
      <c r="H134" s="10" t="s">
        <v>16</v>
      </c>
      <c r="I134" s="11" t="s">
        <v>16</v>
      </c>
      <c r="J134" s="12"/>
    </row>
    <row r="135" spans="1:10" ht="60" customHeight="1">
      <c r="A135" s="6" t="s">
        <v>534</v>
      </c>
      <c r="B135" s="6" t="s">
        <v>42</v>
      </c>
      <c r="C135" s="6" t="s">
        <v>16</v>
      </c>
      <c r="D135" s="7" t="s">
        <v>535</v>
      </c>
      <c r="E135" s="8" t="s">
        <v>536</v>
      </c>
      <c r="F135" s="6" t="s">
        <v>537</v>
      </c>
      <c r="G135" s="9">
        <f>IF(A135=1,"_",IF(C135="_","???",C135))</f>
        <v/>
      </c>
      <c r="H135" s="10" t="s">
        <v>16</v>
      </c>
      <c r="I135" s="11" t="s">
        <v>16</v>
      </c>
      <c r="J135" s="12"/>
    </row>
    <row r="136" spans="1:10" ht="60" customHeight="1">
      <c r="A136" s="6" t="s">
        <v>538</v>
      </c>
      <c r="B136" s="6" t="s">
        <v>17</v>
      </c>
      <c r="C136" s="6" t="s">
        <v>34</v>
      </c>
      <c r="D136" s="7" t="s">
        <v>539</v>
      </c>
      <c r="E136" s="8" t="s">
        <v>540</v>
      </c>
      <c r="F136" s="6" t="s">
        <v>541</v>
      </c>
      <c r="G136" s="9">
        <f>IF(A136=1,"_",IF(C136="_","???",C136))</f>
        <v/>
      </c>
      <c r="H136" s="10" t="s">
        <v>16</v>
      </c>
      <c r="I136" s="11" t="s">
        <v>16</v>
      </c>
      <c r="J136" s="12"/>
    </row>
    <row r="137" spans="1:10" ht="60" customHeight="1">
      <c r="A137" s="6" t="s">
        <v>542</v>
      </c>
      <c r="B137" s="6" t="s">
        <v>11</v>
      </c>
      <c r="C137" s="6" t="s">
        <v>16</v>
      </c>
      <c r="D137" s="7" t="s">
        <v>543</v>
      </c>
      <c r="E137" s="8" t="s">
        <v>544</v>
      </c>
      <c r="F137" s="6" t="s">
        <v>545</v>
      </c>
      <c r="G137" s="9">
        <f>IF(A137=1,"_",IF(C137="_","???",C137))</f>
        <v/>
      </c>
      <c r="H137" s="10" t="s">
        <v>16</v>
      </c>
      <c r="I137" s="11" t="s">
        <v>16</v>
      </c>
      <c r="J137" s="12"/>
    </row>
    <row r="138" spans="1:10" ht="60" customHeight="1">
      <c r="A138" s="6" t="s">
        <v>546</v>
      </c>
      <c r="B138" s="6" t="s">
        <v>17</v>
      </c>
      <c r="C138" s="6" t="s">
        <v>38</v>
      </c>
      <c r="D138" s="7" t="s">
        <v>547</v>
      </c>
      <c r="E138" s="8" t="s">
        <v>548</v>
      </c>
      <c r="F138" s="6" t="s">
        <v>549</v>
      </c>
      <c r="G138" s="9">
        <f>IF(A138=1,"_",IF(C138="_","???",C138))</f>
        <v/>
      </c>
      <c r="H138" s="10" t="s">
        <v>16</v>
      </c>
      <c r="I138" s="11" t="s">
        <v>16</v>
      </c>
      <c r="J138" s="12"/>
    </row>
    <row r="139" spans="1:10" ht="60" customHeight="1">
      <c r="A139" s="6" t="s">
        <v>550</v>
      </c>
      <c r="B139" s="6" t="s">
        <v>22</v>
      </c>
      <c r="C139" s="6" t="s">
        <v>16</v>
      </c>
      <c r="D139" s="7" t="s">
        <v>123</v>
      </c>
      <c r="E139" s="8" t="s">
        <v>551</v>
      </c>
      <c r="F139" s="6" t="s">
        <v>552</v>
      </c>
      <c r="G139" s="9">
        <f>IF(A139=1,"_",IF(C139="_","???",C139))</f>
        <v/>
      </c>
      <c r="H139" s="10" t="s">
        <v>16</v>
      </c>
      <c r="I139" s="11" t="s">
        <v>16</v>
      </c>
      <c r="J139" s="12"/>
    </row>
    <row r="140" spans="1:10" ht="60" customHeight="1">
      <c r="A140" s="6" t="s">
        <v>553</v>
      </c>
      <c r="B140" s="6" t="s">
        <v>50</v>
      </c>
      <c r="C140" s="6" t="s">
        <v>16</v>
      </c>
      <c r="D140" s="7" t="s">
        <v>123</v>
      </c>
      <c r="E140" s="8" t="s">
        <v>554</v>
      </c>
      <c r="F140" s="6" t="s">
        <v>555</v>
      </c>
      <c r="G140" s="9">
        <f>IF(A140=1,"_",IF(C140="_","???",C140))</f>
        <v/>
      </c>
      <c r="H140" s="10" t="s">
        <v>16</v>
      </c>
      <c r="I140" s="11" t="s">
        <v>16</v>
      </c>
      <c r="J140" s="12"/>
    </row>
    <row r="141" spans="1:10" ht="60" customHeight="1">
      <c r="A141" s="6" t="s">
        <v>556</v>
      </c>
      <c r="B141" s="6" t="s">
        <v>18</v>
      </c>
      <c r="C141" s="6" t="s">
        <v>16</v>
      </c>
      <c r="D141" s="7" t="s">
        <v>185</v>
      </c>
      <c r="E141" s="8" t="s">
        <v>557</v>
      </c>
      <c r="F141" s="6" t="s">
        <v>558</v>
      </c>
      <c r="G141" s="9">
        <f>IF(A141=1,"_",IF(C141="_","???",C141))</f>
        <v/>
      </c>
      <c r="H141" s="10" t="s">
        <v>16</v>
      </c>
      <c r="I141" s="11" t="s">
        <v>16</v>
      </c>
      <c r="J141" s="12"/>
    </row>
    <row r="142" spans="1:10" ht="60" customHeight="1">
      <c r="A142" s="6" t="s">
        <v>559</v>
      </c>
      <c r="B142" s="6" t="s">
        <v>17</v>
      </c>
      <c r="C142" s="6" t="s">
        <v>560</v>
      </c>
      <c r="D142" s="7" t="s">
        <v>561</v>
      </c>
      <c r="E142" s="8" t="s">
        <v>562</v>
      </c>
      <c r="F142" s="6" t="s">
        <v>563</v>
      </c>
      <c r="G142" s="9">
        <f>IF(A142=1,"_",IF(C142="_","???",C142))</f>
        <v/>
      </c>
      <c r="H142" s="10" t="s">
        <v>16</v>
      </c>
      <c r="I142" s="11" t="s">
        <v>16</v>
      </c>
      <c r="J142" s="12"/>
    </row>
    <row r="143" spans="1:10" ht="60" customHeight="1">
      <c r="A143" s="6" t="s">
        <v>564</v>
      </c>
      <c r="B143" s="6" t="s">
        <v>18</v>
      </c>
      <c r="C143" s="6" t="s">
        <v>560</v>
      </c>
      <c r="D143" s="7" t="s">
        <v>565</v>
      </c>
      <c r="E143" s="8" t="s">
        <v>566</v>
      </c>
      <c r="F143" s="6" t="s">
        <v>567</v>
      </c>
      <c r="G143" s="9">
        <f>IF(A143=1,"_",IF(C143="_","???",C143))</f>
        <v/>
      </c>
      <c r="H143" s="10" t="s">
        <v>16</v>
      </c>
      <c r="I143" s="11" t="s">
        <v>16</v>
      </c>
      <c r="J143" s="12"/>
    </row>
    <row r="144" spans="1:10" ht="60" customHeight="1">
      <c r="A144" s="6" t="s">
        <v>568</v>
      </c>
      <c r="B144" s="6" t="s">
        <v>27</v>
      </c>
      <c r="C144" s="6" t="s">
        <v>38</v>
      </c>
      <c r="D144" s="7" t="s">
        <v>422</v>
      </c>
      <c r="E144" s="8" t="s">
        <v>569</v>
      </c>
      <c r="F144" s="6" t="s">
        <v>570</v>
      </c>
      <c r="G144" s="9">
        <f>IF(A144=1,"_",IF(C144="_","???",C144))</f>
        <v/>
      </c>
      <c r="H144" s="10" t="s">
        <v>16</v>
      </c>
      <c r="I144" s="11" t="s">
        <v>16</v>
      </c>
      <c r="J144" s="12"/>
    </row>
    <row r="145" spans="1:10" ht="60" customHeight="1">
      <c r="A145" s="6" t="s">
        <v>571</v>
      </c>
      <c r="B145" s="6" t="s">
        <v>27</v>
      </c>
      <c r="C145" s="6" t="s">
        <v>16</v>
      </c>
      <c r="D145" s="7" t="s">
        <v>572</v>
      </c>
      <c r="E145" s="8" t="s">
        <v>573</v>
      </c>
      <c r="F145" s="6" t="s">
        <v>574</v>
      </c>
      <c r="G145" s="9">
        <f>IF(A145=1,"_",IF(C145="_","???",C145))</f>
        <v/>
      </c>
      <c r="H145" s="10" t="s">
        <v>16</v>
      </c>
      <c r="I145" s="11" t="s">
        <v>16</v>
      </c>
      <c r="J145" s="12"/>
    </row>
    <row r="146" spans="1:10" ht="60" customHeight="1">
      <c r="A146" s="6" t="s">
        <v>575</v>
      </c>
      <c r="B146" s="6" t="s">
        <v>17</v>
      </c>
      <c r="C146" s="6" t="s">
        <v>16</v>
      </c>
      <c r="D146" s="7" t="s">
        <v>576</v>
      </c>
      <c r="E146" s="8" t="s">
        <v>577</v>
      </c>
      <c r="F146" s="6" t="s">
        <v>578</v>
      </c>
      <c r="G146" s="9">
        <f>IF(A146=1,"_",IF(C146="_","???",C146))</f>
        <v/>
      </c>
      <c r="H146" s="10" t="s">
        <v>16</v>
      </c>
      <c r="I146" s="11" t="s">
        <v>16</v>
      </c>
      <c r="J146" s="12"/>
    </row>
    <row r="147" spans="1:10" ht="60" customHeight="1">
      <c r="A147" s="6" t="s">
        <v>579</v>
      </c>
      <c r="B147" s="6" t="s">
        <v>10</v>
      </c>
      <c r="C147" s="6" t="s">
        <v>16</v>
      </c>
      <c r="D147" s="7" t="s">
        <v>580</v>
      </c>
      <c r="E147" s="8" t="s">
        <v>581</v>
      </c>
      <c r="F147" s="6" t="s">
        <v>582</v>
      </c>
      <c r="G147" s="9">
        <f>IF(A147=1,"_",IF(C147="_","???",C147))</f>
        <v/>
      </c>
      <c r="H147" s="10" t="s">
        <v>16</v>
      </c>
      <c r="I147" s="11" t="s">
        <v>16</v>
      </c>
      <c r="J147" s="12"/>
    </row>
    <row r="148" spans="1:10" ht="60" customHeight="1">
      <c r="A148" s="6" t="s">
        <v>583</v>
      </c>
      <c r="B148" s="6" t="s">
        <v>17</v>
      </c>
      <c r="C148" s="6" t="s">
        <v>38</v>
      </c>
      <c r="D148" s="7" t="s">
        <v>422</v>
      </c>
      <c r="E148" s="8" t="s">
        <v>584</v>
      </c>
      <c r="F148" s="6" t="s">
        <v>585</v>
      </c>
      <c r="G148" s="9">
        <f>IF(A148=1,"_",IF(C148="_","???",C148))</f>
        <v/>
      </c>
      <c r="H148" s="10" t="s">
        <v>16</v>
      </c>
      <c r="I148" s="11" t="s">
        <v>16</v>
      </c>
      <c r="J148" s="12"/>
    </row>
    <row r="149" spans="1:10" ht="60" customHeight="1">
      <c r="A149" s="6" t="s">
        <v>586</v>
      </c>
      <c r="B149" s="6" t="s">
        <v>10</v>
      </c>
      <c r="C149" s="6" t="s">
        <v>51</v>
      </c>
      <c r="D149" s="7" t="s">
        <v>587</v>
      </c>
      <c r="E149" s="8" t="s">
        <v>588</v>
      </c>
      <c r="F149" s="6" t="s">
        <v>589</v>
      </c>
      <c r="G149" s="9">
        <f>IF(A149=1,"_",IF(C149="_","???",C149))</f>
        <v/>
      </c>
      <c r="H149" s="10" t="s">
        <v>16</v>
      </c>
      <c r="I149" s="11" t="s">
        <v>16</v>
      </c>
      <c r="J149" s="12"/>
    </row>
    <row r="150" spans="1:10" ht="60" customHeight="1">
      <c r="A150" s="6" t="s">
        <v>590</v>
      </c>
      <c r="B150" s="6" t="s">
        <v>22</v>
      </c>
      <c r="C150" s="6" t="s">
        <v>331</v>
      </c>
      <c r="D150" s="7" t="s">
        <v>591</v>
      </c>
      <c r="E150" s="8" t="s">
        <v>592</v>
      </c>
      <c r="F150" s="6" t="s">
        <v>593</v>
      </c>
      <c r="G150" s="9">
        <f>IF(A150=1,"_",IF(C150="_","???",C150))</f>
        <v/>
      </c>
      <c r="H150" s="10" t="s">
        <v>16</v>
      </c>
      <c r="I150" s="11" t="s">
        <v>16</v>
      </c>
      <c r="J150" s="12"/>
    </row>
    <row r="151" spans="1:10" ht="60" customHeight="1">
      <c r="A151" s="6" t="s">
        <v>594</v>
      </c>
      <c r="B151" s="6" t="s">
        <v>27</v>
      </c>
      <c r="C151" s="6" t="s">
        <v>16</v>
      </c>
      <c r="D151" s="7" t="s">
        <v>595</v>
      </c>
      <c r="E151" s="8" t="s">
        <v>596</v>
      </c>
      <c r="F151" s="6" t="s">
        <v>597</v>
      </c>
      <c r="G151" s="9">
        <f>IF(A151=1,"_",IF(C151="_","???",C151))</f>
        <v/>
      </c>
      <c r="H151" s="10" t="s">
        <v>16</v>
      </c>
      <c r="I151" s="11" t="s">
        <v>16</v>
      </c>
      <c r="J151" s="12"/>
    </row>
    <row r="152" spans="1:10" ht="60" customHeight="1">
      <c r="A152" s="6" t="s">
        <v>598</v>
      </c>
      <c r="B152" s="6" t="s">
        <v>18</v>
      </c>
      <c r="C152" s="6" t="s">
        <v>16</v>
      </c>
      <c r="D152" s="7" t="s">
        <v>303</v>
      </c>
      <c r="E152" s="8" t="s">
        <v>599</v>
      </c>
      <c r="F152" s="6" t="s">
        <v>600</v>
      </c>
      <c r="G152" s="9">
        <f>IF(A152=1,"_",IF(C152="_","???",C152))</f>
        <v/>
      </c>
      <c r="H152" s="10" t="s">
        <v>16</v>
      </c>
      <c r="I152" s="11" t="s">
        <v>16</v>
      </c>
      <c r="J152" s="12"/>
    </row>
    <row r="153" spans="1:10" ht="60" customHeight="1">
      <c r="A153" s="6" t="s">
        <v>601</v>
      </c>
      <c r="B153" s="6" t="s">
        <v>27</v>
      </c>
      <c r="C153" s="6" t="s">
        <v>602</v>
      </c>
      <c r="D153" s="7" t="s">
        <v>603</v>
      </c>
      <c r="E153" s="8" t="s">
        <v>604</v>
      </c>
      <c r="F153" s="6" t="s">
        <v>605</v>
      </c>
      <c r="G153" s="9">
        <f>IF(A153=1,"_",IF(C153="_","???",C153))</f>
        <v/>
      </c>
      <c r="H153" s="10" t="s">
        <v>16</v>
      </c>
      <c r="I153" s="11" t="s">
        <v>16</v>
      </c>
      <c r="J153" s="12"/>
    </row>
    <row r="154" spans="1:10" ht="60" customHeight="1">
      <c r="A154" s="6" t="s">
        <v>606</v>
      </c>
      <c r="B154" s="6" t="s">
        <v>97</v>
      </c>
      <c r="C154" s="6" t="s">
        <v>16</v>
      </c>
      <c r="D154" s="7" t="s">
        <v>607</v>
      </c>
      <c r="E154" s="8" t="s">
        <v>608</v>
      </c>
      <c r="F154" s="6" t="s">
        <v>609</v>
      </c>
      <c r="G154" s="9">
        <f>IF(A154=1,"_",IF(C154="_","???",C154))</f>
        <v/>
      </c>
      <c r="H154" s="10" t="s">
        <v>16</v>
      </c>
      <c r="I154" s="11" t="s">
        <v>16</v>
      </c>
      <c r="J154" s="12"/>
    </row>
    <row r="155" spans="1:10" ht="60" customHeight="1">
      <c r="A155" s="6" t="s">
        <v>610</v>
      </c>
      <c r="B155" s="6" t="s">
        <v>17</v>
      </c>
      <c r="C155" s="6" t="s">
        <v>611</v>
      </c>
      <c r="D155" s="7" t="s">
        <v>30</v>
      </c>
      <c r="E155" s="8" t="s">
        <v>612</v>
      </c>
      <c r="F155" s="6" t="s">
        <v>613</v>
      </c>
      <c r="G155" s="9">
        <f>IF(A155=1,"_",IF(C155="_","???",C155))</f>
        <v/>
      </c>
      <c r="H155" s="10" t="s">
        <v>16</v>
      </c>
      <c r="I155" s="11" t="s">
        <v>16</v>
      </c>
      <c r="J155" s="12"/>
    </row>
    <row r="156" spans="1:10" ht="60" customHeight="1">
      <c r="A156" s="6" t="s">
        <v>614</v>
      </c>
      <c r="B156" s="6" t="s">
        <v>17</v>
      </c>
      <c r="C156" s="6" t="s">
        <v>16</v>
      </c>
      <c r="D156" s="7" t="s">
        <v>591</v>
      </c>
      <c r="E156" s="8" t="s">
        <v>615</v>
      </c>
      <c r="F156" s="6" t="s">
        <v>616</v>
      </c>
      <c r="G156" s="9">
        <f>IF(A156=1,"_",IF(C156="_","???",C156))</f>
        <v/>
      </c>
      <c r="H156" s="10" t="s">
        <v>16</v>
      </c>
      <c r="I156" s="11" t="s">
        <v>16</v>
      </c>
      <c r="J156" s="12"/>
    </row>
    <row r="157" spans="1:10" ht="60" customHeight="1">
      <c r="A157" s="6" t="s">
        <v>617</v>
      </c>
      <c r="B157" s="6" t="s">
        <v>50</v>
      </c>
      <c r="C157" s="6" t="s">
        <v>16</v>
      </c>
      <c r="D157" s="7" t="s">
        <v>123</v>
      </c>
      <c r="E157" s="8" t="s">
        <v>618</v>
      </c>
      <c r="F157" s="6" t="s">
        <v>619</v>
      </c>
      <c r="G157" s="9">
        <f>IF(A157=1,"_",IF(C157="_","???",C157))</f>
        <v/>
      </c>
      <c r="H157" s="10" t="s">
        <v>16</v>
      </c>
      <c r="I157" s="11" t="s">
        <v>16</v>
      </c>
      <c r="J157" s="12"/>
    </row>
    <row r="158" spans="1:10" ht="60" customHeight="1">
      <c r="A158" s="6" t="s">
        <v>620</v>
      </c>
      <c r="B158" s="6" t="s">
        <v>50</v>
      </c>
      <c r="C158" s="6" t="s">
        <v>38</v>
      </c>
      <c r="D158" s="7" t="s">
        <v>621</v>
      </c>
      <c r="E158" s="8" t="s">
        <v>622</v>
      </c>
      <c r="F158" s="6" t="s">
        <v>623</v>
      </c>
      <c r="G158" s="9">
        <f>IF(A158=1,"_",IF(C158="_","???",C158))</f>
        <v/>
      </c>
      <c r="H158" s="10" t="s">
        <v>16</v>
      </c>
      <c r="I158" s="11" t="s">
        <v>16</v>
      </c>
      <c r="J158" s="12"/>
    </row>
    <row r="159" spans="1:10" ht="60" customHeight="1">
      <c r="A159" s="6" t="s">
        <v>624</v>
      </c>
      <c r="B159" s="6" t="s">
        <v>17</v>
      </c>
      <c r="C159" s="6" t="s">
        <v>38</v>
      </c>
      <c r="D159" s="7" t="s">
        <v>576</v>
      </c>
      <c r="E159" s="8" t="s">
        <v>625</v>
      </c>
      <c r="F159" s="6" t="s">
        <v>626</v>
      </c>
      <c r="G159" s="9">
        <f>IF(A159=1,"_",IF(C159="_","???",C159))</f>
        <v/>
      </c>
      <c r="H159" s="10" t="s">
        <v>16</v>
      </c>
      <c r="I159" s="11" t="s">
        <v>16</v>
      </c>
      <c r="J159" s="12"/>
    </row>
    <row r="160" spans="1:10" ht="60" customHeight="1">
      <c r="A160" s="6" t="s">
        <v>627</v>
      </c>
      <c r="B160" s="6" t="s">
        <v>18</v>
      </c>
      <c r="C160" s="6" t="s">
        <v>16</v>
      </c>
      <c r="D160" s="7" t="s">
        <v>628</v>
      </c>
      <c r="E160" s="8" t="s">
        <v>629</v>
      </c>
      <c r="F160" s="6" t="s">
        <v>630</v>
      </c>
      <c r="G160" s="9">
        <f>IF(A160=1,"_",IF(C160="_","???",C160))</f>
        <v/>
      </c>
      <c r="H160" s="10" t="s">
        <v>16</v>
      </c>
      <c r="I160" s="11" t="s">
        <v>16</v>
      </c>
      <c r="J160" s="12"/>
    </row>
    <row r="161" spans="1:10" ht="60" customHeight="1">
      <c r="A161" s="6" t="s">
        <v>631</v>
      </c>
      <c r="B161" s="6" t="s">
        <v>22</v>
      </c>
      <c r="C161" s="6" t="s">
        <v>16</v>
      </c>
      <c r="D161" s="7" t="s">
        <v>146</v>
      </c>
      <c r="E161" s="8" t="s">
        <v>632</v>
      </c>
      <c r="F161" s="6" t="s">
        <v>633</v>
      </c>
      <c r="G161" s="9">
        <f>IF(A161=1,"_",IF(C161="_","???",C161))</f>
        <v/>
      </c>
      <c r="H161" s="10" t="s">
        <v>16</v>
      </c>
      <c r="I161" s="11" t="s">
        <v>16</v>
      </c>
      <c r="J161" s="12"/>
    </row>
    <row r="162" spans="1:10" ht="60" customHeight="1">
      <c r="A162" s="6" t="s">
        <v>634</v>
      </c>
      <c r="B162" s="6" t="s">
        <v>18</v>
      </c>
      <c r="C162" s="6" t="s">
        <v>38</v>
      </c>
      <c r="D162" s="7" t="s">
        <v>635</v>
      </c>
      <c r="E162" s="8" t="s">
        <v>636</v>
      </c>
      <c r="F162" s="6" t="s">
        <v>637</v>
      </c>
      <c r="G162" s="9">
        <f>IF(A162=1,"_",IF(C162="_","???",C162))</f>
        <v/>
      </c>
      <c r="H162" s="10" t="s">
        <v>16</v>
      </c>
      <c r="I162" s="11" t="s">
        <v>16</v>
      </c>
      <c r="J162" s="12"/>
    </row>
    <row r="163" spans="1:10" ht="60" customHeight="1">
      <c r="A163" s="6" t="s">
        <v>638</v>
      </c>
      <c r="B163" s="6" t="s">
        <v>18</v>
      </c>
      <c r="C163" s="6" t="s">
        <v>16</v>
      </c>
      <c r="D163" s="7" t="s">
        <v>639</v>
      </c>
      <c r="E163" s="8" t="s">
        <v>640</v>
      </c>
      <c r="F163" s="6" t="s">
        <v>641</v>
      </c>
      <c r="G163" s="9">
        <f>IF(A163=1,"_",IF(C163="_","???",C163))</f>
        <v/>
      </c>
      <c r="H163" s="10" t="s">
        <v>16</v>
      </c>
      <c r="I163" s="11" t="s">
        <v>16</v>
      </c>
      <c r="J163" s="12"/>
    </row>
    <row r="164" spans="1:10" ht="60" customHeight="1">
      <c r="A164" s="6" t="s">
        <v>642</v>
      </c>
      <c r="B164" s="6" t="s">
        <v>42</v>
      </c>
      <c r="C164" s="6" t="s">
        <v>16</v>
      </c>
      <c r="D164" s="7" t="s">
        <v>643</v>
      </c>
      <c r="E164" s="8" t="s">
        <v>644</v>
      </c>
      <c r="F164" s="6" t="s">
        <v>645</v>
      </c>
      <c r="G164" s="9">
        <f>IF(A164=1,"_",IF(C164="_","???",C164))</f>
        <v/>
      </c>
      <c r="H164" s="10" t="s">
        <v>16</v>
      </c>
      <c r="I164" s="11" t="s">
        <v>16</v>
      </c>
      <c r="J164" s="12"/>
    </row>
    <row r="165" spans="1:10" ht="60" customHeight="1">
      <c r="A165" s="6" t="s">
        <v>646</v>
      </c>
      <c r="B165" s="6" t="s">
        <v>27</v>
      </c>
      <c r="C165" s="6" t="s">
        <v>34</v>
      </c>
      <c r="D165" s="7" t="s">
        <v>647</v>
      </c>
      <c r="E165" s="8" t="s">
        <v>648</v>
      </c>
      <c r="F165" s="6" t="s">
        <v>649</v>
      </c>
      <c r="G165" s="9">
        <f>IF(A165=1,"_",IF(C165="_","???",C165))</f>
        <v/>
      </c>
      <c r="H165" s="10" t="s">
        <v>16</v>
      </c>
      <c r="I165" s="11" t="s">
        <v>16</v>
      </c>
      <c r="J165" s="12"/>
    </row>
    <row r="166" spans="1:10" ht="60" customHeight="1">
      <c r="A166" s="6" t="s">
        <v>650</v>
      </c>
      <c r="B166" s="6" t="s">
        <v>27</v>
      </c>
      <c r="C166" s="6" t="s">
        <v>51</v>
      </c>
      <c r="D166" s="7" t="s">
        <v>651</v>
      </c>
      <c r="E166" s="8" t="s">
        <v>652</v>
      </c>
      <c r="F166" s="6" t="s">
        <v>653</v>
      </c>
      <c r="G166" s="9">
        <f>IF(A166=1,"_",IF(C166="_","???",C166))</f>
        <v/>
      </c>
      <c r="H166" s="10" t="s">
        <v>16</v>
      </c>
      <c r="I166" s="11" t="s">
        <v>16</v>
      </c>
      <c r="J166" s="12"/>
    </row>
    <row r="167" spans="1:10" ht="60" customHeight="1">
      <c r="A167" s="6" t="s">
        <v>654</v>
      </c>
      <c r="B167" s="6" t="s">
        <v>17</v>
      </c>
      <c r="C167" s="6" t="s">
        <v>34</v>
      </c>
      <c r="D167" s="7" t="s">
        <v>185</v>
      </c>
      <c r="E167" s="8" t="s">
        <v>655</v>
      </c>
      <c r="F167" s="6" t="s">
        <v>656</v>
      </c>
      <c r="G167" s="9">
        <f>IF(A167=1,"_",IF(C167="_","???",C167))</f>
        <v/>
      </c>
      <c r="H167" s="10" t="s">
        <v>16</v>
      </c>
      <c r="I167" s="11" t="s">
        <v>16</v>
      </c>
      <c r="J167" s="12"/>
    </row>
    <row r="168" spans="1:10" ht="60" customHeight="1">
      <c r="A168" s="6" t="s">
        <v>657</v>
      </c>
      <c r="B168" s="6" t="s">
        <v>33</v>
      </c>
      <c r="C168" s="6" t="s">
        <v>16</v>
      </c>
      <c r="D168" s="7" t="s">
        <v>106</v>
      </c>
      <c r="E168" s="8" t="s">
        <v>658</v>
      </c>
      <c r="F168" s="6" t="s">
        <v>659</v>
      </c>
      <c r="G168" s="9">
        <f>IF(A168=1,"_",IF(C168="_","???",C168))</f>
        <v/>
      </c>
      <c r="H168" s="10" t="s">
        <v>16</v>
      </c>
      <c r="I168" s="11" t="s">
        <v>16</v>
      </c>
      <c r="J168" s="12"/>
    </row>
    <row r="169" spans="1:10" ht="60" customHeight="1">
      <c r="A169" s="6" t="s">
        <v>660</v>
      </c>
      <c r="B169" s="6" t="s">
        <v>72</v>
      </c>
      <c r="C169" s="6" t="s">
        <v>29</v>
      </c>
      <c r="D169" s="7" t="s">
        <v>661</v>
      </c>
      <c r="E169" s="8" t="s">
        <v>662</v>
      </c>
      <c r="F169" s="6" t="s">
        <v>663</v>
      </c>
      <c r="G169" s="9">
        <f>IF(A169=1,"_",IF(C169="_","???",C169))</f>
        <v/>
      </c>
      <c r="H169" s="10" t="s">
        <v>16</v>
      </c>
      <c r="I169" s="11" t="s">
        <v>16</v>
      </c>
      <c r="J169" s="12"/>
    </row>
    <row r="170" spans="1:10" ht="60" customHeight="1">
      <c r="A170" s="6" t="s">
        <v>664</v>
      </c>
      <c r="B170" s="6" t="s">
        <v>18</v>
      </c>
      <c r="C170" s="6" t="s">
        <v>16</v>
      </c>
      <c r="D170" s="7" t="s">
        <v>185</v>
      </c>
      <c r="E170" s="8" t="s">
        <v>665</v>
      </c>
      <c r="F170" s="6" t="s">
        <v>666</v>
      </c>
      <c r="G170" s="9">
        <f>IF(A170=1,"_",IF(C170="_","???",C170))</f>
        <v/>
      </c>
      <c r="H170" s="10" t="s">
        <v>16</v>
      </c>
      <c r="I170" s="11" t="s">
        <v>16</v>
      </c>
      <c r="J170" s="12"/>
    </row>
    <row r="171" spans="1:10" ht="60" customHeight="1">
      <c r="A171" s="6" t="s">
        <v>667</v>
      </c>
      <c r="B171" s="6" t="s">
        <v>27</v>
      </c>
      <c r="C171" s="6" t="s">
        <v>16</v>
      </c>
      <c r="D171" s="7" t="s">
        <v>209</v>
      </c>
      <c r="E171" s="8" t="s">
        <v>668</v>
      </c>
      <c r="F171" s="6" t="s">
        <v>669</v>
      </c>
      <c r="G171" s="9">
        <f>IF(A171=1,"_",IF(C171="_","???",C171))</f>
        <v/>
      </c>
      <c r="H171" s="10" t="s">
        <v>16</v>
      </c>
      <c r="I171" s="11" t="s">
        <v>16</v>
      </c>
      <c r="J171" s="12"/>
    </row>
    <row r="172" spans="1:10" ht="60" customHeight="1">
      <c r="A172" s="6" t="s">
        <v>670</v>
      </c>
      <c r="B172" s="6" t="s">
        <v>10</v>
      </c>
      <c r="C172" s="6" t="s">
        <v>16</v>
      </c>
      <c r="D172" s="7" t="s">
        <v>671</v>
      </c>
      <c r="E172" s="8" t="s">
        <v>672</v>
      </c>
      <c r="F172" s="6" t="s">
        <v>673</v>
      </c>
      <c r="G172" s="9">
        <f>IF(A172=1,"_",IF(C172="_","???",C172))</f>
        <v/>
      </c>
      <c r="H172" s="10" t="s">
        <v>16</v>
      </c>
      <c r="I172" s="11" t="s">
        <v>16</v>
      </c>
      <c r="J172" s="12"/>
    </row>
    <row r="173" spans="1:10" ht="60" customHeight="1">
      <c r="A173" s="6" t="s">
        <v>674</v>
      </c>
      <c r="B173" s="6" t="s">
        <v>27</v>
      </c>
      <c r="C173" s="6" t="s">
        <v>38</v>
      </c>
      <c r="D173" s="7" t="s">
        <v>675</v>
      </c>
      <c r="E173" s="8" t="s">
        <v>676</v>
      </c>
      <c r="F173" s="6" t="s">
        <v>677</v>
      </c>
      <c r="G173" s="9">
        <f>IF(A173=1,"_",IF(C173="_","???",C173))</f>
        <v/>
      </c>
      <c r="H173" s="10" t="s">
        <v>16</v>
      </c>
      <c r="I173" s="11" t="s">
        <v>16</v>
      </c>
      <c r="J173" s="12"/>
    </row>
    <row r="174" spans="1:10" ht="60" customHeight="1">
      <c r="A174" s="6" t="s">
        <v>678</v>
      </c>
      <c r="B174" s="6" t="s">
        <v>17</v>
      </c>
      <c r="C174" s="6" t="s">
        <v>38</v>
      </c>
      <c r="D174" s="7" t="s">
        <v>327</v>
      </c>
      <c r="E174" s="8" t="s">
        <v>679</v>
      </c>
      <c r="F174" s="6" t="s">
        <v>680</v>
      </c>
      <c r="G174" s="9">
        <f>IF(A174=1,"_",IF(C174="_","???",C174))</f>
        <v/>
      </c>
      <c r="H174" s="10" t="s">
        <v>16</v>
      </c>
      <c r="I174" s="11" t="s">
        <v>16</v>
      </c>
      <c r="J174" s="12"/>
    </row>
    <row r="175" spans="1:10" ht="60" customHeight="1">
      <c r="A175" s="6" t="s">
        <v>681</v>
      </c>
      <c r="B175" s="6" t="s">
        <v>10</v>
      </c>
      <c r="C175" s="6" t="s">
        <v>16</v>
      </c>
      <c r="D175" s="7" t="s">
        <v>682</v>
      </c>
      <c r="E175" s="8" t="s">
        <v>683</v>
      </c>
      <c r="F175" s="6" t="s">
        <v>684</v>
      </c>
      <c r="G175" s="9">
        <f>IF(A175=1,"_",IF(C175="_","???",C175))</f>
        <v/>
      </c>
      <c r="H175" s="10" t="s">
        <v>16</v>
      </c>
      <c r="I175" s="11" t="s">
        <v>16</v>
      </c>
      <c r="J175" s="12"/>
    </row>
    <row r="176" spans="1:10" ht="60" customHeight="1">
      <c r="A176" s="6" t="s">
        <v>685</v>
      </c>
      <c r="B176" s="6" t="s">
        <v>18</v>
      </c>
      <c r="C176" s="6" t="s">
        <v>34</v>
      </c>
      <c r="D176" s="7" t="s">
        <v>185</v>
      </c>
      <c r="E176" s="8" t="s">
        <v>686</v>
      </c>
      <c r="F176" s="6" t="s">
        <v>687</v>
      </c>
      <c r="G176" s="9">
        <f>IF(A176=1,"_",IF(C176="_","???",C176))</f>
        <v/>
      </c>
      <c r="H176" s="10" t="s">
        <v>16</v>
      </c>
      <c r="I176" s="11" t="s">
        <v>16</v>
      </c>
      <c r="J176" s="12"/>
    </row>
    <row r="177" spans="1:10" ht="60" customHeight="1">
      <c r="A177" s="6" t="s">
        <v>688</v>
      </c>
      <c r="B177" s="6" t="s">
        <v>27</v>
      </c>
      <c r="C177" s="6" t="s">
        <v>689</v>
      </c>
      <c r="D177" s="7" t="s">
        <v>690</v>
      </c>
      <c r="E177" s="8" t="s">
        <v>691</v>
      </c>
      <c r="F177" s="6" t="s">
        <v>692</v>
      </c>
      <c r="G177" s="9">
        <f>IF(A177=1,"_",IF(C177="_","???",C177))</f>
        <v/>
      </c>
      <c r="H177" s="10" t="s">
        <v>16</v>
      </c>
      <c r="I177" s="11" t="s">
        <v>16</v>
      </c>
      <c r="J177" s="12"/>
    </row>
    <row r="178" spans="1:10" ht="60" customHeight="1">
      <c r="A178" s="6" t="s">
        <v>693</v>
      </c>
      <c r="B178" s="6" t="s">
        <v>33</v>
      </c>
      <c r="C178" s="6" t="s">
        <v>38</v>
      </c>
      <c r="D178" s="7" t="s">
        <v>694</v>
      </c>
      <c r="E178" s="8" t="s">
        <v>695</v>
      </c>
      <c r="F178" s="6" t="s">
        <v>696</v>
      </c>
      <c r="G178" s="9">
        <f>IF(A178=1,"_",IF(C178="_","???",C178))</f>
        <v/>
      </c>
      <c r="H178" s="10" t="s">
        <v>16</v>
      </c>
      <c r="I178" s="11" t="s">
        <v>16</v>
      </c>
      <c r="J178" s="12"/>
    </row>
    <row r="179" spans="1:10" ht="60" customHeight="1">
      <c r="A179" s="6" t="s">
        <v>697</v>
      </c>
      <c r="B179" s="6" t="s">
        <v>28</v>
      </c>
      <c r="C179" s="6" t="s">
        <v>16</v>
      </c>
      <c r="D179" s="7" t="s">
        <v>185</v>
      </c>
      <c r="E179" s="8" t="s">
        <v>698</v>
      </c>
      <c r="F179" s="6" t="s">
        <v>699</v>
      </c>
      <c r="G179" s="9">
        <f>IF(A179=1,"_",IF(C179="_","???",C179))</f>
        <v/>
      </c>
      <c r="H179" s="10" t="s">
        <v>16</v>
      </c>
      <c r="I179" s="11" t="s">
        <v>16</v>
      </c>
      <c r="J179" s="12"/>
    </row>
    <row r="180" spans="1:10" ht="60" customHeight="1">
      <c r="A180" s="6" t="s">
        <v>700</v>
      </c>
      <c r="B180" s="6" t="s">
        <v>42</v>
      </c>
      <c r="C180" s="6" t="s">
        <v>51</v>
      </c>
      <c r="D180" s="7" t="s">
        <v>701</v>
      </c>
      <c r="E180" s="8" t="s">
        <v>702</v>
      </c>
      <c r="F180" s="6" t="s">
        <v>703</v>
      </c>
      <c r="G180" s="9">
        <f>IF(A180=1,"_",IF(C180="_","???",C180))</f>
        <v/>
      </c>
      <c r="H180" s="10" t="s">
        <v>16</v>
      </c>
      <c r="I180" s="11" t="s">
        <v>16</v>
      </c>
      <c r="J180" s="12"/>
    </row>
    <row r="181" spans="1:10" ht="60" customHeight="1">
      <c r="A181" s="6" t="s">
        <v>704</v>
      </c>
      <c r="B181" s="6" t="s">
        <v>17</v>
      </c>
      <c r="C181" s="6" t="s">
        <v>38</v>
      </c>
      <c r="D181" s="7" t="s">
        <v>705</v>
      </c>
      <c r="E181" s="8" t="s">
        <v>706</v>
      </c>
      <c r="F181" s="6" t="s">
        <v>707</v>
      </c>
      <c r="G181" s="9">
        <f>IF(A181=1,"_",IF(C181="_","???",C181))</f>
        <v/>
      </c>
      <c r="H181" s="10" t="s">
        <v>16</v>
      </c>
      <c r="I181" s="11" t="s">
        <v>16</v>
      </c>
      <c r="J181" s="12"/>
    </row>
    <row r="182" spans="1:10" ht="60" customHeight="1">
      <c r="A182" s="6" t="s">
        <v>708</v>
      </c>
      <c r="B182" s="6" t="s">
        <v>17</v>
      </c>
      <c r="C182" s="6" t="s">
        <v>38</v>
      </c>
      <c r="D182" s="7" t="s">
        <v>332</v>
      </c>
      <c r="E182" s="8" t="s">
        <v>709</v>
      </c>
      <c r="F182" s="6" t="s">
        <v>710</v>
      </c>
      <c r="G182" s="9">
        <f>IF(A182=1,"_",IF(C182="_","???",C182))</f>
        <v/>
      </c>
      <c r="H182" s="10" t="s">
        <v>16</v>
      </c>
      <c r="I182" s="11" t="s">
        <v>16</v>
      </c>
      <c r="J182" s="12"/>
    </row>
    <row r="183" spans="1:10" ht="60" customHeight="1">
      <c r="A183" s="6" t="s">
        <v>711</v>
      </c>
      <c r="B183" s="6" t="s">
        <v>22</v>
      </c>
      <c r="C183" s="6" t="s">
        <v>38</v>
      </c>
      <c r="D183" s="7" t="s">
        <v>712</v>
      </c>
      <c r="E183" s="8" t="s">
        <v>713</v>
      </c>
      <c r="F183" s="6" t="s">
        <v>714</v>
      </c>
      <c r="G183" s="9">
        <f>IF(A183=1,"_",IF(C183="_","???",C183))</f>
        <v/>
      </c>
      <c r="H183" s="10" t="s">
        <v>16</v>
      </c>
      <c r="I183" s="11" t="s">
        <v>16</v>
      </c>
      <c r="J183" s="12"/>
    </row>
    <row r="184" spans="1:10" ht="60" customHeight="1">
      <c r="A184" s="6" t="s">
        <v>715</v>
      </c>
      <c r="B184" s="6" t="s">
        <v>17</v>
      </c>
      <c r="C184" s="6" t="s">
        <v>16</v>
      </c>
      <c r="D184" s="7" t="s">
        <v>716</v>
      </c>
      <c r="E184" s="8" t="s">
        <v>717</v>
      </c>
      <c r="F184" s="6" t="s">
        <v>718</v>
      </c>
      <c r="G184" s="9">
        <f>IF(A184=1,"_",IF(C184="_","???",C184))</f>
        <v/>
      </c>
      <c r="H184" s="10" t="s">
        <v>16</v>
      </c>
      <c r="I184" s="11" t="s">
        <v>16</v>
      </c>
      <c r="J184" s="12"/>
    </row>
    <row r="185" spans="1:10" ht="60" customHeight="1">
      <c r="A185" s="6" t="s">
        <v>719</v>
      </c>
      <c r="B185" s="6" t="s">
        <v>33</v>
      </c>
      <c r="C185" s="6" t="s">
        <v>323</v>
      </c>
      <c r="D185" s="7" t="s">
        <v>720</v>
      </c>
      <c r="E185" s="8" t="s">
        <v>721</v>
      </c>
      <c r="F185" s="6" t="s">
        <v>722</v>
      </c>
      <c r="G185" s="9">
        <f>IF(A185=1,"_",IF(C185="_","???",C185))</f>
        <v/>
      </c>
      <c r="H185" s="10" t="s">
        <v>16</v>
      </c>
      <c r="I185" s="11" t="s">
        <v>16</v>
      </c>
      <c r="J185" s="12"/>
    </row>
    <row r="186" spans="1:10" ht="60" customHeight="1">
      <c r="A186" s="6" t="s">
        <v>723</v>
      </c>
      <c r="B186" s="6" t="s">
        <v>22</v>
      </c>
      <c r="C186" s="6" t="s">
        <v>16</v>
      </c>
      <c r="D186" s="7" t="s">
        <v>724</v>
      </c>
      <c r="E186" s="8" t="s">
        <v>725</v>
      </c>
      <c r="F186" s="6" t="s">
        <v>726</v>
      </c>
      <c r="G186" s="9">
        <f>IF(A186=1,"_",IF(C186="_","???",C186))</f>
        <v/>
      </c>
      <c r="H186" s="10" t="s">
        <v>16</v>
      </c>
      <c r="I186" s="11" t="s">
        <v>16</v>
      </c>
      <c r="J186" s="12"/>
    </row>
    <row r="187" spans="1:10" ht="60" customHeight="1">
      <c r="A187" s="6" t="s">
        <v>727</v>
      </c>
      <c r="B187" s="6" t="s">
        <v>17</v>
      </c>
      <c r="C187" s="6" t="s">
        <v>16</v>
      </c>
      <c r="D187" s="7" t="s">
        <v>728</v>
      </c>
      <c r="E187" s="8" t="s">
        <v>729</v>
      </c>
      <c r="F187" s="6" t="s">
        <v>730</v>
      </c>
      <c r="G187" s="9">
        <f>IF(A187=1,"_",IF(C187="_","???",C187))</f>
        <v/>
      </c>
      <c r="H187" s="10" t="s">
        <v>16</v>
      </c>
      <c r="I187" s="11" t="s">
        <v>16</v>
      </c>
      <c r="J187" s="12"/>
    </row>
    <row r="188" spans="1:10" ht="60" customHeight="1">
      <c r="A188" s="6" t="s">
        <v>731</v>
      </c>
      <c r="B188" s="6" t="s">
        <v>10</v>
      </c>
      <c r="C188" s="6" t="s">
        <v>16</v>
      </c>
      <c r="D188" s="7" t="s">
        <v>732</v>
      </c>
      <c r="E188" s="8" t="s">
        <v>733</v>
      </c>
      <c r="F188" s="6" t="s">
        <v>734</v>
      </c>
      <c r="G188" s="9">
        <f>IF(A188=1,"_",IF(C188="_","???",C188))</f>
        <v/>
      </c>
      <c r="H188" s="10" t="s">
        <v>16</v>
      </c>
      <c r="I188" s="11" t="s">
        <v>16</v>
      </c>
      <c r="J188" s="12"/>
    </row>
    <row r="189" spans="1:10" ht="60" customHeight="1">
      <c r="A189" s="6" t="s">
        <v>735</v>
      </c>
      <c r="B189" s="6" t="s">
        <v>18</v>
      </c>
      <c r="C189" s="6" t="s">
        <v>16</v>
      </c>
      <c r="D189" s="7" t="s">
        <v>736</v>
      </c>
      <c r="E189" s="8" t="s">
        <v>737</v>
      </c>
      <c r="F189" s="6" t="s">
        <v>738</v>
      </c>
      <c r="G189" s="9">
        <f>IF(A189=1,"_",IF(C189="_","???",C189))</f>
        <v/>
      </c>
      <c r="H189" s="10" t="s">
        <v>16</v>
      </c>
      <c r="I189" s="11" t="s">
        <v>16</v>
      </c>
      <c r="J189" s="12"/>
    </row>
    <row r="190" spans="1:10" ht="60" customHeight="1">
      <c r="A190" s="6" t="s">
        <v>739</v>
      </c>
      <c r="B190" s="6" t="s">
        <v>17</v>
      </c>
      <c r="C190" s="6" t="s">
        <v>16</v>
      </c>
      <c r="D190" s="7" t="s">
        <v>671</v>
      </c>
      <c r="E190" s="8" t="s">
        <v>740</v>
      </c>
      <c r="F190" s="6" t="s">
        <v>741</v>
      </c>
      <c r="G190" s="9">
        <f>IF(A190=1,"_",IF(C190="_","???",C190))</f>
        <v/>
      </c>
      <c r="H190" s="10" t="s">
        <v>16</v>
      </c>
      <c r="I190" s="11" t="s">
        <v>16</v>
      </c>
      <c r="J190" s="12"/>
    </row>
    <row r="191" spans="1:10" ht="60" customHeight="1">
      <c r="A191" s="6" t="s">
        <v>742</v>
      </c>
      <c r="B191" s="6" t="s">
        <v>28</v>
      </c>
      <c r="C191" s="6" t="s">
        <v>16</v>
      </c>
      <c r="D191" s="7" t="s">
        <v>235</v>
      </c>
      <c r="E191" s="8" t="s">
        <v>743</v>
      </c>
      <c r="F191" s="6" t="s">
        <v>744</v>
      </c>
      <c r="G191" s="9">
        <f>IF(A191=1,"_",IF(C191="_","???",C191))</f>
        <v/>
      </c>
      <c r="H191" s="10" t="s">
        <v>16</v>
      </c>
      <c r="I191" s="11" t="s">
        <v>16</v>
      </c>
      <c r="J191" s="12"/>
    </row>
    <row r="192" spans="1:10" ht="60" customHeight="1">
      <c r="A192" s="6" t="s">
        <v>745</v>
      </c>
      <c r="B192" s="6" t="s">
        <v>27</v>
      </c>
      <c r="C192" s="6" t="s">
        <v>16</v>
      </c>
      <c r="D192" s="7" t="s">
        <v>746</v>
      </c>
      <c r="E192" s="8" t="s">
        <v>747</v>
      </c>
      <c r="F192" s="6" t="s">
        <v>748</v>
      </c>
      <c r="G192" s="9">
        <f>IF(A192=1,"_",IF(C192="_","???",C192))</f>
        <v/>
      </c>
      <c r="H192" s="10" t="s">
        <v>16</v>
      </c>
      <c r="I192" s="11" t="s">
        <v>16</v>
      </c>
      <c r="J192" s="12"/>
    </row>
    <row r="193" spans="1:10" ht="60" customHeight="1">
      <c r="A193" s="6" t="s">
        <v>749</v>
      </c>
      <c r="B193" s="6" t="s">
        <v>33</v>
      </c>
      <c r="C193" s="6" t="s">
        <v>16</v>
      </c>
      <c r="D193" s="7" t="s">
        <v>746</v>
      </c>
      <c r="E193" s="8" t="s">
        <v>750</v>
      </c>
      <c r="F193" s="6" t="s">
        <v>751</v>
      </c>
      <c r="G193" s="9">
        <f>IF(A193=1,"_",IF(C193="_","???",C193))</f>
        <v/>
      </c>
      <c r="H193" s="10" t="s">
        <v>16</v>
      </c>
      <c r="I193" s="11" t="s">
        <v>16</v>
      </c>
      <c r="J193" s="12"/>
    </row>
    <row r="194" spans="1:10" ht="60" customHeight="1">
      <c r="A194" s="6" t="s">
        <v>752</v>
      </c>
      <c r="B194" s="6" t="s">
        <v>50</v>
      </c>
      <c r="C194" s="6" t="s">
        <v>16</v>
      </c>
      <c r="D194" s="7" t="s">
        <v>753</v>
      </c>
      <c r="E194" s="8" t="s">
        <v>754</v>
      </c>
      <c r="F194" s="6" t="s">
        <v>755</v>
      </c>
      <c r="G194" s="9">
        <f>IF(A194=1,"_",IF(C194="_","???",C194))</f>
        <v/>
      </c>
      <c r="H194" s="10" t="s">
        <v>16</v>
      </c>
      <c r="I194" s="11" t="s">
        <v>16</v>
      </c>
      <c r="J194" s="12"/>
    </row>
    <row r="195" spans="1:10" ht="60" customHeight="1">
      <c r="A195" s="6" t="s">
        <v>756</v>
      </c>
      <c r="B195" s="6" t="s">
        <v>10</v>
      </c>
      <c r="C195" s="6" t="s">
        <v>16</v>
      </c>
      <c r="D195" s="7" t="s">
        <v>499</v>
      </c>
      <c r="E195" s="8" t="s">
        <v>757</v>
      </c>
      <c r="F195" s="6" t="s">
        <v>758</v>
      </c>
      <c r="G195" s="9">
        <f>IF(A195=1,"_",IF(C195="_","???",C195))</f>
        <v/>
      </c>
      <c r="H195" s="10" t="s">
        <v>16</v>
      </c>
      <c r="I195" s="11" t="s">
        <v>16</v>
      </c>
      <c r="J195" s="12"/>
    </row>
    <row r="196" spans="1:10" ht="60" customHeight="1">
      <c r="A196" s="6" t="s">
        <v>759</v>
      </c>
      <c r="B196" s="6" t="s">
        <v>10</v>
      </c>
      <c r="C196" s="6" t="s">
        <v>16</v>
      </c>
      <c r="D196" s="7" t="s">
        <v>760</v>
      </c>
      <c r="E196" s="8" t="s">
        <v>761</v>
      </c>
      <c r="F196" s="6" t="s">
        <v>762</v>
      </c>
      <c r="G196" s="9">
        <f>IF(A196=1,"_",IF(C196="_","???",C196))</f>
        <v/>
      </c>
      <c r="H196" s="10" t="s">
        <v>16</v>
      </c>
      <c r="I196" s="11" t="s">
        <v>16</v>
      </c>
      <c r="J196" s="12"/>
    </row>
    <row r="197" spans="1:10" ht="60" customHeight="1">
      <c r="A197" s="6" t="s">
        <v>763</v>
      </c>
      <c r="B197" s="6" t="s">
        <v>17</v>
      </c>
      <c r="C197" s="6" t="s">
        <v>16</v>
      </c>
      <c r="D197" s="7" t="s">
        <v>764</v>
      </c>
      <c r="E197" s="8" t="s">
        <v>765</v>
      </c>
      <c r="F197" s="6" t="s">
        <v>766</v>
      </c>
      <c r="G197" s="9">
        <f>IF(A197=1,"_",IF(C197="_","???",C197))</f>
        <v/>
      </c>
      <c r="H197" s="10" t="s">
        <v>16</v>
      </c>
      <c r="I197" s="11" t="s">
        <v>16</v>
      </c>
      <c r="J197" s="12"/>
    </row>
    <row r="198" spans="1:10" ht="60" customHeight="1">
      <c r="A198" s="6" t="s">
        <v>767</v>
      </c>
      <c r="B198" s="6" t="s">
        <v>27</v>
      </c>
      <c r="C198" s="6" t="s">
        <v>38</v>
      </c>
      <c r="D198" s="7" t="s">
        <v>768</v>
      </c>
      <c r="E198" s="8" t="s">
        <v>769</v>
      </c>
      <c r="F198" s="6" t="s">
        <v>770</v>
      </c>
      <c r="G198" s="9">
        <f>IF(A198=1,"_",IF(C198="_","???",C198))</f>
        <v/>
      </c>
      <c r="H198" s="10" t="s">
        <v>16</v>
      </c>
      <c r="I198" s="11" t="s">
        <v>16</v>
      </c>
      <c r="J198" s="12"/>
    </row>
    <row r="199" spans="1:10" ht="60" customHeight="1">
      <c r="A199" s="6" t="s">
        <v>771</v>
      </c>
      <c r="B199" s="6" t="s">
        <v>18</v>
      </c>
      <c r="C199" s="6" t="s">
        <v>16</v>
      </c>
      <c r="D199" s="7" t="s">
        <v>495</v>
      </c>
      <c r="E199" s="8" t="s">
        <v>772</v>
      </c>
      <c r="F199" s="6" t="s">
        <v>773</v>
      </c>
      <c r="G199" s="9">
        <f>IF(A199=1,"_",IF(C199="_","???",C199))</f>
        <v/>
      </c>
      <c r="H199" s="10" t="s">
        <v>16</v>
      </c>
      <c r="I199" s="11" t="s">
        <v>16</v>
      </c>
      <c r="J199" s="12"/>
    </row>
    <row r="200" spans="1:10" ht="60" customHeight="1">
      <c r="A200" s="6" t="s">
        <v>774</v>
      </c>
      <c r="B200" s="6" t="s">
        <v>17</v>
      </c>
      <c r="C200" s="6" t="s">
        <v>16</v>
      </c>
      <c r="D200" s="7" t="s">
        <v>422</v>
      </c>
      <c r="E200" s="8" t="s">
        <v>775</v>
      </c>
      <c r="F200" s="6" t="s">
        <v>776</v>
      </c>
      <c r="G200" s="9">
        <f>IF(A200=1,"_",IF(C200="_","???",C200))</f>
        <v/>
      </c>
      <c r="H200" s="10" t="s">
        <v>16</v>
      </c>
      <c r="I200" s="11" t="s">
        <v>16</v>
      </c>
      <c r="J200" s="12"/>
    </row>
    <row r="201" spans="1:10" ht="60" customHeight="1">
      <c r="A201" s="6" t="s">
        <v>777</v>
      </c>
      <c r="B201" s="6" t="s">
        <v>17</v>
      </c>
      <c r="C201" s="6" t="s">
        <v>16</v>
      </c>
      <c r="D201" s="7" t="s">
        <v>366</v>
      </c>
      <c r="E201" s="8" t="s">
        <v>778</v>
      </c>
      <c r="F201" s="6" t="s">
        <v>779</v>
      </c>
      <c r="G201" s="9">
        <f>IF(A201=1,"_",IF(C201="_","???",C201))</f>
        <v/>
      </c>
      <c r="H201" s="10" t="s">
        <v>16</v>
      </c>
      <c r="I201" s="11" t="s">
        <v>16</v>
      </c>
      <c r="J201" s="12"/>
    </row>
    <row r="202" spans="1:10" ht="60" customHeight="1">
      <c r="A202" s="6" t="s">
        <v>780</v>
      </c>
      <c r="B202" s="6" t="s">
        <v>10</v>
      </c>
      <c r="C202" s="6" t="s">
        <v>16</v>
      </c>
      <c r="D202" s="7" t="s">
        <v>366</v>
      </c>
      <c r="E202" s="8" t="s">
        <v>781</v>
      </c>
      <c r="F202" s="6" t="s">
        <v>782</v>
      </c>
      <c r="G202" s="9">
        <f>IF(A202=1,"_",IF(C202="_","???",C202))</f>
        <v/>
      </c>
      <c r="H202" s="10" t="s">
        <v>16</v>
      </c>
      <c r="I202" s="11" t="s">
        <v>16</v>
      </c>
      <c r="J202" s="12"/>
    </row>
    <row r="203" spans="1:10" ht="60" customHeight="1">
      <c r="A203" s="6" t="s">
        <v>783</v>
      </c>
      <c r="B203" s="6" t="s">
        <v>27</v>
      </c>
      <c r="C203" s="6" t="s">
        <v>16</v>
      </c>
      <c r="D203" s="7" t="s">
        <v>784</v>
      </c>
      <c r="E203" s="8" t="s">
        <v>785</v>
      </c>
      <c r="F203" s="6" t="s">
        <v>786</v>
      </c>
      <c r="G203" s="9">
        <f>IF(A203=1,"_",IF(C203="_","???",C203))</f>
        <v/>
      </c>
      <c r="H203" s="10" t="s">
        <v>16</v>
      </c>
      <c r="I203" s="11" t="s">
        <v>16</v>
      </c>
      <c r="J203" s="12"/>
    </row>
    <row r="204" spans="1:10" ht="60" customHeight="1">
      <c r="A204" s="6" t="s">
        <v>787</v>
      </c>
      <c r="B204" s="6" t="s">
        <v>10</v>
      </c>
      <c r="C204" s="6" t="s">
        <v>16</v>
      </c>
      <c r="D204" s="7" t="s">
        <v>106</v>
      </c>
      <c r="E204" s="8" t="s">
        <v>788</v>
      </c>
      <c r="F204" s="6" t="s">
        <v>789</v>
      </c>
      <c r="G204" s="9">
        <f>IF(A204=1,"_",IF(C204="_","???",C204))</f>
        <v/>
      </c>
      <c r="H204" s="10" t="s">
        <v>16</v>
      </c>
      <c r="I204" s="11" t="s">
        <v>16</v>
      </c>
      <c r="J204" s="12"/>
    </row>
    <row r="205" spans="1:10" ht="60" customHeight="1">
      <c r="A205" s="6" t="s">
        <v>790</v>
      </c>
      <c r="B205" s="6" t="s">
        <v>17</v>
      </c>
      <c r="C205" s="6" t="s">
        <v>38</v>
      </c>
      <c r="D205" s="7" t="s">
        <v>791</v>
      </c>
      <c r="E205" s="8" t="s">
        <v>792</v>
      </c>
      <c r="F205" s="6" t="s">
        <v>793</v>
      </c>
      <c r="G205" s="9">
        <f>IF(A205=1,"_",IF(C205="_","???",C205))</f>
        <v/>
      </c>
      <c r="H205" s="10" t="s">
        <v>16</v>
      </c>
      <c r="I205" s="11" t="s">
        <v>16</v>
      </c>
      <c r="J205" s="12"/>
    </row>
    <row r="206" spans="1:10" ht="60" customHeight="1">
      <c r="A206" s="6" t="s">
        <v>794</v>
      </c>
      <c r="B206" s="6" t="s">
        <v>27</v>
      </c>
      <c r="C206" s="6" t="s">
        <v>34</v>
      </c>
      <c r="D206" s="7" t="s">
        <v>795</v>
      </c>
      <c r="E206" s="8" t="s">
        <v>796</v>
      </c>
      <c r="F206" s="6" t="s">
        <v>797</v>
      </c>
      <c r="G206" s="9">
        <f>IF(A206=1,"_",IF(C206="_","???",C206))</f>
        <v/>
      </c>
      <c r="H206" s="10" t="s">
        <v>16</v>
      </c>
      <c r="I206" s="11" t="s">
        <v>16</v>
      </c>
      <c r="J206" s="12"/>
    </row>
    <row r="207" spans="1:10" ht="60" customHeight="1">
      <c r="A207" s="6" t="s">
        <v>798</v>
      </c>
      <c r="B207" s="6" t="s">
        <v>17</v>
      </c>
      <c r="C207" s="6" t="s">
        <v>38</v>
      </c>
      <c r="D207" s="7" t="s">
        <v>799</v>
      </c>
      <c r="E207" s="8" t="s">
        <v>800</v>
      </c>
      <c r="F207" s="6" t="s">
        <v>801</v>
      </c>
      <c r="G207" s="9">
        <f>IF(A207=1,"_",IF(C207="_","???",C207))</f>
        <v/>
      </c>
      <c r="H207" s="10" t="s">
        <v>16</v>
      </c>
      <c r="I207" s="11" t="s">
        <v>16</v>
      </c>
      <c r="J207" s="12"/>
    </row>
    <row r="208" spans="1:10" ht="60" customHeight="1">
      <c r="A208" s="6" t="s">
        <v>802</v>
      </c>
      <c r="B208" s="6" t="s">
        <v>18</v>
      </c>
      <c r="C208" s="6" t="s">
        <v>16</v>
      </c>
      <c r="D208" s="7" t="s">
        <v>803</v>
      </c>
      <c r="E208" s="8" t="s">
        <v>804</v>
      </c>
      <c r="F208" s="6" t="s">
        <v>805</v>
      </c>
      <c r="G208" s="9">
        <f>IF(A208=1,"_",IF(C208="_","???",C208))</f>
        <v/>
      </c>
      <c r="H208" s="10" t="s">
        <v>16</v>
      </c>
      <c r="I208" s="11" t="s">
        <v>16</v>
      </c>
      <c r="J208" s="12"/>
    </row>
    <row r="209" spans="1:10" ht="60" customHeight="1">
      <c r="A209" s="6" t="s">
        <v>806</v>
      </c>
      <c r="B209" s="6" t="s">
        <v>17</v>
      </c>
      <c r="C209" s="6" t="s">
        <v>16</v>
      </c>
      <c r="D209" s="7" t="s">
        <v>370</v>
      </c>
      <c r="E209" s="8" t="s">
        <v>807</v>
      </c>
      <c r="F209" s="6" t="s">
        <v>808</v>
      </c>
      <c r="G209" s="9">
        <f>IF(A209=1,"_",IF(C209="_","???",C209))</f>
        <v/>
      </c>
      <c r="H209" s="10" t="s">
        <v>16</v>
      </c>
      <c r="I209" s="11" t="s">
        <v>16</v>
      </c>
      <c r="J209" s="12"/>
    </row>
    <row r="210" spans="1:10" ht="60" customHeight="1">
      <c r="A210" s="6" t="s">
        <v>809</v>
      </c>
      <c r="B210" s="6" t="s">
        <v>64</v>
      </c>
      <c r="C210" s="6" t="s">
        <v>16</v>
      </c>
      <c r="D210" s="7" t="s">
        <v>123</v>
      </c>
      <c r="E210" s="8" t="s">
        <v>810</v>
      </c>
      <c r="F210" s="6" t="s">
        <v>811</v>
      </c>
      <c r="G210" s="9">
        <f>IF(A210=1,"_",IF(C210="_","???",C210))</f>
        <v/>
      </c>
      <c r="H210" s="10" t="s">
        <v>16</v>
      </c>
      <c r="I210" s="11" t="s">
        <v>16</v>
      </c>
      <c r="J210" s="12"/>
    </row>
    <row r="211" spans="1:10" ht="60" customHeight="1">
      <c r="A211" s="6" t="s">
        <v>812</v>
      </c>
      <c r="B211" s="6" t="s">
        <v>28</v>
      </c>
      <c r="C211" s="6" t="s">
        <v>224</v>
      </c>
      <c r="D211" s="7" t="s">
        <v>813</v>
      </c>
      <c r="E211" s="8" t="s">
        <v>814</v>
      </c>
      <c r="F211" s="6" t="s">
        <v>815</v>
      </c>
      <c r="G211" s="9">
        <f>IF(A211=1,"_",IF(C211="_","???",C211))</f>
        <v/>
      </c>
      <c r="H211" s="10" t="s">
        <v>16</v>
      </c>
      <c r="I211" s="11" t="s">
        <v>16</v>
      </c>
      <c r="J211" s="12"/>
    </row>
    <row r="212" spans="1:10" ht="60" customHeight="1">
      <c r="A212" s="6" t="s">
        <v>816</v>
      </c>
      <c r="B212" s="6" t="s">
        <v>55</v>
      </c>
      <c r="C212" s="6" t="s">
        <v>38</v>
      </c>
      <c r="D212" s="7" t="s">
        <v>591</v>
      </c>
      <c r="E212" s="8" t="s">
        <v>817</v>
      </c>
      <c r="F212" s="6" t="s">
        <v>818</v>
      </c>
      <c r="G212" s="9">
        <f>IF(A212=1,"_",IF(C212="_","???",C212))</f>
        <v/>
      </c>
      <c r="H212" s="10" t="s">
        <v>16</v>
      </c>
      <c r="I212" s="11" t="s">
        <v>16</v>
      </c>
      <c r="J212" s="12"/>
    </row>
    <row r="213" spans="1:10" ht="60" customHeight="1">
      <c r="A213" s="6" t="s">
        <v>819</v>
      </c>
      <c r="B213" s="6" t="s">
        <v>18</v>
      </c>
      <c r="C213" s="6" t="s">
        <v>34</v>
      </c>
      <c r="D213" s="7" t="s">
        <v>185</v>
      </c>
      <c r="E213" s="8" t="s">
        <v>820</v>
      </c>
      <c r="F213" s="6" t="s">
        <v>821</v>
      </c>
      <c r="G213" s="9">
        <f>IF(A213=1,"_",IF(C213="_","???",C213))</f>
        <v/>
      </c>
      <c r="H213" s="10" t="s">
        <v>16</v>
      </c>
      <c r="I213" s="11" t="s">
        <v>16</v>
      </c>
      <c r="J213" s="12"/>
    </row>
    <row r="214" spans="1:10" ht="60" customHeight="1">
      <c r="A214" s="6" t="s">
        <v>822</v>
      </c>
      <c r="B214" s="6" t="s">
        <v>18</v>
      </c>
      <c r="C214" s="6" t="s">
        <v>16</v>
      </c>
      <c r="D214" s="7" t="s">
        <v>185</v>
      </c>
      <c r="E214" s="8" t="s">
        <v>823</v>
      </c>
      <c r="F214" s="6" t="s">
        <v>824</v>
      </c>
      <c r="G214" s="9">
        <f>IF(A214=1,"_",IF(C214="_","???",C214))</f>
        <v/>
      </c>
      <c r="H214" s="10" t="s">
        <v>16</v>
      </c>
      <c r="I214" s="11" t="s">
        <v>16</v>
      </c>
      <c r="J214" s="12"/>
    </row>
    <row r="215" spans="1:10" ht="60" customHeight="1">
      <c r="A215" s="6" t="s">
        <v>825</v>
      </c>
      <c r="B215" s="6" t="s">
        <v>17</v>
      </c>
      <c r="C215" s="6" t="s">
        <v>16</v>
      </c>
      <c r="D215" s="7" t="s">
        <v>826</v>
      </c>
      <c r="E215" s="8" t="s">
        <v>827</v>
      </c>
      <c r="F215" s="6" t="s">
        <v>828</v>
      </c>
      <c r="G215" s="9">
        <f>IF(A215=1,"_",IF(C215="_","???",C215))</f>
        <v/>
      </c>
      <c r="H215" s="10" t="s">
        <v>16</v>
      </c>
      <c r="I215" s="11" t="s">
        <v>16</v>
      </c>
      <c r="J215" s="12"/>
    </row>
    <row r="216" spans="1:10" ht="60" customHeight="1">
      <c r="A216" s="6" t="s">
        <v>829</v>
      </c>
      <c r="B216" s="6" t="s">
        <v>17</v>
      </c>
      <c r="C216" s="6" t="s">
        <v>16</v>
      </c>
      <c r="D216" s="7" t="s">
        <v>830</v>
      </c>
      <c r="E216" s="8" t="s">
        <v>831</v>
      </c>
      <c r="F216" s="6" t="s">
        <v>832</v>
      </c>
      <c r="G216" s="9">
        <f>IF(A216=1,"_",IF(C216="_","???",C216))</f>
        <v/>
      </c>
      <c r="H216" s="10" t="s">
        <v>16</v>
      </c>
      <c r="I216" s="11" t="s">
        <v>16</v>
      </c>
      <c r="J216" s="12"/>
    </row>
    <row r="217" spans="1:10" ht="60" customHeight="1">
      <c r="A217" s="6" t="s">
        <v>833</v>
      </c>
      <c r="B217" s="6" t="s">
        <v>33</v>
      </c>
      <c r="C217" s="6" t="s">
        <v>16</v>
      </c>
      <c r="D217" s="7" t="s">
        <v>502</v>
      </c>
      <c r="E217" s="8" t="s">
        <v>834</v>
      </c>
      <c r="F217" s="6" t="s">
        <v>835</v>
      </c>
      <c r="G217" s="9">
        <f>IF(A217=1,"_",IF(C217="_","???",C217))</f>
        <v/>
      </c>
      <c r="H217" s="10" t="s">
        <v>16</v>
      </c>
      <c r="I217" s="11" t="s">
        <v>16</v>
      </c>
      <c r="J217" s="12"/>
    </row>
    <row r="218" spans="1:10" ht="60" customHeight="1">
      <c r="A218" s="6" t="s">
        <v>836</v>
      </c>
      <c r="B218" s="6" t="s">
        <v>17</v>
      </c>
      <c r="C218" s="6" t="s">
        <v>16</v>
      </c>
      <c r="D218" s="7" t="s">
        <v>358</v>
      </c>
      <c r="E218" s="8" t="s">
        <v>837</v>
      </c>
      <c r="F218" s="6" t="s">
        <v>838</v>
      </c>
      <c r="G218" s="9">
        <f>IF(A218=1,"_",IF(C218="_","???",C218))</f>
        <v/>
      </c>
      <c r="H218" s="10" t="s">
        <v>16</v>
      </c>
      <c r="I218" s="11" t="s">
        <v>16</v>
      </c>
      <c r="J218" s="12"/>
    </row>
    <row r="219" spans="1:10" ht="60" customHeight="1">
      <c r="A219" s="6" t="s">
        <v>839</v>
      </c>
      <c r="B219" s="6" t="s">
        <v>17</v>
      </c>
      <c r="C219" s="6" t="s">
        <v>16</v>
      </c>
      <c r="D219" s="7" t="s">
        <v>840</v>
      </c>
      <c r="E219" s="8" t="s">
        <v>841</v>
      </c>
      <c r="F219" s="6" t="s">
        <v>842</v>
      </c>
      <c r="G219" s="9">
        <f>IF(A219=1,"_",IF(C219="_","???",C219))</f>
        <v/>
      </c>
      <c r="H219" s="10" t="s">
        <v>16</v>
      </c>
      <c r="I219" s="11" t="s">
        <v>16</v>
      </c>
      <c r="J219" s="12"/>
    </row>
    <row r="220" spans="1:10" ht="60" customHeight="1">
      <c r="A220" s="6" t="s">
        <v>843</v>
      </c>
      <c r="B220" s="6" t="s">
        <v>33</v>
      </c>
      <c r="C220" s="6" t="s">
        <v>16</v>
      </c>
      <c r="D220" s="7" t="s">
        <v>844</v>
      </c>
      <c r="E220" s="8" t="s">
        <v>845</v>
      </c>
      <c r="F220" s="6" t="s">
        <v>846</v>
      </c>
      <c r="G220" s="9">
        <f>IF(A220=1,"_",IF(C220="_","???",C220))</f>
        <v/>
      </c>
      <c r="H220" s="10" t="s">
        <v>16</v>
      </c>
      <c r="I220" s="11" t="s">
        <v>16</v>
      </c>
      <c r="J220" s="12"/>
    </row>
    <row r="221" spans="1:10" ht="60" customHeight="1">
      <c r="A221" s="6" t="s">
        <v>847</v>
      </c>
      <c r="B221" s="6" t="s">
        <v>17</v>
      </c>
      <c r="C221" s="6" t="s">
        <v>38</v>
      </c>
      <c r="D221" s="7" t="s">
        <v>848</v>
      </c>
      <c r="E221" s="8" t="s">
        <v>849</v>
      </c>
      <c r="F221" s="6" t="s">
        <v>850</v>
      </c>
      <c r="G221" s="9">
        <f>IF(A221=1,"_",IF(C221="_","???",C221))</f>
        <v/>
      </c>
      <c r="H221" s="10" t="s">
        <v>16</v>
      </c>
      <c r="I221" s="11" t="s">
        <v>16</v>
      </c>
      <c r="J221" s="12"/>
    </row>
    <row r="222" spans="1:10" ht="60" customHeight="1">
      <c r="A222" s="6" t="s">
        <v>851</v>
      </c>
      <c r="B222" s="6" t="s">
        <v>17</v>
      </c>
      <c r="C222" s="6" t="s">
        <v>38</v>
      </c>
      <c r="D222" s="7" t="s">
        <v>852</v>
      </c>
      <c r="E222" s="8" t="s">
        <v>853</v>
      </c>
      <c r="F222" s="6" t="s">
        <v>854</v>
      </c>
      <c r="G222" s="9">
        <f>IF(A222=1,"_",IF(C222="_","???",C222))</f>
        <v/>
      </c>
      <c r="H222" s="10" t="s">
        <v>16</v>
      </c>
      <c r="I222" s="11" t="s">
        <v>16</v>
      </c>
      <c r="J222" s="12"/>
    </row>
    <row r="223" spans="1:10" ht="60" customHeight="1">
      <c r="A223" s="6" t="s">
        <v>855</v>
      </c>
      <c r="B223" s="6" t="s">
        <v>60</v>
      </c>
      <c r="C223" s="6" t="s">
        <v>34</v>
      </c>
      <c r="D223" s="7" t="s">
        <v>856</v>
      </c>
      <c r="E223" s="8" t="s">
        <v>857</v>
      </c>
      <c r="F223" s="6" t="s">
        <v>858</v>
      </c>
      <c r="G223" s="9">
        <f>IF(A223=1,"_",IF(C223="_","???",C223))</f>
        <v/>
      </c>
      <c r="H223" s="10" t="s">
        <v>16</v>
      </c>
      <c r="I223" s="11" t="s">
        <v>16</v>
      </c>
      <c r="J223" s="12"/>
    </row>
    <row r="224" spans="1:10" ht="60" customHeight="1">
      <c r="A224" s="6" t="s">
        <v>859</v>
      </c>
      <c r="B224" s="6" t="s">
        <v>33</v>
      </c>
      <c r="C224" s="6" t="s">
        <v>16</v>
      </c>
      <c r="D224" s="7" t="s">
        <v>106</v>
      </c>
      <c r="E224" s="8" t="s">
        <v>860</v>
      </c>
      <c r="F224" s="6" t="s">
        <v>861</v>
      </c>
      <c r="G224" s="9">
        <f>IF(A224=1,"_",IF(C224="_","???",C224))</f>
        <v/>
      </c>
      <c r="H224" s="10" t="s">
        <v>16</v>
      </c>
      <c r="I224" s="11" t="s">
        <v>16</v>
      </c>
      <c r="J224" s="12"/>
    </row>
    <row r="225" spans="1:10" ht="60" customHeight="1">
      <c r="A225" s="6" t="s">
        <v>862</v>
      </c>
      <c r="B225" s="6" t="s">
        <v>17</v>
      </c>
      <c r="C225" s="6" t="s">
        <v>16</v>
      </c>
      <c r="D225" s="7" t="s">
        <v>863</v>
      </c>
      <c r="E225" s="8" t="s">
        <v>864</v>
      </c>
      <c r="F225" s="6" t="s">
        <v>865</v>
      </c>
      <c r="G225" s="9">
        <f>IF(A225=1,"_",IF(C225="_","???",C225))</f>
        <v/>
      </c>
      <c r="H225" s="10" t="s">
        <v>16</v>
      </c>
      <c r="I225" s="11" t="s">
        <v>16</v>
      </c>
      <c r="J225" s="12"/>
    </row>
    <row r="226" spans="1:10" ht="60" customHeight="1">
      <c r="A226" s="6" t="s">
        <v>866</v>
      </c>
      <c r="B226" s="6" t="s">
        <v>28</v>
      </c>
      <c r="C226" s="6" t="s">
        <v>331</v>
      </c>
      <c r="D226" s="7" t="s">
        <v>867</v>
      </c>
      <c r="E226" s="8" t="s">
        <v>868</v>
      </c>
      <c r="F226" s="6" t="s">
        <v>869</v>
      </c>
      <c r="G226" s="9">
        <f>IF(A226=1,"_",IF(C226="_","???",C226))</f>
        <v/>
      </c>
      <c r="H226" s="10" t="s">
        <v>16</v>
      </c>
      <c r="I226" s="11" t="s">
        <v>16</v>
      </c>
      <c r="J226" s="12"/>
    </row>
    <row r="227" spans="1:10" ht="60" customHeight="1">
      <c r="A227" s="6" t="s">
        <v>870</v>
      </c>
      <c r="B227" s="6" t="s">
        <v>22</v>
      </c>
      <c r="C227" s="6" t="s">
        <v>12</v>
      </c>
      <c r="D227" s="7" t="s">
        <v>576</v>
      </c>
      <c r="E227" s="8" t="s">
        <v>871</v>
      </c>
      <c r="F227" s="6" t="s">
        <v>872</v>
      </c>
      <c r="G227" s="9">
        <f>IF(A227=1,"_",IF(C227="_","???",C227))</f>
        <v/>
      </c>
      <c r="H227" s="10" t="s">
        <v>16</v>
      </c>
      <c r="I227" s="11" t="s">
        <v>16</v>
      </c>
      <c r="J227" s="12"/>
    </row>
    <row r="228" spans="1:10" ht="60" customHeight="1">
      <c r="A228" s="6" t="s">
        <v>873</v>
      </c>
      <c r="B228" s="6" t="s">
        <v>17</v>
      </c>
      <c r="C228" s="6" t="s">
        <v>16</v>
      </c>
      <c r="D228" s="7" t="s">
        <v>874</v>
      </c>
      <c r="E228" s="8" t="s">
        <v>875</v>
      </c>
      <c r="F228" s="6" t="s">
        <v>876</v>
      </c>
      <c r="G228" s="9">
        <f>IF(A228=1,"_",IF(C228="_","???",C228))</f>
        <v/>
      </c>
      <c r="H228" s="10" t="s">
        <v>16</v>
      </c>
      <c r="I228" s="11" t="s">
        <v>16</v>
      </c>
      <c r="J228" s="12"/>
    </row>
    <row r="229" spans="1:10" ht="60" customHeight="1">
      <c r="A229" s="6" t="s">
        <v>877</v>
      </c>
      <c r="B229" s="6" t="s">
        <v>18</v>
      </c>
      <c r="C229" s="6" t="s">
        <v>878</v>
      </c>
      <c r="D229" s="7" t="s">
        <v>303</v>
      </c>
      <c r="E229" s="8" t="s">
        <v>879</v>
      </c>
      <c r="F229" s="6" t="s">
        <v>880</v>
      </c>
      <c r="G229" s="9">
        <f>IF(A229=1,"_",IF(C229="_","???",C229))</f>
        <v/>
      </c>
      <c r="H229" s="10" t="s">
        <v>16</v>
      </c>
      <c r="I229" s="11" t="s">
        <v>16</v>
      </c>
      <c r="J229" s="12"/>
    </row>
    <row r="230" spans="1:10" ht="60" customHeight="1">
      <c r="A230" s="6" t="s">
        <v>881</v>
      </c>
      <c r="B230" s="6" t="s">
        <v>55</v>
      </c>
      <c r="C230" s="6" t="s">
        <v>34</v>
      </c>
      <c r="D230" s="7" t="s">
        <v>882</v>
      </c>
      <c r="E230" s="8" t="s">
        <v>883</v>
      </c>
      <c r="F230" s="6" t="s">
        <v>884</v>
      </c>
      <c r="G230" s="9">
        <f>IF(A230=1,"_",IF(C230="_","???",C230))</f>
        <v/>
      </c>
      <c r="H230" s="10" t="s">
        <v>16</v>
      </c>
      <c r="I230" s="11" t="s">
        <v>16</v>
      </c>
      <c r="J230" s="12"/>
    </row>
    <row r="231" spans="1:10" ht="60" customHeight="1">
      <c r="A231" s="6" t="s">
        <v>885</v>
      </c>
      <c r="B231" s="6" t="s">
        <v>55</v>
      </c>
      <c r="C231" s="6" t="s">
        <v>290</v>
      </c>
      <c r="D231" s="7" t="s">
        <v>886</v>
      </c>
      <c r="E231" s="8" t="s">
        <v>887</v>
      </c>
      <c r="F231" s="6" t="s">
        <v>888</v>
      </c>
      <c r="G231" s="9">
        <f>IF(A231=1,"_",IF(C231="_","???",C231))</f>
        <v/>
      </c>
      <c r="H231" s="10" t="s">
        <v>16</v>
      </c>
      <c r="I231" s="11" t="s">
        <v>16</v>
      </c>
      <c r="J231" s="12"/>
    </row>
    <row r="232" spans="1:10" ht="60" customHeight="1">
      <c r="A232" s="6" t="s">
        <v>889</v>
      </c>
      <c r="B232" s="6" t="s">
        <v>22</v>
      </c>
      <c r="C232" s="6" t="s">
        <v>16</v>
      </c>
      <c r="D232" s="7" t="s">
        <v>890</v>
      </c>
      <c r="E232" s="8" t="s">
        <v>891</v>
      </c>
      <c r="F232" s="6" t="s">
        <v>892</v>
      </c>
      <c r="G232" s="9">
        <f>IF(A232=1,"_",IF(C232="_","???",C232))</f>
        <v/>
      </c>
      <c r="H232" s="10" t="s">
        <v>16</v>
      </c>
      <c r="I232" s="11" t="s">
        <v>16</v>
      </c>
      <c r="J232" s="12"/>
    </row>
    <row r="233" spans="1:10" ht="60" customHeight="1">
      <c r="A233" s="6" t="s">
        <v>893</v>
      </c>
      <c r="B233" s="6" t="s">
        <v>27</v>
      </c>
      <c r="C233" s="6" t="s">
        <v>38</v>
      </c>
      <c r="D233" s="7" t="s">
        <v>19</v>
      </c>
      <c r="E233" s="8" t="s">
        <v>894</v>
      </c>
      <c r="F233" s="6" t="s">
        <v>895</v>
      </c>
      <c r="G233" s="9">
        <f>IF(A233=1,"_",IF(C233="_","???",C233))</f>
        <v/>
      </c>
      <c r="H233" s="10" t="s">
        <v>16</v>
      </c>
      <c r="I233" s="11" t="s">
        <v>16</v>
      </c>
      <c r="J233" s="12"/>
    </row>
    <row r="234" spans="1:10" ht="60" customHeight="1">
      <c r="A234" s="6" t="s">
        <v>896</v>
      </c>
      <c r="B234" s="6" t="s">
        <v>11</v>
      </c>
      <c r="C234" s="6" t="s">
        <v>38</v>
      </c>
      <c r="D234" s="7" t="s">
        <v>897</v>
      </c>
      <c r="E234" s="8" t="s">
        <v>898</v>
      </c>
      <c r="F234" s="6" t="s">
        <v>899</v>
      </c>
      <c r="G234" s="9">
        <f>IF(A234=1,"_",IF(C234="_","???",C234))</f>
        <v/>
      </c>
      <c r="H234" s="10" t="s">
        <v>16</v>
      </c>
      <c r="I234" s="11" t="s">
        <v>16</v>
      </c>
      <c r="J234" s="12"/>
    </row>
    <row r="235" spans="1:10" ht="60" customHeight="1">
      <c r="A235" s="6" t="s">
        <v>900</v>
      </c>
      <c r="B235" s="6" t="s">
        <v>76</v>
      </c>
      <c r="C235" s="6" t="s">
        <v>16</v>
      </c>
      <c r="D235" s="7" t="s">
        <v>901</v>
      </c>
      <c r="E235" s="8" t="s">
        <v>902</v>
      </c>
      <c r="F235" s="6" t="s">
        <v>903</v>
      </c>
      <c r="G235" s="9">
        <f>IF(A235=1,"_",IF(C235="_","???",C235))</f>
        <v/>
      </c>
      <c r="H235" s="10" t="s">
        <v>16</v>
      </c>
      <c r="I235" s="11" t="s">
        <v>16</v>
      </c>
      <c r="J235" s="12"/>
    </row>
    <row r="236" spans="1:10" ht="60" customHeight="1">
      <c r="A236" s="6" t="s">
        <v>904</v>
      </c>
      <c r="B236" s="6" t="s">
        <v>17</v>
      </c>
      <c r="C236" s="6" t="s">
        <v>16</v>
      </c>
      <c r="D236" s="7" t="s">
        <v>303</v>
      </c>
      <c r="E236" s="8" t="s">
        <v>905</v>
      </c>
      <c r="F236" s="6" t="s">
        <v>906</v>
      </c>
      <c r="G236" s="9">
        <f>IF(A236=1,"_",IF(C236="_","???",C236))</f>
        <v/>
      </c>
      <c r="H236" s="10" t="s">
        <v>16</v>
      </c>
      <c r="I236" s="11" t="s">
        <v>16</v>
      </c>
      <c r="J236" s="12"/>
    </row>
    <row r="237" spans="1:10" ht="60" customHeight="1">
      <c r="A237" s="6" t="s">
        <v>907</v>
      </c>
      <c r="B237" s="6" t="s">
        <v>28</v>
      </c>
      <c r="C237" s="6" t="s">
        <v>38</v>
      </c>
      <c r="D237" s="7" t="s">
        <v>908</v>
      </c>
      <c r="E237" s="8" t="s">
        <v>909</v>
      </c>
      <c r="F237" s="6" t="s">
        <v>910</v>
      </c>
      <c r="G237" s="9">
        <f>IF(A237=1,"_",IF(C237="_","???",C237))</f>
        <v/>
      </c>
      <c r="H237" s="10" t="s">
        <v>16</v>
      </c>
      <c r="I237" s="11" t="s">
        <v>16</v>
      </c>
      <c r="J237" s="12"/>
    </row>
    <row r="238" spans="1:10" ht="60" customHeight="1">
      <c r="A238" s="6" t="s">
        <v>911</v>
      </c>
      <c r="B238" s="6" t="s">
        <v>10</v>
      </c>
      <c r="C238" s="6" t="s">
        <v>65</v>
      </c>
      <c r="D238" s="7" t="s">
        <v>912</v>
      </c>
      <c r="E238" s="8" t="s">
        <v>913</v>
      </c>
      <c r="F238" s="6" t="s">
        <v>914</v>
      </c>
      <c r="G238" s="9">
        <f>IF(A238=1,"_",IF(C238="_","???",C238))</f>
        <v/>
      </c>
      <c r="H238" s="10" t="s">
        <v>16</v>
      </c>
      <c r="I238" s="11" t="s">
        <v>16</v>
      </c>
      <c r="J238" s="12"/>
    </row>
    <row r="239" spans="1:10" ht="60" customHeight="1">
      <c r="A239" s="6" t="s">
        <v>915</v>
      </c>
      <c r="B239" s="6" t="s">
        <v>17</v>
      </c>
      <c r="C239" s="6" t="s">
        <v>38</v>
      </c>
      <c r="D239" s="7" t="s">
        <v>916</v>
      </c>
      <c r="E239" s="8" t="s">
        <v>917</v>
      </c>
      <c r="F239" s="6" t="s">
        <v>918</v>
      </c>
      <c r="G239" s="9">
        <f>IF(A239=1,"_",IF(C239="_","???",C239))</f>
        <v/>
      </c>
      <c r="H239" s="10" t="s">
        <v>16</v>
      </c>
      <c r="I239" s="11" t="s">
        <v>16</v>
      </c>
      <c r="J239" s="12"/>
    </row>
    <row r="240" spans="1:10" ht="60" customHeight="1">
      <c r="A240" s="6" t="s">
        <v>919</v>
      </c>
      <c r="B240" s="6" t="s">
        <v>27</v>
      </c>
      <c r="C240" s="6" t="s">
        <v>531</v>
      </c>
      <c r="D240" s="7" t="s">
        <v>106</v>
      </c>
      <c r="E240" s="8" t="s">
        <v>920</v>
      </c>
      <c r="F240" s="6" t="s">
        <v>921</v>
      </c>
      <c r="G240" s="9">
        <f>IF(A240=1,"_",IF(C240="_","???",C240))</f>
        <v/>
      </c>
      <c r="H240" s="10" t="s">
        <v>16</v>
      </c>
      <c r="I240" s="11" t="s">
        <v>16</v>
      </c>
      <c r="J240" s="12"/>
    </row>
    <row r="241" spans="1:10" ht="60" customHeight="1">
      <c r="A241" s="6" t="s">
        <v>922</v>
      </c>
      <c r="B241" s="6" t="s">
        <v>101</v>
      </c>
      <c r="C241" s="6" t="s">
        <v>16</v>
      </c>
      <c r="D241" s="7" t="s">
        <v>923</v>
      </c>
      <c r="E241" s="8" t="s">
        <v>924</v>
      </c>
      <c r="F241" s="6" t="s">
        <v>925</v>
      </c>
      <c r="G241" s="9">
        <f>IF(A241=1,"_",IF(C241="_","???",C241))</f>
        <v/>
      </c>
      <c r="H241" s="10" t="s">
        <v>16</v>
      </c>
      <c r="I241" s="11" t="s">
        <v>16</v>
      </c>
      <c r="J241" s="12"/>
    </row>
    <row r="242" spans="1:10" ht="60" customHeight="1">
      <c r="A242" s="6" t="s">
        <v>926</v>
      </c>
      <c r="B242" s="6" t="s">
        <v>17</v>
      </c>
      <c r="C242" s="6" t="s">
        <v>38</v>
      </c>
      <c r="D242" s="7" t="s">
        <v>716</v>
      </c>
      <c r="E242" s="8" t="s">
        <v>927</v>
      </c>
      <c r="F242" s="6" t="s">
        <v>928</v>
      </c>
      <c r="G242" s="9">
        <f>IF(A242=1,"_",IF(C242="_","???",C242))</f>
        <v/>
      </c>
      <c r="H242" s="10" t="s">
        <v>16</v>
      </c>
      <c r="I242" s="11" t="s">
        <v>16</v>
      </c>
      <c r="J242" s="12"/>
    </row>
    <row r="243" spans="1:10" ht="60" customHeight="1">
      <c r="A243" s="6" t="s">
        <v>929</v>
      </c>
      <c r="B243" s="6" t="s">
        <v>17</v>
      </c>
      <c r="C243" s="6" t="s">
        <v>16</v>
      </c>
      <c r="D243" s="7" t="s">
        <v>358</v>
      </c>
      <c r="E243" s="8" t="s">
        <v>930</v>
      </c>
      <c r="F243" s="6" t="s">
        <v>931</v>
      </c>
      <c r="G243" s="9">
        <f>IF(A243=1,"_",IF(C243="_","???",C243))</f>
        <v/>
      </c>
      <c r="H243" s="10" t="s">
        <v>16</v>
      </c>
      <c r="I243" s="11" t="s">
        <v>16</v>
      </c>
      <c r="J243" s="12"/>
    </row>
    <row r="244" spans="1:10" ht="60" customHeight="1">
      <c r="A244" s="6" t="s">
        <v>932</v>
      </c>
      <c r="B244" s="6" t="s">
        <v>28</v>
      </c>
      <c r="C244" s="6" t="s">
        <v>16</v>
      </c>
      <c r="D244" s="7" t="s">
        <v>933</v>
      </c>
      <c r="E244" s="8" t="s">
        <v>934</v>
      </c>
      <c r="F244" s="6" t="s">
        <v>935</v>
      </c>
      <c r="G244" s="9">
        <f>IF(A244=1,"_",IF(C244="_","???",C244))</f>
        <v/>
      </c>
      <c r="H244" s="10" t="s">
        <v>16</v>
      </c>
      <c r="I244" s="11" t="s">
        <v>16</v>
      </c>
      <c r="J244" s="12"/>
    </row>
    <row r="245" spans="1:10" ht="60" customHeight="1">
      <c r="A245" s="6" t="s">
        <v>936</v>
      </c>
      <c r="B245" s="6" t="s">
        <v>55</v>
      </c>
      <c r="C245" s="6" t="s">
        <v>16</v>
      </c>
      <c r="D245" s="7" t="s">
        <v>123</v>
      </c>
      <c r="E245" s="8" t="s">
        <v>937</v>
      </c>
      <c r="F245" s="6" t="s">
        <v>938</v>
      </c>
      <c r="G245" s="9">
        <f>IF(A245=1,"_",IF(C245="_","???",C245))</f>
        <v/>
      </c>
      <c r="H245" s="10" t="s">
        <v>16</v>
      </c>
      <c r="I245" s="11" t="s">
        <v>16</v>
      </c>
      <c r="J245" s="12"/>
    </row>
    <row r="246" spans="1:10" ht="60" customHeight="1">
      <c r="A246" s="6" t="s">
        <v>939</v>
      </c>
      <c r="B246" s="6" t="s">
        <v>18</v>
      </c>
      <c r="C246" s="6" t="s">
        <v>16</v>
      </c>
      <c r="D246" s="7" t="s">
        <v>185</v>
      </c>
      <c r="E246" s="8" t="s">
        <v>940</v>
      </c>
      <c r="F246" s="6" t="s">
        <v>941</v>
      </c>
      <c r="G246" s="9">
        <f>IF(A246=1,"_",IF(C246="_","???",C246))</f>
        <v/>
      </c>
      <c r="H246" s="10" t="s">
        <v>16</v>
      </c>
      <c r="I246" s="11" t="s">
        <v>16</v>
      </c>
      <c r="J246" s="12"/>
    </row>
    <row r="247" spans="1:10" ht="60" customHeight="1">
      <c r="A247" s="6" t="s">
        <v>942</v>
      </c>
      <c r="B247" s="6" t="s">
        <v>17</v>
      </c>
      <c r="C247" s="6" t="s">
        <v>16</v>
      </c>
      <c r="D247" s="7" t="s">
        <v>943</v>
      </c>
      <c r="E247" s="8" t="s">
        <v>944</v>
      </c>
      <c r="F247" s="6" t="s">
        <v>945</v>
      </c>
      <c r="G247" s="9">
        <f>IF(A247=1,"_",IF(C247="_","???",C247))</f>
        <v/>
      </c>
      <c r="H247" s="10" t="s">
        <v>16</v>
      </c>
      <c r="I247" s="11" t="s">
        <v>16</v>
      </c>
      <c r="J247" s="12"/>
    </row>
    <row r="248" spans="1:10" ht="60" customHeight="1">
      <c r="A248" s="6" t="s">
        <v>946</v>
      </c>
      <c r="B248" s="6" t="s">
        <v>17</v>
      </c>
      <c r="C248" s="6" t="s">
        <v>16</v>
      </c>
      <c r="D248" s="7" t="s">
        <v>947</v>
      </c>
      <c r="E248" s="8" t="s">
        <v>948</v>
      </c>
      <c r="F248" s="6" t="s">
        <v>949</v>
      </c>
      <c r="G248" s="9">
        <f>IF(A248=1,"_",IF(C248="_","???",C248))</f>
        <v/>
      </c>
      <c r="H248" s="10" t="s">
        <v>16</v>
      </c>
      <c r="I248" s="11" t="s">
        <v>16</v>
      </c>
      <c r="J248" s="12"/>
    </row>
    <row r="249" spans="1:10" ht="60" customHeight="1">
      <c r="A249" s="6" t="s">
        <v>950</v>
      </c>
      <c r="B249" s="6" t="s">
        <v>17</v>
      </c>
      <c r="C249" s="6" t="s">
        <v>56</v>
      </c>
      <c r="D249" s="7" t="s">
        <v>951</v>
      </c>
      <c r="E249" s="8" t="s">
        <v>952</v>
      </c>
      <c r="F249" s="6" t="s">
        <v>953</v>
      </c>
      <c r="G249" s="9">
        <f>IF(A249=1,"_",IF(C249="_","???",C249))</f>
        <v/>
      </c>
      <c r="H249" s="10" t="s">
        <v>16</v>
      </c>
      <c r="I249" s="11" t="s">
        <v>16</v>
      </c>
      <c r="J249" s="12"/>
    </row>
    <row r="250" spans="1:10" ht="60" customHeight="1">
      <c r="A250" s="6" t="s">
        <v>954</v>
      </c>
      <c r="B250" s="6" t="s">
        <v>17</v>
      </c>
      <c r="C250" s="6" t="s">
        <v>611</v>
      </c>
      <c r="D250" s="7" t="s">
        <v>955</v>
      </c>
      <c r="E250" s="8" t="s">
        <v>956</v>
      </c>
      <c r="F250" s="6" t="s">
        <v>957</v>
      </c>
      <c r="G250" s="9">
        <f>IF(A250=1,"_",IF(C250="_","???",C250))</f>
        <v/>
      </c>
      <c r="H250" s="10" t="s">
        <v>16</v>
      </c>
      <c r="I250" s="11" t="s">
        <v>16</v>
      </c>
      <c r="J250" s="12"/>
    </row>
    <row r="251" spans="1:10" ht="60" customHeight="1">
      <c r="A251" s="6" t="s">
        <v>958</v>
      </c>
      <c r="B251" s="6" t="s">
        <v>18</v>
      </c>
      <c r="C251" s="6" t="s">
        <v>38</v>
      </c>
      <c r="D251" s="7" t="s">
        <v>959</v>
      </c>
      <c r="E251" s="8" t="s">
        <v>960</v>
      </c>
      <c r="F251" s="6" t="s">
        <v>961</v>
      </c>
      <c r="G251" s="9">
        <f>IF(A251=1,"_",IF(C251="_","???",C251))</f>
        <v/>
      </c>
      <c r="H251" s="10" t="s">
        <v>16</v>
      </c>
      <c r="I251" s="11" t="s">
        <v>16</v>
      </c>
      <c r="J251" s="12"/>
    </row>
    <row r="252" spans="1:10" ht="60" customHeight="1">
      <c r="A252" s="6" t="s">
        <v>962</v>
      </c>
      <c r="B252" s="6" t="s">
        <v>17</v>
      </c>
      <c r="C252" s="6" t="s">
        <v>16</v>
      </c>
      <c r="D252" s="7" t="s">
        <v>169</v>
      </c>
      <c r="E252" s="8" t="s">
        <v>963</v>
      </c>
      <c r="F252" s="6" t="s">
        <v>964</v>
      </c>
      <c r="G252" s="9">
        <f>IF(A252=1,"_",IF(C252="_","???",C252))</f>
        <v/>
      </c>
      <c r="H252" s="10" t="s">
        <v>16</v>
      </c>
      <c r="I252" s="11" t="s">
        <v>16</v>
      </c>
      <c r="J252" s="12"/>
    </row>
    <row r="253" spans="1:10" ht="60" customHeight="1">
      <c r="A253" s="6" t="s">
        <v>965</v>
      </c>
      <c r="B253" s="6" t="s">
        <v>17</v>
      </c>
      <c r="C253" s="6" t="s">
        <v>966</v>
      </c>
      <c r="D253" s="7" t="s">
        <v>967</v>
      </c>
      <c r="E253" s="8" t="s">
        <v>968</v>
      </c>
      <c r="F253" s="6" t="s">
        <v>969</v>
      </c>
      <c r="G253" s="9">
        <f>IF(A253=1,"_",IF(C253="_","???",C253))</f>
        <v/>
      </c>
      <c r="H253" s="10" t="s">
        <v>16</v>
      </c>
      <c r="I253" s="11" t="s">
        <v>16</v>
      </c>
      <c r="J253" s="12"/>
    </row>
    <row r="254" spans="1:10" ht="60" customHeight="1">
      <c r="A254" s="6" t="s">
        <v>970</v>
      </c>
      <c r="B254" s="6" t="s">
        <v>17</v>
      </c>
      <c r="C254" s="6" t="s">
        <v>34</v>
      </c>
      <c r="D254" s="7" t="s">
        <v>185</v>
      </c>
      <c r="E254" s="8" t="s">
        <v>971</v>
      </c>
      <c r="F254" s="6" t="s">
        <v>972</v>
      </c>
      <c r="G254" s="9">
        <f>IF(A254=1,"_",IF(C254="_","???",C254))</f>
        <v/>
      </c>
      <c r="H254" s="10" t="s">
        <v>16</v>
      </c>
      <c r="I254" s="11" t="s">
        <v>16</v>
      </c>
      <c r="J254" s="12"/>
    </row>
    <row r="255" spans="1:10" ht="60" customHeight="1">
      <c r="A255" s="6" t="s">
        <v>973</v>
      </c>
      <c r="B255" s="6" t="s">
        <v>28</v>
      </c>
      <c r="C255" s="6" t="s">
        <v>34</v>
      </c>
      <c r="D255" s="7" t="s">
        <v>974</v>
      </c>
      <c r="E255" s="8" t="s">
        <v>975</v>
      </c>
      <c r="F255" s="6" t="s">
        <v>976</v>
      </c>
      <c r="G255" s="9">
        <f>IF(A255=1,"_",IF(C255="_","???",C255))</f>
        <v/>
      </c>
      <c r="H255" s="10" t="s">
        <v>16</v>
      </c>
      <c r="I255" s="11" t="s">
        <v>16</v>
      </c>
      <c r="J255" s="12"/>
    </row>
    <row r="256" spans="1:10" ht="60" customHeight="1">
      <c r="A256" s="6" t="s">
        <v>977</v>
      </c>
      <c r="B256" s="6" t="s">
        <v>64</v>
      </c>
      <c r="C256" s="6" t="s">
        <v>224</v>
      </c>
      <c r="D256" s="7" t="s">
        <v>978</v>
      </c>
      <c r="E256" s="8" t="s">
        <v>979</v>
      </c>
      <c r="F256" s="6" t="s">
        <v>980</v>
      </c>
      <c r="G256" s="9">
        <f>IF(A256=1,"_",IF(C256="_","???",C256))</f>
        <v/>
      </c>
      <c r="H256" s="10" t="s">
        <v>16</v>
      </c>
      <c r="I256" s="11" t="s">
        <v>16</v>
      </c>
      <c r="J256" s="12"/>
    </row>
    <row r="257" spans="1:10" ht="60" customHeight="1">
      <c r="A257" s="6" t="s">
        <v>981</v>
      </c>
      <c r="B257" s="6" t="s">
        <v>156</v>
      </c>
      <c r="C257" s="6" t="s">
        <v>38</v>
      </c>
      <c r="D257" s="7" t="s">
        <v>982</v>
      </c>
      <c r="E257" s="8" t="s">
        <v>983</v>
      </c>
      <c r="F257" s="6" t="s">
        <v>984</v>
      </c>
      <c r="G257" s="9">
        <f>IF(A257=1,"_",IF(C257="_","???",C257))</f>
        <v/>
      </c>
      <c r="H257" s="10" t="s">
        <v>16</v>
      </c>
      <c r="I257" s="11" t="s">
        <v>16</v>
      </c>
      <c r="J257" s="12"/>
    </row>
    <row r="258" spans="1:10" ht="60" customHeight="1">
      <c r="A258" s="6" t="s">
        <v>985</v>
      </c>
      <c r="B258" s="6" t="s">
        <v>17</v>
      </c>
      <c r="C258" s="6" t="s">
        <v>16</v>
      </c>
      <c r="D258" s="7" t="s">
        <v>986</v>
      </c>
      <c r="E258" s="8" t="s">
        <v>987</v>
      </c>
      <c r="F258" s="6" t="s">
        <v>988</v>
      </c>
      <c r="G258" s="9">
        <f>IF(A258=1,"_",IF(C258="_","???",C258))</f>
        <v/>
      </c>
      <c r="H258" s="10" t="s">
        <v>16</v>
      </c>
      <c r="I258" s="11" t="s">
        <v>16</v>
      </c>
      <c r="J258" s="12"/>
    </row>
    <row r="259" spans="1:10" ht="60" customHeight="1">
      <c r="A259" s="6" t="s">
        <v>989</v>
      </c>
      <c r="B259" s="6" t="s">
        <v>72</v>
      </c>
      <c r="C259" s="6" t="s">
        <v>16</v>
      </c>
      <c r="D259" s="7" t="s">
        <v>990</v>
      </c>
      <c r="E259" s="8" t="s">
        <v>991</v>
      </c>
      <c r="F259" s="6" t="s">
        <v>992</v>
      </c>
      <c r="G259" s="9">
        <f>IF(A259=1,"_",IF(C259="_","???",C259))</f>
        <v/>
      </c>
      <c r="H259" s="10" t="s">
        <v>16</v>
      </c>
      <c r="I259" s="11" t="s">
        <v>16</v>
      </c>
      <c r="J259" s="12"/>
    </row>
    <row r="260" spans="1:10" ht="60" customHeight="1">
      <c r="A260" s="6" t="s">
        <v>993</v>
      </c>
      <c r="B260" s="6" t="s">
        <v>18</v>
      </c>
      <c r="C260" s="6" t="s">
        <v>16</v>
      </c>
      <c r="D260" s="7" t="s">
        <v>994</v>
      </c>
      <c r="E260" s="8" t="s">
        <v>995</v>
      </c>
      <c r="F260" s="6" t="s">
        <v>996</v>
      </c>
      <c r="G260" s="9">
        <f>IF(A260=1,"_",IF(C260="_","???",C260))</f>
        <v/>
      </c>
      <c r="H260" s="10" t="s">
        <v>16</v>
      </c>
      <c r="I260" s="11" t="s">
        <v>16</v>
      </c>
      <c r="J260" s="12"/>
    </row>
    <row r="261" spans="1:10" ht="60" customHeight="1">
      <c r="A261" s="6" t="s">
        <v>997</v>
      </c>
      <c r="B261" s="6" t="s">
        <v>76</v>
      </c>
      <c r="C261" s="6" t="s">
        <v>16</v>
      </c>
      <c r="D261" s="7" t="s">
        <v>990</v>
      </c>
      <c r="E261" s="8" t="s">
        <v>998</v>
      </c>
      <c r="F261" s="6" t="s">
        <v>999</v>
      </c>
      <c r="G261" s="9">
        <f>IF(A261=1,"_",IF(C261="_","???",C261))</f>
        <v/>
      </c>
      <c r="H261" s="10" t="s">
        <v>16</v>
      </c>
      <c r="I261" s="11" t="s">
        <v>16</v>
      </c>
      <c r="J261" s="12"/>
    </row>
    <row r="262" spans="1:10" ht="60" customHeight="1">
      <c r="A262" s="6" t="s">
        <v>1000</v>
      </c>
      <c r="B262" s="6" t="s">
        <v>17</v>
      </c>
      <c r="C262" s="6" t="s">
        <v>16</v>
      </c>
      <c r="D262" s="7" t="s">
        <v>1001</v>
      </c>
      <c r="E262" s="8" t="s">
        <v>1002</v>
      </c>
      <c r="F262" s="6" t="s">
        <v>1003</v>
      </c>
      <c r="G262" s="9">
        <f>IF(A262=1,"_",IF(C262="_","???",C262))</f>
        <v/>
      </c>
      <c r="H262" s="10" t="s">
        <v>16</v>
      </c>
      <c r="I262" s="11" t="s">
        <v>16</v>
      </c>
      <c r="J262" s="12"/>
    </row>
    <row r="263" spans="1:10" ht="60" customHeight="1">
      <c r="A263" s="6" t="s">
        <v>1004</v>
      </c>
      <c r="B263" s="6" t="s">
        <v>22</v>
      </c>
      <c r="C263" s="6" t="s">
        <v>16</v>
      </c>
      <c r="D263" s="7" t="s">
        <v>123</v>
      </c>
      <c r="E263" s="8" t="s">
        <v>1005</v>
      </c>
      <c r="F263" s="6" t="s">
        <v>1006</v>
      </c>
      <c r="G263" s="9">
        <f>IF(A263=1,"_",IF(C263="_","???",C263))</f>
        <v/>
      </c>
      <c r="H263" s="10" t="s">
        <v>16</v>
      </c>
      <c r="I263" s="11" t="s">
        <v>16</v>
      </c>
      <c r="J263" s="12"/>
    </row>
    <row r="264" spans="1:10" ht="60" customHeight="1">
      <c r="A264" s="6" t="s">
        <v>1007</v>
      </c>
      <c r="B264" s="6" t="s">
        <v>18</v>
      </c>
      <c r="C264" s="6" t="s">
        <v>16</v>
      </c>
      <c r="D264" s="7" t="s">
        <v>1008</v>
      </c>
      <c r="E264" s="8" t="s">
        <v>1009</v>
      </c>
      <c r="F264" s="6" t="s">
        <v>1010</v>
      </c>
      <c r="G264" s="9">
        <f>IF(A264=1,"_",IF(C264="_","???",C264))</f>
        <v/>
      </c>
      <c r="H264" s="10" t="s">
        <v>16</v>
      </c>
      <c r="I264" s="11" t="s">
        <v>16</v>
      </c>
      <c r="J264" s="12"/>
    </row>
    <row r="265" spans="1:10" ht="60" customHeight="1">
      <c r="A265" s="6" t="s">
        <v>1011</v>
      </c>
      <c r="B265" s="6" t="s">
        <v>33</v>
      </c>
      <c r="C265" s="6" t="s">
        <v>16</v>
      </c>
      <c r="D265" s="7" t="s">
        <v>106</v>
      </c>
      <c r="E265" s="8" t="s">
        <v>1012</v>
      </c>
      <c r="F265" s="6" t="s">
        <v>1013</v>
      </c>
      <c r="G265" s="9">
        <f>IF(A265=1,"_",IF(C265="_","???",C265))</f>
        <v/>
      </c>
      <c r="H265" s="10" t="s">
        <v>16</v>
      </c>
      <c r="I265" s="11" t="s">
        <v>16</v>
      </c>
      <c r="J265" s="12"/>
    </row>
    <row r="266" spans="1:10" ht="60" customHeight="1">
      <c r="A266" s="6" t="s">
        <v>1014</v>
      </c>
      <c r="B266" s="6" t="s">
        <v>22</v>
      </c>
      <c r="C266" s="6" t="s">
        <v>16</v>
      </c>
      <c r="D266" s="7" t="s">
        <v>169</v>
      </c>
      <c r="E266" s="8" t="s">
        <v>1015</v>
      </c>
      <c r="F266" s="6" t="s">
        <v>1016</v>
      </c>
      <c r="G266" s="9">
        <f>IF(A266=1,"_",IF(C266="_","???",C266))</f>
        <v/>
      </c>
      <c r="H266" s="10" t="s">
        <v>16</v>
      </c>
      <c r="I266" s="11" t="s">
        <v>16</v>
      </c>
      <c r="J266" s="12"/>
    </row>
    <row r="267" spans="1:10" ht="60" customHeight="1">
      <c r="A267" s="6" t="s">
        <v>1017</v>
      </c>
      <c r="B267" s="6" t="s">
        <v>18</v>
      </c>
      <c r="C267" s="6" t="s">
        <v>34</v>
      </c>
      <c r="D267" s="7" t="s">
        <v>1018</v>
      </c>
      <c r="E267" s="8" t="s">
        <v>1019</v>
      </c>
      <c r="F267" s="6" t="s">
        <v>1020</v>
      </c>
      <c r="G267" s="9">
        <f>IF(A267=1,"_",IF(C267="_","???",C267))</f>
        <v/>
      </c>
      <c r="H267" s="10" t="s">
        <v>16</v>
      </c>
      <c r="I267" s="11" t="s">
        <v>16</v>
      </c>
      <c r="J267" s="12"/>
    </row>
    <row r="268" spans="1:10" ht="60" customHeight="1">
      <c r="A268" s="6" t="s">
        <v>1021</v>
      </c>
      <c r="B268" s="6" t="s">
        <v>22</v>
      </c>
      <c r="C268" s="6" t="s">
        <v>34</v>
      </c>
      <c r="D268" s="7" t="s">
        <v>1022</v>
      </c>
      <c r="E268" s="8" t="s">
        <v>1023</v>
      </c>
      <c r="F268" s="6" t="s">
        <v>1024</v>
      </c>
      <c r="G268" s="9">
        <f>IF(A268=1,"_",IF(C268="_","???",C268))</f>
        <v/>
      </c>
      <c r="H268" s="10" t="s">
        <v>16</v>
      </c>
      <c r="I268" s="11" t="s">
        <v>16</v>
      </c>
      <c r="J268" s="12"/>
    </row>
    <row r="269" spans="1:10" ht="60" customHeight="1">
      <c r="A269" s="6" t="s">
        <v>1025</v>
      </c>
      <c r="B269" s="6" t="s">
        <v>22</v>
      </c>
      <c r="C269" s="6" t="s">
        <v>16</v>
      </c>
      <c r="D269" s="7" t="s">
        <v>1026</v>
      </c>
      <c r="E269" s="8" t="s">
        <v>1027</v>
      </c>
      <c r="F269" s="6" t="s">
        <v>1028</v>
      </c>
      <c r="G269" s="9">
        <f>IF(A269=1,"_",IF(C269="_","???",C269))</f>
        <v/>
      </c>
      <c r="H269" s="10" t="s">
        <v>16</v>
      </c>
      <c r="I269" s="11" t="s">
        <v>16</v>
      </c>
      <c r="J269" s="12"/>
    </row>
    <row r="270" spans="1:10" ht="60" customHeight="1">
      <c r="A270" s="6" t="s">
        <v>1029</v>
      </c>
      <c r="B270" s="6" t="s">
        <v>18</v>
      </c>
      <c r="C270" s="6" t="s">
        <v>16</v>
      </c>
      <c r="D270" s="7" t="s">
        <v>1030</v>
      </c>
      <c r="E270" s="8" t="s">
        <v>1031</v>
      </c>
      <c r="F270" s="6" t="s">
        <v>1032</v>
      </c>
      <c r="G270" s="9">
        <f>IF(A270=1,"_",IF(C270="_","???",C270))</f>
        <v/>
      </c>
      <c r="H270" s="10" t="s">
        <v>16</v>
      </c>
      <c r="I270" s="11" t="s">
        <v>16</v>
      </c>
      <c r="J270" s="12"/>
    </row>
    <row r="271" spans="1:10" ht="60" customHeight="1">
      <c r="A271" s="6" t="s">
        <v>1033</v>
      </c>
      <c r="B271" s="6" t="s">
        <v>134</v>
      </c>
      <c r="C271" s="6" t="s">
        <v>43</v>
      </c>
      <c r="D271" s="7" t="s">
        <v>1034</v>
      </c>
      <c r="E271" s="8" t="s">
        <v>1035</v>
      </c>
      <c r="F271" s="6" t="s">
        <v>1036</v>
      </c>
      <c r="G271" s="9">
        <f>IF(A271=1,"_",IF(C271="_","???",C271))</f>
        <v/>
      </c>
      <c r="H271" s="10" t="s">
        <v>16</v>
      </c>
      <c r="I271" s="11" t="s">
        <v>16</v>
      </c>
      <c r="J271" s="12"/>
    </row>
    <row r="272" spans="1:10" ht="60" customHeight="1">
      <c r="A272" s="6" t="s">
        <v>1037</v>
      </c>
      <c r="B272" s="6" t="s">
        <v>17</v>
      </c>
      <c r="C272" s="6" t="s">
        <v>560</v>
      </c>
      <c r="D272" s="7" t="s">
        <v>1038</v>
      </c>
      <c r="E272" s="8" t="s">
        <v>1039</v>
      </c>
      <c r="F272" s="6" t="s">
        <v>1040</v>
      </c>
      <c r="G272" s="9">
        <f>IF(A272=1,"_",IF(C272="_","???",C272))</f>
        <v/>
      </c>
      <c r="H272" s="10" t="s">
        <v>16</v>
      </c>
      <c r="I272" s="11" t="s">
        <v>16</v>
      </c>
      <c r="J272" s="12"/>
    </row>
    <row r="273" spans="1:10" ht="60" customHeight="1">
      <c r="A273" s="6" t="s">
        <v>1041</v>
      </c>
      <c r="B273" s="6" t="s">
        <v>60</v>
      </c>
      <c r="C273" s="6" t="s">
        <v>38</v>
      </c>
      <c r="D273" s="7" t="s">
        <v>1042</v>
      </c>
      <c r="E273" s="8" t="s">
        <v>1043</v>
      </c>
      <c r="F273" s="6" t="s">
        <v>1044</v>
      </c>
      <c r="G273" s="9">
        <f>IF(A273=1,"_",IF(C273="_","???",C273))</f>
        <v/>
      </c>
      <c r="H273" s="10" t="s">
        <v>16</v>
      </c>
      <c r="I273" s="11" t="s">
        <v>16</v>
      </c>
      <c r="J273"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58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1045</v>
      </c>
      <c r="B1" s="13" t="s">
        <v>1046</v>
      </c>
      <c r="C1" s="13" t="s">
        <v>1047</v>
      </c>
      <c r="D1" s="13" t="s">
        <v>1048</v>
      </c>
      <c r="E1" s="14" t="s">
        <v>1049</v>
      </c>
      <c r="F1" s="15" t="s">
        <v>1050</v>
      </c>
      <c r="G1" s="16" t="s">
        <v>1051</v>
      </c>
      <c r="H1" s="17" t="s">
        <v>1052</v>
      </c>
      <c r="I1" s="18" t="s">
        <v>1053</v>
      </c>
      <c r="J1" s="18" t="s">
        <v>1054</v>
      </c>
      <c r="K1" s="18" t="s">
        <v>1055</v>
      </c>
      <c r="L1" s="19" t="s">
        <v>9</v>
      </c>
    </row>
    <row r="2" spans="1:12">
      <c r="A2" s="20" t="s">
        <v>1056</v>
      </c>
    </row>
    <row r="3" spans="1:12">
      <c r="A3" s="20" t="s">
        <v>1057</v>
      </c>
      <c r="B3" s="21" t="s">
        <v>1058</v>
      </c>
      <c r="C3" s="21" t="s">
        <v>1059</v>
      </c>
      <c r="D3" s="21" t="s">
        <v>1060</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1061</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1062</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1063</v>
      </c>
      <c r="B6" s="21" t="s">
        <v>1064</v>
      </c>
      <c r="C6" s="21" t="s">
        <v>1065</v>
      </c>
      <c r="D6" s="21" t="s">
        <v>1060</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1066</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1067</v>
      </c>
      <c r="B8" s="21" t="s">
        <v>1068</v>
      </c>
      <c r="C8" s="21" t="s">
        <v>1059</v>
      </c>
      <c r="D8" s="21" t="s">
        <v>1060</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1069</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1070</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1071</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1070</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1072</v>
      </c>
      <c r="B13" s="21" t="s">
        <v>1058</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1073</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13</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1074</v>
      </c>
      <c r="B16" s="21" t="s">
        <v>1075</v>
      </c>
      <c r="C16" s="21" t="s">
        <v>1076</v>
      </c>
      <c r="D16" s="21" t="s">
        <v>1060</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1077</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1078</v>
      </c>
      <c r="B18" s="21" t="s">
        <v>1079</v>
      </c>
      <c r="C18" s="21" t="s">
        <v>1080</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1081</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1082</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1083</v>
      </c>
      <c r="B21" s="21" t="s">
        <v>1084</v>
      </c>
      <c r="C21" s="21" t="s">
        <v>1076</v>
      </c>
      <c r="D21" s="21" t="s">
        <v>1060</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1085</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1086</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1087</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1088</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1089</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1090</v>
      </c>
      <c r="B27" s="21" t="s">
        <v>1091</v>
      </c>
      <c r="C27" s="21" t="s">
        <v>1092</v>
      </c>
      <c r="D27" s="21" t="s">
        <v>1060</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1093</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1094</v>
      </c>
      <c r="B29" s="21" t="s">
        <v>1095</v>
      </c>
      <c r="C29" s="21" t="s">
        <v>1059</v>
      </c>
      <c r="D29" s="21" t="s">
        <v>1060</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1088</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1096</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1097</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1098</v>
      </c>
      <c r="B33" s="21" t="s">
        <v>1099</v>
      </c>
      <c r="C33" s="21" t="s">
        <v>1080</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1100</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1101</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1102</v>
      </c>
      <c r="B36" s="21" t="s">
        <v>1099</v>
      </c>
      <c r="C36" s="21" t="s">
        <v>1059</v>
      </c>
      <c r="D36" s="21" t="s">
        <v>1060</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1061</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1103</v>
      </c>
      <c r="B38" s="21" t="s">
        <v>1104</v>
      </c>
      <c r="C38" s="21" t="s">
        <v>1092</v>
      </c>
      <c r="D38" s="21" t="s">
        <v>1060</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1105</v>
      </c>
      <c r="B39" s="21" t="s">
        <v>1091</v>
      </c>
      <c r="C39" s="21" t="s">
        <v>1059</v>
      </c>
      <c r="D39" s="21" t="s">
        <v>1060</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923</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row>
    <row r="42" spans="1:12">
      <c r="A42" s="20" t="s">
        <v>1106</v>
      </c>
    </row>
    <row r="43" spans="1:12">
      <c r="A43" s="20" t="s">
        <v>1107</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1074</v>
      </c>
      <c r="B44" s="21" t="s">
        <v>1058</v>
      </c>
      <c r="C44" s="21" t="s">
        <v>1076</v>
      </c>
      <c r="D44" s="21" t="s">
        <v>1060</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1108</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1109</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1110</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1111</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1090</v>
      </c>
      <c r="B49" s="21" t="s">
        <v>1068</v>
      </c>
      <c r="C49" s="21" t="s">
        <v>1092</v>
      </c>
      <c r="D49" s="21" t="s">
        <v>1060</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1112</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1113</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1114</v>
      </c>
      <c r="B52" s="21" t="s">
        <v>1097</v>
      </c>
      <c r="C52" s="21" t="s">
        <v>1059</v>
      </c>
      <c r="D52" s="21" t="s">
        <v>1060</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1070</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1115</v>
      </c>
      <c r="B54" s="21" t="s">
        <v>1084</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1116</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1088</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1117</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1118</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1119</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1120</v>
      </c>
      <c r="B60" s="21" t="s">
        <v>1121</v>
      </c>
      <c r="C60" s="21" t="s">
        <v>1122</v>
      </c>
      <c r="D60" s="21" t="s">
        <v>1060</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1123</v>
      </c>
      <c r="B61" s="21" t="s">
        <v>1124</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1125</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1126</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1127</v>
      </c>
      <c r="B64" s="21" t="s">
        <v>1104</v>
      </c>
      <c r="C64" s="21" t="s">
        <v>1076</v>
      </c>
      <c r="D64" s="21" t="s">
        <v>1060</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923</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row>
    <row r="67" spans="1:12">
      <c r="A67" s="20" t="s">
        <v>1128</v>
      </c>
    </row>
    <row r="68" spans="1:12">
      <c r="A68" s="20" t="s">
        <v>1107</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1129</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1111</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1090</v>
      </c>
      <c r="B71" s="21" t="s">
        <v>1097</v>
      </c>
      <c r="C71" s="21" t="s">
        <v>1092</v>
      </c>
      <c r="D71" s="21" t="s">
        <v>1060</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1130</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24</v>
      </c>
      <c r="B73" s="21" t="s">
        <v>1097</v>
      </c>
      <c r="C73" s="21" t="s">
        <v>1059</v>
      </c>
      <c r="D73" s="21" t="s">
        <v>1060</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1070</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1115</v>
      </c>
      <c r="B75" s="21" t="s">
        <v>1079</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1131</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1127</v>
      </c>
      <c r="B77" s="21" t="s">
        <v>1132</v>
      </c>
      <c r="C77" s="21" t="s">
        <v>1076</v>
      </c>
      <c r="D77" s="21" t="s">
        <v>1060</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1133</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1088</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1134</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1096</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1135</v>
      </c>
      <c r="B82" s="21" t="s">
        <v>1136</v>
      </c>
      <c r="C82" s="21" t="s">
        <v>1080</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923</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row>
    <row r="85" spans="1:12">
      <c r="A85" s="20" t="s">
        <v>1137</v>
      </c>
    </row>
    <row r="86" spans="1:12">
      <c r="A86" s="20" t="s">
        <v>1138</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1139</v>
      </c>
      <c r="B87" s="21" t="s">
        <v>1058</v>
      </c>
      <c r="C87" s="21" t="s">
        <v>1140</v>
      </c>
      <c r="D87" s="21" t="s">
        <v>1060</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1070</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1141</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1070</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1085</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1142</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1143</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1144</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1120</v>
      </c>
      <c r="B95" s="21" t="s">
        <v>1097</v>
      </c>
      <c r="C95" s="21" t="s">
        <v>1122</v>
      </c>
      <c r="D95" s="21" t="s">
        <v>1060</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1123</v>
      </c>
      <c r="B96" s="21" t="s">
        <v>1084</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1125</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1145</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1146</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1090</v>
      </c>
      <c r="B100" s="21" t="s">
        <v>1099</v>
      </c>
      <c r="C100" s="21" t="s">
        <v>1092</v>
      </c>
      <c r="D100" s="21" t="s">
        <v>1060</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1147</v>
      </c>
      <c r="B101" s="21" t="s">
        <v>1064</v>
      </c>
      <c r="C101" s="21" t="s">
        <v>1059</v>
      </c>
      <c r="D101" s="21" t="s">
        <v>1060</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1118</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1148</v>
      </c>
      <c r="B103" s="21" t="s">
        <v>1099</v>
      </c>
      <c r="C103" s="21" t="s">
        <v>1149</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923</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row>
    <row r="106" spans="1:12">
      <c r="A106" s="20" t="s">
        <v>1150</v>
      </c>
    </row>
    <row r="107" spans="1:12">
      <c r="A107" s="20" t="s">
        <v>1151</v>
      </c>
      <c r="B107" s="21" t="s">
        <v>1058</v>
      </c>
      <c r="C107" s="21" t="s">
        <v>1076</v>
      </c>
      <c r="D107" s="21" t="s">
        <v>1060</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1152</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1153</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1154</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1155</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1074</v>
      </c>
      <c r="B112" s="21" t="s">
        <v>1097</v>
      </c>
      <c r="C112" s="21" t="s">
        <v>1076</v>
      </c>
      <c r="D112" s="21" t="s">
        <v>1060</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1070</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1156</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1133</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967</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587</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1157</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1158</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1082</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78</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61</v>
      </c>
      <c r="B122" s="21" t="s">
        <v>1097</v>
      </c>
      <c r="C122" s="21" t="s">
        <v>1159</v>
      </c>
      <c r="D122" s="21" t="s">
        <v>1060</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1160</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1101</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1161</v>
      </c>
      <c r="B125" s="21" t="s">
        <v>1068</v>
      </c>
      <c r="C125" s="21" t="s">
        <v>1140</v>
      </c>
      <c r="D125" s="21" t="s">
        <v>1060</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923</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row>
    <row r="128" spans="1:12">
      <c r="A128" s="20" t="s">
        <v>1162</v>
      </c>
    </row>
    <row r="129" spans="1:12">
      <c r="A129" s="20" t="s">
        <v>1138</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1163</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1164</v>
      </c>
      <c r="B131" s="21" t="s">
        <v>1058</v>
      </c>
      <c r="C131" s="21" t="s">
        <v>1140</v>
      </c>
      <c r="D131" s="21" t="s">
        <v>1060</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1085</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1160</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1165</v>
      </c>
      <c r="B134" s="21" t="s">
        <v>1097</v>
      </c>
      <c r="C134" s="21" t="s">
        <v>1059</v>
      </c>
      <c r="D134" s="21" t="s">
        <v>1060</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1061</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1166</v>
      </c>
      <c r="B136" s="21" t="s">
        <v>1097</v>
      </c>
      <c r="C136" s="21" t="s">
        <v>1076</v>
      </c>
      <c r="D136" s="21" t="s">
        <v>1060</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1167</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1168</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1169</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1170</v>
      </c>
      <c r="B140" s="21" t="s">
        <v>1079</v>
      </c>
      <c r="C140" s="21" t="s">
        <v>1076</v>
      </c>
      <c r="D140" s="21" t="s">
        <v>1060</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1125</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1171</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1088</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127</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1172</v>
      </c>
      <c r="B145" s="21" t="s">
        <v>1064</v>
      </c>
      <c r="C145" s="21" t="s">
        <v>1092</v>
      </c>
      <c r="D145" s="21" t="s">
        <v>1060</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1173</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1174</v>
      </c>
      <c r="B147" s="21" t="s">
        <v>1132</v>
      </c>
      <c r="C147" s="21" t="s">
        <v>1059</v>
      </c>
      <c r="D147" s="21" t="s">
        <v>1060</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1070</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1118</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1175</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1063</v>
      </c>
      <c r="B151" s="21" t="s">
        <v>1079</v>
      </c>
      <c r="C151" s="21" t="s">
        <v>1149</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1152</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1176</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1177</v>
      </c>
      <c r="B154" s="21" t="s">
        <v>1132</v>
      </c>
      <c r="C154" s="21" t="s">
        <v>1178</v>
      </c>
      <c r="D154" s="21" t="s">
        <v>1060</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1070</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1118</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1151</v>
      </c>
      <c r="B157" s="21" t="s">
        <v>1179</v>
      </c>
      <c r="C157" s="21" t="s">
        <v>1076</v>
      </c>
      <c r="D157" s="21" t="s">
        <v>1060</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1180</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1181</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1182</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1183</v>
      </c>
      <c r="B161" s="21" t="s">
        <v>1095</v>
      </c>
      <c r="C161" s="21" t="s">
        <v>1184</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1090</v>
      </c>
      <c r="B162" s="21" t="s">
        <v>1185</v>
      </c>
      <c r="C162" s="21" t="s">
        <v>1092</v>
      </c>
      <c r="D162" s="21" t="s">
        <v>1060</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1186</v>
      </c>
      <c r="B163" s="21" t="s">
        <v>1187</v>
      </c>
      <c r="C163" s="21" t="s">
        <v>1059</v>
      </c>
      <c r="D163" s="21" t="s">
        <v>1060</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1061</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1188</v>
      </c>
      <c r="B165" s="21" t="s">
        <v>1185</v>
      </c>
      <c r="C165" s="21" t="s">
        <v>1149</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1189</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185</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923</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row>
    <row r="170" spans="1:12">
      <c r="A170" s="20" t="s">
        <v>1190</v>
      </c>
    </row>
    <row r="171" spans="1:12">
      <c r="A171" s="20" t="s">
        <v>1191</v>
      </c>
      <c r="B171" s="21" t="s">
        <v>1068</v>
      </c>
      <c r="C171" s="21" t="s">
        <v>1092</v>
      </c>
      <c r="D171" s="21" t="s">
        <v>1060</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1192</v>
      </c>
      <c r="B172" s="21" t="s">
        <v>1058</v>
      </c>
      <c r="C172" s="21" t="s">
        <v>1059</v>
      </c>
      <c r="D172" s="21" t="s">
        <v>1060</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1193</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1194</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1195</v>
      </c>
      <c r="B175" s="21" t="s">
        <v>1097</v>
      </c>
      <c r="C175" s="21" t="s">
        <v>1149</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1196</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1168</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1169</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1101</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1197</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1198</v>
      </c>
      <c r="B181" s="21" t="s">
        <v>1068</v>
      </c>
      <c r="C181" s="21" t="s">
        <v>1140</v>
      </c>
      <c r="D181" s="21" t="s">
        <v>1060</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1199</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1172</v>
      </c>
      <c r="B183" s="21" t="s">
        <v>1099</v>
      </c>
      <c r="C183" s="21" t="s">
        <v>1092</v>
      </c>
      <c r="D183" s="21" t="s">
        <v>1060</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1200</v>
      </c>
      <c r="B184" s="21" t="s">
        <v>1064</v>
      </c>
      <c r="C184" s="21" t="s">
        <v>1059</v>
      </c>
      <c r="D184" s="21" t="s">
        <v>1060</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1118</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1101</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1201</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1070</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1202</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1203</v>
      </c>
      <c r="B190" s="21" t="s">
        <v>1099</v>
      </c>
      <c r="C190" s="21" t="s">
        <v>1140</v>
      </c>
      <c r="D190" s="21" t="s">
        <v>1060</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1204</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1205</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1206</v>
      </c>
      <c r="B193" s="21" t="s">
        <v>1091</v>
      </c>
      <c r="C193" s="21" t="s">
        <v>1207</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1061</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1101</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1208</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1209</v>
      </c>
      <c r="B197" s="21" t="s">
        <v>1104</v>
      </c>
      <c r="C197" s="21" t="s">
        <v>1140</v>
      </c>
      <c r="D197" s="21" t="s">
        <v>1060</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1210</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1211</v>
      </c>
      <c r="B199" s="21" t="s">
        <v>1132</v>
      </c>
      <c r="C199" s="21" t="s">
        <v>1076</v>
      </c>
      <c r="D199" s="21" t="s">
        <v>1060</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1082</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1170</v>
      </c>
      <c r="B201" s="21" t="s">
        <v>1084</v>
      </c>
      <c r="C201" s="21" t="s">
        <v>1076</v>
      </c>
      <c r="D201" s="21" t="s">
        <v>1060</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1125</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1212</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1199</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1101</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1213</v>
      </c>
      <c r="B206" s="21" t="s">
        <v>1068</v>
      </c>
      <c r="C206" s="21" t="s">
        <v>1140</v>
      </c>
      <c r="D206" s="21" t="s">
        <v>1060</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1214</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1215</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923</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row>
    <row r="211" spans="1:12">
      <c r="A211" s="20" t="s">
        <v>1216</v>
      </c>
    </row>
    <row r="212" spans="1:12">
      <c r="A212" s="20" t="s">
        <v>1217</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47</v>
      </c>
      <c r="B213" s="21" t="s">
        <v>1097</v>
      </c>
      <c r="C213" s="21" t="s">
        <v>1207</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1061</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1101</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1218</v>
      </c>
      <c r="B216" s="21" t="s">
        <v>1097</v>
      </c>
      <c r="C216" s="21" t="s">
        <v>1140</v>
      </c>
      <c r="D216" s="21" t="s">
        <v>1060</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1118</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1219</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220</v>
      </c>
      <c r="B219" s="21" t="s">
        <v>1079</v>
      </c>
      <c r="C219" s="21" t="s">
        <v>1207</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1061</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1101</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1220</v>
      </c>
      <c r="B222" s="21" t="s">
        <v>1064</v>
      </c>
      <c r="C222" s="21" t="s">
        <v>1140</v>
      </c>
      <c r="D222" s="21" t="s">
        <v>1060</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1085</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1221</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1166</v>
      </c>
      <c r="B225" s="21" t="s">
        <v>1132</v>
      </c>
      <c r="C225" s="21" t="s">
        <v>1076</v>
      </c>
      <c r="D225" s="21" t="s">
        <v>1060</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1222</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1088</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1172</v>
      </c>
      <c r="B228" s="21" t="s">
        <v>1099</v>
      </c>
      <c r="C228" s="21" t="s">
        <v>1092</v>
      </c>
      <c r="D228" s="21" t="s">
        <v>1060</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1223</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1224</v>
      </c>
      <c r="B230" s="21" t="s">
        <v>1064</v>
      </c>
      <c r="C230" s="21" t="s">
        <v>1059</v>
      </c>
      <c r="D230" s="21" t="s">
        <v>1060</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923</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row>
    <row r="233" spans="1:12">
      <c r="A233" s="20" t="s">
        <v>1225</v>
      </c>
    </row>
    <row r="234" spans="1:12">
      <c r="A234" s="20" t="s">
        <v>1226</v>
      </c>
      <c r="B234" s="21" t="s">
        <v>1068</v>
      </c>
      <c r="C234" s="21" t="s">
        <v>1092</v>
      </c>
      <c r="D234" s="21" t="s">
        <v>1060</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1227</v>
      </c>
      <c r="B235" s="21" t="s">
        <v>1058</v>
      </c>
      <c r="C235" s="21" t="s">
        <v>1059</v>
      </c>
      <c r="D235" s="21" t="s">
        <v>1060</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1085</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1228</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1229</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1101</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1230</v>
      </c>
      <c r="B240" s="21" t="s">
        <v>1097</v>
      </c>
      <c r="C240" s="21" t="s">
        <v>1140</v>
      </c>
      <c r="D240" s="21" t="s">
        <v>1060</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1061</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1101</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1231</v>
      </c>
      <c r="B243" s="21" t="s">
        <v>1068</v>
      </c>
      <c r="C243" s="21" t="s">
        <v>1140</v>
      </c>
      <c r="D243" s="21" t="s">
        <v>1060</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1061</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1101</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1232</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1233</v>
      </c>
      <c r="B247" s="21" t="s">
        <v>1064</v>
      </c>
      <c r="C247" s="21" t="s">
        <v>1140</v>
      </c>
      <c r="D247" s="21" t="s">
        <v>1060</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1070</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587</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1082</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1170</v>
      </c>
      <c r="B251" s="21" t="s">
        <v>1079</v>
      </c>
      <c r="C251" s="21" t="s">
        <v>1076</v>
      </c>
      <c r="D251" s="21" t="s">
        <v>1060</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1125</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1234</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1088</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197</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1061</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1235</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1236</v>
      </c>
      <c r="B258" s="21" t="s">
        <v>1064</v>
      </c>
      <c r="C258" s="21" t="s">
        <v>1149</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1196</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1172</v>
      </c>
      <c r="B260" s="21" t="s">
        <v>1091</v>
      </c>
      <c r="C260" s="21" t="s">
        <v>1092</v>
      </c>
      <c r="D260" s="21" t="s">
        <v>1060</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1192</v>
      </c>
      <c r="B261" s="21" t="s">
        <v>1179</v>
      </c>
      <c r="C261" s="21" t="s">
        <v>1059</v>
      </c>
      <c r="D261" s="21" t="s">
        <v>1060</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1125</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1237</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1194</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1238</v>
      </c>
      <c r="B265" s="21" t="s">
        <v>1099</v>
      </c>
      <c r="C265" s="21" t="s">
        <v>1149</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1118</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1195</v>
      </c>
      <c r="B267" s="21" t="s">
        <v>1091</v>
      </c>
      <c r="C267" s="21" t="s">
        <v>1149</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923</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row>
    <row r="270" spans="1:12">
      <c r="A270" s="20" t="s">
        <v>1239</v>
      </c>
    </row>
    <row r="271" spans="1:12">
      <c r="A271" s="20" t="s">
        <v>1240</v>
      </c>
      <c r="B271" s="21" t="s">
        <v>1058</v>
      </c>
      <c r="C271" s="21" t="s">
        <v>1076</v>
      </c>
      <c r="D271" s="21" t="s">
        <v>1060</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1085</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1077</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1241</v>
      </c>
      <c r="B274" s="21" t="s">
        <v>1097</v>
      </c>
      <c r="C274" s="21" t="s">
        <v>1080</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1088</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1211</v>
      </c>
      <c r="B276" s="21" t="s">
        <v>1097</v>
      </c>
      <c r="C276" s="21" t="s">
        <v>1076</v>
      </c>
      <c r="D276" s="21" t="s">
        <v>1060</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1070</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1242</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1082</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1243</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1244</v>
      </c>
      <c r="B281" s="21" t="s">
        <v>1097</v>
      </c>
      <c r="C281" s="21" t="s">
        <v>1159</v>
      </c>
      <c r="D281" s="21" t="s">
        <v>1060</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1070</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1196</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1170</v>
      </c>
      <c r="B284" s="21" t="s">
        <v>1079</v>
      </c>
      <c r="C284" s="21" t="s">
        <v>1076</v>
      </c>
      <c r="D284" s="21" t="s">
        <v>1060</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1168</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1169</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1245</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1246</v>
      </c>
      <c r="B288" s="21" t="s">
        <v>1064</v>
      </c>
      <c r="C288" s="21" t="s">
        <v>1065</v>
      </c>
      <c r="D288" s="21" t="s">
        <v>1060</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1066</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1247</v>
      </c>
      <c r="B290" s="21" t="s">
        <v>1132</v>
      </c>
      <c r="C290" s="21" t="s">
        <v>1059</v>
      </c>
      <c r="D290" s="21" t="s">
        <v>1060</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1118</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1248</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1082</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1170</v>
      </c>
      <c r="B294" s="21" t="s">
        <v>1179</v>
      </c>
      <c r="C294" s="21" t="s">
        <v>1076</v>
      </c>
      <c r="D294" s="21" t="s">
        <v>1060</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1125</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1249</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1250</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1088</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1101</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1251</v>
      </c>
      <c r="B300" s="21" t="s">
        <v>1099</v>
      </c>
      <c r="C300" s="21" t="s">
        <v>1065</v>
      </c>
      <c r="D300" s="21" t="s">
        <v>1060</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1118</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1088</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1101</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1252</v>
      </c>
      <c r="B304" s="21" t="s">
        <v>1099</v>
      </c>
      <c r="C304" s="21" t="s">
        <v>1140</v>
      </c>
      <c r="D304" s="21" t="s">
        <v>1060</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1061</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1188</v>
      </c>
      <c r="B306" s="21" t="s">
        <v>1091</v>
      </c>
      <c r="C306" s="21" t="s">
        <v>1149</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923</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row>
    <row r="309" spans="1:12">
      <c r="A309" s="20" t="s">
        <v>1253</v>
      </c>
    </row>
    <row r="310" spans="1:12">
      <c r="A310" s="20" t="s">
        <v>1254</v>
      </c>
      <c r="B310" s="21" t="s">
        <v>1058</v>
      </c>
      <c r="C310" s="21" t="s">
        <v>1076</v>
      </c>
      <c r="D310" s="21" t="s">
        <v>1060</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1255</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1256</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61</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1257</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1088</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1101</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1258</v>
      </c>
      <c r="B317" s="21" t="s">
        <v>1097</v>
      </c>
      <c r="C317" s="21" t="s">
        <v>1140</v>
      </c>
      <c r="D317" s="21" t="s">
        <v>1060</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1156</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1259</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1260</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1250</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1101</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1261</v>
      </c>
      <c r="B323" s="21" t="s">
        <v>1068</v>
      </c>
      <c r="C323" s="21" t="s">
        <v>1140</v>
      </c>
      <c r="D323" s="21" t="s">
        <v>1060</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1061</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1101</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1262</v>
      </c>
      <c r="B326" s="21" t="s">
        <v>1064</v>
      </c>
      <c r="C326" s="21" t="s">
        <v>1140</v>
      </c>
      <c r="D326" s="21" t="s">
        <v>1060</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923</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row>
    <row r="329" spans="1:12">
      <c r="A329" s="20" t="s">
        <v>1263</v>
      </c>
    </row>
    <row r="330" spans="1:12">
      <c r="A330" s="20" t="s">
        <v>1138</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1233</v>
      </c>
      <c r="B331" s="21" t="s">
        <v>1058</v>
      </c>
      <c r="C331" s="21" t="s">
        <v>1140</v>
      </c>
      <c r="D331" s="21" t="s">
        <v>1060</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1085</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1264</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1265</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1118</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1266</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1088</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1267</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1088</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1268</v>
      </c>
      <c r="B340" s="21" t="s">
        <v>1064</v>
      </c>
      <c r="C340" s="21" t="s">
        <v>1065</v>
      </c>
      <c r="D340" s="21" t="s">
        <v>1060</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1269</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1270</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1070</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1271</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1170</v>
      </c>
      <c r="B345" s="21" t="s">
        <v>1079</v>
      </c>
      <c r="C345" s="21" t="s">
        <v>1076</v>
      </c>
      <c r="D345" s="21" t="s">
        <v>1060</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1272</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1088</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1273</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1088</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1274</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1275</v>
      </c>
      <c r="B351" s="21" t="s">
        <v>1064</v>
      </c>
      <c r="C351" s="21" t="s">
        <v>1065</v>
      </c>
      <c r="D351" s="21" t="s">
        <v>1060</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923</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row>
    <row r="354" spans="1:12">
      <c r="A354" s="20" t="s">
        <v>1276</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1277</v>
      </c>
    </row>
    <row r="356" spans="1:12">
      <c r="A356" s="20" t="s">
        <v>607</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1278</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1279</v>
      </c>
      <c r="B358" s="21" t="s">
        <v>1058</v>
      </c>
      <c r="C358" s="21" t="s">
        <v>1076</v>
      </c>
      <c r="D358" s="21" t="s">
        <v>1060</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1280</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1070</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1281</v>
      </c>
      <c r="B361" s="21" t="s">
        <v>1097</v>
      </c>
      <c r="C361" s="21" t="s">
        <v>1065</v>
      </c>
      <c r="D361" s="21" t="s">
        <v>1060</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1282</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607</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row>
    <row r="365" spans="1:12">
      <c r="A365" s="20" t="s">
        <v>1283</v>
      </c>
    </row>
    <row r="366" spans="1:12">
      <c r="A366" s="20" t="s">
        <v>1138</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1284</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73</v>
      </c>
      <c r="B368" s="21" t="s">
        <v>1097</v>
      </c>
      <c r="C368" s="21" t="s">
        <v>1140</v>
      </c>
      <c r="D368" s="21" t="s">
        <v>1060</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1285</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923</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row>
    <row r="372" spans="1:12">
      <c r="A372" s="20" t="s">
        <v>1276</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1286</v>
      </c>
    </row>
    <row r="374" spans="1:12">
      <c r="A374" s="20" t="s">
        <v>607</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1287</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78</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1146</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1151</v>
      </c>
      <c r="B378" s="21" t="s">
        <v>1079</v>
      </c>
      <c r="C378" s="21" t="s">
        <v>1076</v>
      </c>
      <c r="D378" s="21" t="s">
        <v>1060</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576</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1288</v>
      </c>
      <c r="B380" s="21" t="s">
        <v>1064</v>
      </c>
      <c r="C380" s="21" t="s">
        <v>1092</v>
      </c>
      <c r="D380" s="21" t="s">
        <v>1060</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1289</v>
      </c>
      <c r="B381" s="21" t="s">
        <v>1132</v>
      </c>
      <c r="C381" s="21" t="s">
        <v>1059</v>
      </c>
      <c r="D381" s="21" t="s">
        <v>1060</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1151</v>
      </c>
      <c r="B382" s="21" t="s">
        <v>1179</v>
      </c>
      <c r="C382" s="21" t="s">
        <v>1076</v>
      </c>
      <c r="D382" s="21" t="s">
        <v>1060</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576</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1077</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1290</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16</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1291</v>
      </c>
      <c r="B387" s="21" t="s">
        <v>1095</v>
      </c>
      <c r="C387" s="21" t="s">
        <v>1080</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1070</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1118</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1146</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78</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1146</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1151</v>
      </c>
      <c r="B393" s="21" t="s">
        <v>1124</v>
      </c>
      <c r="C393" s="21" t="s">
        <v>1076</v>
      </c>
      <c r="D393" s="21" t="s">
        <v>1060</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576</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1288</v>
      </c>
      <c r="B395" s="21" t="s">
        <v>1292</v>
      </c>
      <c r="C395" s="21" t="s">
        <v>1092</v>
      </c>
      <c r="D395" s="21" t="s">
        <v>1060</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1290</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16</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1291</v>
      </c>
      <c r="B398" s="21" t="s">
        <v>1293</v>
      </c>
      <c r="C398" s="21" t="s">
        <v>1149</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1151</v>
      </c>
      <c r="B399" s="21" t="s">
        <v>1294</v>
      </c>
      <c r="C399" s="21" t="s">
        <v>1076</v>
      </c>
      <c r="D399" s="21" t="s">
        <v>1060</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576</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1295</v>
      </c>
      <c r="B401" s="21" t="s">
        <v>1296</v>
      </c>
      <c r="C401" s="21" t="s">
        <v>1178</v>
      </c>
      <c r="D401" s="21" t="s">
        <v>1060</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1160</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1074</v>
      </c>
      <c r="B403" s="21" t="s">
        <v>1297</v>
      </c>
      <c r="C403" s="21" t="s">
        <v>1076</v>
      </c>
      <c r="D403" s="21" t="s">
        <v>1060</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923</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607</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row>
    <row r="407" spans="1:12">
      <c r="A407" s="20" t="s">
        <v>1276</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1298</v>
      </c>
    </row>
    <row r="409" spans="1:12">
      <c r="A409" s="20" t="s">
        <v>607</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1299</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1300</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row>
    <row r="413" spans="1:12">
      <c r="A413" s="20" t="s">
        <v>1276</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1301</v>
      </c>
    </row>
    <row r="415" spans="1:12">
      <c r="A415" s="20" t="s">
        <v>1191</v>
      </c>
      <c r="B415" s="21" t="s">
        <v>1068</v>
      </c>
      <c r="C415" s="21" t="s">
        <v>1092</v>
      </c>
      <c r="D415" s="21" t="s">
        <v>1060</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1302</v>
      </c>
      <c r="B416" s="21" t="s">
        <v>1058</v>
      </c>
      <c r="C416" s="21" t="s">
        <v>1059</v>
      </c>
      <c r="D416" s="21" t="s">
        <v>1060</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1118</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1151</v>
      </c>
      <c r="B418" s="21" t="s">
        <v>1068</v>
      </c>
      <c r="C418" s="21" t="s">
        <v>1076</v>
      </c>
      <c r="D418" s="21" t="s">
        <v>1060</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1303</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1129</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1304</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1144</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1305</v>
      </c>
      <c r="B423" s="21" t="s">
        <v>1097</v>
      </c>
      <c r="C423" s="21" t="s">
        <v>1149</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923</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607</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row>
    <row r="427" spans="1:12">
      <c r="A427" s="20" t="s">
        <v>1276</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1306</v>
      </c>
    </row>
    <row r="429" spans="1:12">
      <c r="A429" s="20" t="s">
        <v>607</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1307</v>
      </c>
      <c r="B430" s="21" t="s">
        <v>1079</v>
      </c>
      <c r="C430" s="21" t="s">
        <v>1076</v>
      </c>
      <c r="D430" s="21" t="s">
        <v>1060</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1308</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1309</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1310</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1171</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1311</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1312</v>
      </c>
      <c r="B436" s="21" t="s">
        <v>1068</v>
      </c>
      <c r="C436" s="21" t="s">
        <v>1159</v>
      </c>
      <c r="D436" s="21" t="s">
        <v>1060</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1070</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90</v>
      </c>
      <c r="B438" s="21" t="s">
        <v>1097</v>
      </c>
      <c r="C438" s="21" t="s">
        <v>1065</v>
      </c>
      <c r="D438" s="21" t="s">
        <v>1060</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1063</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923</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row>
    <row r="442" spans="1:12">
      <c r="A442" s="20" t="s">
        <v>1276</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1313</v>
      </c>
    </row>
    <row r="444" spans="1:12">
      <c r="A444" s="20" t="s">
        <v>1314</v>
      </c>
      <c r="B444" s="21" t="s">
        <v>1097</v>
      </c>
      <c r="C444" s="21" t="s">
        <v>1184</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1066</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1101</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98</v>
      </c>
      <c r="B447" s="21" t="s">
        <v>1058</v>
      </c>
      <c r="C447" s="21" t="s">
        <v>1140</v>
      </c>
      <c r="D447" s="21" t="s">
        <v>1060</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1315</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1282</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607</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row>
    <row r="452" spans="1:12">
      <c r="A452" s="20" t="s">
        <v>1276</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1316</v>
      </c>
    </row>
    <row r="454" spans="1:12">
      <c r="A454" s="20" t="s">
        <v>607</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1317</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1318</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98</v>
      </c>
      <c r="B457" s="21" t="s">
        <v>1097</v>
      </c>
      <c r="C457" s="21" t="s">
        <v>1080</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923</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607</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row>
    <row r="461" spans="1:12">
      <c r="A461" s="20" t="s">
        <v>1276</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1319</v>
      </c>
    </row>
    <row r="463" spans="1:12">
      <c r="A463" s="20" t="s">
        <v>607</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1191</v>
      </c>
      <c r="B464" s="21" t="s">
        <v>1064</v>
      </c>
      <c r="C464" s="21" t="s">
        <v>1092</v>
      </c>
      <c r="D464" s="21" t="s">
        <v>1060</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1320</v>
      </c>
      <c r="B465" s="21" t="s">
        <v>1079</v>
      </c>
      <c r="C465" s="21" t="s">
        <v>1059</v>
      </c>
      <c r="D465" s="21" t="s">
        <v>1060</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1070</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1074</v>
      </c>
      <c r="B467" s="21" t="s">
        <v>1079</v>
      </c>
      <c r="C467" s="21" t="s">
        <v>1076</v>
      </c>
      <c r="D467" s="21" t="s">
        <v>1060</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1321</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1256</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543</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1077</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1142</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1322</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547</v>
      </c>
      <c r="B474" s="21" t="s">
        <v>1132</v>
      </c>
      <c r="C474" s="21" t="s">
        <v>1080</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1070</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607</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1176</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1101</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73</v>
      </c>
      <c r="B479" s="21" t="s">
        <v>1058</v>
      </c>
      <c r="C479" s="21" t="s">
        <v>1140</v>
      </c>
      <c r="D479" s="21" t="s">
        <v>1060</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1194</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1077</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510</v>
      </c>
      <c r="B482" s="21" t="s">
        <v>1068</v>
      </c>
      <c r="C482" s="21" t="s">
        <v>1080</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1070</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1323</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1324</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1127</v>
      </c>
      <c r="B486" s="21" t="s">
        <v>1136</v>
      </c>
      <c r="C486" s="21" t="s">
        <v>1076</v>
      </c>
      <c r="D486" s="21" t="s">
        <v>1060</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1168</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1101</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1325</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1326</v>
      </c>
      <c r="B490" s="21" t="s">
        <v>1064</v>
      </c>
      <c r="C490" s="21" t="s">
        <v>1059</v>
      </c>
      <c r="D490" s="21" t="s">
        <v>1060</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1061</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1101</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1327</v>
      </c>
      <c r="B493" s="21" t="s">
        <v>1099</v>
      </c>
      <c r="C493" s="21" t="s">
        <v>1065</v>
      </c>
      <c r="D493" s="21" t="s">
        <v>1060</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1118</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1168</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1101</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1328</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1329</v>
      </c>
      <c r="B498" s="21" t="s">
        <v>1064</v>
      </c>
      <c r="C498" s="21" t="s">
        <v>1140</v>
      </c>
      <c r="D498" s="21" t="s">
        <v>1060</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1061</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1330</v>
      </c>
      <c r="B500" s="21" t="s">
        <v>1099</v>
      </c>
      <c r="C500" s="21" t="s">
        <v>1149</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1115</v>
      </c>
      <c r="B501" s="21" t="s">
        <v>1331</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502</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1332</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1101</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1333</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1334</v>
      </c>
      <c r="B506" s="21" t="s">
        <v>1091</v>
      </c>
      <c r="C506" s="21" t="s">
        <v>1065</v>
      </c>
      <c r="D506" s="21" t="s">
        <v>1060</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923</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row>
    <row r="509" spans="1:12">
      <c r="A509" s="20" t="s">
        <v>1276</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1335</v>
      </c>
    </row>
    <row r="511" spans="1:12">
      <c r="A511" s="20" t="s">
        <v>607</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1151</v>
      </c>
      <c r="B512" s="21" t="s">
        <v>1058</v>
      </c>
      <c r="C512" s="21" t="s">
        <v>1076</v>
      </c>
      <c r="D512" s="21" t="s">
        <v>1060</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106</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1101</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1336</v>
      </c>
      <c r="B515" s="21" t="s">
        <v>1075</v>
      </c>
      <c r="C515" s="21" t="s">
        <v>1140</v>
      </c>
      <c r="D515" s="21" t="s">
        <v>1060</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1061</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1077</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1247</v>
      </c>
      <c r="B518" s="21" t="s">
        <v>1068</v>
      </c>
      <c r="C518" s="21" t="s">
        <v>1059</v>
      </c>
      <c r="D518" s="21" t="s">
        <v>1060</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1337</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1061</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1166</v>
      </c>
      <c r="B521" s="21" t="s">
        <v>1064</v>
      </c>
      <c r="C521" s="21" t="s">
        <v>1076</v>
      </c>
      <c r="D521" s="21" t="s">
        <v>1060</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923</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607</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row>
    <row r="525" spans="1:12">
      <c r="A525" s="20" t="s">
        <v>1276</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1338</v>
      </c>
    </row>
    <row r="527" spans="1:12">
      <c r="A527" s="20" t="s">
        <v>607</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1339</v>
      </c>
      <c r="B528" s="21" t="s">
        <v>1058</v>
      </c>
      <c r="C528" s="21" t="s">
        <v>1122</v>
      </c>
      <c r="D528" s="21" t="s">
        <v>1060</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1340</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1274</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1275</v>
      </c>
      <c r="B531" s="21" t="s">
        <v>1097</v>
      </c>
      <c r="C531" s="21" t="s">
        <v>1065</v>
      </c>
      <c r="D531" s="21" t="s">
        <v>1060</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1118</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1101</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1341</v>
      </c>
      <c r="B534" s="21" t="s">
        <v>1097</v>
      </c>
      <c r="C534" s="21" t="s">
        <v>1059</v>
      </c>
      <c r="D534" s="21" t="s">
        <v>1060</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1061</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1172</v>
      </c>
      <c r="B536" s="21" t="s">
        <v>1064</v>
      </c>
      <c r="C536" s="21" t="s">
        <v>1092</v>
      </c>
      <c r="D536" s="21" t="s">
        <v>1060</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1342</v>
      </c>
      <c r="B537" s="21" t="s">
        <v>1068</v>
      </c>
      <c r="C537" s="21" t="s">
        <v>1059</v>
      </c>
      <c r="D537" s="21" t="s">
        <v>1060</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923</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row>
    <row r="540" spans="1:12">
      <c r="A540" s="20" t="s">
        <v>1276</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1343</v>
      </c>
    </row>
    <row r="542" spans="1:12">
      <c r="A542" s="20" t="s">
        <v>1151</v>
      </c>
      <c r="B542" s="21" t="s">
        <v>1058</v>
      </c>
      <c r="C542" s="21" t="s">
        <v>1076</v>
      </c>
      <c r="D542" s="21" t="s">
        <v>1060</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1344</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114</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1279</v>
      </c>
      <c r="B545" s="21" t="s">
        <v>1075</v>
      </c>
      <c r="C545" s="21" t="s">
        <v>1076</v>
      </c>
      <c r="D545" s="21" t="s">
        <v>1060</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1088</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1273</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1204</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1345</v>
      </c>
      <c r="B549" s="21" t="s">
        <v>1068</v>
      </c>
      <c r="C549" s="21" t="s">
        <v>1149</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1118</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1256</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1088</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197</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1346</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1077</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518</v>
      </c>
      <c r="B556" s="21" t="s">
        <v>1099</v>
      </c>
      <c r="C556" s="21" t="s">
        <v>1080</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923</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607</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row>
    <row r="560" spans="1:12">
      <c r="A560" s="20" t="s">
        <v>1347</v>
      </c>
    </row>
    <row r="561" spans="1:12">
      <c r="A561" s="20" t="s">
        <v>1254</v>
      </c>
      <c r="B561" s="21" t="s">
        <v>1058</v>
      </c>
      <c r="C561" s="21" t="s">
        <v>1076</v>
      </c>
      <c r="D561" s="21" t="s">
        <v>1060</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1348</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1349</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1350</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1101</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1351</v>
      </c>
      <c r="B566" s="21" t="s">
        <v>1097</v>
      </c>
      <c r="C566" s="21" t="s">
        <v>1140</v>
      </c>
      <c r="D566" s="21" t="s">
        <v>1060</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1146</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1352</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1170</v>
      </c>
      <c r="B569" s="21" t="s">
        <v>1079</v>
      </c>
      <c r="C569" s="21" t="s">
        <v>1076</v>
      </c>
      <c r="D569" s="21" t="s">
        <v>1060</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1125</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1353</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1144</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1101</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1247</v>
      </c>
      <c r="B574" s="21" t="s">
        <v>1068</v>
      </c>
      <c r="C574" s="21" t="s">
        <v>1140</v>
      </c>
      <c r="D574" s="21" t="s">
        <v>1060</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1070</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1156</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1063</v>
      </c>
      <c r="B577" s="21" t="s">
        <v>1079</v>
      </c>
      <c r="C577" s="21" t="s">
        <v>1065</v>
      </c>
      <c r="D577" s="21" t="s">
        <v>1060</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1354</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1166</v>
      </c>
      <c r="B579" s="21" t="s">
        <v>1132</v>
      </c>
      <c r="C579" s="21" t="s">
        <v>1076</v>
      </c>
      <c r="D579" s="21" t="s">
        <v>1060</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1196</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1170</v>
      </c>
      <c r="B581" s="21" t="s">
        <v>1084</v>
      </c>
      <c r="C581" s="21" t="s">
        <v>1076</v>
      </c>
      <c r="D581" s="21" t="s">
        <v>1060</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1125</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1171</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1355</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1356</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1357</v>
      </c>
      <c r="B586" s="21" t="s">
        <v>1068</v>
      </c>
      <c r="C586" s="21" t="s">
        <v>1358</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1111</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1074</v>
      </c>
      <c r="B588" s="21" t="s">
        <v>1064</v>
      </c>
      <c r="C588" s="21" t="s">
        <v>1076</v>
      </c>
      <c r="D588" s="21" t="s">
        <v>1060</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923</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row>
    <row r="591" spans="1:12">
      <c r="A591" s="20" t="s">
        <v>1276</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1359</v>
      </c>
    </row>
    <row r="593" spans="1:12">
      <c r="A593" s="20" t="s">
        <v>607</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1360</v>
      </c>
      <c r="B594" s="21" t="s">
        <v>1079</v>
      </c>
      <c r="C594" s="21" t="s">
        <v>1122</v>
      </c>
      <c r="D594" s="21" t="s">
        <v>1060</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1361</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621</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1070</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607</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1176</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1083</v>
      </c>
      <c r="B600" s="21" t="s">
        <v>1058</v>
      </c>
      <c r="C600" s="21" t="s">
        <v>1076</v>
      </c>
      <c r="D600" s="21" t="s">
        <v>1060</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923</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row>
    <row r="603" spans="1:12">
      <c r="A603" s="20" t="s">
        <v>1276</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1362</v>
      </c>
    </row>
    <row r="605" spans="1:12">
      <c r="A605" s="20" t="s">
        <v>607</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1363</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1364</v>
      </c>
      <c r="B607" s="21" t="s">
        <v>1058</v>
      </c>
      <c r="C607" s="21" t="s">
        <v>1159</v>
      </c>
      <c r="D607" s="21" t="s">
        <v>1060</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1199</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1101</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1365</v>
      </c>
      <c r="B610" s="21" t="s">
        <v>1068</v>
      </c>
      <c r="C610" s="21" t="s">
        <v>1140</v>
      </c>
      <c r="D610" s="21" t="s">
        <v>1060</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127</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1366</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1367</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1368</v>
      </c>
      <c r="B614" s="21" t="s">
        <v>1075</v>
      </c>
      <c r="C614" s="21" t="s">
        <v>1080</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923</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607</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row>
    <row r="618" spans="1:12">
      <c r="A618" s="20" t="s">
        <v>1276</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1369</v>
      </c>
    </row>
    <row r="620" spans="1:12">
      <c r="A620" s="20" t="s">
        <v>607</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1254</v>
      </c>
      <c r="B621" s="21" t="s">
        <v>1058</v>
      </c>
      <c r="C621" s="21" t="s">
        <v>1076</v>
      </c>
      <c r="D621" s="21" t="s">
        <v>1060</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1303</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1088</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131</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728</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1282</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607</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row>
    <row r="629" spans="1:12">
      <c r="A629" s="20" t="s">
        <v>1276</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1370</v>
      </c>
    </row>
    <row r="631" spans="1:12">
      <c r="A631" s="20" t="s">
        <v>607</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1371</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1070</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1170</v>
      </c>
      <c r="B634" s="21" t="s">
        <v>1058</v>
      </c>
      <c r="C634" s="21" t="s">
        <v>1076</v>
      </c>
      <c r="D634" s="21" t="s">
        <v>1060</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1372</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127</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1172</v>
      </c>
      <c r="B637" s="21" t="s">
        <v>1068</v>
      </c>
      <c r="C637" s="21" t="s">
        <v>1092</v>
      </c>
      <c r="D637" s="21" t="s">
        <v>1060</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1284</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1373</v>
      </c>
      <c r="B639" s="21" t="s">
        <v>1075</v>
      </c>
      <c r="C639" s="21" t="s">
        <v>1059</v>
      </c>
      <c r="D639" s="21" t="s">
        <v>1060</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728</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923</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row>
    <row r="643" spans="1:12">
      <c r="A643" s="20" t="s">
        <v>1374</v>
      </c>
    </row>
    <row r="644" spans="1:12">
      <c r="A644" s="20" t="s">
        <v>1375</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1376</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1311</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1377</v>
      </c>
      <c r="B647" s="21" t="s">
        <v>1097</v>
      </c>
      <c r="C647" s="21" t="s">
        <v>1159</v>
      </c>
      <c r="D647" s="21" t="s">
        <v>1060</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1070</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1281</v>
      </c>
      <c r="B649" s="21" t="s">
        <v>1068</v>
      </c>
      <c r="C649" s="21" t="s">
        <v>1065</v>
      </c>
      <c r="D649" s="21" t="s">
        <v>1060</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923</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row>
    <row r="652" spans="1:12">
      <c r="A652" s="20" t="s">
        <v>1378</v>
      </c>
    </row>
    <row r="653" spans="1:12">
      <c r="A653" s="20" t="s">
        <v>1307</v>
      </c>
      <c r="B653" s="21" t="s">
        <v>1058</v>
      </c>
      <c r="C653" s="21" t="s">
        <v>1076</v>
      </c>
      <c r="D653" s="21" t="s">
        <v>1060</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576</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1379</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1380</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1101</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1247</v>
      </c>
      <c r="B658" s="21" t="s">
        <v>1097</v>
      </c>
      <c r="C658" s="21" t="s">
        <v>1140</v>
      </c>
      <c r="D658" s="21" t="s">
        <v>1060</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1070</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576</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1279</v>
      </c>
      <c r="B661" s="21" t="s">
        <v>1079</v>
      </c>
      <c r="C661" s="21" t="s">
        <v>1076</v>
      </c>
      <c r="D661" s="21" t="s">
        <v>1060</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1256</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1070</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1381</v>
      </c>
      <c r="B664" s="21" t="s">
        <v>1097</v>
      </c>
      <c r="C664" s="21" t="s">
        <v>1065</v>
      </c>
      <c r="D664" s="21" t="s">
        <v>1060</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1282</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row>
    <row r="667" spans="1:12">
      <c r="A667" s="20" t="s">
        <v>1382</v>
      </c>
    </row>
    <row r="668" spans="1:12">
      <c r="A668" s="20" t="s">
        <v>1383</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1279</v>
      </c>
      <c r="B669" s="21" t="s">
        <v>1058</v>
      </c>
      <c r="C669" s="21" t="s">
        <v>1076</v>
      </c>
      <c r="D669" s="21" t="s">
        <v>1060</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146</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1101</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1384</v>
      </c>
      <c r="B672" s="21" t="s">
        <v>1075</v>
      </c>
      <c r="C672" s="21" t="s">
        <v>1140</v>
      </c>
      <c r="D672" s="21" t="s">
        <v>1060</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1061</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1101</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1385</v>
      </c>
      <c r="B675" s="21" t="s">
        <v>1068</v>
      </c>
      <c r="C675" s="21" t="s">
        <v>1140</v>
      </c>
      <c r="D675" s="21" t="s">
        <v>1060</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1282</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row>
    <row r="678" spans="1:12">
      <c r="A678" s="20" t="s">
        <v>1276</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1386</v>
      </c>
    </row>
    <row r="680" spans="1:12">
      <c r="A680" s="20" t="s">
        <v>1314</v>
      </c>
      <c r="B680" s="21" t="s">
        <v>1097</v>
      </c>
      <c r="C680" s="21" t="s">
        <v>1184</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1303</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1120</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1387</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1388</v>
      </c>
      <c r="B684" s="21" t="s">
        <v>1058</v>
      </c>
      <c r="C684" s="21" t="s">
        <v>1159</v>
      </c>
      <c r="D684" s="21" t="s">
        <v>1060</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1168</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1311</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1341</v>
      </c>
      <c r="B687" s="21" t="s">
        <v>1068</v>
      </c>
      <c r="C687" s="21" t="s">
        <v>1159</v>
      </c>
      <c r="D687" s="21" t="s">
        <v>1060</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1282</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607</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row>
    <row r="691" spans="1:12">
      <c r="A691" s="20" t="s">
        <v>1276</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1389</v>
      </c>
    </row>
    <row r="693" spans="1:12">
      <c r="A693" s="20" t="s">
        <v>607</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1151</v>
      </c>
      <c r="B694" s="21" t="s">
        <v>1058</v>
      </c>
      <c r="C694" s="21" t="s">
        <v>1076</v>
      </c>
      <c r="D694" s="21" t="s">
        <v>1060</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153</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1390</v>
      </c>
      <c r="B696" s="21" t="s">
        <v>1079</v>
      </c>
      <c r="C696" s="21" t="s">
        <v>1076</v>
      </c>
      <c r="D696" s="21" t="s">
        <v>1060</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1303</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1101</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1391</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1388</v>
      </c>
      <c r="B700" s="21" t="s">
        <v>1097</v>
      </c>
      <c r="C700" s="21" t="s">
        <v>1140</v>
      </c>
      <c r="D700" s="21" t="s">
        <v>1060</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923</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607</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row>
    <row r="704" spans="1:12">
      <c r="A704" s="20" t="s">
        <v>1276</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1392</v>
      </c>
    </row>
    <row r="706" spans="1:12">
      <c r="A706" s="20" t="s">
        <v>607</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1393</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1101</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1072</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157</v>
      </c>
      <c r="B710" s="21" t="s">
        <v>1097</v>
      </c>
      <c r="C710" s="21" t="s">
        <v>1394</v>
      </c>
      <c r="D710" s="21" t="s">
        <v>1060</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1070</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1115</v>
      </c>
      <c r="B712" s="21" t="s">
        <v>1079</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1395</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587</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1396</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1282</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607</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row>
    <row r="719" spans="1:12">
      <c r="A719" s="20" t="s">
        <v>1276</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1397</v>
      </c>
    </row>
    <row r="721" spans="1:12">
      <c r="A721" s="20" t="s">
        <v>607</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1339</v>
      </c>
      <c r="B722" s="21" t="s">
        <v>1058</v>
      </c>
      <c r="C722" s="21" t="s">
        <v>1122</v>
      </c>
      <c r="D722" s="21" t="s">
        <v>1060</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1340</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1398</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1101</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1399</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16</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1400</v>
      </c>
      <c r="B728" s="21" t="s">
        <v>1097</v>
      </c>
      <c r="C728" s="21" t="s">
        <v>1140</v>
      </c>
      <c r="D728" s="21" t="s">
        <v>1060</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923</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607</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row>
    <row r="732" spans="1:12">
      <c r="A732" s="20" t="s">
        <v>1276</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1401</v>
      </c>
    </row>
    <row r="734" spans="1:12">
      <c r="A734" s="20" t="s">
        <v>607</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1138</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1402</v>
      </c>
      <c r="B736" s="21" t="s">
        <v>1058</v>
      </c>
      <c r="C736" s="21" t="s">
        <v>1140</v>
      </c>
      <c r="D736" s="21" t="s">
        <v>1060</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1303</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1257</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923</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row>
    <row r="741" spans="1:12">
      <c r="A741" s="20" t="s">
        <v>1403</v>
      </c>
    </row>
    <row r="742" spans="1:12">
      <c r="A742" s="20" t="s">
        <v>1307</v>
      </c>
      <c r="B742" s="21" t="s">
        <v>1058</v>
      </c>
      <c r="C742" s="21" t="s">
        <v>1076</v>
      </c>
      <c r="D742" s="21" t="s">
        <v>1060</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169</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1101</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1404</v>
      </c>
      <c r="B745" s="21" t="s">
        <v>1075</v>
      </c>
      <c r="C745" s="21" t="s">
        <v>1140</v>
      </c>
      <c r="D745" s="21" t="s">
        <v>1060</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1061</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1101</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1405</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1406</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923</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row>
    <row r="752" spans="1:12">
      <c r="A752" s="20" t="s">
        <v>1276</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1407</v>
      </c>
    </row>
    <row r="754" spans="1:12">
      <c r="A754" s="20" t="s">
        <v>173</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1408</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1409</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1118</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106</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1183</v>
      </c>
      <c r="B759" s="21" t="s">
        <v>1136</v>
      </c>
      <c r="C759" s="21" t="s">
        <v>1184</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1390</v>
      </c>
      <c r="B760" s="21" t="s">
        <v>1084</v>
      </c>
      <c r="C760" s="21" t="s">
        <v>1076</v>
      </c>
      <c r="D760" s="21" t="s">
        <v>1060</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1303</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1410</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1411</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1144</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1412</v>
      </c>
      <c r="B765" s="21" t="s">
        <v>1091</v>
      </c>
      <c r="C765" s="21" t="s">
        <v>1149</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1066</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1413</v>
      </c>
      <c r="B767" s="21" t="s">
        <v>1099</v>
      </c>
      <c r="C767" s="21" t="s">
        <v>1059</v>
      </c>
      <c r="D767" s="21" t="s">
        <v>1060</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621</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1414</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1415</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1416</v>
      </c>
      <c r="B771" s="21" t="s">
        <v>1095</v>
      </c>
      <c r="C771" s="21" t="s">
        <v>1076</v>
      </c>
      <c r="D771" s="21" t="s">
        <v>1060</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169</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1082</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1390</v>
      </c>
      <c r="B774" s="21" t="s">
        <v>1187</v>
      </c>
      <c r="C774" s="21" t="s">
        <v>1076</v>
      </c>
      <c r="D774" s="21" t="s">
        <v>1060</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1303</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1417</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1300</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607</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row>
    <row r="780" spans="1:12">
      <c r="A780" s="20" t="s">
        <v>1418</v>
      </c>
    </row>
    <row r="781" spans="1:12">
      <c r="A781" s="20" t="s">
        <v>1151</v>
      </c>
      <c r="B781" s="21" t="s">
        <v>1058</v>
      </c>
      <c r="C781" s="21" t="s">
        <v>1076</v>
      </c>
      <c r="D781" s="21" t="s">
        <v>1060</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1419</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1260</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1101</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1420</v>
      </c>
      <c r="B785" s="21" t="s">
        <v>1075</v>
      </c>
      <c r="C785" s="21" t="s">
        <v>1140</v>
      </c>
      <c r="D785" s="21" t="s">
        <v>1060</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1118</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1421</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1422</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1101</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1423</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1424</v>
      </c>
      <c r="B791" s="21" t="s">
        <v>1068</v>
      </c>
      <c r="C791" s="21" t="s">
        <v>1140</v>
      </c>
      <c r="D791" s="21" t="s">
        <v>1060</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1115</v>
      </c>
      <c r="B792" s="21" t="s">
        <v>1179</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1425</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1101</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1426</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1427</v>
      </c>
      <c r="B796" s="21" t="s">
        <v>1095</v>
      </c>
      <c r="C796" s="21" t="s">
        <v>1140</v>
      </c>
      <c r="D796" s="21" t="s">
        <v>1060</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923</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row>
    <row r="799" spans="1:12">
      <c r="A799" s="20" t="s">
        <v>1428</v>
      </c>
    </row>
    <row r="800" spans="1:12">
      <c r="A800" s="20" t="s">
        <v>1429</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1160</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1074</v>
      </c>
      <c r="B802" s="21" t="s">
        <v>1079</v>
      </c>
      <c r="C802" s="21" t="s">
        <v>1076</v>
      </c>
      <c r="D802" s="21" t="s">
        <v>1060</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1430</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1431</v>
      </c>
      <c r="B804" s="21" t="s">
        <v>1097</v>
      </c>
      <c r="C804" s="21" t="s">
        <v>1149</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1151</v>
      </c>
      <c r="B805" s="21" t="s">
        <v>1084</v>
      </c>
      <c r="C805" s="21" t="s">
        <v>1076</v>
      </c>
      <c r="D805" s="21" t="s">
        <v>1060</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1432</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1077</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1433</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1434</v>
      </c>
      <c r="B809" s="21" t="s">
        <v>1136</v>
      </c>
      <c r="C809" s="21" t="s">
        <v>1080</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1151</v>
      </c>
      <c r="B810" s="21" t="s">
        <v>1331</v>
      </c>
      <c r="C810" s="21" t="s">
        <v>1076</v>
      </c>
      <c r="D810" s="21" t="s">
        <v>1060</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1180</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382</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1435</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1436</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1101</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1437</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1438</v>
      </c>
      <c r="B817" s="21" t="s">
        <v>1091</v>
      </c>
      <c r="C817" s="21" t="s">
        <v>1140</v>
      </c>
      <c r="D817" s="21" t="s">
        <v>1060</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923</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row>
    <row r="820" spans="1:12">
      <c r="A820" s="20" t="s">
        <v>1439</v>
      </c>
    </row>
    <row r="821" spans="1:12">
      <c r="A821" s="20" t="s">
        <v>1440</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1125</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1181</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1355</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1441</v>
      </c>
      <c r="B825" s="21" t="s">
        <v>1058</v>
      </c>
      <c r="C825" s="21" t="s">
        <v>1358</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1160</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1101</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1400</v>
      </c>
      <c r="B828" s="21" t="s">
        <v>1068</v>
      </c>
      <c r="C828" s="21" t="s">
        <v>1140</v>
      </c>
      <c r="D828" s="21" t="s">
        <v>1060</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1070</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499</v>
      </c>
      <c r="B830" s="21" t="s">
        <v>1068</v>
      </c>
      <c r="C830" s="21" t="s">
        <v>1065</v>
      </c>
      <c r="D830" s="21" t="s">
        <v>1060</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1442</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1118</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1443</v>
      </c>
      <c r="B833" s="21" t="s">
        <v>1068</v>
      </c>
      <c r="C833" s="21" t="s">
        <v>1065</v>
      </c>
      <c r="D833" s="21" t="s">
        <v>1060</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923</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row>
    <row r="836" spans="1:12">
      <c r="A836" s="20" t="s">
        <v>1444</v>
      </c>
    </row>
    <row r="837" spans="1:12">
      <c r="A837" s="20" t="s">
        <v>1445</v>
      </c>
      <c r="B837" s="21" t="s">
        <v>1058</v>
      </c>
      <c r="C837" s="21" t="s">
        <v>1076</v>
      </c>
      <c r="D837" s="21" t="s">
        <v>1060</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1446</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1194</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1103</v>
      </c>
      <c r="B840" s="21" t="s">
        <v>1064</v>
      </c>
      <c r="C840" s="21" t="s">
        <v>1092</v>
      </c>
      <c r="D840" s="21" t="s">
        <v>1060</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1447</v>
      </c>
      <c r="B841" s="21" t="s">
        <v>1068</v>
      </c>
      <c r="C841" s="21" t="s">
        <v>1059</v>
      </c>
      <c r="D841" s="21" t="s">
        <v>1060</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1448</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1211</v>
      </c>
      <c r="B843" s="21" t="s">
        <v>1097</v>
      </c>
      <c r="C843" s="21" t="s">
        <v>1076</v>
      </c>
      <c r="D843" s="21" t="s">
        <v>1060</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1204</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1205</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1206</v>
      </c>
      <c r="B846" s="21" t="s">
        <v>1097</v>
      </c>
      <c r="C846" s="21" t="s">
        <v>1207</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1061</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1101</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1324</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1449</v>
      </c>
      <c r="B850" s="21" t="s">
        <v>1068</v>
      </c>
      <c r="C850" s="21" t="s">
        <v>1140</v>
      </c>
      <c r="D850" s="21" t="s">
        <v>1060</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923</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row>
    <row r="853" spans="1:12">
      <c r="A853" s="20" t="s">
        <v>1450</v>
      </c>
    </row>
    <row r="854" spans="1:12">
      <c r="A854" s="20" t="s">
        <v>1451</v>
      </c>
      <c r="B854" s="21" t="s">
        <v>1058</v>
      </c>
      <c r="C854" s="21" t="s">
        <v>1059</v>
      </c>
      <c r="D854" s="21" t="s">
        <v>1060</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1061</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1416</v>
      </c>
      <c r="B856" s="21" t="s">
        <v>1068</v>
      </c>
      <c r="C856" s="21" t="s">
        <v>1076</v>
      </c>
      <c r="D856" s="21" t="s">
        <v>1060</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1125</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1452</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1453</v>
      </c>
      <c r="B859" s="21" t="s">
        <v>1075</v>
      </c>
      <c r="C859" s="21" t="s">
        <v>1149</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1070</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1118</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1454</v>
      </c>
      <c r="B862" s="21" t="s">
        <v>1079</v>
      </c>
      <c r="C862" s="21" t="s">
        <v>1149</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1118</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1455</v>
      </c>
      <c r="B864" s="21" t="s">
        <v>1064</v>
      </c>
      <c r="C864" s="21" t="s">
        <v>1149</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1125</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1160</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1165</v>
      </c>
      <c r="B867" s="21" t="s">
        <v>1097</v>
      </c>
      <c r="C867" s="21" t="s">
        <v>1059</v>
      </c>
      <c r="D867" s="21" t="s">
        <v>1060</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1061</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1416</v>
      </c>
      <c r="B869" s="21" t="s">
        <v>1068</v>
      </c>
      <c r="C869" s="21" t="s">
        <v>1076</v>
      </c>
      <c r="D869" s="21" t="s">
        <v>1060</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923</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row>
    <row r="872" spans="1:12">
      <c r="A872" s="20" t="s">
        <v>1456</v>
      </c>
    </row>
    <row r="873" spans="1:12">
      <c r="A873" s="20" t="s">
        <v>1443</v>
      </c>
      <c r="B873" s="21" t="s">
        <v>1058</v>
      </c>
      <c r="C873" s="21" t="s">
        <v>1065</v>
      </c>
      <c r="D873" s="21" t="s">
        <v>1060</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1085</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1457</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1194</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1458</v>
      </c>
      <c r="B877" s="21" t="s">
        <v>1097</v>
      </c>
      <c r="C877" s="21" t="s">
        <v>1149</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1070</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1156</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1101</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1459</v>
      </c>
      <c r="B881" s="21" t="s">
        <v>1079</v>
      </c>
      <c r="C881" s="21" t="s">
        <v>1140</v>
      </c>
      <c r="D881" s="21" t="s">
        <v>1060</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1460</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1461</v>
      </c>
      <c r="B883" s="21" t="s">
        <v>1132</v>
      </c>
      <c r="C883" s="21" t="s">
        <v>1149</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1118</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1462</v>
      </c>
      <c r="B885" s="21" t="s">
        <v>1064</v>
      </c>
      <c r="C885" s="21" t="s">
        <v>1149</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923</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row>
    <row r="888" spans="1:12">
      <c r="A888" s="20" t="s">
        <v>1463</v>
      </c>
    </row>
    <row r="889" spans="1:12">
      <c r="A889" s="20" t="s">
        <v>1464</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1101</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1465</v>
      </c>
      <c r="B891" s="21" t="s">
        <v>1058</v>
      </c>
      <c r="C891" s="21" t="s">
        <v>1059</v>
      </c>
      <c r="D891" s="21" t="s">
        <v>1060</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1061</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1082</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1466</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1273</v>
      </c>
      <c r="B895" s="21" t="s">
        <v>1068</v>
      </c>
      <c r="C895" s="21" t="s">
        <v>1159</v>
      </c>
      <c r="D895" s="21" t="s">
        <v>1060</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1467</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1101</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1468</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16</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1469</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1213</v>
      </c>
      <c r="B901" s="21" t="s">
        <v>1068</v>
      </c>
      <c r="C901" s="21" t="s">
        <v>1140</v>
      </c>
      <c r="D901" s="21" t="s">
        <v>1060</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1085</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1470</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1471</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1199</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1090</v>
      </c>
      <c r="B906" s="21" t="s">
        <v>1068</v>
      </c>
      <c r="C906" s="21" t="s">
        <v>1092</v>
      </c>
      <c r="D906" s="21" t="s">
        <v>1060</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1472</v>
      </c>
      <c r="B907" s="21" t="s">
        <v>1097</v>
      </c>
      <c r="C907" s="21" t="s">
        <v>1059</v>
      </c>
      <c r="D907" s="21" t="s">
        <v>1060</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923</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row>
    <row r="910" spans="1:12">
      <c r="A910" s="20" t="s">
        <v>1473</v>
      </c>
    </row>
    <row r="911" spans="1:12">
      <c r="A911" s="20" t="s">
        <v>1287</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1151</v>
      </c>
      <c r="B912" s="21" t="s">
        <v>1058</v>
      </c>
      <c r="C912" s="21" t="s">
        <v>1076</v>
      </c>
      <c r="D912" s="21" t="s">
        <v>1060</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1417</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1416</v>
      </c>
      <c r="B914" s="21" t="s">
        <v>1075</v>
      </c>
      <c r="C914" s="21" t="s">
        <v>1076</v>
      </c>
      <c r="D914" s="21" t="s">
        <v>1060</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1443</v>
      </c>
      <c r="B915" s="21" t="s">
        <v>1079</v>
      </c>
      <c r="C915" s="21" t="s">
        <v>1065</v>
      </c>
      <c r="D915" s="21" t="s">
        <v>1060</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1474</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1118</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1475</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1101</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1400</v>
      </c>
      <c r="B920" s="21" t="s">
        <v>1132</v>
      </c>
      <c r="C920" s="21" t="s">
        <v>1140</v>
      </c>
      <c r="D920" s="21" t="s">
        <v>1060</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1070</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1271</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499</v>
      </c>
      <c r="B923" s="21" t="s">
        <v>1079</v>
      </c>
      <c r="C923" s="21" t="s">
        <v>1065</v>
      </c>
      <c r="D923" s="21" t="s">
        <v>1060</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1442</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1476</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1090</v>
      </c>
      <c r="B926" s="21" t="s">
        <v>1064</v>
      </c>
      <c r="C926" s="21" t="s">
        <v>1092</v>
      </c>
      <c r="D926" s="21" t="s">
        <v>1060</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1477</v>
      </c>
      <c r="B927" s="21" t="s">
        <v>1132</v>
      </c>
      <c r="C927" s="21" t="s">
        <v>1059</v>
      </c>
      <c r="D927" s="21" t="s">
        <v>1060</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1215</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1118</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1478</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1212</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1160</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1090</v>
      </c>
      <c r="B933" s="21" t="s">
        <v>1099</v>
      </c>
      <c r="C933" s="21" t="s">
        <v>1092</v>
      </c>
      <c r="D933" s="21" t="s">
        <v>1060</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1479</v>
      </c>
      <c r="B934" s="21" t="s">
        <v>1064</v>
      </c>
      <c r="C934" s="21" t="s">
        <v>1059</v>
      </c>
      <c r="D934" s="21" t="s">
        <v>1060</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1070</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1480</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1168</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1090</v>
      </c>
      <c r="B938" s="21" t="s">
        <v>1099</v>
      </c>
      <c r="C938" s="21" t="s">
        <v>1092</v>
      </c>
      <c r="D938" s="21" t="s">
        <v>1060</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1481</v>
      </c>
      <c r="B939" s="21" t="s">
        <v>1064</v>
      </c>
      <c r="C939" s="21" t="s">
        <v>1059</v>
      </c>
      <c r="D939" s="21" t="s">
        <v>1060</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923</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row>
    <row r="942" spans="1:12">
      <c r="A942" s="20" t="s">
        <v>1482</v>
      </c>
    </row>
    <row r="943" spans="1:12">
      <c r="A943" s="20" t="s">
        <v>1151</v>
      </c>
      <c r="B943" s="21" t="s">
        <v>1058</v>
      </c>
      <c r="C943" s="21" t="s">
        <v>1076</v>
      </c>
      <c r="D943" s="21" t="s">
        <v>1060</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1483</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1101</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1484</v>
      </c>
      <c r="B946" s="21" t="s">
        <v>1075</v>
      </c>
      <c r="C946" s="21" t="s">
        <v>1140</v>
      </c>
      <c r="D946" s="21" t="s">
        <v>1060</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1061</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1077</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1258</v>
      </c>
      <c r="B949" s="21" t="s">
        <v>1068</v>
      </c>
      <c r="C949" s="21" t="s">
        <v>1080</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1118</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1101</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1485</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1486</v>
      </c>
      <c r="B953" s="21" t="s">
        <v>1068</v>
      </c>
      <c r="C953" s="21" t="s">
        <v>1140</v>
      </c>
      <c r="D953" s="21" t="s">
        <v>1060</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1061</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1487</v>
      </c>
      <c r="B955" s="21" t="s">
        <v>1064</v>
      </c>
      <c r="C955" s="21" t="s">
        <v>1149</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1199</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1488</v>
      </c>
      <c r="B957" s="21" t="s">
        <v>1099</v>
      </c>
      <c r="C957" s="21" t="s">
        <v>1149</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923</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row>
    <row r="960" spans="1:12">
      <c r="A960" s="20" t="s">
        <v>1489</v>
      </c>
    </row>
    <row r="961" spans="1:12">
      <c r="A961" s="20" t="s">
        <v>1138</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1490</v>
      </c>
      <c r="B962" s="21" t="s">
        <v>1058</v>
      </c>
      <c r="C962" s="21" t="s">
        <v>1140</v>
      </c>
      <c r="D962" s="21" t="s">
        <v>1060</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1245</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1350</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1101</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1420</v>
      </c>
      <c r="B966" s="21" t="s">
        <v>1097</v>
      </c>
      <c r="C966" s="21" t="s">
        <v>1140</v>
      </c>
      <c r="D966" s="21" t="s">
        <v>1060</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1204</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1101</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1097</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1206</v>
      </c>
      <c r="B970" s="21" t="s">
        <v>1068</v>
      </c>
      <c r="C970" s="21" t="s">
        <v>1491</v>
      </c>
      <c r="D970" s="21" t="s">
        <v>1060</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1061</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1101</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1424</v>
      </c>
      <c r="B973" s="21" t="s">
        <v>1064</v>
      </c>
      <c r="C973" s="21" t="s">
        <v>1140</v>
      </c>
      <c r="D973" s="21" t="s">
        <v>1060</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1155</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1115</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1151</v>
      </c>
      <c r="B976" s="21" t="s">
        <v>1079</v>
      </c>
      <c r="C976" s="21" t="s">
        <v>1076</v>
      </c>
      <c r="D976" s="21" t="s">
        <v>1060</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1492</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923</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row>
    <row r="980" spans="1:12">
      <c r="A980" s="20" t="s">
        <v>1493</v>
      </c>
    </row>
    <row r="981" spans="1:12">
      <c r="A981" s="20" t="s">
        <v>1494</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1332</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1070</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1151</v>
      </c>
      <c r="B984" s="21" t="s">
        <v>1058</v>
      </c>
      <c r="C984" s="21" t="s">
        <v>1076</v>
      </c>
      <c r="D984" s="21" t="s">
        <v>1060</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1495</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1101</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1496</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452</v>
      </c>
      <c r="B988" s="21" t="s">
        <v>1075</v>
      </c>
      <c r="C988" s="21" t="s">
        <v>1140</v>
      </c>
      <c r="D988" s="21" t="s">
        <v>1060</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1168</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1101</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1258</v>
      </c>
      <c r="B991" s="21" t="s">
        <v>1097</v>
      </c>
      <c r="C991" s="21" t="s">
        <v>1140</v>
      </c>
      <c r="D991" s="21" t="s">
        <v>1060</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1061</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1366</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1497</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16</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1247</v>
      </c>
      <c r="B996" s="21" t="s">
        <v>1068</v>
      </c>
      <c r="C996" s="21" t="s">
        <v>1080</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1160</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1101</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1498</v>
      </c>
      <c r="B999" s="21" t="s">
        <v>1064</v>
      </c>
      <c r="C999" s="21" t="s">
        <v>1140</v>
      </c>
      <c r="D999" s="21" t="s">
        <v>1060</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1061</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1101</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1427</v>
      </c>
      <c r="B1002" s="21" t="s">
        <v>1099</v>
      </c>
      <c r="C1002" s="21" t="s">
        <v>1140</v>
      </c>
      <c r="D1002" s="21" t="s">
        <v>1060</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923</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row>
    <row r="1005" spans="1:12">
      <c r="A1005" s="20" t="s">
        <v>1499</v>
      </c>
    </row>
    <row r="1006" spans="1:12">
      <c r="A1006" s="20" t="s">
        <v>1317</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1500</v>
      </c>
      <c r="B1007" s="21" t="s">
        <v>1058</v>
      </c>
      <c r="C1007" s="21" t="s">
        <v>1080</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1501</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1160</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1077</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661</v>
      </c>
      <c r="B1011" s="21" t="s">
        <v>1097</v>
      </c>
      <c r="C1011" s="21" t="s">
        <v>1080</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1070</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1118</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1146</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1083</v>
      </c>
      <c r="B1015" s="21" t="s">
        <v>1084</v>
      </c>
      <c r="C1015" s="21" t="s">
        <v>1076</v>
      </c>
      <c r="D1015" s="21" t="s">
        <v>1060</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1245</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1160</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1502</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1085</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1077</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1503</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1504</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1505</v>
      </c>
      <c r="B1023" s="21" t="s">
        <v>1097</v>
      </c>
      <c r="C1023" s="21" t="s">
        <v>1080</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1111</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1506</v>
      </c>
      <c r="B1025" s="21" t="s">
        <v>1097</v>
      </c>
      <c r="C1025" s="21" t="s">
        <v>1149</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923</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row>
    <row r="1028" spans="1:12">
      <c r="A1028" s="20" t="s">
        <v>1507</v>
      </c>
    </row>
    <row r="1029" spans="1:12">
      <c r="A1029" s="20" t="s">
        <v>1508</v>
      </c>
      <c r="B1029" s="21" t="s">
        <v>1058</v>
      </c>
      <c r="C1029" s="21" t="s">
        <v>1076</v>
      </c>
      <c r="D1029" s="21" t="s">
        <v>1060</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1085</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1181</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1077</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311</v>
      </c>
      <c r="B1033" s="21" t="s">
        <v>1097</v>
      </c>
      <c r="C1033" s="21" t="s">
        <v>1080</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1509</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587</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1380</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1070</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1118</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1510</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1151</v>
      </c>
      <c r="B1040" s="21" t="s">
        <v>1079</v>
      </c>
      <c r="C1040" s="21" t="s">
        <v>1076</v>
      </c>
      <c r="D1040" s="21" t="s">
        <v>1060</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1483</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1101</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1500</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220</v>
      </c>
      <c r="B1044" s="21" t="s">
        <v>1132</v>
      </c>
      <c r="C1044" s="21" t="s">
        <v>1140</v>
      </c>
      <c r="D1044" s="21" t="s">
        <v>1060</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1214</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967</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1118</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1083</v>
      </c>
      <c r="B1048" s="21" t="s">
        <v>1079</v>
      </c>
      <c r="C1048" s="21" t="s">
        <v>1076</v>
      </c>
      <c r="D1048" s="21" t="s">
        <v>1060</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1245</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1211</v>
      </c>
      <c r="B1050" s="21" t="s">
        <v>1132</v>
      </c>
      <c r="C1050" s="21" t="s">
        <v>1076</v>
      </c>
      <c r="D1050" s="21" t="s">
        <v>1060</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1118</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1511</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1101</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1247</v>
      </c>
      <c r="B1054" s="21" t="s">
        <v>1136</v>
      </c>
      <c r="C1054" s="21" t="s">
        <v>1140</v>
      </c>
      <c r="D1054" s="21" t="s">
        <v>1060</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923</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row>
    <row r="1057" spans="1:12">
      <c r="A1057" s="20" t="s">
        <v>1512</v>
      </c>
    </row>
    <row r="1058" spans="1:12">
      <c r="A1058" s="20" t="s">
        <v>1151</v>
      </c>
      <c r="B1058" s="21" t="s">
        <v>1058</v>
      </c>
      <c r="C1058" s="21" t="s">
        <v>1076</v>
      </c>
      <c r="D1058" s="21" t="s">
        <v>1060</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1495</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1127</v>
      </c>
      <c r="B1060" s="21" t="s">
        <v>1075</v>
      </c>
      <c r="C1060" s="21" t="s">
        <v>1076</v>
      </c>
      <c r="D1060" s="21" t="s">
        <v>1060</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1513</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1090</v>
      </c>
      <c r="B1062" s="21" t="s">
        <v>1068</v>
      </c>
      <c r="C1062" s="21" t="s">
        <v>1092</v>
      </c>
      <c r="D1062" s="21" t="s">
        <v>1060</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1514</v>
      </c>
      <c r="B1063" s="21" t="s">
        <v>1097</v>
      </c>
      <c r="C1063" s="21" t="s">
        <v>1059</v>
      </c>
      <c r="D1063" s="21" t="s">
        <v>1060</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1070</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1118</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1151</v>
      </c>
      <c r="B1066" s="21" t="s">
        <v>1079</v>
      </c>
      <c r="C1066" s="21" t="s">
        <v>1076</v>
      </c>
      <c r="D1066" s="21" t="s">
        <v>1060</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1515</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1409</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1212</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1088</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1516</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1288</v>
      </c>
      <c r="B1072" s="21" t="s">
        <v>1091</v>
      </c>
      <c r="C1072" s="21" t="s">
        <v>1092</v>
      </c>
      <c r="D1072" s="21" t="s">
        <v>1060</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1517</v>
      </c>
      <c r="B1073" s="21" t="s">
        <v>1179</v>
      </c>
      <c r="C1073" s="21" t="s">
        <v>1059</v>
      </c>
      <c r="D1073" s="21" t="s">
        <v>1060</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1125</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1318</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1088</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146</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1416</v>
      </c>
      <c r="B1078" s="21" t="s">
        <v>1121</v>
      </c>
      <c r="C1078" s="21" t="s">
        <v>1076</v>
      </c>
      <c r="D1078" s="21" t="s">
        <v>1060</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1183</v>
      </c>
      <c r="B1079" s="21" t="s">
        <v>1518</v>
      </c>
      <c r="C1079" s="21" t="s">
        <v>1184</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1151</v>
      </c>
      <c r="B1080" s="21" t="s">
        <v>1187</v>
      </c>
      <c r="C1080" s="21" t="s">
        <v>1076</v>
      </c>
      <c r="D1080" s="21" t="s">
        <v>1060</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1152</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1519</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923</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row>
    <row r="1085" spans="1:12">
      <c r="A1085" s="20" t="s">
        <v>1276</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1520</v>
      </c>
    </row>
    <row r="1087" spans="1:12">
      <c r="A1087" s="20" t="s">
        <v>607</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1307</v>
      </c>
      <c r="B1088" s="21" t="s">
        <v>1058</v>
      </c>
      <c r="C1088" s="21" t="s">
        <v>1076</v>
      </c>
      <c r="D1088" s="21" t="s">
        <v>1060</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123</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1070</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1381</v>
      </c>
      <c r="B1091" s="21" t="s">
        <v>1097</v>
      </c>
      <c r="C1091" s="21" t="s">
        <v>1065</v>
      </c>
      <c r="D1091" s="21" t="s">
        <v>1060</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1070</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1082</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1101</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1521</v>
      </c>
      <c r="B1095" s="21" t="s">
        <v>1084</v>
      </c>
      <c r="C1095" s="21" t="s">
        <v>1140</v>
      </c>
      <c r="D1095" s="21" t="s">
        <v>1060</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1340</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1256</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1502</v>
      </c>
      <c r="B1098" s="21" t="s">
        <v>1068</v>
      </c>
      <c r="C1098" s="21" t="s">
        <v>1522</v>
      </c>
      <c r="D1098" s="21" t="s">
        <v>1060</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1282</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607</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row>
    <row r="1102" spans="1:12">
      <c r="A1102" s="20" t="s">
        <v>1523</v>
      </c>
    </row>
    <row r="1103" spans="1:12">
      <c r="A1103" s="20" t="s">
        <v>1063</v>
      </c>
      <c r="B1103" s="21" t="s">
        <v>1058</v>
      </c>
      <c r="C1103" s="21" t="s">
        <v>1149</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1524</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1070</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1196</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1151</v>
      </c>
      <c r="B1107" s="21" t="s">
        <v>1079</v>
      </c>
      <c r="C1107" s="21" t="s">
        <v>1076</v>
      </c>
      <c r="D1107" s="21" t="s">
        <v>1060</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1152</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1525</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1288</v>
      </c>
      <c r="B1110" s="21" t="s">
        <v>1064</v>
      </c>
      <c r="C1110" s="21" t="s">
        <v>1092</v>
      </c>
      <c r="D1110" s="21" t="s">
        <v>1060</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1526</v>
      </c>
      <c r="B1111" s="21" t="s">
        <v>1132</v>
      </c>
      <c r="C1111" s="21" t="s">
        <v>1059</v>
      </c>
      <c r="D1111" s="21" t="s">
        <v>1060</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923</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row>
    <row r="1114" spans="1:12">
      <c r="A1114" s="20" t="s">
        <v>1276</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1527</v>
      </c>
    </row>
    <row r="1116" spans="1:12">
      <c r="A1116" s="20" t="s">
        <v>607</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1528</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923</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607</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607</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1529</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1530</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1531</v>
      </c>
      <c r="B1123" s="21" t="s">
        <v>1058</v>
      </c>
      <c r="C1123" s="21" t="s">
        <v>1076</v>
      </c>
      <c r="D1123" s="21" t="s">
        <v>1060</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185</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1070</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1510</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1070</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1532</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1502</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1340</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1109</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1533</v>
      </c>
      <c r="B1132" s="21" t="s">
        <v>1079</v>
      </c>
      <c r="C1132" s="21" t="s">
        <v>1358</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1160</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1096</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1097</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1400</v>
      </c>
      <c r="B1136" s="21" t="s">
        <v>1064</v>
      </c>
      <c r="C1136" s="21" t="s">
        <v>1080</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1534</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1101</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1391</v>
      </c>
      <c r="B1139" s="21" t="s">
        <v>1099</v>
      </c>
      <c r="C1139" s="21" t="s">
        <v>1140</v>
      </c>
      <c r="D1139" s="21" t="s">
        <v>1060</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1282</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607</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row>
    <row r="1143" spans="1:12">
      <c r="A1143" s="20" t="s">
        <v>1276</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1535</v>
      </c>
    </row>
    <row r="1145" spans="1:12">
      <c r="A1145" s="20" t="s">
        <v>607</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1151</v>
      </c>
      <c r="B1146" s="21" t="s">
        <v>1058</v>
      </c>
      <c r="C1146" s="21" t="s">
        <v>1076</v>
      </c>
      <c r="D1146" s="21" t="s">
        <v>1060</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1530</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1256</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153</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1516</v>
      </c>
      <c r="B1150" s="21" t="s">
        <v>1097</v>
      </c>
      <c r="C1150" s="21" t="s">
        <v>1184</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1531</v>
      </c>
      <c r="B1151" s="21" t="s">
        <v>1084</v>
      </c>
      <c r="C1151" s="21" t="s">
        <v>1076</v>
      </c>
      <c r="D1151" s="21" t="s">
        <v>1060</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1340</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923</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607</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row>
    <row r="1156" spans="1:12">
      <c r="A1156" s="20" t="s">
        <v>1536</v>
      </c>
    </row>
    <row r="1157" spans="1:12">
      <c r="A1157" s="20" t="s">
        <v>1151</v>
      </c>
      <c r="B1157" s="21" t="s">
        <v>1058</v>
      </c>
      <c r="C1157" s="21" t="s">
        <v>1076</v>
      </c>
      <c r="D1157" s="21" t="s">
        <v>1060</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576</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1176</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1082</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1332</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1101</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1163</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1333</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1334</v>
      </c>
      <c r="B1165" s="21" t="s">
        <v>1079</v>
      </c>
      <c r="C1165" s="21" t="s">
        <v>1065</v>
      </c>
      <c r="D1165" s="21" t="s">
        <v>1060</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1502</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1537</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1077</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1538</v>
      </c>
      <c r="B1169" s="21" t="s">
        <v>1132</v>
      </c>
      <c r="C1169" s="21" t="s">
        <v>1080</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1070</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1539</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1330</v>
      </c>
      <c r="B1172" s="21" t="s">
        <v>1064</v>
      </c>
      <c r="C1172" s="21" t="s">
        <v>1149</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923</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row>
    <row r="1175" spans="1:12">
      <c r="A1175" s="20" t="s">
        <v>1540</v>
      </c>
    </row>
    <row r="1176" spans="1:12">
      <c r="A1176" s="20" t="s">
        <v>1240</v>
      </c>
      <c r="B1176" s="21" t="s">
        <v>1058</v>
      </c>
      <c r="C1176" s="21" t="s">
        <v>1076</v>
      </c>
      <c r="D1176" s="21" t="s">
        <v>1060</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1085</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1541</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1542</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1160</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1172</v>
      </c>
      <c r="B1181" s="21" t="s">
        <v>1068</v>
      </c>
      <c r="C1181" s="21" t="s">
        <v>1092</v>
      </c>
      <c r="D1181" s="21" t="s">
        <v>1060</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1543</v>
      </c>
      <c r="B1182" s="21" t="s">
        <v>1097</v>
      </c>
      <c r="C1182" s="21" t="s">
        <v>1059</v>
      </c>
      <c r="D1182" s="21" t="s">
        <v>1060</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1070</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1118</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1544</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1545</v>
      </c>
      <c r="B1186" s="21" t="s">
        <v>1132</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1257</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1546</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1077</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1424</v>
      </c>
      <c r="B1190" s="21" t="s">
        <v>1068</v>
      </c>
      <c r="C1190" s="21" t="s">
        <v>1080</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1204</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1082</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1206</v>
      </c>
      <c r="B1193" s="21" t="s">
        <v>1064</v>
      </c>
      <c r="C1193" s="21" t="s">
        <v>1159</v>
      </c>
      <c r="D1193" s="21" t="s">
        <v>1060</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1061</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1166</v>
      </c>
      <c r="B1195" s="21" t="s">
        <v>1099</v>
      </c>
      <c r="C1195" s="21" t="s">
        <v>1076</v>
      </c>
      <c r="D1195" s="21" t="s">
        <v>1060</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1070</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1423</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1070</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1156</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1547</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1118</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1548</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1549</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923</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row>
    <row r="1206" spans="1:12">
      <c r="A1206" s="20" t="s">
        <v>1550</v>
      </c>
    </row>
    <row r="1207" spans="1:12">
      <c r="A1207" s="20" t="s">
        <v>1138</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1551</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253</v>
      </c>
      <c r="B1209" s="21" t="s">
        <v>1097</v>
      </c>
      <c r="C1209" s="21" t="s">
        <v>1140</v>
      </c>
      <c r="D1209" s="21" t="s">
        <v>1060</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1204</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1074</v>
      </c>
      <c r="B1211" s="21" t="s">
        <v>1097</v>
      </c>
      <c r="C1211" s="21" t="s">
        <v>1076</v>
      </c>
      <c r="D1211" s="21" t="s">
        <v>1060</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1070</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1118</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1074</v>
      </c>
      <c r="B1214" s="21" t="s">
        <v>1079</v>
      </c>
      <c r="C1214" s="21" t="s">
        <v>1076</v>
      </c>
      <c r="D1214" s="21" t="s">
        <v>1060</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1460</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1546</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1077</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1163</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1552</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1553</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16</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1554</v>
      </c>
      <c r="B1222" s="21" t="s">
        <v>1068</v>
      </c>
      <c r="C1222" s="21" t="s">
        <v>1080</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1070</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1194</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1101</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1555</v>
      </c>
      <c r="B1226" s="21" t="s">
        <v>1097</v>
      </c>
      <c r="C1226" s="21" t="s">
        <v>1140</v>
      </c>
      <c r="D1226" s="21" t="s">
        <v>1060</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1061</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1101</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1556</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1557</v>
      </c>
      <c r="B1230" s="21" t="s">
        <v>1068</v>
      </c>
      <c r="C1230" s="21" t="s">
        <v>1140</v>
      </c>
      <c r="D1230" s="21" t="s">
        <v>1060</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1146</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1364</v>
      </c>
      <c r="B1232" s="21" t="s">
        <v>1097</v>
      </c>
      <c r="C1232" s="21" t="s">
        <v>1149</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1558</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1199</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1559</v>
      </c>
      <c r="B1235" s="21" t="s">
        <v>1099</v>
      </c>
      <c r="C1235" s="21" t="s">
        <v>1092</v>
      </c>
      <c r="D1235" s="21" t="s">
        <v>1060</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1560</v>
      </c>
      <c r="B1236" s="21" t="s">
        <v>1064</v>
      </c>
      <c r="C1236" s="21" t="s">
        <v>1059</v>
      </c>
      <c r="D1236" s="21" t="s">
        <v>1060</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923</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row>
    <row r="1239" spans="1:12">
      <c r="A1239" s="20" t="s">
        <v>1561</v>
      </c>
    </row>
    <row r="1240" spans="1:12">
      <c r="A1240" s="20" t="s">
        <v>1063</v>
      </c>
      <c r="B1240" s="21" t="s">
        <v>1068</v>
      </c>
      <c r="C1240" s="21" t="s">
        <v>1065</v>
      </c>
      <c r="D1240" s="21" t="s">
        <v>1060</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1066</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690</v>
      </c>
      <c r="B1242" s="21" t="s">
        <v>1058</v>
      </c>
      <c r="C1242" s="21" t="s">
        <v>1059</v>
      </c>
      <c r="D1242" s="21" t="s">
        <v>1060</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1085</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1501</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1448</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1074</v>
      </c>
      <c r="B1246" s="21" t="s">
        <v>1097</v>
      </c>
      <c r="C1246" s="21" t="s">
        <v>1076</v>
      </c>
      <c r="D1246" s="21" t="s">
        <v>1060</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1070</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1118</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1083</v>
      </c>
      <c r="B1249" s="21" t="s">
        <v>1079</v>
      </c>
      <c r="C1249" s="21" t="s">
        <v>1076</v>
      </c>
      <c r="D1249" s="21" t="s">
        <v>1060</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1562</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1563</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1146</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1083</v>
      </c>
      <c r="B1253" s="21" t="s">
        <v>1084</v>
      </c>
      <c r="C1253" s="21" t="s">
        <v>1076</v>
      </c>
      <c r="D1253" s="21" t="s">
        <v>1060</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1417</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1559</v>
      </c>
      <c r="B1255" s="21" t="s">
        <v>1099</v>
      </c>
      <c r="C1255" s="21" t="s">
        <v>1092</v>
      </c>
      <c r="D1255" s="21" t="s">
        <v>1060</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1564</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249</v>
      </c>
      <c r="B1257" s="21" t="s">
        <v>1136</v>
      </c>
      <c r="C1257" s="21" t="s">
        <v>1059</v>
      </c>
      <c r="D1257" s="21" t="s">
        <v>1060</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923</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row>
    <row r="1260" spans="1:12">
      <c r="A1260" s="20" t="s">
        <v>1276</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1565</v>
      </c>
    </row>
    <row r="1262" spans="1:12">
      <c r="A1262" s="20" t="s">
        <v>607</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1240</v>
      </c>
      <c r="B1263" s="21" t="s">
        <v>1058</v>
      </c>
      <c r="C1263" s="21" t="s">
        <v>1076</v>
      </c>
      <c r="D1263" s="21" t="s">
        <v>1060</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1066</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1566</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1448</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1166</v>
      </c>
      <c r="B1267" s="21" t="s">
        <v>1097</v>
      </c>
      <c r="C1267" s="21" t="s">
        <v>1076</v>
      </c>
      <c r="D1267" s="21" t="s">
        <v>1060</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1070</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1381</v>
      </c>
      <c r="B1269" s="21" t="s">
        <v>1068</v>
      </c>
      <c r="C1269" s="21" t="s">
        <v>1065</v>
      </c>
      <c r="D1269" s="21" t="s">
        <v>1060</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923</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607</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row>
    <row r="1273" spans="1:12">
      <c r="A1273" s="20" t="s">
        <v>1276</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1567</v>
      </c>
    </row>
    <row r="1275" spans="1:12">
      <c r="A1275" s="20" t="s">
        <v>607</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1568</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1082</v>
      </c>
      <c r="B1277" s="21" t="s">
        <v>1058</v>
      </c>
      <c r="C1277" s="21" t="s">
        <v>1122</v>
      </c>
      <c r="D1277" s="21" t="s">
        <v>1060</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1569</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1282</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607</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row>
    <row r="1282" spans="1:12">
      <c r="A1282" s="20" t="s">
        <v>1276</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1570</v>
      </c>
    </row>
    <row r="1284" spans="1:12">
      <c r="A1284" s="20" t="s">
        <v>607</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1571</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1569</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1070</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1071</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1572</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1072</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267</v>
      </c>
      <c r="B1291" s="21" t="s">
        <v>1097</v>
      </c>
      <c r="C1291" s="21" t="s">
        <v>1573</v>
      </c>
      <c r="D1291" s="21" t="s">
        <v>1060</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1199</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1574</v>
      </c>
      <c r="B1293" s="21" t="s">
        <v>1097</v>
      </c>
      <c r="C1293" s="21" t="s">
        <v>1149</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1115</v>
      </c>
      <c r="B1294" s="21" t="s">
        <v>1079</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1180</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576</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1575</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1288</v>
      </c>
      <c r="B1298" s="21" t="s">
        <v>1064</v>
      </c>
      <c r="C1298" s="21" t="s">
        <v>1092</v>
      </c>
      <c r="D1298" s="21" t="s">
        <v>1060</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1094</v>
      </c>
      <c r="B1299" s="21" t="s">
        <v>1132</v>
      </c>
      <c r="C1299" s="21" t="s">
        <v>1059</v>
      </c>
      <c r="D1299" s="21" t="s">
        <v>1060</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923</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row>
    <row r="1302" spans="1:12">
      <c r="A1302" s="20" t="s">
        <v>1576</v>
      </c>
    </row>
    <row r="1303" spans="1:12">
      <c r="A1303" s="20" t="s">
        <v>1508</v>
      </c>
      <c r="B1303" s="21" t="s">
        <v>1058</v>
      </c>
      <c r="C1303" s="21" t="s">
        <v>1076</v>
      </c>
      <c r="D1303" s="21" t="s">
        <v>1060</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1577</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1414</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185</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1142</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78</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1070</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1315</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923</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row>
    <row r="1313" spans="1:12">
      <c r="A1313" s="20" t="s">
        <v>1578</v>
      </c>
    </row>
    <row r="1314" spans="1:12">
      <c r="A1314" s="20" t="s">
        <v>1240</v>
      </c>
      <c r="B1314" s="21" t="s">
        <v>1058</v>
      </c>
      <c r="C1314" s="21" t="s">
        <v>1076</v>
      </c>
      <c r="D1314" s="21" t="s">
        <v>1060</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1340</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1579</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1580</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1581</v>
      </c>
      <c r="B1318" s="21" t="s">
        <v>1097</v>
      </c>
      <c r="C1318" s="21" t="s">
        <v>1358</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923</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row>
    <row r="1321" spans="1:12">
      <c r="A1321" s="20" t="s">
        <v>1276</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1582</v>
      </c>
    </row>
    <row r="1323" spans="1:12">
      <c r="A1323" s="20" t="s">
        <v>1226</v>
      </c>
      <c r="B1323" s="21" t="s">
        <v>1068</v>
      </c>
      <c r="C1323" s="21" t="s">
        <v>1092</v>
      </c>
      <c r="D1323" s="21" t="s">
        <v>1060</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1583</v>
      </c>
      <c r="B1324" s="21" t="s">
        <v>1058</v>
      </c>
      <c r="C1324" s="21" t="s">
        <v>1059</v>
      </c>
      <c r="D1324" s="21" t="s">
        <v>1060</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1118</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1584</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1090</v>
      </c>
      <c r="B1327" s="21" t="s">
        <v>1099</v>
      </c>
      <c r="C1327" s="21" t="s">
        <v>1092</v>
      </c>
      <c r="D1327" s="21" t="s">
        <v>1060</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1585</v>
      </c>
      <c r="B1328" s="21" t="s">
        <v>1084</v>
      </c>
      <c r="C1328" s="21" t="s">
        <v>1059</v>
      </c>
      <c r="D1328" s="21" t="s">
        <v>1060</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1073</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1586</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1199</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1090</v>
      </c>
      <c r="B1332" s="21" t="s">
        <v>1179</v>
      </c>
      <c r="C1332" s="21" t="s">
        <v>1076</v>
      </c>
      <c r="D1332" s="21" t="s">
        <v>1060</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1587</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1497</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1588</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1101</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1330</v>
      </c>
      <c r="B1337" s="21" t="s">
        <v>1099</v>
      </c>
      <c r="C1337" s="21" t="s">
        <v>1140</v>
      </c>
      <c r="D1337" s="21" t="s">
        <v>1060</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1340</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1332</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1101</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1420</v>
      </c>
      <c r="B1341" s="21" t="s">
        <v>1097</v>
      </c>
      <c r="C1341" s="21" t="s">
        <v>1140</v>
      </c>
      <c r="D1341" s="21" t="s">
        <v>1060</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923</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607</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row>
    <row r="1345" spans="1:12">
      <c r="A1345" s="20" t="s">
        <v>1589</v>
      </c>
    </row>
    <row r="1346" spans="1:12">
      <c r="A1346" s="20" t="s">
        <v>1138</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1590</v>
      </c>
      <c r="B1347" s="21" t="s">
        <v>1058</v>
      </c>
      <c r="C1347" s="21" t="s">
        <v>1140</v>
      </c>
      <c r="D1347" s="21" t="s">
        <v>1060</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1085</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1591</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1118</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1592</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1346</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1166</v>
      </c>
      <c r="B1353" s="21" t="s">
        <v>1068</v>
      </c>
      <c r="C1353" s="21" t="s">
        <v>1076</v>
      </c>
      <c r="D1353" s="21" t="s">
        <v>1060</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923</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row>
    <row r="1356" spans="1:12">
      <c r="A1356" s="20" t="s">
        <v>1593</v>
      </c>
    </row>
    <row r="1357" spans="1:12">
      <c r="A1357" s="20" t="s">
        <v>1138</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1594</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253</v>
      </c>
      <c r="B1359" s="21" t="s">
        <v>1097</v>
      </c>
      <c r="C1359" s="21" t="s">
        <v>1140</v>
      </c>
      <c r="D1359" s="21" t="s">
        <v>1060</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1197</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1118</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1595</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1070</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1271</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1077</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1596</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16</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1551</v>
      </c>
      <c r="B1368" s="21" t="s">
        <v>1079</v>
      </c>
      <c r="C1368" s="21" t="s">
        <v>1080</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1597</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1101</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1598</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1252</v>
      </c>
      <c r="B1372" s="21" t="s">
        <v>1132</v>
      </c>
      <c r="C1372" s="21" t="s">
        <v>1140</v>
      </c>
      <c r="D1372" s="21" t="s">
        <v>1060</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1160</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1077</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1599</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1070</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1600</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1533</v>
      </c>
      <c r="B1378" s="21" t="s">
        <v>1068</v>
      </c>
      <c r="C1378" s="21" t="s">
        <v>1080</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923</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row>
    <row r="1381" spans="1:12">
      <c r="A1381" s="20" t="s">
        <v>1601</v>
      </c>
    </row>
    <row r="1382" spans="1:12">
      <c r="A1382" s="20" t="s">
        <v>1602</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1166</v>
      </c>
      <c r="B1383" s="21" t="s">
        <v>1079</v>
      </c>
      <c r="C1383" s="21" t="s">
        <v>1076</v>
      </c>
      <c r="D1383" s="21" t="s">
        <v>1060</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502</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1101</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1201</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1603</v>
      </c>
      <c r="B1387" s="21" t="s">
        <v>1132</v>
      </c>
      <c r="C1387" s="21" t="s">
        <v>1140</v>
      </c>
      <c r="D1387" s="21" t="s">
        <v>1060</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1061</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1101</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1247</v>
      </c>
      <c r="B1390" s="21" t="s">
        <v>1064</v>
      </c>
      <c r="C1390" s="21" t="s">
        <v>1140</v>
      </c>
      <c r="D1390" s="21" t="s">
        <v>1060</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1070</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1074</v>
      </c>
      <c r="B1392" s="21" t="s">
        <v>1058</v>
      </c>
      <c r="C1392" s="21" t="s">
        <v>1076</v>
      </c>
      <c r="D1392" s="21" t="s">
        <v>1060</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1430</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1604</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1605</v>
      </c>
      <c r="B1395" s="21" t="s">
        <v>1097</v>
      </c>
      <c r="C1395" s="21" t="s">
        <v>1149</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1118</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1606</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1607</v>
      </c>
      <c r="B1398" s="21" t="s">
        <v>1097</v>
      </c>
      <c r="C1398" s="21" t="s">
        <v>1149</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1608</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1609</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1610</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1101</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1611</v>
      </c>
      <c r="B1403" s="21" t="s">
        <v>1091</v>
      </c>
      <c r="C1403" s="21" t="s">
        <v>1149</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16</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1612</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1613</v>
      </c>
      <c r="B1406" s="21" t="s">
        <v>1064</v>
      </c>
      <c r="C1406" s="21" t="s">
        <v>1140</v>
      </c>
      <c r="D1406" s="21" t="s">
        <v>1060</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923</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row>
    <row r="1409" spans="1:12">
      <c r="A1409" s="20" t="s">
        <v>1614</v>
      </c>
    </row>
    <row r="1410" spans="1:12">
      <c r="A1410" s="20" t="s">
        <v>1615</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1616</v>
      </c>
      <c r="B1411" s="21" t="s">
        <v>1097</v>
      </c>
      <c r="C1411" s="21" t="s">
        <v>1149</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1061</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1617</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1533</v>
      </c>
      <c r="B1414" s="21" t="s">
        <v>1097</v>
      </c>
      <c r="C1414" s="21" t="s">
        <v>1149</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1111</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1101</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1618</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1388</v>
      </c>
      <c r="B1418" s="21" t="s">
        <v>1097</v>
      </c>
      <c r="C1418" s="21" t="s">
        <v>1140</v>
      </c>
      <c r="D1418" s="21" t="s">
        <v>1060</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1619</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1467</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1101</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1427</v>
      </c>
      <c r="B1422" s="21" t="s">
        <v>1064</v>
      </c>
      <c r="C1422" s="21" t="s">
        <v>1140</v>
      </c>
      <c r="D1422" s="21" t="s">
        <v>1060</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1118</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1101</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1213</v>
      </c>
      <c r="B1425" s="21" t="s">
        <v>1097</v>
      </c>
      <c r="C1425" s="21" t="s">
        <v>1140</v>
      </c>
      <c r="D1425" s="21" t="s">
        <v>1060</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923</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row>
    <row r="1428" spans="1:12">
      <c r="A1428" s="20" t="s">
        <v>1620</v>
      </c>
    </row>
    <row r="1429" spans="1:12">
      <c r="A1429" s="20" t="s">
        <v>1057</v>
      </c>
      <c r="B1429" s="21" t="s">
        <v>1058</v>
      </c>
      <c r="C1429" s="21" t="s">
        <v>1059</v>
      </c>
      <c r="D1429" s="21" t="s">
        <v>1060</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1061</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1416</v>
      </c>
      <c r="B1431" s="21" t="s">
        <v>1068</v>
      </c>
      <c r="C1431" s="21" t="s">
        <v>1076</v>
      </c>
      <c r="D1431" s="21" t="s">
        <v>1060</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1085</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1621</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299</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1265</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923</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row>
    <row r="1438" spans="1:12">
      <c r="A1438" s="20" t="s">
        <v>1622</v>
      </c>
    </row>
    <row r="1439" spans="1:12">
      <c r="A1439" s="20" t="s">
        <v>1138</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1623</v>
      </c>
      <c r="B1440" s="21" t="s">
        <v>1058</v>
      </c>
      <c r="C1440" s="21" t="s">
        <v>1140</v>
      </c>
      <c r="D1440" s="21" t="s">
        <v>1060</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1152</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1475</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1101</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1391</v>
      </c>
      <c r="B1444" s="21" t="s">
        <v>1075</v>
      </c>
      <c r="C1444" s="21" t="s">
        <v>1140</v>
      </c>
      <c r="D1444" s="21" t="s">
        <v>1060</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923</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row>
    <row r="1447" spans="1:12">
      <c r="A1447" s="20" t="s">
        <v>1624</v>
      </c>
    </row>
    <row r="1448" spans="1:12">
      <c r="A1448" s="20" t="s">
        <v>1440</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1181</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1625</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1101</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1626</v>
      </c>
      <c r="B1452" s="21" t="s">
        <v>1075</v>
      </c>
      <c r="C1452" s="21" t="s">
        <v>1140</v>
      </c>
      <c r="D1452" s="21" t="s">
        <v>1060</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1160</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1101</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1399</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16</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1400</v>
      </c>
      <c r="B1457" s="21" t="s">
        <v>1097</v>
      </c>
      <c r="C1457" s="21" t="s">
        <v>1140</v>
      </c>
      <c r="D1457" s="21" t="s">
        <v>1060</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1516</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1101</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1355</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1441</v>
      </c>
      <c r="B1461" s="21" t="s">
        <v>1084</v>
      </c>
      <c r="C1461" s="21" t="s">
        <v>1394</v>
      </c>
      <c r="D1461" s="21" t="s">
        <v>1060</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1070</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1101</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1627</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1628</v>
      </c>
      <c r="B1465" s="21" t="s">
        <v>1099</v>
      </c>
      <c r="C1465" s="21" t="s">
        <v>1140</v>
      </c>
      <c r="D1465" s="21" t="s">
        <v>1060</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1118</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1101</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1629</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1514</v>
      </c>
      <c r="B1469" s="21" t="s">
        <v>1091</v>
      </c>
      <c r="C1469" s="21" t="s">
        <v>1140</v>
      </c>
      <c r="D1469" s="21" t="s">
        <v>1060</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1070</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1630</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1631</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1332</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1103</v>
      </c>
      <c r="B1474" s="21" t="s">
        <v>1099</v>
      </c>
      <c r="C1474" s="21" t="s">
        <v>1092</v>
      </c>
      <c r="D1474" s="21" t="s">
        <v>1060</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1453</v>
      </c>
      <c r="B1475" s="21" t="s">
        <v>1064</v>
      </c>
      <c r="C1475" s="21" t="s">
        <v>1059</v>
      </c>
      <c r="D1475" s="21" t="s">
        <v>1060</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923</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row>
    <row r="1478" spans="1:12">
      <c r="A1478" s="20" t="s">
        <v>1632</v>
      </c>
    </row>
    <row r="1479" spans="1:12">
      <c r="A1479" s="20" t="s">
        <v>1217</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311</v>
      </c>
      <c r="B1480" s="21" t="s">
        <v>1097</v>
      </c>
      <c r="C1480" s="21" t="s">
        <v>1207</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1082</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1539</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1633</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1634</v>
      </c>
      <c r="B1484" s="21" t="s">
        <v>1079</v>
      </c>
      <c r="C1484" s="21" t="s">
        <v>1149</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1115</v>
      </c>
      <c r="B1485" s="21" t="s">
        <v>1179</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1635</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1072</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1596</v>
      </c>
      <c r="B1488" s="21" t="s">
        <v>1095</v>
      </c>
      <c r="C1488" s="21" t="s">
        <v>1358</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1061</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1101</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1213</v>
      </c>
      <c r="B1491" s="21" t="s">
        <v>1091</v>
      </c>
      <c r="C1491" s="21" t="s">
        <v>1140</v>
      </c>
      <c r="D1491" s="21" t="s">
        <v>1060</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1085</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1541</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1636</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1118</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1636</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1088</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1101</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1247</v>
      </c>
      <c r="B1499" s="21" t="s">
        <v>1068</v>
      </c>
      <c r="C1499" s="21" t="s">
        <v>1140</v>
      </c>
      <c r="D1499" s="21" t="s">
        <v>1060</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923</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row>
    <row r="1502" spans="1:12">
      <c r="A1502" s="20" t="s">
        <v>1637</v>
      </c>
    </row>
    <row r="1503" spans="1:12">
      <c r="A1503" s="20" t="s">
        <v>1638</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1101</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1639</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1640</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1641</v>
      </c>
      <c r="B1507" s="21" t="s">
        <v>1058</v>
      </c>
      <c r="C1507" s="21" t="s">
        <v>1059</v>
      </c>
      <c r="D1507" s="21" t="s">
        <v>1060</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1061</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1074</v>
      </c>
      <c r="B1509" s="21" t="s">
        <v>1068</v>
      </c>
      <c r="C1509" s="21" t="s">
        <v>1076</v>
      </c>
      <c r="D1509" s="21" t="s">
        <v>1060</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1125</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1642</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1467</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1101</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1617</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1643</v>
      </c>
      <c r="B1515" s="21" t="s">
        <v>1097</v>
      </c>
      <c r="C1515" s="21" t="s">
        <v>1140</v>
      </c>
      <c r="D1515" s="21" t="s">
        <v>1060</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1061</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1101</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1644</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1438</v>
      </c>
      <c r="B1519" s="21" t="s">
        <v>1068</v>
      </c>
      <c r="C1519" s="21" t="s">
        <v>1140</v>
      </c>
      <c r="D1519" s="21" t="s">
        <v>1060</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923</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row>
    <row r="1522" spans="1:12">
      <c r="A1522" s="20" t="s">
        <v>1645</v>
      </c>
    </row>
    <row r="1523" spans="1:12">
      <c r="A1523" s="20" t="s">
        <v>1138</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1646</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1424</v>
      </c>
      <c r="B1525" s="21" t="s">
        <v>1058</v>
      </c>
      <c r="C1525" s="21" t="s">
        <v>1140</v>
      </c>
      <c r="D1525" s="21" t="s">
        <v>1060</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1061</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1101</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1427</v>
      </c>
      <c r="B1528" s="21" t="s">
        <v>1068</v>
      </c>
      <c r="C1528" s="21" t="s">
        <v>1140</v>
      </c>
      <c r="D1528" s="21" t="s">
        <v>1060</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1085</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1579</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1647</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1070</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1118</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1101</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1648</v>
      </c>
      <c r="B1535" s="21" t="s">
        <v>1079</v>
      </c>
      <c r="C1535" s="21" t="s">
        <v>1140</v>
      </c>
      <c r="D1535" s="21" t="s">
        <v>1060</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1125</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1649</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1497</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1061</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1077</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1650</v>
      </c>
      <c r="B1541" s="21" t="s">
        <v>1068</v>
      </c>
      <c r="C1541" s="21" t="s">
        <v>1080</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1061</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1539</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1651</v>
      </c>
      <c r="B1544" s="21" t="s">
        <v>1064</v>
      </c>
      <c r="C1544" s="21" t="s">
        <v>1149</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923</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row>
    <row r="1547" spans="1:12">
      <c r="A1547" s="20" t="s">
        <v>1652</v>
      </c>
    </row>
    <row r="1548" spans="1:12">
      <c r="A1548" s="20" t="s">
        <v>1287</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1170</v>
      </c>
      <c r="B1549" s="21" t="s">
        <v>1079</v>
      </c>
      <c r="C1549" s="21" t="s">
        <v>1076</v>
      </c>
      <c r="D1549" s="21" t="s">
        <v>1060</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1417</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1074</v>
      </c>
      <c r="B1551" s="21" t="s">
        <v>1132</v>
      </c>
      <c r="C1551" s="21" t="s">
        <v>1076</v>
      </c>
      <c r="D1551" s="21" t="s">
        <v>1060</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1101</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1330</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16</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1653</v>
      </c>
      <c r="B1555" s="21" t="s">
        <v>1058</v>
      </c>
      <c r="C1555" s="21" t="s">
        <v>1140</v>
      </c>
      <c r="D1555" s="21" t="s">
        <v>1060</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1108</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1654</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1324</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1655</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1656</v>
      </c>
      <c r="B1560" s="21" t="s">
        <v>1068</v>
      </c>
      <c r="C1560" s="21" t="s">
        <v>1394</v>
      </c>
      <c r="D1560" s="21" t="s">
        <v>1060</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1061</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1101</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1247</v>
      </c>
      <c r="B1563" s="21" t="s">
        <v>1064</v>
      </c>
      <c r="C1563" s="21" t="s">
        <v>1140</v>
      </c>
      <c r="D1563" s="21" t="s">
        <v>1060</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1118</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1657</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1542</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1376</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1072</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1538</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1658</v>
      </c>
      <c r="B1570" s="21" t="s">
        <v>1064</v>
      </c>
      <c r="C1570" s="21" t="s">
        <v>1358</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1070</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1204</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1115</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1101</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1659</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1660</v>
      </c>
      <c r="B1576" s="21" t="s">
        <v>1331</v>
      </c>
      <c r="C1576" s="21" t="s">
        <v>1140</v>
      </c>
      <c r="D1576" s="21" t="s">
        <v>1060</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1118</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1101</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1605</v>
      </c>
      <c r="B1579" s="21" t="s">
        <v>1104</v>
      </c>
      <c r="C1579" s="21" t="s">
        <v>1140</v>
      </c>
      <c r="D1579" s="21" t="s">
        <v>1060</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1661</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1546</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1077</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1662</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1663</v>
      </c>
      <c r="B1584" s="21" t="s">
        <v>1091</v>
      </c>
      <c r="C1584" s="21" t="s">
        <v>1080</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1199</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1077</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1664</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1665</v>
      </c>
      <c r="B1588" s="21" t="s">
        <v>1091</v>
      </c>
      <c r="C1588" s="21" t="s">
        <v>1080</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923</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row>
    <row r="1591" spans="1:12">
      <c r="A1591" s="20" t="s">
        <v>1666</v>
      </c>
    </row>
    <row r="1592" spans="1:12">
      <c r="A1592" s="20" t="s">
        <v>1063</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327</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1090</v>
      </c>
      <c r="B1594" s="21" t="s">
        <v>1068</v>
      </c>
      <c r="C1594" s="21" t="s">
        <v>1092</v>
      </c>
      <c r="D1594" s="21" t="s">
        <v>1060</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1667</v>
      </c>
      <c r="B1595" s="21" t="s">
        <v>1075</v>
      </c>
      <c r="C1595" s="21" t="s">
        <v>1059</v>
      </c>
      <c r="D1595" s="21" t="s">
        <v>1060</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1668</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1199</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1101</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1669</v>
      </c>
      <c r="B1599" s="21" t="s">
        <v>1097</v>
      </c>
      <c r="C1599" s="21" t="s">
        <v>1140</v>
      </c>
      <c r="D1599" s="21" t="s">
        <v>1060</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1160</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1165</v>
      </c>
      <c r="B1601" s="21" t="s">
        <v>1068</v>
      </c>
      <c r="C1601" s="21" t="s">
        <v>1059</v>
      </c>
      <c r="D1601" s="21" t="s">
        <v>1060</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1061</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1166</v>
      </c>
      <c r="B1603" s="21" t="s">
        <v>1064</v>
      </c>
      <c r="C1603" s="21" t="s">
        <v>1076</v>
      </c>
      <c r="D1603" s="21" t="s">
        <v>1060</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1118</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1670</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1090</v>
      </c>
      <c r="B1606" s="21" t="s">
        <v>1064</v>
      </c>
      <c r="C1606" s="21" t="s">
        <v>1092</v>
      </c>
      <c r="D1606" s="21" t="s">
        <v>1060</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1671</v>
      </c>
      <c r="B1607" s="21" t="s">
        <v>1132</v>
      </c>
      <c r="C1607" s="21" t="s">
        <v>1059</v>
      </c>
      <c r="D1607" s="21" t="s">
        <v>1060</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1160</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1090</v>
      </c>
      <c r="B1609" s="21" t="s">
        <v>1064</v>
      </c>
      <c r="C1609" s="21" t="s">
        <v>1092</v>
      </c>
      <c r="D1609" s="21" t="s">
        <v>1060</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1672</v>
      </c>
      <c r="B1610" s="21" t="s">
        <v>1068</v>
      </c>
      <c r="C1610" s="21" t="s">
        <v>1059</v>
      </c>
      <c r="D1610" s="21" t="s">
        <v>1060</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923</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row>
    <row r="1613" spans="1:12">
      <c r="A1613" s="20" t="s">
        <v>1276</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1673</v>
      </c>
    </row>
    <row r="1615" spans="1:12">
      <c r="A1615" s="20" t="s">
        <v>607</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1674</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1083</v>
      </c>
      <c r="B1617" s="21" t="s">
        <v>1079</v>
      </c>
      <c r="C1617" s="21" t="s">
        <v>1076</v>
      </c>
      <c r="D1617" s="21" t="s">
        <v>1060</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1340</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1414</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1497</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1160</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1077</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1675</v>
      </c>
      <c r="B1623" s="21" t="s">
        <v>1097</v>
      </c>
      <c r="C1623" s="21" t="s">
        <v>1080</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1061</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1366</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1676</v>
      </c>
      <c r="B1626" s="21" t="s">
        <v>1068</v>
      </c>
      <c r="C1626" s="21" t="s">
        <v>1080</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1101</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1420</v>
      </c>
      <c r="B1628" s="21" t="s">
        <v>1058</v>
      </c>
      <c r="C1628" s="21" t="s">
        <v>1140</v>
      </c>
      <c r="D1628" s="21" t="s">
        <v>1060</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1361</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185</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1635</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923</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row>
    <row r="1634" spans="1:12">
      <c r="A1634" s="20" t="s">
        <v>1276</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1677</v>
      </c>
    </row>
    <row r="1636" spans="1:12">
      <c r="A1636" s="20" t="s">
        <v>1678</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1596</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1366</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1676</v>
      </c>
      <c r="B1639" s="21" t="s">
        <v>1097</v>
      </c>
      <c r="C1639" s="21" t="s">
        <v>1080</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1170</v>
      </c>
      <c r="B1640" s="21" t="s">
        <v>1058</v>
      </c>
      <c r="C1640" s="21" t="s">
        <v>1076</v>
      </c>
      <c r="D1640" s="21" t="s">
        <v>1060</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1679</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1414</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185</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1680</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1088</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106</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1172</v>
      </c>
      <c r="B1647" s="21" t="s">
        <v>1064</v>
      </c>
      <c r="C1647" s="21" t="s">
        <v>1092</v>
      </c>
      <c r="D1647" s="21" t="s">
        <v>1060</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1681</v>
      </c>
      <c r="B1648" s="21" t="s">
        <v>1132</v>
      </c>
      <c r="C1648" s="21" t="s">
        <v>1059</v>
      </c>
      <c r="D1648" s="21" t="s">
        <v>1060</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1160</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1165</v>
      </c>
      <c r="B1650" s="21" t="s">
        <v>1068</v>
      </c>
      <c r="C1650" s="21" t="s">
        <v>1059</v>
      </c>
      <c r="D1650" s="21" t="s">
        <v>1060</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1061</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1166</v>
      </c>
      <c r="B1652" s="21" t="s">
        <v>1064</v>
      </c>
      <c r="C1652" s="21" t="s">
        <v>1076</v>
      </c>
      <c r="D1652" s="21" t="s">
        <v>1060</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923</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607</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row>
    <row r="1656" spans="1:12">
      <c r="A1656" s="20" t="s">
        <v>1276</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1682</v>
      </c>
    </row>
    <row r="1658" spans="1:12">
      <c r="A1658" s="20" t="s">
        <v>607</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1683</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1170</v>
      </c>
      <c r="B1660" s="21" t="s">
        <v>1058</v>
      </c>
      <c r="C1660" s="21" t="s">
        <v>1076</v>
      </c>
      <c r="D1660" s="21" t="s">
        <v>1060</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119</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1646</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1212</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1199</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1684</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1685</v>
      </c>
      <c r="B1666" s="21" t="s">
        <v>1097</v>
      </c>
      <c r="C1666" s="21" t="s">
        <v>1149</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1282</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607</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row>
    <row r="1670" spans="1:12">
      <c r="A1670" s="20" t="s">
        <v>1276</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1686</v>
      </c>
    </row>
    <row r="1672" spans="1:12">
      <c r="A1672" s="20" t="s">
        <v>607</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1371</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1070</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1151</v>
      </c>
      <c r="B1675" s="21" t="s">
        <v>1058</v>
      </c>
      <c r="C1675" s="21" t="s">
        <v>1076</v>
      </c>
      <c r="D1675" s="21" t="s">
        <v>1060</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153</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1074</v>
      </c>
      <c r="B1677" s="21" t="s">
        <v>1079</v>
      </c>
      <c r="C1677" s="21" t="s">
        <v>1076</v>
      </c>
      <c r="D1677" s="21" t="s">
        <v>1060</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1189</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185</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1146</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1548</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923</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607</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row>
    <row r="1685" spans="1:12">
      <c r="A1685" s="20" t="s">
        <v>1687</v>
      </c>
    </row>
    <row r="1686" spans="1:12">
      <c r="A1686" s="20" t="s">
        <v>1688</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1146</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1101</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1330</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16</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1658</v>
      </c>
      <c r="B1691" s="21" t="s">
        <v>1068</v>
      </c>
      <c r="C1691" s="21" t="s">
        <v>1140</v>
      </c>
      <c r="D1691" s="21" t="s">
        <v>1060</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1689</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1690</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1170</v>
      </c>
      <c r="B1694" s="21" t="s">
        <v>1079</v>
      </c>
      <c r="C1694" s="21" t="s">
        <v>1076</v>
      </c>
      <c r="D1694" s="21" t="s">
        <v>1060</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1691</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1212</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1588</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1074</v>
      </c>
      <c r="B1698" s="21" t="s">
        <v>1064</v>
      </c>
      <c r="C1698" s="21" t="s">
        <v>1076</v>
      </c>
      <c r="D1698" s="21" t="s">
        <v>1060</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1100</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1170</v>
      </c>
      <c r="B1700" s="21" t="s">
        <v>1084</v>
      </c>
      <c r="C1700" s="21" t="s">
        <v>1076</v>
      </c>
      <c r="D1700" s="21" t="s">
        <v>1060</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1125</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1596</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1077</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1692</v>
      </c>
      <c r="B1704" s="21" t="s">
        <v>1068</v>
      </c>
      <c r="C1704" s="21" t="s">
        <v>1080</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1111</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1101</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1247</v>
      </c>
      <c r="B1707" s="21" t="s">
        <v>1064</v>
      </c>
      <c r="C1707" s="21" t="s">
        <v>1140</v>
      </c>
      <c r="D1707" s="21" t="s">
        <v>1060</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1070</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1118</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1630</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1082</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1538</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1539</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1665</v>
      </c>
      <c r="B1714" s="21" t="s">
        <v>1068</v>
      </c>
      <c r="C1714" s="21" t="s">
        <v>1159</v>
      </c>
      <c r="D1714" s="21" t="s">
        <v>1060</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1070</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1194</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1101</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1551</v>
      </c>
      <c r="B1718" s="21" t="s">
        <v>1084</v>
      </c>
      <c r="C1718" s="21" t="s">
        <v>1140</v>
      </c>
      <c r="D1718" s="21" t="s">
        <v>1060</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1693</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1559</v>
      </c>
      <c r="B1720" s="21" t="s">
        <v>1099</v>
      </c>
      <c r="C1720" s="21" t="s">
        <v>1092</v>
      </c>
      <c r="D1720" s="21" t="s">
        <v>1060</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1659</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1694</v>
      </c>
      <c r="B1722" s="21" t="s">
        <v>1136</v>
      </c>
      <c r="C1722" s="21" t="s">
        <v>1059</v>
      </c>
      <c r="D1722" s="21" t="s">
        <v>1060</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1070</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1695</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1542</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1118</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1696</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1204</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923</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row>
    <row r="1731" spans="1:12">
      <c r="A1731" s="20" t="s">
        <v>1276</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1697</v>
      </c>
    </row>
    <row r="1733" spans="1:12">
      <c r="A1733" s="20" t="s">
        <v>607</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1254</v>
      </c>
      <c r="B1734" s="21" t="s">
        <v>1079</v>
      </c>
      <c r="C1734" s="21" t="s">
        <v>1076</v>
      </c>
      <c r="D1734" s="21" t="s">
        <v>1060</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1303</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1698</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1699</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1700</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1070</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607</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1176</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1063</v>
      </c>
      <c r="B1742" s="21" t="s">
        <v>1058</v>
      </c>
      <c r="C1742" s="21" t="s">
        <v>1065</v>
      </c>
      <c r="D1742" s="21" t="s">
        <v>1060</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923</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row>
    <row r="1745" spans="1:12">
      <c r="A1745" s="20" t="s">
        <v>1276</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1701</v>
      </c>
    </row>
    <row r="1747" spans="1:12">
      <c r="A1747" s="20" t="s">
        <v>607</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1254</v>
      </c>
      <c r="B1748" s="21" t="s">
        <v>1058</v>
      </c>
      <c r="C1748" s="21" t="s">
        <v>1076</v>
      </c>
      <c r="D1748" s="21" t="s">
        <v>1060</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354</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1256</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1134</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1101</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1702</v>
      </c>
      <c r="B1753" s="21" t="s">
        <v>1132</v>
      </c>
      <c r="C1753" s="21" t="s">
        <v>1140</v>
      </c>
      <c r="D1753" s="21" t="s">
        <v>1060</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1061</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1090</v>
      </c>
      <c r="B1755" s="21" t="s">
        <v>1179</v>
      </c>
      <c r="C1755" s="21" t="s">
        <v>1076</v>
      </c>
      <c r="D1755" s="21" t="s">
        <v>1060</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1703</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1704</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1588</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1083</v>
      </c>
      <c r="B1759" s="21" t="s">
        <v>1331</v>
      </c>
      <c r="C1759" s="21" t="s">
        <v>1076</v>
      </c>
      <c r="D1759" s="21" t="s">
        <v>1060</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1530</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978</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1166</v>
      </c>
      <c r="B1762" s="21" t="s">
        <v>1121</v>
      </c>
      <c r="C1762" s="21" t="s">
        <v>1076</v>
      </c>
      <c r="D1762" s="21" t="s">
        <v>1060</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923</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row>
    <row r="1765" spans="1:12">
      <c r="A1765" s="20" t="s">
        <v>1276</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1705</v>
      </c>
    </row>
    <row r="1767" spans="1:12">
      <c r="A1767" s="20" t="s">
        <v>1706</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1707</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1708</v>
      </c>
      <c r="B1769" s="21" t="s">
        <v>1097</v>
      </c>
      <c r="C1769" s="21" t="s">
        <v>1080</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1170</v>
      </c>
      <c r="B1770" s="21" t="s">
        <v>1058</v>
      </c>
      <c r="C1770" s="21" t="s">
        <v>1076</v>
      </c>
      <c r="D1770" s="21" t="s">
        <v>1060</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1344</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358</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1172</v>
      </c>
      <c r="B1773" s="21" t="s">
        <v>1068</v>
      </c>
      <c r="C1773" s="21" t="s">
        <v>1092</v>
      </c>
      <c r="D1773" s="21" t="s">
        <v>1060</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1685</v>
      </c>
      <c r="B1774" s="21" t="s">
        <v>1075</v>
      </c>
      <c r="C1774" s="21" t="s">
        <v>1059</v>
      </c>
      <c r="D1774" s="21" t="s">
        <v>1060</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1516</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1170</v>
      </c>
      <c r="B1776" s="21" t="s">
        <v>1079</v>
      </c>
      <c r="C1776" s="21" t="s">
        <v>1076</v>
      </c>
      <c r="D1776" s="21" t="s">
        <v>1060</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1303</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923</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607</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row>
    <row r="1781" spans="1:12">
      <c r="A1781" s="20" t="s">
        <v>1709</v>
      </c>
    </row>
    <row r="1782" spans="1:12">
      <c r="A1782" s="20" t="s">
        <v>1508</v>
      </c>
      <c r="B1782" s="21" t="s">
        <v>1058</v>
      </c>
      <c r="C1782" s="21" t="s">
        <v>1076</v>
      </c>
      <c r="D1782" s="21" t="s">
        <v>1060</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1710</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1204</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1090</v>
      </c>
      <c r="B1785" s="21" t="s">
        <v>1068</v>
      </c>
      <c r="C1785" s="21" t="s">
        <v>1092</v>
      </c>
      <c r="D1785" s="21" t="s">
        <v>1060</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1711</v>
      </c>
      <c r="B1786" s="21" t="s">
        <v>1097</v>
      </c>
      <c r="C1786" s="21" t="s">
        <v>1059</v>
      </c>
      <c r="D1786" s="21" t="s">
        <v>1060</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1118</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1712</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1090</v>
      </c>
      <c r="B1789" s="21" t="s">
        <v>1064</v>
      </c>
      <c r="C1789" s="21" t="s">
        <v>1092</v>
      </c>
      <c r="D1789" s="21" t="s">
        <v>1060</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1713</v>
      </c>
      <c r="B1790" s="21" t="s">
        <v>1132</v>
      </c>
      <c r="C1790" s="21" t="s">
        <v>1059</v>
      </c>
      <c r="D1790" s="21" t="s">
        <v>1060</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1088</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1101</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1685</v>
      </c>
      <c r="B1793" s="21" t="s">
        <v>1064</v>
      </c>
      <c r="C1793" s="21" t="s">
        <v>1140</v>
      </c>
      <c r="D1793" s="21" t="s">
        <v>1060</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923</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row>
    <row r="1796" spans="1:12">
      <c r="A1796" s="20" t="s">
        <v>1276</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1714</v>
      </c>
    </row>
    <row r="1798" spans="1:12">
      <c r="A1798" s="20" t="s">
        <v>607</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1715</v>
      </c>
      <c r="B1799" s="21" t="s">
        <v>1097</v>
      </c>
      <c r="C1799" s="21" t="s">
        <v>1149</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1716</v>
      </c>
      <c r="B1800" s="21" t="s">
        <v>1097</v>
      </c>
      <c r="C1800" s="21" t="s">
        <v>1065</v>
      </c>
      <c r="D1800" s="21" t="s">
        <v>1060</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1070</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1151</v>
      </c>
      <c r="B1802" s="21" t="s">
        <v>1079</v>
      </c>
      <c r="C1802" s="21" t="s">
        <v>1076</v>
      </c>
      <c r="D1802" s="21" t="s">
        <v>1060</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153</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1082</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1151</v>
      </c>
      <c r="B1805" s="21" t="s">
        <v>1084</v>
      </c>
      <c r="C1805" s="21" t="s">
        <v>1076</v>
      </c>
      <c r="D1805" s="21" t="s">
        <v>1060</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209</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1127</v>
      </c>
      <c r="B1807" s="21" t="s">
        <v>1136</v>
      </c>
      <c r="C1807" s="21" t="s">
        <v>1076</v>
      </c>
      <c r="D1807" s="21" t="s">
        <v>1060</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1587</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923</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607</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row>
    <row r="1812" spans="1:12">
      <c r="A1812" s="20" t="s">
        <v>1717</v>
      </c>
    </row>
    <row r="1813" spans="1:12">
      <c r="A1813" s="20" t="s">
        <v>1317</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1486</v>
      </c>
      <c r="B1814" s="21" t="s">
        <v>1058</v>
      </c>
      <c r="C1814" s="21" t="s">
        <v>1080</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1061</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1718</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1490</v>
      </c>
      <c r="B1817" s="21" t="s">
        <v>1068</v>
      </c>
      <c r="C1817" s="21" t="s">
        <v>1149</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1719</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1101</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1720</v>
      </c>
      <c r="B1820" s="21" t="s">
        <v>1075</v>
      </c>
      <c r="C1820" s="21" t="s">
        <v>1140</v>
      </c>
      <c r="D1820" s="21" t="s">
        <v>1060</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1061</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1101</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1213</v>
      </c>
      <c r="B1823" s="21" t="s">
        <v>1068</v>
      </c>
      <c r="C1823" s="21" t="s">
        <v>1140</v>
      </c>
      <c r="D1823" s="21" t="s">
        <v>1060</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923</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row>
    <row r="1826" spans="1:12">
      <c r="A1826" s="20" t="s">
        <v>1721</v>
      </c>
    </row>
    <row r="1827" spans="1:12">
      <c r="A1827" s="20" t="s">
        <v>1722</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1723</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1101</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1724</v>
      </c>
      <c r="B1830" s="21" t="s">
        <v>1068</v>
      </c>
      <c r="C1830" s="21" t="s">
        <v>1140</v>
      </c>
      <c r="D1830" s="21" t="s">
        <v>1060</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1170</v>
      </c>
      <c r="B1831" s="21" t="s">
        <v>1058</v>
      </c>
      <c r="C1831" s="21" t="s">
        <v>1076</v>
      </c>
      <c r="D1831" s="21" t="s">
        <v>1060</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1725</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1726</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1168</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1101</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1611</v>
      </c>
      <c r="B1836" s="21" t="s">
        <v>1064</v>
      </c>
      <c r="C1836" s="21" t="s">
        <v>1149</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16</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1727</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1658</v>
      </c>
      <c r="B1839" s="21" t="s">
        <v>1097</v>
      </c>
      <c r="C1839" s="21" t="s">
        <v>1140</v>
      </c>
      <c r="D1839" s="21" t="s">
        <v>1060</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1160</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1165</v>
      </c>
      <c r="B1841" s="21" t="s">
        <v>1097</v>
      </c>
      <c r="C1841" s="21" t="s">
        <v>1059</v>
      </c>
      <c r="D1841" s="21" t="s">
        <v>1060</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1061</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1166</v>
      </c>
      <c r="B1843" s="21" t="s">
        <v>1068</v>
      </c>
      <c r="C1843" s="21" t="s">
        <v>1076</v>
      </c>
      <c r="D1843" s="21" t="s">
        <v>1060</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923</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row>
    <row r="1846" spans="1:12">
      <c r="A1846" s="20" t="s">
        <v>1728</v>
      </c>
    </row>
    <row r="1847" spans="1:12">
      <c r="A1847" s="20" t="s">
        <v>1138</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1490</v>
      </c>
      <c r="B1848" s="21" t="s">
        <v>1058</v>
      </c>
      <c r="C1848" s="21" t="s">
        <v>1140</v>
      </c>
      <c r="D1848" s="21" t="s">
        <v>1060</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1729</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1730</v>
      </c>
      <c r="B1850" s="21" t="s">
        <v>1075</v>
      </c>
      <c r="C1850" s="21" t="s">
        <v>1149</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1070</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1118</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1436</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1101</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1330</v>
      </c>
      <c r="B1855" s="21" t="s">
        <v>1097</v>
      </c>
      <c r="C1855" s="21" t="s">
        <v>1140</v>
      </c>
      <c r="D1855" s="21" t="s">
        <v>1060</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1070</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1146</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1436</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1077</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1731</v>
      </c>
      <c r="B1860" s="21" t="s">
        <v>1068</v>
      </c>
      <c r="C1860" s="21" t="s">
        <v>1080</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1070</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1502</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1732</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1101</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1733</v>
      </c>
      <c r="B1865" s="21" t="s">
        <v>1132</v>
      </c>
      <c r="C1865" s="21" t="s">
        <v>1140</v>
      </c>
      <c r="D1865" s="21" t="s">
        <v>1060</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1734</v>
      </c>
      <c r="B1866" s="21" t="s">
        <v>1095</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1170</v>
      </c>
      <c r="B1867" s="21" t="s">
        <v>1179</v>
      </c>
      <c r="C1867" s="21" t="s">
        <v>1076</v>
      </c>
      <c r="D1867" s="21" t="s">
        <v>1060</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1125</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1735</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923</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row>
    <row r="1872" spans="1:12">
      <c r="A1872" s="20" t="s">
        <v>1736</v>
      </c>
    </row>
    <row r="1873" spans="1:12">
      <c r="A1873" s="20" t="s">
        <v>1508</v>
      </c>
      <c r="B1873" s="21" t="s">
        <v>1058</v>
      </c>
      <c r="C1873" s="21" t="s">
        <v>1076</v>
      </c>
      <c r="D1873" s="21" t="s">
        <v>1060</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1460</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1324</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1127</v>
      </c>
      <c r="B1876" s="21" t="s">
        <v>1075</v>
      </c>
      <c r="C1876" s="21" t="s">
        <v>1076</v>
      </c>
      <c r="D1876" s="21" t="s">
        <v>1060</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1160</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1119</v>
      </c>
      <c r="B1878" s="21" t="s">
        <v>1097</v>
      </c>
      <c r="C1878" s="21" t="s">
        <v>1149</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1146</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1083</v>
      </c>
      <c r="B1880" s="21" t="s">
        <v>1079</v>
      </c>
      <c r="C1880" s="21" t="s">
        <v>1076</v>
      </c>
      <c r="D1880" s="21" t="s">
        <v>1060</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1737</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1376</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1101</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1591</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1070</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1738</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1590</v>
      </c>
      <c r="B1887" s="21" t="s">
        <v>1068</v>
      </c>
      <c r="C1887" s="21" t="s">
        <v>1140</v>
      </c>
      <c r="D1887" s="21" t="s">
        <v>1060</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923</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row>
    <row r="1890" spans="1:12">
      <c r="A1890" s="20" t="s">
        <v>1739</v>
      </c>
    </row>
    <row r="1891" spans="1:12">
      <c r="A1891" s="20" t="s">
        <v>1740</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1083</v>
      </c>
      <c r="B1892" s="21" t="s">
        <v>1058</v>
      </c>
      <c r="C1892" s="21" t="s">
        <v>1076</v>
      </c>
      <c r="D1892" s="21" t="s">
        <v>1060</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1108</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1741</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1350</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1101</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1420</v>
      </c>
      <c r="B1897" s="21" t="s">
        <v>1097</v>
      </c>
      <c r="C1897" s="21" t="s">
        <v>1140</v>
      </c>
      <c r="D1897" s="21" t="s">
        <v>1060</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1070</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1245</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1310</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1088</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1516</v>
      </c>
      <c r="B1902" s="21" t="s">
        <v>1064</v>
      </c>
      <c r="C1902" s="21" t="s">
        <v>1184</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1170</v>
      </c>
      <c r="B1903" s="21" t="s">
        <v>1331</v>
      </c>
      <c r="C1903" s="21" t="s">
        <v>1076</v>
      </c>
      <c r="D1903" s="21" t="s">
        <v>1060</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502</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1070</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1118</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1742</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1204</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1257</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1101</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78</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1743</v>
      </c>
      <c r="B1912" s="21" t="s">
        <v>1132</v>
      </c>
      <c r="C1912" s="21" t="s">
        <v>1140</v>
      </c>
      <c r="D1912" s="21" t="s">
        <v>1060</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1422</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1166</v>
      </c>
      <c r="B1914" s="21" t="s">
        <v>1064</v>
      </c>
      <c r="C1914" s="21" t="s">
        <v>1076</v>
      </c>
      <c r="D1914" s="21" t="s">
        <v>1060</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923</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row>
    <row r="1917" spans="1:12">
      <c r="A1917" s="20" t="s">
        <v>1744</v>
      </c>
    </row>
    <row r="1918" spans="1:12">
      <c r="A1918" s="20" t="s">
        <v>1287</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1083</v>
      </c>
      <c r="B1919" s="21" t="s">
        <v>1079</v>
      </c>
      <c r="C1919" s="21" t="s">
        <v>1076</v>
      </c>
      <c r="D1919" s="21" t="s">
        <v>1060</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1745</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1083</v>
      </c>
      <c r="B1921" s="21" t="s">
        <v>1058</v>
      </c>
      <c r="C1921" s="21" t="s">
        <v>1076</v>
      </c>
      <c r="D1921" s="21" t="s">
        <v>1060</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1746</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1747</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1332</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1205</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1748</v>
      </c>
      <c r="B1926" s="21" t="s">
        <v>1097</v>
      </c>
      <c r="C1926" s="21" t="s">
        <v>1207</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1070</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1546</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1077</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1733</v>
      </c>
      <c r="B1930" s="21" t="s">
        <v>1068</v>
      </c>
      <c r="C1930" s="21" t="s">
        <v>1080</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1123</v>
      </c>
      <c r="B1931" s="21" t="s">
        <v>1179</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1340</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1468</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1168</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1749</v>
      </c>
      <c r="B1935" s="21" t="s">
        <v>1099</v>
      </c>
      <c r="C1935" s="21" t="s">
        <v>1149</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923</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row>
    <row r="1938" spans="1:12">
      <c r="A1938" s="20" t="s">
        <v>1276</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1750</v>
      </c>
    </row>
    <row r="1940" spans="1:12">
      <c r="A1940" s="20" t="s">
        <v>607</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1751</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1300</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607</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1752</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1063</v>
      </c>
      <c r="B1945" s="21" t="s">
        <v>1075</v>
      </c>
      <c r="C1945" s="21" t="s">
        <v>1065</v>
      </c>
      <c r="D1945" s="21" t="s">
        <v>1060</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1070</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1118</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1151</v>
      </c>
      <c r="B1948" s="21" t="s">
        <v>1079</v>
      </c>
      <c r="C1948" s="21" t="s">
        <v>1076</v>
      </c>
      <c r="D1948" s="21" t="s">
        <v>1060</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1483</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1101</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1753</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1754</v>
      </c>
      <c r="B1952" s="21" t="s">
        <v>1132</v>
      </c>
      <c r="C1952" s="21" t="s">
        <v>1140</v>
      </c>
      <c r="D1952" s="21" t="s">
        <v>1060</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1061</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1077</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1755</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1756</v>
      </c>
      <c r="B1956" s="21" t="s">
        <v>1064</v>
      </c>
      <c r="C1956" s="21" t="s">
        <v>1080</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923</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row>
    <row r="1959" spans="1:12">
      <c r="A1959" s="20" t="s">
        <v>1276</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1757</v>
      </c>
    </row>
    <row r="1961" spans="1:12">
      <c r="A1961" s="20" t="s">
        <v>607</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1758</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1497</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1300</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row>
    <row r="1966" spans="1:12">
      <c r="A1966" s="20" t="s">
        <v>1276</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1759</v>
      </c>
    </row>
    <row r="1968" spans="1:12">
      <c r="A1968" s="20" t="s">
        <v>1240</v>
      </c>
      <c r="B1968" s="21" t="s">
        <v>1058</v>
      </c>
      <c r="C1968" s="21" t="s">
        <v>1076</v>
      </c>
      <c r="D1968" s="21" t="s">
        <v>1060</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1066</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1587</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1300</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607</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row>
    <row r="1974" spans="1:12">
      <c r="A1974" s="20" t="s">
        <v>1760</v>
      </c>
    </row>
    <row r="1975" spans="1:12">
      <c r="A1975" s="20" t="s">
        <v>1440</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1085</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1077</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1640</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1070</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1485</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1070</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1761</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1762</v>
      </c>
      <c r="B1983" s="21" t="s">
        <v>1058</v>
      </c>
      <c r="C1983" s="21" t="s">
        <v>1080</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1111</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1763</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1160</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1101</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1764</v>
      </c>
      <c r="B1988" s="21" t="s">
        <v>1068</v>
      </c>
      <c r="C1988" s="21" t="s">
        <v>1140</v>
      </c>
      <c r="D1988" s="21" t="s">
        <v>1060</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1061</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1082</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1654</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1658</v>
      </c>
      <c r="B1992" s="21" t="s">
        <v>1064</v>
      </c>
      <c r="C1992" s="21" t="s">
        <v>1149</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923</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row>
    <row r="1995" spans="1:12">
      <c r="A1995" s="20" t="s">
        <v>1765</v>
      </c>
    </row>
    <row r="1996" spans="1:12">
      <c r="A1996" s="20" t="s">
        <v>1138</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1766</v>
      </c>
      <c r="B1997" s="21" t="s">
        <v>1058</v>
      </c>
      <c r="C1997" s="21" t="s">
        <v>1140</v>
      </c>
      <c r="D1997" s="21" t="s">
        <v>1060</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1085</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1506</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1767</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1357</v>
      </c>
      <c r="B2001" s="21" t="s">
        <v>1097</v>
      </c>
      <c r="C2001" s="21" t="s">
        <v>1358</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1061</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1516</v>
      </c>
      <c r="B2003" s="21" t="s">
        <v>1097</v>
      </c>
      <c r="C2003" s="21" t="s">
        <v>1184</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1170</v>
      </c>
      <c r="B2004" s="21" t="s">
        <v>1084</v>
      </c>
      <c r="C2004" s="21" t="s">
        <v>1076</v>
      </c>
      <c r="D2004" s="21" t="s">
        <v>1060</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502</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1070</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1118</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1170</v>
      </c>
      <c r="B2008" s="21" t="s">
        <v>1079</v>
      </c>
      <c r="C2008" s="21" t="s">
        <v>1076</v>
      </c>
      <c r="D2008" s="21" t="s">
        <v>1060</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1768</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1168</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1074</v>
      </c>
      <c r="B2011" s="21" t="s">
        <v>1068</v>
      </c>
      <c r="C2011" s="21" t="s">
        <v>1076</v>
      </c>
      <c r="D2011" s="21" t="s">
        <v>1060</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1070</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1707</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1769</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1070</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1600</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1183</v>
      </c>
      <c r="B2017" s="21" t="s">
        <v>1099</v>
      </c>
      <c r="C2017" s="21" t="s">
        <v>1184</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1770</v>
      </c>
      <c r="B2018" s="21" t="s">
        <v>1084</v>
      </c>
      <c r="C2018" s="21" t="s">
        <v>1207</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1085</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1171</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1088</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370</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1111</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1101</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1764</v>
      </c>
      <c r="B2025" s="21" t="s">
        <v>1099</v>
      </c>
      <c r="C2025" s="21" t="s">
        <v>1059</v>
      </c>
      <c r="D2025" s="21" t="s">
        <v>1060</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1061</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1074</v>
      </c>
      <c r="B2027" s="21" t="s">
        <v>1091</v>
      </c>
      <c r="C2027" s="21" t="s">
        <v>1076</v>
      </c>
      <c r="D2027" s="21" t="s">
        <v>1060</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923</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row>
    <row r="2030" spans="1:12">
      <c r="A2030" s="20" t="s">
        <v>1771</v>
      </c>
    </row>
    <row r="2031" spans="1:12">
      <c r="A2031" s="20" t="s">
        <v>1151</v>
      </c>
      <c r="B2031" s="21" t="s">
        <v>1058</v>
      </c>
      <c r="C2031" s="21" t="s">
        <v>1076</v>
      </c>
      <c r="D2031" s="21" t="s">
        <v>1060</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1085</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1168</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1063</v>
      </c>
      <c r="B2034" s="21" t="s">
        <v>1097</v>
      </c>
      <c r="C2034" s="21" t="s">
        <v>1065</v>
      </c>
      <c r="D2034" s="21" t="s">
        <v>1060</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1066</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1772</v>
      </c>
      <c r="B2036" s="21" t="s">
        <v>1097</v>
      </c>
      <c r="C2036" s="21" t="s">
        <v>1059</v>
      </c>
      <c r="D2036" s="21" t="s">
        <v>1060</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1070</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1118</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1151</v>
      </c>
      <c r="B2039" s="21" t="s">
        <v>1079</v>
      </c>
      <c r="C2039" s="21" t="s">
        <v>1076</v>
      </c>
      <c r="D2039" s="21" t="s">
        <v>1060</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1746</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1144</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1366</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1102</v>
      </c>
      <c r="B2043" s="21" t="s">
        <v>1068</v>
      </c>
      <c r="C2043" s="21" t="s">
        <v>1080</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1168</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1090</v>
      </c>
      <c r="B2045" s="21" t="s">
        <v>1099</v>
      </c>
      <c r="C2045" s="21" t="s">
        <v>1092</v>
      </c>
      <c r="D2045" s="21" t="s">
        <v>1060</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690</v>
      </c>
      <c r="B2046" s="21" t="s">
        <v>1064</v>
      </c>
      <c r="C2046" s="21" t="s">
        <v>1059</v>
      </c>
      <c r="D2046" s="21" t="s">
        <v>1060</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923</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row>
    <row r="2049" spans="1:12">
      <c r="A2049" s="20" t="s">
        <v>1773</v>
      </c>
    </row>
    <row r="2050" spans="1:12">
      <c r="A2050" s="20" t="s">
        <v>1240</v>
      </c>
      <c r="B2050" s="21" t="s">
        <v>1058</v>
      </c>
      <c r="C2050" s="21" t="s">
        <v>1076</v>
      </c>
      <c r="D2050" s="21" t="s">
        <v>1060</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1085</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1461</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1118</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1774</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1070</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1090</v>
      </c>
      <c r="B2056" s="21" t="s">
        <v>1068</v>
      </c>
      <c r="C2056" s="21" t="s">
        <v>1092</v>
      </c>
      <c r="D2056" s="21" t="s">
        <v>1060</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1775</v>
      </c>
      <c r="B2057" s="21" t="s">
        <v>1097</v>
      </c>
      <c r="C2057" s="21" t="s">
        <v>1059</v>
      </c>
      <c r="D2057" s="21" t="s">
        <v>1060</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1776</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1396</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1160</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1101</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1777</v>
      </c>
      <c r="B2062" s="21" t="s">
        <v>1064</v>
      </c>
      <c r="C2062" s="21" t="s">
        <v>1140</v>
      </c>
      <c r="D2062" s="21" t="s">
        <v>1060</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923</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row>
    <row r="2065" spans="1:12">
      <c r="A2065" s="20" t="s">
        <v>1778</v>
      </c>
    </row>
    <row r="2066" spans="1:12">
      <c r="A2066" s="20" t="s">
        <v>1779</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1621</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1390</v>
      </c>
      <c r="B2068" s="21" t="s">
        <v>1058</v>
      </c>
      <c r="C2068" s="21" t="s">
        <v>1076</v>
      </c>
      <c r="D2068" s="21" t="s">
        <v>1060</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1272</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1408</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1160</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1077</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1780</v>
      </c>
      <c r="B2073" s="21" t="s">
        <v>1097</v>
      </c>
      <c r="C2073" s="21" t="s">
        <v>1080</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1070</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1781</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374</v>
      </c>
      <c r="B2076" s="21" t="s">
        <v>1132</v>
      </c>
      <c r="C2076" s="21" t="s">
        <v>1149</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1070</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1118</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1090</v>
      </c>
      <c r="B2079" s="21" t="s">
        <v>1068</v>
      </c>
      <c r="C2079" s="21" t="s">
        <v>1092</v>
      </c>
      <c r="D2079" s="21" t="s">
        <v>1060</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1782</v>
      </c>
      <c r="B2080" s="21" t="s">
        <v>1097</v>
      </c>
      <c r="C2080" s="21" t="s">
        <v>1059</v>
      </c>
      <c r="D2080" s="21" t="s">
        <v>1060</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1783</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1160</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1784</v>
      </c>
      <c r="B2083" s="21" t="s">
        <v>1064</v>
      </c>
      <c r="C2083" s="21" t="s">
        <v>1149</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923</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row>
    <row r="2086" spans="1:12">
      <c r="A2086" s="20" t="s">
        <v>1785</v>
      </c>
    </row>
    <row r="2087" spans="1:12">
      <c r="A2087" s="20" t="s">
        <v>1706</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1101</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1786</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1102</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1281</v>
      </c>
      <c r="B2091" s="21" t="s">
        <v>1097</v>
      </c>
      <c r="C2091" s="21" t="s">
        <v>1065</v>
      </c>
      <c r="D2091" s="21" t="s">
        <v>1060</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1787</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1077</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1788</v>
      </c>
      <c r="B2094" s="21" t="s">
        <v>1075</v>
      </c>
      <c r="C2094" s="21" t="s">
        <v>1080</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1061</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1789</v>
      </c>
      <c r="B2096" s="21" t="s">
        <v>1068</v>
      </c>
      <c r="C2096" s="21" t="s">
        <v>1149</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1118</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1790</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1791</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690</v>
      </c>
      <c r="B2100" s="21" t="s">
        <v>1132</v>
      </c>
      <c r="C2100" s="21" t="s">
        <v>1059</v>
      </c>
      <c r="D2100" s="21" t="s">
        <v>1060</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1792</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1199</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1101</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1685</v>
      </c>
      <c r="B2104" s="21" t="s">
        <v>1068</v>
      </c>
      <c r="C2104" s="21" t="s">
        <v>1140</v>
      </c>
      <c r="D2104" s="21" t="s">
        <v>1060</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923</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row>
    <row r="2107" spans="1:12">
      <c r="A2107" s="20" t="s">
        <v>1793</v>
      </c>
    </row>
    <row r="2108" spans="1:12">
      <c r="A2108" s="20" t="s">
        <v>1151</v>
      </c>
      <c r="B2108" s="21" t="s">
        <v>1058</v>
      </c>
      <c r="C2108" s="21" t="s">
        <v>1076</v>
      </c>
      <c r="D2108" s="21" t="s">
        <v>1060</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1794</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1088</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1288</v>
      </c>
      <c r="B2111" s="21" t="s">
        <v>1068</v>
      </c>
      <c r="C2111" s="21" t="s">
        <v>1092</v>
      </c>
      <c r="D2111" s="21" t="s">
        <v>1060</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1671</v>
      </c>
      <c r="B2112" s="21" t="s">
        <v>1097</v>
      </c>
      <c r="C2112" s="21" t="s">
        <v>1059</v>
      </c>
      <c r="D2112" s="21" t="s">
        <v>1060</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1070</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1288</v>
      </c>
      <c r="B2114" s="21" t="s">
        <v>1068</v>
      </c>
      <c r="C2114" s="21" t="s">
        <v>1092</v>
      </c>
      <c r="D2114" s="21" t="s">
        <v>1060</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1795</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1667</v>
      </c>
      <c r="B2116" s="21" t="s">
        <v>1075</v>
      </c>
      <c r="C2116" s="21" t="s">
        <v>1059</v>
      </c>
      <c r="D2116" s="21" t="s">
        <v>1060</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1796</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1288</v>
      </c>
      <c r="B2118" s="21" t="s">
        <v>1099</v>
      </c>
      <c r="C2118" s="21" t="s">
        <v>1092</v>
      </c>
      <c r="D2118" s="21" t="s">
        <v>1060</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1756</v>
      </c>
      <c r="B2119" s="21" t="s">
        <v>1136</v>
      </c>
      <c r="C2119" s="21" t="s">
        <v>1059</v>
      </c>
      <c r="D2119" s="21" t="s">
        <v>1060</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1070</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1288</v>
      </c>
      <c r="B2121" s="21" t="s">
        <v>1099</v>
      </c>
      <c r="C2121" s="21" t="s">
        <v>1092</v>
      </c>
      <c r="D2121" s="21" t="s">
        <v>1060</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1472</v>
      </c>
      <c r="B2122" s="21" t="s">
        <v>1136</v>
      </c>
      <c r="C2122" s="21" t="s">
        <v>1059</v>
      </c>
      <c r="D2122" s="21" t="s">
        <v>1060</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1797</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1229</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1101</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1798</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1799</v>
      </c>
      <c r="B2127" s="21" t="s">
        <v>1091</v>
      </c>
      <c r="C2127" s="21" t="s">
        <v>1140</v>
      </c>
      <c r="D2127" s="21" t="s">
        <v>1060</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1115</v>
      </c>
      <c r="B2128" s="21" t="s">
        <v>1124</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1152</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1800</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1497</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1199</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1166</v>
      </c>
      <c r="B2133" s="21" t="s">
        <v>1185</v>
      </c>
      <c r="C2133" s="21" t="s">
        <v>1076</v>
      </c>
      <c r="D2133" s="21" t="s">
        <v>1060</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1111</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1101</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1801</v>
      </c>
      <c r="B2136" s="21" t="s">
        <v>1185</v>
      </c>
      <c r="C2136" s="21" t="s">
        <v>1140</v>
      </c>
      <c r="D2136" s="21" t="s">
        <v>1060</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1061</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1101</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1330</v>
      </c>
      <c r="B2139" s="21" t="s">
        <v>1802</v>
      </c>
      <c r="C2139" s="21" t="s">
        <v>1140</v>
      </c>
      <c r="D2139" s="21" t="s">
        <v>1060</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923</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row>
    <row r="2142" spans="1:12">
      <c r="A2142" s="20" t="s">
        <v>1803</v>
      </c>
    </row>
    <row r="2143" spans="1:12">
      <c r="A2143" s="20" t="s">
        <v>1317</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768</v>
      </c>
      <c r="B2144" s="21" t="s">
        <v>1058</v>
      </c>
      <c r="C2144" s="21" t="s">
        <v>1080</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1074</v>
      </c>
      <c r="B2145" s="21" t="s">
        <v>1084</v>
      </c>
      <c r="C2145" s="21" t="s">
        <v>1076</v>
      </c>
      <c r="D2145" s="21" t="s">
        <v>1060</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1085</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1070</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1366</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1804</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1805</v>
      </c>
      <c r="B2150" s="21" t="s">
        <v>1099</v>
      </c>
      <c r="C2150" s="21" t="s">
        <v>1149</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16</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1806</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768</v>
      </c>
      <c r="B2153" s="21" t="s">
        <v>1068</v>
      </c>
      <c r="C2153" s="21" t="s">
        <v>1080</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1070</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1156</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1256</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1807</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1077</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768</v>
      </c>
      <c r="B2159" s="21" t="s">
        <v>1068</v>
      </c>
      <c r="C2159" s="21" t="s">
        <v>1122</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1146</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1808</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1775</v>
      </c>
      <c r="B2162" s="21" t="s">
        <v>1064</v>
      </c>
      <c r="C2162" s="21" t="s">
        <v>1149</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576</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1809</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1519</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923</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row>
    <row r="2168" spans="1:12">
      <c r="A2168" s="20" t="s">
        <v>1810</v>
      </c>
    </row>
    <row r="2169" spans="1:12">
      <c r="A2169" s="20" t="s">
        <v>1811</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1812</v>
      </c>
      <c r="B2170" s="21" t="s">
        <v>1075</v>
      </c>
      <c r="C2170" s="21" t="s">
        <v>1149</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1111</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1559</v>
      </c>
      <c r="B2172" s="21" t="s">
        <v>1068</v>
      </c>
      <c r="C2172" s="21" t="s">
        <v>1092</v>
      </c>
      <c r="D2172" s="21" t="s">
        <v>1060</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671</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1813</v>
      </c>
      <c r="B2174" s="21" t="s">
        <v>1097</v>
      </c>
      <c r="C2174" s="21" t="s">
        <v>1059</v>
      </c>
      <c r="D2174" s="21" t="s">
        <v>1060</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1070</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1074</v>
      </c>
      <c r="B2176" s="21" t="s">
        <v>1079</v>
      </c>
      <c r="C2176" s="21" t="s">
        <v>1076</v>
      </c>
      <c r="D2176" s="21" t="s">
        <v>1060</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1430</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1775</v>
      </c>
      <c r="B2178" s="21" t="s">
        <v>1079</v>
      </c>
      <c r="C2178" s="21" t="s">
        <v>1149</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1814</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1194</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1077</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1815</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1816</v>
      </c>
      <c r="B2183" s="21" t="s">
        <v>1068</v>
      </c>
      <c r="C2183" s="21" t="s">
        <v>1080</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1070</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1559</v>
      </c>
      <c r="B2185" s="21" t="s">
        <v>1064</v>
      </c>
      <c r="C2185" s="21" t="s">
        <v>1092</v>
      </c>
      <c r="D2185" s="21" t="s">
        <v>1060</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1817</v>
      </c>
      <c r="B2186" s="21" t="s">
        <v>1079</v>
      </c>
      <c r="C2186" s="21" t="s">
        <v>1059</v>
      </c>
      <c r="D2186" s="21" t="s">
        <v>1060</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1118</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1818</v>
      </c>
      <c r="B2188" s="21" t="s">
        <v>1064</v>
      </c>
      <c r="C2188" s="21" t="s">
        <v>1149</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1118</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1819</v>
      </c>
      <c r="B2190" s="21" t="s">
        <v>1064</v>
      </c>
      <c r="C2190" s="21" t="s">
        <v>1149</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1125</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1609</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1160</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1820</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1821</v>
      </c>
      <c r="B2195" s="21" t="s">
        <v>1068</v>
      </c>
      <c r="C2195" s="21" t="s">
        <v>1149</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923</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row>
    <row r="2198" spans="1:12">
      <c r="A2198" s="20" t="s">
        <v>1822</v>
      </c>
    </row>
    <row r="2199" spans="1:12">
      <c r="A2199" s="20" t="s">
        <v>1823</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1160</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1101</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1824</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1825</v>
      </c>
      <c r="B2203" s="21" t="s">
        <v>1058</v>
      </c>
      <c r="C2203" s="21" t="s">
        <v>1140</v>
      </c>
      <c r="D2203" s="21" t="s">
        <v>1060</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1061</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1077</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1826</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1827</v>
      </c>
      <c r="B2207" s="21" t="s">
        <v>1068</v>
      </c>
      <c r="C2207" s="21" t="s">
        <v>1080</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1180</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1828</v>
      </c>
      <c r="B2209" s="21" t="s">
        <v>1058</v>
      </c>
      <c r="C2209" s="21" t="s">
        <v>1178</v>
      </c>
      <c r="D2209" s="21" t="s">
        <v>1060</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967</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1829</v>
      </c>
      <c r="B2211" s="21" t="s">
        <v>1132</v>
      </c>
      <c r="C2211" s="21" t="s">
        <v>1149</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1070</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967</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1830</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1070</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967</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1831</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185</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1832</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1157</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1082</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1201</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1833</v>
      </c>
      <c r="B2223" s="21" t="s">
        <v>1097</v>
      </c>
      <c r="C2223" s="21" t="s">
        <v>1159</v>
      </c>
      <c r="D2223" s="21" t="s">
        <v>1060</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1118</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1829</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690</v>
      </c>
      <c r="B2226" s="21" t="s">
        <v>1068</v>
      </c>
      <c r="C2226" s="21" t="s">
        <v>1149</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1115</v>
      </c>
      <c r="B2227" s="21" t="s">
        <v>1179</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1719</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1199</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1166</v>
      </c>
      <c r="B2230" s="21" t="s">
        <v>1099</v>
      </c>
      <c r="C2230" s="21" t="s">
        <v>1076</v>
      </c>
      <c r="D2230" s="21" t="s">
        <v>1060</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1497</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1061</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1101</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1424</v>
      </c>
      <c r="B2234" s="21" t="s">
        <v>1099</v>
      </c>
      <c r="C2234" s="21" t="s">
        <v>1140</v>
      </c>
      <c r="D2234" s="21" t="s">
        <v>1060</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1061</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1330</v>
      </c>
      <c r="B2236" s="21" t="s">
        <v>1091</v>
      </c>
      <c r="C2236" s="21" t="s">
        <v>1149</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923</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row>
    <row r="2239" spans="1:12">
      <c r="A2239" s="20" t="s">
        <v>1834</v>
      </c>
    </row>
    <row r="2240" spans="1:12">
      <c r="A2240" s="20" t="s">
        <v>1835</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78</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1836</v>
      </c>
      <c r="B2242" s="21" t="s">
        <v>1097</v>
      </c>
      <c r="C2242" s="21" t="s">
        <v>1149</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1101</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1328</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1806</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1837</v>
      </c>
      <c r="B2246" s="21" t="s">
        <v>1058</v>
      </c>
      <c r="C2246" s="21" t="s">
        <v>1140</v>
      </c>
      <c r="D2246" s="21" t="s">
        <v>1060</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1085</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1838</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1260</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1101</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1351</v>
      </c>
      <c r="B2251" s="21" t="s">
        <v>1075</v>
      </c>
      <c r="C2251" s="21" t="s">
        <v>1140</v>
      </c>
      <c r="D2251" s="21" t="s">
        <v>1060</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1070</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1839</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1608</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1199</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1101</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1840</v>
      </c>
      <c r="B2257" s="21" t="s">
        <v>1068</v>
      </c>
      <c r="C2257" s="21" t="s">
        <v>1059</v>
      </c>
      <c r="D2257" s="21" t="s">
        <v>1060</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1061</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1172</v>
      </c>
      <c r="B2259" s="21" t="s">
        <v>1099</v>
      </c>
      <c r="C2259" s="21" t="s">
        <v>1092</v>
      </c>
      <c r="D2259" s="21" t="s">
        <v>1060</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1302</v>
      </c>
      <c r="B2260" s="21" t="s">
        <v>1064</v>
      </c>
      <c r="C2260" s="21" t="s">
        <v>1059</v>
      </c>
      <c r="D2260" s="21" t="s">
        <v>1060</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923</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row>
    <row r="2263" spans="1:12">
      <c r="A2263" s="20" t="s">
        <v>1841</v>
      </c>
    </row>
    <row r="2264" spans="1:12">
      <c r="A2264" s="20" t="s">
        <v>1688</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1797</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1125</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1170</v>
      </c>
      <c r="B2267" s="21" t="s">
        <v>1058</v>
      </c>
      <c r="C2267" s="21" t="s">
        <v>1076</v>
      </c>
      <c r="D2267" s="21" t="s">
        <v>1060</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1229</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1101</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1842</v>
      </c>
      <c r="B2270" s="21" t="s">
        <v>1068</v>
      </c>
      <c r="C2270" s="21" t="s">
        <v>1140</v>
      </c>
      <c r="D2270" s="21" t="s">
        <v>1060</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1082</v>
      </c>
      <c r="B2271" s="21" t="s">
        <v>1095</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1170</v>
      </c>
      <c r="B2272" s="21" t="s">
        <v>1179</v>
      </c>
      <c r="C2272" s="21" t="s">
        <v>1076</v>
      </c>
      <c r="D2272" s="21" t="s">
        <v>1060</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1843</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1127</v>
      </c>
      <c r="B2274" s="21" t="s">
        <v>1095</v>
      </c>
      <c r="C2274" s="21" t="s">
        <v>1076</v>
      </c>
      <c r="D2274" s="21" t="s">
        <v>1060</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1088</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213</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1588</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1170</v>
      </c>
      <c r="B2278" s="21" t="s">
        <v>1187</v>
      </c>
      <c r="C2278" s="21" t="s">
        <v>1076</v>
      </c>
      <c r="D2278" s="21" t="s">
        <v>1060</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1152</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1844</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1172</v>
      </c>
      <c r="B2281" s="21" t="s">
        <v>1185</v>
      </c>
      <c r="C2281" s="21" t="s">
        <v>1092</v>
      </c>
      <c r="D2281" s="21" t="s">
        <v>1060</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1845</v>
      </c>
      <c r="B2282" s="21" t="s">
        <v>1518</v>
      </c>
      <c r="C2282" s="21" t="s">
        <v>1059</v>
      </c>
      <c r="D2282" s="21" t="s">
        <v>1060</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923</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row>
    <row r="2285" spans="1:12">
      <c r="A2285" s="20" t="s">
        <v>1846</v>
      </c>
    </row>
    <row r="2286" spans="1:12">
      <c r="A2286" s="20" t="s">
        <v>1740</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1063</v>
      </c>
      <c r="B2287" s="21" t="s">
        <v>1058</v>
      </c>
      <c r="C2287" s="21" t="s">
        <v>1065</v>
      </c>
      <c r="D2287" s="21" t="s">
        <v>1060</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1118</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1151</v>
      </c>
      <c r="B2289" s="21" t="s">
        <v>1068</v>
      </c>
      <c r="C2289" s="21" t="s">
        <v>1076</v>
      </c>
      <c r="D2289" s="21" t="s">
        <v>1060</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1655</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1847</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1848</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1070</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1118</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1101</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1837</v>
      </c>
      <c r="B2296" s="21" t="s">
        <v>1079</v>
      </c>
      <c r="C2296" s="21" t="s">
        <v>1140</v>
      </c>
      <c r="D2296" s="21" t="s">
        <v>1060</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1787</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1077</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1849</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1850</v>
      </c>
      <c r="B2300" s="21" t="s">
        <v>1132</v>
      </c>
      <c r="C2300" s="21" t="s">
        <v>1080</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1070</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1115</v>
      </c>
      <c r="B2302" s="21" t="s">
        <v>1179</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1851</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1082</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1072</v>
      </c>
      <c r="B2305" s="21" t="s">
        <v>1095</v>
      </c>
      <c r="C2305" s="21" t="s">
        <v>1159</v>
      </c>
      <c r="D2305" s="21" t="s">
        <v>1060</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1168</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1852</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1152</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1853</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1127</v>
      </c>
      <c r="B2310" s="21" t="s">
        <v>1121</v>
      </c>
      <c r="C2310" s="21" t="s">
        <v>1076</v>
      </c>
      <c r="D2310" s="21" t="s">
        <v>1060</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923</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row>
    <row r="2313" spans="1:12">
      <c r="A2313" s="20" t="s">
        <v>1854</v>
      </c>
    </row>
    <row r="2314" spans="1:12">
      <c r="A2314" s="20" t="s">
        <v>1508</v>
      </c>
      <c r="B2314" s="21" t="s">
        <v>1058</v>
      </c>
      <c r="C2314" s="21" t="s">
        <v>1076</v>
      </c>
      <c r="D2314" s="21" t="s">
        <v>1060</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1255</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1256</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452</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1070</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1141</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1070</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1156</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1855</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1690</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923</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row>
    <row r="2326" spans="1:12">
      <c r="A2326" s="20" t="s">
        <v>1856</v>
      </c>
    </row>
    <row r="2327" spans="1:12">
      <c r="A2327" s="20" t="s">
        <v>1857</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1858</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1204</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1101</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1420</v>
      </c>
      <c r="B2331" s="21" t="s">
        <v>1068</v>
      </c>
      <c r="C2331" s="21" t="s">
        <v>1140</v>
      </c>
      <c r="D2331" s="21" t="s">
        <v>1060</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1170</v>
      </c>
      <c r="B2332" s="21" t="s">
        <v>1058</v>
      </c>
      <c r="C2332" s="21" t="s">
        <v>1076</v>
      </c>
      <c r="D2332" s="21" t="s">
        <v>1060</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1495</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499</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1442</v>
      </c>
      <c r="B2335" s="21" t="s">
        <v>1075</v>
      </c>
      <c r="C2335" s="21" t="s">
        <v>1065</v>
      </c>
      <c r="D2335" s="21" t="s">
        <v>1060</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1859</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1212</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1070</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1090</v>
      </c>
      <c r="B2339" s="21" t="s">
        <v>1068</v>
      </c>
      <c r="C2339" s="21" t="s">
        <v>1092</v>
      </c>
      <c r="D2339" s="21" t="s">
        <v>1060</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690</v>
      </c>
      <c r="B2340" s="21" t="s">
        <v>1075</v>
      </c>
      <c r="C2340" s="21" t="s">
        <v>1059</v>
      </c>
      <c r="D2340" s="21" t="s">
        <v>1060</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1539</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1160</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1101</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1777</v>
      </c>
      <c r="B2344" s="21" t="s">
        <v>1068</v>
      </c>
      <c r="C2344" s="21" t="s">
        <v>1140</v>
      </c>
      <c r="D2344" s="21" t="s">
        <v>1060</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1070</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1090</v>
      </c>
      <c r="B2346" s="21" t="s">
        <v>1064</v>
      </c>
      <c r="C2346" s="21" t="s">
        <v>1092</v>
      </c>
      <c r="D2346" s="21" t="s">
        <v>1060</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1681</v>
      </c>
      <c r="B2347" s="21" t="s">
        <v>1068</v>
      </c>
      <c r="C2347" s="21" t="s">
        <v>1059</v>
      </c>
      <c r="D2347" s="21" t="s">
        <v>1060</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1860</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1160</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1770</v>
      </c>
      <c r="B2350" s="21" t="s">
        <v>1099</v>
      </c>
      <c r="C2350" s="21" t="s">
        <v>1149</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1070</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1861</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1862</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1168</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1101</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1863</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267</v>
      </c>
      <c r="B2357" s="21" t="s">
        <v>1091</v>
      </c>
      <c r="C2357" s="21" t="s">
        <v>1140</v>
      </c>
      <c r="D2357" s="21" t="s">
        <v>1060</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1115</v>
      </c>
      <c r="B2358" s="21" t="s">
        <v>1124</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1085</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1864</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1127</v>
      </c>
      <c r="B2361" s="21" t="s">
        <v>1293</v>
      </c>
      <c r="C2361" s="21" t="s">
        <v>1076</v>
      </c>
      <c r="D2361" s="21" t="s">
        <v>1060</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1260</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923</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row>
    <row r="2365" spans="1:12">
      <c r="A2365" s="20" t="s">
        <v>1865</v>
      </c>
    </row>
    <row r="2366" spans="1:12">
      <c r="A2366" s="20" t="s">
        <v>1779</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1082</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724</v>
      </c>
      <c r="B2368" s="21" t="s">
        <v>1058</v>
      </c>
      <c r="C2368" s="21" t="s">
        <v>1159</v>
      </c>
      <c r="D2368" s="21" t="s">
        <v>1060</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1061</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1866</v>
      </c>
      <c r="B2370" s="21" t="s">
        <v>1068</v>
      </c>
      <c r="C2370" s="21" t="s">
        <v>1149</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1111</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1101</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768</v>
      </c>
      <c r="B2373" s="21" t="s">
        <v>1064</v>
      </c>
      <c r="C2373" s="21" t="s">
        <v>1140</v>
      </c>
      <c r="D2373" s="21" t="s">
        <v>1060</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1152</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1867</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1707</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1172</v>
      </c>
      <c r="B2377" s="21" t="s">
        <v>1068</v>
      </c>
      <c r="C2377" s="21" t="s">
        <v>1092</v>
      </c>
      <c r="D2377" s="21" t="s">
        <v>1060</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1868</v>
      </c>
      <c r="B2378" s="21" t="s">
        <v>1075</v>
      </c>
      <c r="C2378" s="21" t="s">
        <v>1059</v>
      </c>
      <c r="D2378" s="21" t="s">
        <v>1060</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1088</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1101</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1869</v>
      </c>
      <c r="B2381" s="21" t="s">
        <v>1097</v>
      </c>
      <c r="C2381" s="21" t="s">
        <v>1140</v>
      </c>
      <c r="D2381" s="21" t="s">
        <v>1060</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923</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row>
    <row r="2384" spans="1:12">
      <c r="A2384" s="20" t="s">
        <v>1870</v>
      </c>
    </row>
    <row r="2385" spans="1:12">
      <c r="A2385" s="20" t="s">
        <v>1674</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1083</v>
      </c>
      <c r="B2386" s="21" t="s">
        <v>1079</v>
      </c>
      <c r="C2386" s="21" t="s">
        <v>1076</v>
      </c>
      <c r="D2386" s="21" t="s">
        <v>1060</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1085</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1871</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1083</v>
      </c>
      <c r="B2389" s="21" t="s">
        <v>1058</v>
      </c>
      <c r="C2389" s="21" t="s">
        <v>1076</v>
      </c>
      <c r="D2389" s="21" t="s">
        <v>1060</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1085</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1808</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1070</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1118</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1352</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1170</v>
      </c>
      <c r="B2395" s="21" t="s">
        <v>1084</v>
      </c>
      <c r="C2395" s="21" t="s">
        <v>1076</v>
      </c>
      <c r="D2395" s="21" t="s">
        <v>1060</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1180</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1872</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1127</v>
      </c>
      <c r="B2398" s="21" t="s">
        <v>1136</v>
      </c>
      <c r="C2398" s="21" t="s">
        <v>1076</v>
      </c>
      <c r="D2398" s="21" t="s">
        <v>1060</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1170</v>
      </c>
      <c r="B2399" s="21" t="s">
        <v>1079</v>
      </c>
      <c r="C2399" s="21" t="s">
        <v>1076</v>
      </c>
      <c r="D2399" s="21" t="s">
        <v>1060</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1180</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1873</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1127</v>
      </c>
      <c r="B2402" s="21" t="s">
        <v>1132</v>
      </c>
      <c r="C2402" s="21" t="s">
        <v>1076</v>
      </c>
      <c r="D2402" s="21" t="s">
        <v>1060</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923</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row>
    <row r="2405" spans="1:12">
      <c r="A2405" s="20" t="s">
        <v>1874</v>
      </c>
    </row>
    <row r="2406" spans="1:12">
      <c r="A2406" s="20" t="s">
        <v>1823</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576</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1151</v>
      </c>
      <c r="B2408" s="21" t="s">
        <v>1058</v>
      </c>
      <c r="C2408" s="21" t="s">
        <v>1076</v>
      </c>
      <c r="D2408" s="21" t="s">
        <v>1060</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1519</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1077</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1733</v>
      </c>
      <c r="B2411" s="21" t="s">
        <v>1075</v>
      </c>
      <c r="C2411" s="21" t="s">
        <v>1080</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1875</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1146</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1063</v>
      </c>
      <c r="B2414" s="21" t="s">
        <v>1079</v>
      </c>
      <c r="C2414" s="21" t="s">
        <v>1065</v>
      </c>
      <c r="D2414" s="21" t="s">
        <v>1060</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1876</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1082</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1590</v>
      </c>
      <c r="B2417" s="21" t="s">
        <v>1068</v>
      </c>
      <c r="C2417" s="21" t="s">
        <v>1159</v>
      </c>
      <c r="D2417" s="21" t="s">
        <v>1060</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923</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row>
    <row r="2420" spans="1:12">
      <c r="A2420" s="20" t="s">
        <v>1877</v>
      </c>
    </row>
    <row r="2421" spans="1:12">
      <c r="A2421" s="20" t="s">
        <v>1151</v>
      </c>
      <c r="B2421" s="21" t="s">
        <v>1058</v>
      </c>
      <c r="C2421" s="21" t="s">
        <v>1076</v>
      </c>
      <c r="D2421" s="21" t="s">
        <v>1060</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1878</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1879</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1880</v>
      </c>
      <c r="B2424" s="21" t="s">
        <v>1075</v>
      </c>
      <c r="C2424" s="21" t="s">
        <v>1149</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1061</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1881</v>
      </c>
      <c r="B2426" s="21" t="s">
        <v>1068</v>
      </c>
      <c r="C2426" s="21" t="s">
        <v>1149</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1070</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1156</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1083</v>
      </c>
      <c r="B2429" s="21" t="s">
        <v>1079</v>
      </c>
      <c r="C2429" s="21" t="s">
        <v>1076</v>
      </c>
      <c r="D2429" s="21" t="s">
        <v>1060</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1882</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1211</v>
      </c>
      <c r="B2431" s="21" t="s">
        <v>1132</v>
      </c>
      <c r="C2431" s="21" t="s">
        <v>1076</v>
      </c>
      <c r="D2431" s="21" t="s">
        <v>1060</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1146</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1883</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1146</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1151</v>
      </c>
      <c r="B2435" s="21" t="s">
        <v>1179</v>
      </c>
      <c r="C2435" s="21" t="s">
        <v>1076</v>
      </c>
      <c r="D2435" s="21" t="s">
        <v>1060</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1882</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1101</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1284</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1130</v>
      </c>
      <c r="B2439" s="21" t="s">
        <v>1095</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923</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row>
    <row r="2442" spans="1:12">
      <c r="A2442" s="20" t="s">
        <v>1884</v>
      </c>
    </row>
    <row r="2443" spans="1:12">
      <c r="A2443" s="20" t="s">
        <v>1678</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1165</v>
      </c>
      <c r="B2444" s="21" t="s">
        <v>1097</v>
      </c>
      <c r="C2444" s="21" t="s">
        <v>1059</v>
      </c>
      <c r="D2444" s="21" t="s">
        <v>1060</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1061</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1166</v>
      </c>
      <c r="B2446" s="21" t="s">
        <v>1068</v>
      </c>
      <c r="C2446" s="21" t="s">
        <v>1076</v>
      </c>
      <c r="D2446" s="21" t="s">
        <v>1060</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1146</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1170</v>
      </c>
      <c r="B2448" s="21" t="s">
        <v>1058</v>
      </c>
      <c r="C2448" s="21" t="s">
        <v>1076</v>
      </c>
      <c r="D2448" s="21" t="s">
        <v>1060</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1885</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1257</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1101</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1351</v>
      </c>
      <c r="B2452" s="21" t="s">
        <v>1075</v>
      </c>
      <c r="C2452" s="21" t="s">
        <v>1140</v>
      </c>
      <c r="D2452" s="21" t="s">
        <v>1060</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1170</v>
      </c>
      <c r="B2453" s="21" t="s">
        <v>1084</v>
      </c>
      <c r="C2453" s="21" t="s">
        <v>1076</v>
      </c>
      <c r="D2453" s="21" t="s">
        <v>1060</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1483</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1886</v>
      </c>
      <c r="B2455" s="21" t="s">
        <v>1136</v>
      </c>
      <c r="C2455" s="21" t="s">
        <v>1149</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1242</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1886</v>
      </c>
      <c r="B2457" s="21" t="s">
        <v>1064</v>
      </c>
      <c r="C2457" s="21" t="s">
        <v>1149</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1111</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499</v>
      </c>
      <c r="B2459" s="21" t="s">
        <v>1099</v>
      </c>
      <c r="C2459" s="21" t="s">
        <v>1065</v>
      </c>
      <c r="D2459" s="21" t="s">
        <v>1060</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1442</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1118</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1101</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1887</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1888</v>
      </c>
      <c r="B2464" s="21" t="s">
        <v>1091</v>
      </c>
      <c r="C2464" s="21" t="s">
        <v>1140</v>
      </c>
      <c r="D2464" s="21" t="s">
        <v>1060</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1061</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1101</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768</v>
      </c>
      <c r="B2467" s="21" t="s">
        <v>1104</v>
      </c>
      <c r="C2467" s="21" t="s">
        <v>1140</v>
      </c>
      <c r="D2467" s="21" t="s">
        <v>1060</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923</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row>
    <row r="2470" spans="1:12">
      <c r="A2470" s="20" t="s">
        <v>1889</v>
      </c>
    </row>
    <row r="2471" spans="1:12">
      <c r="A2471" s="20" t="s">
        <v>1151</v>
      </c>
      <c r="B2471" s="21" t="s">
        <v>1058</v>
      </c>
      <c r="C2471" s="21" t="s">
        <v>1076</v>
      </c>
      <c r="D2471" s="21" t="s">
        <v>1060</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1085</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1160</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1890</v>
      </c>
      <c r="B2474" s="21" t="s">
        <v>1097</v>
      </c>
      <c r="C2474" s="21" t="s">
        <v>1149</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1088</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106</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1101</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1891</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426</v>
      </c>
      <c r="B2479" s="21" t="s">
        <v>1132</v>
      </c>
      <c r="C2479" s="21" t="s">
        <v>1140</v>
      </c>
      <c r="D2479" s="21" t="s">
        <v>1060</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1199</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1074</v>
      </c>
      <c r="B2481" s="21" t="s">
        <v>1084</v>
      </c>
      <c r="C2481" s="21" t="s">
        <v>1076</v>
      </c>
      <c r="D2481" s="21" t="s">
        <v>1060</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1430</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1892</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1070</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959</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1127</v>
      </c>
      <c r="B2486" s="21" t="s">
        <v>1132</v>
      </c>
      <c r="C2486" s="21" t="s">
        <v>1076</v>
      </c>
      <c r="D2486" s="21" t="s">
        <v>1060</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1088</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1101</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1685</v>
      </c>
      <c r="B2489" s="21" t="s">
        <v>1068</v>
      </c>
      <c r="C2489" s="21" t="s">
        <v>1140</v>
      </c>
      <c r="D2489" s="21" t="s">
        <v>1060</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1070</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1118</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1893</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1168</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1090</v>
      </c>
      <c r="B2494" s="21" t="s">
        <v>1099</v>
      </c>
      <c r="C2494" s="21" t="s">
        <v>1092</v>
      </c>
      <c r="D2494" s="21" t="s">
        <v>1060</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1894</v>
      </c>
      <c r="B2495" s="21" t="s">
        <v>1064</v>
      </c>
      <c r="C2495" s="21" t="s">
        <v>1059</v>
      </c>
      <c r="D2495" s="21" t="s">
        <v>1060</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923</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row>
    <row r="2498" spans="1:12">
      <c r="A2498" s="20" t="s">
        <v>1895</v>
      </c>
    </row>
    <row r="2499" spans="1:12">
      <c r="A2499" s="20" t="s">
        <v>1779</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1101</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1896</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1102</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1063</v>
      </c>
      <c r="B2503" s="21" t="s">
        <v>1058</v>
      </c>
      <c r="C2503" s="21" t="s">
        <v>1140</v>
      </c>
      <c r="D2503" s="21" t="s">
        <v>1060</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1152</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1897</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1898</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1899</v>
      </c>
      <c r="B2507" s="21" t="s">
        <v>1075</v>
      </c>
      <c r="C2507" s="21" t="s">
        <v>1059</v>
      </c>
      <c r="D2507" s="21" t="s">
        <v>1060</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1061</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1090</v>
      </c>
      <c r="B2509" s="21" t="s">
        <v>1064</v>
      </c>
      <c r="C2509" s="21" t="s">
        <v>1092</v>
      </c>
      <c r="D2509" s="21" t="s">
        <v>1060</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1900</v>
      </c>
      <c r="B2510" s="21" t="s">
        <v>1068</v>
      </c>
      <c r="C2510" s="21" t="s">
        <v>1059</v>
      </c>
      <c r="D2510" s="21" t="s">
        <v>1060</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1376</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1101</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1837</v>
      </c>
      <c r="B2513" s="21" t="s">
        <v>1068</v>
      </c>
      <c r="C2513" s="21" t="s">
        <v>1140</v>
      </c>
      <c r="D2513" s="21" t="s">
        <v>1060</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1066</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1901</v>
      </c>
      <c r="B2515" s="21" t="s">
        <v>1097</v>
      </c>
      <c r="C2515" s="21" t="s">
        <v>1059</v>
      </c>
      <c r="D2515" s="21" t="s">
        <v>1060</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923</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row>
    <row r="2518" spans="1:12">
      <c r="A2518" s="20" t="s">
        <v>1902</v>
      </c>
    </row>
    <row r="2519" spans="1:12">
      <c r="A2519" s="20" t="s">
        <v>1835</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1077</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1169</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1850</v>
      </c>
      <c r="B2522" s="21" t="s">
        <v>1097</v>
      </c>
      <c r="C2522" s="21" t="s">
        <v>1080</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1061</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1903</v>
      </c>
      <c r="B2524" s="21" t="s">
        <v>1068</v>
      </c>
      <c r="C2524" s="21" t="s">
        <v>1149</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1118</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1077</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1904</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1905</v>
      </c>
      <c r="B2528" s="21" t="s">
        <v>1068</v>
      </c>
      <c r="C2528" s="21" t="s">
        <v>1080</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1160</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1101</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1906</v>
      </c>
      <c r="B2531" s="21" t="s">
        <v>1064</v>
      </c>
      <c r="C2531" s="21" t="s">
        <v>1140</v>
      </c>
      <c r="D2531" s="21" t="s">
        <v>1060</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1070</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1074</v>
      </c>
      <c r="B2533" s="21" t="s">
        <v>1058</v>
      </c>
      <c r="C2533" s="21" t="s">
        <v>1076</v>
      </c>
      <c r="D2533" s="21" t="s">
        <v>1060</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1657</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1199</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1559</v>
      </c>
      <c r="B2536" s="21" t="s">
        <v>1064</v>
      </c>
      <c r="C2536" s="21" t="s">
        <v>1092</v>
      </c>
      <c r="D2536" s="21" t="s">
        <v>1060</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1212</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1070</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1907</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1671</v>
      </c>
      <c r="B2540" s="21" t="s">
        <v>1075</v>
      </c>
      <c r="C2540" s="21" t="s">
        <v>1149</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1908</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1909</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1070</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1118</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1510</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1691</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1910</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1199</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1559</v>
      </c>
      <c r="B2549" s="21" t="s">
        <v>1099</v>
      </c>
      <c r="C2549" s="21" t="s">
        <v>1092</v>
      </c>
      <c r="D2549" s="21" t="s">
        <v>1060</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1206</v>
      </c>
      <c r="B2550" s="21" t="s">
        <v>1064</v>
      </c>
      <c r="C2550" s="21" t="s">
        <v>1059</v>
      </c>
      <c r="D2550" s="21" t="s">
        <v>1060</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923</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row>
    <row r="2553" spans="1:12">
      <c r="A2553" s="20" t="s">
        <v>1911</v>
      </c>
    </row>
    <row r="2554" spans="1:12">
      <c r="A2554" s="20" t="s">
        <v>1151</v>
      </c>
      <c r="B2554" s="21" t="s">
        <v>1058</v>
      </c>
      <c r="C2554" s="21" t="s">
        <v>1076</v>
      </c>
      <c r="D2554" s="21" t="s">
        <v>1060</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1421</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1070</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1912</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1070</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1118</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1913</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1288</v>
      </c>
      <c r="B2561" s="21" t="s">
        <v>1099</v>
      </c>
      <c r="C2561" s="21" t="s">
        <v>1092</v>
      </c>
      <c r="D2561" s="21" t="s">
        <v>1060</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1756</v>
      </c>
      <c r="B2562" s="21" t="s">
        <v>1136</v>
      </c>
      <c r="C2562" s="21" t="s">
        <v>1059</v>
      </c>
      <c r="D2562" s="21" t="s">
        <v>1060</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1088</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1101</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1798</v>
      </c>
      <c r="B2565" s="21" t="s">
        <v>1099</v>
      </c>
      <c r="C2565" s="21" t="s">
        <v>1140</v>
      </c>
      <c r="D2565" s="21" t="s">
        <v>1060</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1070</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1552</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1914</v>
      </c>
      <c r="B2568" s="21" t="s">
        <v>1099</v>
      </c>
      <c r="C2568" s="21" t="s">
        <v>1149</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1070</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1156</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1074</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1085</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1915</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1088</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1916</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1101</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1917</v>
      </c>
      <c r="B2577" s="21" t="s">
        <v>1136</v>
      </c>
      <c r="C2577" s="21" t="s">
        <v>1140</v>
      </c>
      <c r="D2577" s="21" t="s">
        <v>1060</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923</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row>
    <row r="2580" spans="1:12">
      <c r="A2580" s="20" t="s">
        <v>1918</v>
      </c>
    </row>
    <row r="2581" spans="1:12">
      <c r="A2581" s="20" t="s">
        <v>1138</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1919</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768</v>
      </c>
      <c r="B2583" s="21" t="s">
        <v>1058</v>
      </c>
      <c r="C2583" s="21" t="s">
        <v>1140</v>
      </c>
      <c r="D2583" s="21" t="s">
        <v>1060</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1085</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1920</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923</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row>
    <row r="2588" spans="1:12">
      <c r="A2588" s="20" t="s">
        <v>1921</v>
      </c>
    </row>
    <row r="2589" spans="1:12">
      <c r="A2589" s="20" t="s">
        <v>499</v>
      </c>
      <c r="B2589" s="21" t="s">
        <v>1097</v>
      </c>
      <c r="C2589" s="21" t="s">
        <v>1065</v>
      </c>
      <c r="D2589" s="21" t="s">
        <v>1060</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row>
    <row r="2591" spans="1:12">
      <c r="A2591" s="20" t="s">
        <v>1922</v>
      </c>
    </row>
    <row r="2592" spans="1:12">
      <c r="A2592" s="20" t="s">
        <v>1442</v>
      </c>
      <c r="B2592" s="21" t="s">
        <v>1058</v>
      </c>
      <c r="C2592" s="21" t="s">
        <v>1065</v>
      </c>
      <c r="D2592" s="21" t="s">
        <v>1060</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502</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1923</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1516</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1083</v>
      </c>
      <c r="B2596" s="21" t="s">
        <v>1079</v>
      </c>
      <c r="C2596" s="21" t="s">
        <v>1076</v>
      </c>
      <c r="D2596" s="21" t="s">
        <v>1060</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1152</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1924</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923</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row>
    <row r="2601" spans="1:12">
      <c r="A2601" s="20" t="s">
        <v>1925</v>
      </c>
    </row>
    <row r="2602" spans="1:12">
      <c r="A2602" s="20" t="s">
        <v>1254</v>
      </c>
      <c r="B2602" s="21" t="s">
        <v>1058</v>
      </c>
      <c r="C2602" s="21" t="s">
        <v>1076</v>
      </c>
      <c r="D2602" s="21" t="s">
        <v>1060</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506</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1858</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1090</v>
      </c>
      <c r="B2605" s="21" t="s">
        <v>1068</v>
      </c>
      <c r="C2605" s="21" t="s">
        <v>1092</v>
      </c>
      <c r="D2605" s="21" t="s">
        <v>1060</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1926</v>
      </c>
      <c r="B2606" s="21" t="s">
        <v>1075</v>
      </c>
      <c r="C2606" s="21" t="s">
        <v>1059</v>
      </c>
      <c r="D2606" s="21" t="s">
        <v>1060</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1070</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1118</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1063</v>
      </c>
      <c r="B2609" s="21" t="s">
        <v>1097</v>
      </c>
      <c r="C2609" s="21" t="s">
        <v>1065</v>
      </c>
      <c r="D2609" s="21" t="s">
        <v>1060</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1927</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1077</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1928</v>
      </c>
      <c r="B2612" s="21" t="s">
        <v>1132</v>
      </c>
      <c r="C2612" s="21" t="s">
        <v>1080</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1061</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1929</v>
      </c>
      <c r="B2614" s="21" t="s">
        <v>1064</v>
      </c>
      <c r="C2614" s="21" t="s">
        <v>1149</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1196</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1170</v>
      </c>
      <c r="B2616" s="21" t="s">
        <v>1084</v>
      </c>
      <c r="C2616" s="21" t="s">
        <v>1076</v>
      </c>
      <c r="D2616" s="21" t="s">
        <v>1060</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1495</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1082</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1502</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1085</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1109</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1930</v>
      </c>
      <c r="B2622" s="21" t="s">
        <v>1179</v>
      </c>
      <c r="C2622" s="21" t="s">
        <v>1358</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1061</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1077</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1872</v>
      </c>
      <c r="B2625" s="21" t="s">
        <v>1091</v>
      </c>
      <c r="C2625" s="21" t="s">
        <v>1080</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1118</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1082</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1101</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1931</v>
      </c>
      <c r="B2629" s="21" t="s">
        <v>1331</v>
      </c>
      <c r="C2629" s="21" t="s">
        <v>1140</v>
      </c>
      <c r="D2629" s="21" t="s">
        <v>1060</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1152</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1379</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1160</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1890</v>
      </c>
      <c r="B2633" s="21" t="s">
        <v>1099</v>
      </c>
      <c r="C2633" s="21" t="s">
        <v>1149</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923</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row>
    <row r="2636" spans="1:12">
      <c r="A2636" s="20" t="s">
        <v>1932</v>
      </c>
    </row>
    <row r="2637" spans="1:12">
      <c r="A2637" s="20" t="s">
        <v>1638</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1172</v>
      </c>
      <c r="B2638" s="21" t="s">
        <v>1064</v>
      </c>
      <c r="C2638" s="21" t="s">
        <v>1092</v>
      </c>
      <c r="D2638" s="21" t="s">
        <v>1060</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1302</v>
      </c>
      <c r="B2639" s="21" t="s">
        <v>1068</v>
      </c>
      <c r="C2639" s="21" t="s">
        <v>1059</v>
      </c>
      <c r="D2639" s="21" t="s">
        <v>1060</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1066</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1933</v>
      </c>
      <c r="B2641" s="21" t="s">
        <v>1058</v>
      </c>
      <c r="C2641" s="21" t="s">
        <v>1059</v>
      </c>
      <c r="D2641" s="21" t="s">
        <v>1060</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1934</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1118</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1083</v>
      </c>
      <c r="B2644" s="21" t="s">
        <v>1079</v>
      </c>
      <c r="C2644" s="21" t="s">
        <v>1076</v>
      </c>
      <c r="D2644" s="21" t="s">
        <v>1060</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1935</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1077</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1936</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1174</v>
      </c>
      <c r="B2648" s="21" t="s">
        <v>1132</v>
      </c>
      <c r="C2648" s="21" t="s">
        <v>1080</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1088</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119</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923</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row>
    <row r="2653" spans="1:12">
      <c r="A2653" s="20" t="s">
        <v>1937</v>
      </c>
    </row>
    <row r="2654" spans="1:12">
      <c r="A2654" s="20" t="s">
        <v>1281</v>
      </c>
      <c r="B2654" s="21" t="s">
        <v>1058</v>
      </c>
      <c r="C2654" s="21" t="s">
        <v>1065</v>
      </c>
      <c r="D2654" s="21" t="s">
        <v>1060</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514</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1090</v>
      </c>
      <c r="B2656" s="21" t="s">
        <v>1068</v>
      </c>
      <c r="C2656" s="21" t="s">
        <v>1092</v>
      </c>
      <c r="D2656" s="21" t="s">
        <v>1060</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1938</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16</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1939</v>
      </c>
      <c r="B2659" s="21" t="s">
        <v>1075</v>
      </c>
      <c r="C2659" s="21" t="s">
        <v>1059</v>
      </c>
      <c r="D2659" s="21" t="s">
        <v>1060</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1940</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1101</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1459</v>
      </c>
      <c r="B2662" s="21" t="s">
        <v>1068</v>
      </c>
      <c r="C2662" s="21" t="s">
        <v>1140</v>
      </c>
      <c r="D2662" s="21" t="s">
        <v>1060</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1066</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1941</v>
      </c>
      <c r="B2664" s="21" t="s">
        <v>1097</v>
      </c>
      <c r="C2664" s="21" t="s">
        <v>1059</v>
      </c>
      <c r="D2664" s="21" t="s">
        <v>1060</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1070</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1118</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1355</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1942</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1775</v>
      </c>
      <c r="B2669" s="21" t="s">
        <v>1079</v>
      </c>
      <c r="C2669" s="21" t="s">
        <v>1358</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1125</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1859</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1257</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1168</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1166</v>
      </c>
      <c r="B2674" s="21" t="s">
        <v>1068</v>
      </c>
      <c r="C2674" s="21" t="s">
        <v>1076</v>
      </c>
      <c r="D2674" s="21" t="s">
        <v>1060</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923</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row>
    <row r="2677" spans="1:12">
      <c r="A2677" s="20" t="s">
        <v>1276</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1943</v>
      </c>
    </row>
    <row r="2679" spans="1:12">
      <c r="A2679" s="20" t="s">
        <v>607</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1191</v>
      </c>
      <c r="B2680" s="21" t="s">
        <v>1068</v>
      </c>
      <c r="C2680" s="21" t="s">
        <v>1092</v>
      </c>
      <c r="D2680" s="21" t="s">
        <v>1060</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1716</v>
      </c>
      <c r="B2681" s="21" t="s">
        <v>1058</v>
      </c>
      <c r="C2681" s="21" t="s">
        <v>1065</v>
      </c>
      <c r="D2681" s="21" t="s">
        <v>1060</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1300</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607</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1083</v>
      </c>
      <c r="B2684" s="21" t="s">
        <v>1058</v>
      </c>
      <c r="C2684" s="21" t="s">
        <v>1076</v>
      </c>
      <c r="D2684" s="21" t="s">
        <v>1060</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1944</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923</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row>
    <row r="2688" spans="1:12">
      <c r="A2688" s="20" t="s">
        <v>1276</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1945</v>
      </c>
    </row>
    <row r="2690" spans="1:12">
      <c r="A2690" s="20" t="s">
        <v>607</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1314</v>
      </c>
      <c r="B2691" s="21" t="s">
        <v>1058</v>
      </c>
      <c r="C2691" s="21" t="s">
        <v>1184</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1085</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1074</v>
      </c>
      <c r="B2693" s="21" t="s">
        <v>1058</v>
      </c>
      <c r="C2693" s="21" t="s">
        <v>1076</v>
      </c>
      <c r="D2693" s="21" t="s">
        <v>1060</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1282</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row>
    <row r="2696" spans="1:12">
      <c r="A2696" s="20" t="s">
        <v>1276</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1946</v>
      </c>
    </row>
    <row r="2698" spans="1:12">
      <c r="A2698" s="20" t="s">
        <v>1314</v>
      </c>
      <c r="B2698" s="21" t="s">
        <v>1058</v>
      </c>
      <c r="C2698" s="21" t="s">
        <v>1184</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1070</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1160</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1412</v>
      </c>
      <c r="B2701" s="21" t="s">
        <v>1064</v>
      </c>
      <c r="C2701" s="21" t="s">
        <v>1149</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1066</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1947</v>
      </c>
      <c r="B2703" s="21" t="s">
        <v>1068</v>
      </c>
      <c r="C2703" s="21" t="s">
        <v>1059</v>
      </c>
      <c r="D2703" s="21" t="s">
        <v>1060</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1070</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1085</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1074</v>
      </c>
      <c r="B2706" s="21" t="s">
        <v>1058</v>
      </c>
      <c r="C2706" s="21" t="s">
        <v>1076</v>
      </c>
      <c r="D2706" s="21" t="s">
        <v>1060</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1282</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607</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row>
    <row r="2710" spans="1:12">
      <c r="A2710" s="20" t="s">
        <v>1276</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1948</v>
      </c>
    </row>
    <row r="2712" spans="1:12">
      <c r="A2712" s="20" t="s">
        <v>607</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1240</v>
      </c>
      <c r="B2713" s="21" t="s">
        <v>1079</v>
      </c>
      <c r="C2713" s="21" t="s">
        <v>1076</v>
      </c>
      <c r="D2713" s="21" t="s">
        <v>1060</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1066</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1920</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1070</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1949</v>
      </c>
      <c r="B2717" s="21" t="s">
        <v>1068</v>
      </c>
      <c r="C2717" s="21" t="s">
        <v>1184</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1074</v>
      </c>
      <c r="B2718" s="21" t="s">
        <v>1179</v>
      </c>
      <c r="C2718" s="21" t="s">
        <v>1076</v>
      </c>
      <c r="D2718" s="21" t="s">
        <v>1060</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1340</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1070</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607</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1176</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1063</v>
      </c>
      <c r="B2723" s="21" t="s">
        <v>1058</v>
      </c>
      <c r="C2723" s="21" t="s">
        <v>1065</v>
      </c>
      <c r="D2723" s="21" t="s">
        <v>1060</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923</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row>
    <row r="2726" spans="1:12">
      <c r="A2726" s="20" t="s">
        <v>1276</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1950</v>
      </c>
    </row>
    <row r="2728" spans="1:12">
      <c r="A2728" s="20" t="s">
        <v>607</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1254</v>
      </c>
      <c r="B2729" s="21" t="s">
        <v>1058</v>
      </c>
      <c r="C2729" s="21" t="s">
        <v>1076</v>
      </c>
      <c r="D2729" s="21" t="s">
        <v>1060</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1951</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1952</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1101</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1953</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1954</v>
      </c>
      <c r="B2734" s="21" t="s">
        <v>1075</v>
      </c>
      <c r="C2734" s="21" t="s">
        <v>1140</v>
      </c>
      <c r="D2734" s="21" t="s">
        <v>1060</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1214</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1118</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1955</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923</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607</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row>
    <row r="2741" spans="1:12">
      <c r="A2741" s="20" t="s">
        <v>1956</v>
      </c>
    </row>
    <row r="2742" spans="1:12">
      <c r="A2742" s="20" t="s">
        <v>1678</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1957</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1958</v>
      </c>
      <c r="B2744" s="21" t="s">
        <v>1097</v>
      </c>
      <c r="C2744" s="21" t="s">
        <v>1149</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1118</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1959</v>
      </c>
      <c r="B2746" s="21" t="s">
        <v>1068</v>
      </c>
      <c r="C2746" s="21" t="s">
        <v>1149</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1074</v>
      </c>
      <c r="B2747" s="21" t="s">
        <v>1058</v>
      </c>
      <c r="C2747" s="21" t="s">
        <v>1076</v>
      </c>
      <c r="D2747" s="21" t="s">
        <v>1060</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1085</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1077</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1960</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1837</v>
      </c>
      <c r="B2751" s="21" t="s">
        <v>1097</v>
      </c>
      <c r="C2751" s="21" t="s">
        <v>1080</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1115</v>
      </c>
      <c r="B2752" s="21" t="s">
        <v>1079</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1085</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1961</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1619</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1588</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1166</v>
      </c>
      <c r="B2757" s="21" t="s">
        <v>1064</v>
      </c>
      <c r="C2757" s="21" t="s">
        <v>1076</v>
      </c>
      <c r="D2757" s="21" t="s">
        <v>1060</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923</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row>
    <row r="2760" spans="1:12">
      <c r="A2760" s="20" t="s">
        <v>1962</v>
      </c>
    </row>
    <row r="2761" spans="1:12">
      <c r="A2761" s="20" t="s">
        <v>1240</v>
      </c>
      <c r="B2761" s="21" t="s">
        <v>1058</v>
      </c>
      <c r="C2761" s="21" t="s">
        <v>1076</v>
      </c>
      <c r="D2761" s="21" t="s">
        <v>1060</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1085</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1256</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1077</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1963</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1964</v>
      </c>
      <c r="B2766" s="21" t="s">
        <v>1097</v>
      </c>
      <c r="C2766" s="21" t="s">
        <v>1080</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1118</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1074</v>
      </c>
      <c r="B2768" s="21" t="s">
        <v>1079</v>
      </c>
      <c r="C2768" s="21" t="s">
        <v>1076</v>
      </c>
      <c r="D2768" s="21" t="s">
        <v>1060</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1085</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1256</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1077</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1963</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1965</v>
      </c>
      <c r="B2773" s="21" t="s">
        <v>1097</v>
      </c>
      <c r="C2773" s="21" t="s">
        <v>1080</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1167</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1156</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1074</v>
      </c>
      <c r="B2776" s="21" t="s">
        <v>1079</v>
      </c>
      <c r="C2776" s="21" t="s">
        <v>1076</v>
      </c>
      <c r="D2776" s="21" t="s">
        <v>1060</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1966</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1088</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185</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1077</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1967</v>
      </c>
      <c r="B2781" s="21" t="s">
        <v>1068</v>
      </c>
      <c r="C2781" s="21" t="s">
        <v>1080</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1061</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1101</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1355</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1968</v>
      </c>
      <c r="B2785" s="21" t="s">
        <v>1064</v>
      </c>
      <c r="C2785" s="21" t="s">
        <v>1394</v>
      </c>
      <c r="D2785" s="21" t="s">
        <v>1060</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1070</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1829</v>
      </c>
      <c r="B2787" s="21" t="s">
        <v>1099</v>
      </c>
      <c r="C2787" s="21" t="s">
        <v>1149</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1070</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1118</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1146</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1969</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1146</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1077</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1970</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1971</v>
      </c>
      <c r="B2795" s="21" t="s">
        <v>1091</v>
      </c>
      <c r="C2795" s="21" t="s">
        <v>1080</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923</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row>
    <row r="2798" spans="1:12">
      <c r="A2798" s="20" t="s">
        <v>1972</v>
      </c>
    </row>
    <row r="2799" spans="1:12">
      <c r="A2799" s="20" t="s">
        <v>1973</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1315</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1070</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1160</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1101</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1974</v>
      </c>
      <c r="B2804" s="21" t="s">
        <v>1097</v>
      </c>
      <c r="C2804" s="21" t="s">
        <v>1140</v>
      </c>
      <c r="D2804" s="21" t="s">
        <v>1060</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1061</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1975</v>
      </c>
      <c r="B2806" s="21" t="s">
        <v>1068</v>
      </c>
      <c r="C2806" s="21" t="s">
        <v>1149</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1070</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1101</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1328</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1976</v>
      </c>
      <c r="B2810" s="21" t="s">
        <v>1058</v>
      </c>
      <c r="C2810" s="21" t="s">
        <v>1140</v>
      </c>
      <c r="D2810" s="21" t="s">
        <v>1060</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1977</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1088</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185</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1978</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1194</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1077</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1979</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1821</v>
      </c>
      <c r="B2818" s="21" t="s">
        <v>1068</v>
      </c>
      <c r="C2818" s="21" t="s">
        <v>1080</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1118</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1101</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1970</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1070</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1887</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16</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1980</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1070</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1981</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1775</v>
      </c>
      <c r="B2828" s="21" t="s">
        <v>1179</v>
      </c>
      <c r="C2828" s="21" t="s">
        <v>1149</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1125</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1982</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1194</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433</v>
      </c>
      <c r="B2832" s="21" t="s">
        <v>1099</v>
      </c>
      <c r="C2832" s="21" t="s">
        <v>1149</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923</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row>
    <row r="2835" spans="1:12">
      <c r="A2835" s="20" t="s">
        <v>1983</v>
      </c>
    </row>
    <row r="2836" spans="1:12">
      <c r="A2836" s="20" t="s">
        <v>1151</v>
      </c>
      <c r="B2836" s="21" t="s">
        <v>1058</v>
      </c>
      <c r="C2836" s="21" t="s">
        <v>1076</v>
      </c>
      <c r="D2836" s="21" t="s">
        <v>1060</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1984</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1288</v>
      </c>
      <c r="B2838" s="21" t="s">
        <v>1068</v>
      </c>
      <c r="C2838" s="21" t="s">
        <v>1092</v>
      </c>
      <c r="D2838" s="21" t="s">
        <v>1060</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1667</v>
      </c>
      <c r="B2839" s="21" t="s">
        <v>1075</v>
      </c>
      <c r="C2839" s="21" t="s">
        <v>1059</v>
      </c>
      <c r="D2839" s="21" t="s">
        <v>1060</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1199</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1101</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1985</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1817</v>
      </c>
      <c r="B2843" s="21" t="s">
        <v>1097</v>
      </c>
      <c r="C2843" s="21" t="s">
        <v>1140</v>
      </c>
      <c r="D2843" s="21" t="s">
        <v>1060</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1070</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1118</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1146</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1151</v>
      </c>
      <c r="B2847" s="21" t="s">
        <v>1079</v>
      </c>
      <c r="C2847" s="21" t="s">
        <v>1076</v>
      </c>
      <c r="D2847" s="21" t="s">
        <v>1060</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1986</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1416</v>
      </c>
      <c r="B2849" s="21" t="s">
        <v>1132</v>
      </c>
      <c r="C2849" s="21" t="s">
        <v>1076</v>
      </c>
      <c r="D2849" s="21" t="s">
        <v>1060</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1257</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1288</v>
      </c>
      <c r="B2851" s="21" t="s">
        <v>1064</v>
      </c>
      <c r="C2851" s="21" t="s">
        <v>1092</v>
      </c>
      <c r="D2851" s="21" t="s">
        <v>1060</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1112</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1987</v>
      </c>
      <c r="B2853" s="21" t="s">
        <v>1132</v>
      </c>
      <c r="C2853" s="21" t="s">
        <v>1059</v>
      </c>
      <c r="D2853" s="21" t="s">
        <v>1060</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1988</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1118</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1989</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1160</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1101</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1161</v>
      </c>
      <c r="B2859" s="21" t="s">
        <v>1064</v>
      </c>
      <c r="C2859" s="21" t="s">
        <v>1140</v>
      </c>
      <c r="D2859" s="21" t="s">
        <v>1060</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923</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row>
    <row r="2862" spans="1:12">
      <c r="A2862" s="20" t="s">
        <v>1276</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1990</v>
      </c>
    </row>
    <row r="2864" spans="1:12">
      <c r="A2864" s="20" t="s">
        <v>607</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1991</v>
      </c>
      <c r="B2865" s="21" t="s">
        <v>1097</v>
      </c>
      <c r="C2865" s="21" t="s">
        <v>1149</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1070</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607</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1151</v>
      </c>
      <c r="B2868" s="21" t="s">
        <v>1058</v>
      </c>
      <c r="C2868" s="21" t="s">
        <v>1076</v>
      </c>
      <c r="D2868" s="21" t="s">
        <v>1060</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1176</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923</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row>
    <row r="2872" spans="1:12">
      <c r="A2872" s="20" t="s">
        <v>1276</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1992</v>
      </c>
    </row>
    <row r="2874" spans="1:12">
      <c r="A2874" s="20" t="s">
        <v>607</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1317</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1993</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1994</v>
      </c>
      <c r="B2877" s="21" t="s">
        <v>1058</v>
      </c>
      <c r="C2877" s="21" t="s">
        <v>1059</v>
      </c>
      <c r="D2877" s="21" t="s">
        <v>1060</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1061</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1074</v>
      </c>
      <c r="B2879" s="21" t="s">
        <v>1068</v>
      </c>
      <c r="C2879" s="21" t="s">
        <v>1076</v>
      </c>
      <c r="D2879" s="21" t="s">
        <v>1060</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1070</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607</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1176</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1063</v>
      </c>
      <c r="B2883" s="21" t="s">
        <v>1058</v>
      </c>
      <c r="C2883" s="21" t="s">
        <v>1065</v>
      </c>
      <c r="D2883" s="21" t="s">
        <v>1060</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1070</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1995</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1168</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1101</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1920</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1996</v>
      </c>
      <c r="B2889" s="21" t="s">
        <v>1064</v>
      </c>
      <c r="C2889" s="21" t="s">
        <v>1140</v>
      </c>
      <c r="D2889" s="21" t="s">
        <v>1060</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923</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row>
    <row r="2892" spans="1:12">
      <c r="A2892" s="20" t="s">
        <v>1276</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1997</v>
      </c>
    </row>
    <row r="2894" spans="1:12">
      <c r="A2894" s="20" t="s">
        <v>607</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1440</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1340</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1109</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1998</v>
      </c>
      <c r="B2898" s="21" t="s">
        <v>1058</v>
      </c>
      <c r="C2898" s="21" t="s">
        <v>1358</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1115</v>
      </c>
      <c r="B2899" s="21" t="s">
        <v>1084</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1999</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576</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2000</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1194</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1090</v>
      </c>
      <c r="B2904" s="21" t="s">
        <v>1099</v>
      </c>
      <c r="C2904" s="21" t="s">
        <v>1092</v>
      </c>
      <c r="D2904" s="21" t="s">
        <v>1060</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2001</v>
      </c>
      <c r="B2905" s="21" t="s">
        <v>1064</v>
      </c>
      <c r="C2905" s="21" t="s">
        <v>1059</v>
      </c>
      <c r="D2905" s="21" t="s">
        <v>1060</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1061</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2002</v>
      </c>
      <c r="B2907" s="21" t="s">
        <v>1099</v>
      </c>
      <c r="C2907" s="21" t="s">
        <v>1149</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923</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row>
    <row r="2910" spans="1:12">
      <c r="A2910" s="20" t="s">
        <v>2003</v>
      </c>
    </row>
    <row r="2911" spans="1:12">
      <c r="A2911" s="20" t="s">
        <v>1254</v>
      </c>
      <c r="B2911" s="21" t="s">
        <v>1058</v>
      </c>
      <c r="C2911" s="21" t="s">
        <v>1076</v>
      </c>
      <c r="D2911" s="21" t="s">
        <v>1060</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561</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1279</v>
      </c>
      <c r="B2913" s="21" t="s">
        <v>1075</v>
      </c>
      <c r="C2913" s="21" t="s">
        <v>1076</v>
      </c>
      <c r="D2913" s="21" t="s">
        <v>1060</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1077</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1887</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2004</v>
      </c>
      <c r="B2916" s="21" t="s">
        <v>1075</v>
      </c>
      <c r="C2916" s="21" t="s">
        <v>1080</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1070</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499</v>
      </c>
      <c r="B2918" s="21" t="s">
        <v>1068</v>
      </c>
      <c r="C2918" s="21" t="s">
        <v>1065</v>
      </c>
      <c r="D2918" s="21" t="s">
        <v>1060</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1442</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1070</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1144</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2005</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2006</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1279</v>
      </c>
      <c r="B2924" s="21" t="s">
        <v>1132</v>
      </c>
      <c r="C2924" s="21" t="s">
        <v>1076</v>
      </c>
      <c r="D2924" s="21" t="s">
        <v>1060</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1088</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1311</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2007</v>
      </c>
      <c r="B2927" s="21" t="s">
        <v>1068</v>
      </c>
      <c r="C2927" s="21" t="s">
        <v>1159</v>
      </c>
      <c r="D2927" s="21" t="s">
        <v>1060</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923</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row>
    <row r="2930" spans="1:12">
      <c r="A2930" s="20" t="s">
        <v>2008</v>
      </c>
    </row>
    <row r="2931" spans="1:12">
      <c r="A2931" s="20" t="s">
        <v>1151</v>
      </c>
      <c r="B2931" s="21" t="s">
        <v>1058</v>
      </c>
      <c r="C2931" s="21" t="s">
        <v>1076</v>
      </c>
      <c r="D2931" s="21" t="s">
        <v>1060</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1085</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2009</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1144</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1077</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768</v>
      </c>
      <c r="B2936" s="21" t="s">
        <v>1097</v>
      </c>
      <c r="C2936" s="21" t="s">
        <v>1080</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1070</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1156</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1256</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1144</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1807</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1077</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1837</v>
      </c>
      <c r="B2943" s="21" t="s">
        <v>1097</v>
      </c>
      <c r="C2943" s="21" t="s">
        <v>1122</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1146</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1311</v>
      </c>
      <c r="B2945" s="21" t="s">
        <v>1068</v>
      </c>
      <c r="C2945" s="21" t="s">
        <v>1122</v>
      </c>
      <c r="D2945" s="21" t="s">
        <v>1060</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923</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row>
    <row r="2948" spans="1:12">
      <c r="A2948" s="20" t="s">
        <v>1276</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2010</v>
      </c>
    </row>
    <row r="2950" spans="1:12">
      <c r="A2950" s="20" t="s">
        <v>1393</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1101</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1330</v>
      </c>
      <c r="B2952" s="21" t="s">
        <v>1058</v>
      </c>
      <c r="C2952" s="21" t="s">
        <v>1140</v>
      </c>
      <c r="D2952" s="21" t="s">
        <v>1060</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1787</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1166</v>
      </c>
      <c r="B2954" s="21" t="s">
        <v>1075</v>
      </c>
      <c r="C2954" s="21" t="s">
        <v>1076</v>
      </c>
      <c r="D2954" s="21" t="s">
        <v>1060</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1284</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1890</v>
      </c>
      <c r="B2956" s="21" t="s">
        <v>1075</v>
      </c>
      <c r="C2956" s="21" t="s">
        <v>1149</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1088</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2011</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1127</v>
      </c>
      <c r="B2959" s="21" t="s">
        <v>1136</v>
      </c>
      <c r="C2959" s="21" t="s">
        <v>1076</v>
      </c>
      <c r="D2959" s="21" t="s">
        <v>1060</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923</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607</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row>
    <row r="2963" spans="1:12">
      <c r="A2963" s="20" t="s">
        <v>1276</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2012</v>
      </c>
    </row>
    <row r="2965" spans="1:12">
      <c r="A2965" s="20" t="s">
        <v>607</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1307</v>
      </c>
      <c r="B2966" s="21" t="s">
        <v>1058</v>
      </c>
      <c r="C2966" s="21" t="s">
        <v>1076</v>
      </c>
      <c r="D2966" s="21" t="s">
        <v>1060</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576</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2013</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1288</v>
      </c>
      <c r="B2969" s="21" t="s">
        <v>1068</v>
      </c>
      <c r="C2969" s="21" t="s">
        <v>1092</v>
      </c>
      <c r="D2969" s="21" t="s">
        <v>1060</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1585</v>
      </c>
      <c r="B2970" s="21" t="s">
        <v>1075</v>
      </c>
      <c r="C2970" s="21" t="s">
        <v>1059</v>
      </c>
      <c r="D2970" s="21" t="s">
        <v>1060</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923</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607</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row>
    <row r="2974" spans="1:12">
      <c r="A2974" s="20" t="s">
        <v>1276</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2014</v>
      </c>
    </row>
    <row r="2976" spans="1:12">
      <c r="A2976" s="20" t="s">
        <v>607</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2015</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1639</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2016</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1074</v>
      </c>
      <c r="B2980" s="21" t="s">
        <v>1132</v>
      </c>
      <c r="C2980" s="21" t="s">
        <v>1076</v>
      </c>
      <c r="D2980" s="21" t="s">
        <v>1060</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923</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row>
    <row r="2983" spans="1:12">
      <c r="A2983" s="20" t="s">
        <v>1276</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2017</v>
      </c>
    </row>
    <row r="2985" spans="1:12">
      <c r="A2985" s="20" t="s">
        <v>1278</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1279</v>
      </c>
      <c r="B2986" s="21" t="s">
        <v>1058</v>
      </c>
      <c r="C2986" s="21" t="s">
        <v>1076</v>
      </c>
      <c r="D2986" s="21" t="s">
        <v>1060</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2018</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2019</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1088</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2020</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1282</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607</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row>
    <row r="2994" spans="1:12">
      <c r="A2994" s="20" t="s">
        <v>1276</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2021</v>
      </c>
    </row>
    <row r="2996" spans="1:12">
      <c r="A2996" s="20" t="s">
        <v>607</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2022</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1211</v>
      </c>
      <c r="B2998" s="21" t="s">
        <v>1075</v>
      </c>
      <c r="C2998" s="21" t="s">
        <v>1076</v>
      </c>
      <c r="D2998" s="21" t="s">
        <v>1060</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2023</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2024</v>
      </c>
      <c r="B3000" s="21" t="s">
        <v>1075</v>
      </c>
      <c r="C3000" s="21" t="s">
        <v>1059</v>
      </c>
      <c r="D3000" s="21" t="s">
        <v>1060</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1061</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1082</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1938</v>
      </c>
      <c r="B3003" s="21" t="s">
        <v>1068</v>
      </c>
      <c r="C3003" s="21" t="s">
        <v>1159</v>
      </c>
      <c r="D3003" s="21" t="s">
        <v>1060</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1118</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1151</v>
      </c>
      <c r="B3005" s="21" t="s">
        <v>1079</v>
      </c>
      <c r="C3005" s="21" t="s">
        <v>1076</v>
      </c>
      <c r="D3005" s="21" t="s">
        <v>1060</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1372</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185</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1304</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1144</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1828</v>
      </c>
      <c r="B3010" s="21" t="s">
        <v>1068</v>
      </c>
      <c r="C3010" s="21" t="s">
        <v>1178</v>
      </c>
      <c r="D3010" s="21" t="s">
        <v>1060</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923</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row>
    <row r="3013" spans="1:12">
      <c r="A3013" s="20" t="s">
        <v>2025</v>
      </c>
    </row>
    <row r="3014" spans="1:12">
      <c r="A3014" s="20" t="s">
        <v>1688</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1300</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row>
    <row r="3017" spans="1:12">
      <c r="A3017" s="20" t="s">
        <v>2026</v>
      </c>
    </row>
    <row r="3018" spans="1:12">
      <c r="A3018" s="20" t="s">
        <v>2027</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1070</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1352</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1279</v>
      </c>
      <c r="B3021" s="21" t="s">
        <v>1058</v>
      </c>
      <c r="C3021" s="21" t="s">
        <v>1076</v>
      </c>
      <c r="D3021" s="21" t="s">
        <v>1060</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1361</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591</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1211</v>
      </c>
      <c r="B3024" s="21" t="s">
        <v>1075</v>
      </c>
      <c r="C3024" s="21" t="s">
        <v>1076</v>
      </c>
      <c r="D3024" s="21" t="s">
        <v>1060</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1257</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923</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row>
    <row r="3028" spans="1:12">
      <c r="A3028" s="20" t="s">
        <v>1276</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2028</v>
      </c>
    </row>
    <row r="3030" spans="1:12">
      <c r="A3030" s="20" t="s">
        <v>1314</v>
      </c>
      <c r="B3030" s="21" t="s">
        <v>1075</v>
      </c>
      <c r="C3030" s="21" t="s">
        <v>1184</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621</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1279</v>
      </c>
      <c r="B3032" s="21" t="s">
        <v>1058</v>
      </c>
      <c r="C3032" s="21" t="s">
        <v>1076</v>
      </c>
      <c r="D3032" s="21" t="s">
        <v>1060</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595</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1088</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621</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1282</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607</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row>
    <row r="3039" spans="1:12">
      <c r="A3039" s="20" t="s">
        <v>1276</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2029</v>
      </c>
    </row>
    <row r="3041" spans="1:12">
      <c r="A3041" s="20" t="s">
        <v>607</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2030</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303</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1279</v>
      </c>
      <c r="B3044" s="21" t="s">
        <v>1075</v>
      </c>
      <c r="C3044" s="21" t="s">
        <v>1076</v>
      </c>
      <c r="D3044" s="21" t="s">
        <v>1060</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728</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923</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row>
    <row r="3048" spans="1:12">
      <c r="A3048" s="20" t="s">
        <v>2031</v>
      </c>
    </row>
    <row r="3049" spans="1:12">
      <c r="A3049" s="20" t="s">
        <v>1307</v>
      </c>
      <c r="B3049" s="21" t="s">
        <v>1058</v>
      </c>
      <c r="C3049" s="21" t="s">
        <v>1076</v>
      </c>
      <c r="D3049" s="21" t="s">
        <v>1060</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1303</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1256</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603</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1144</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2032</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2033</v>
      </c>
      <c r="B3055" s="21" t="s">
        <v>1097</v>
      </c>
      <c r="C3055" s="21" t="s">
        <v>1149</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1088</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16</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1590</v>
      </c>
      <c r="B3058" s="21" t="s">
        <v>1068</v>
      </c>
      <c r="C3058" s="21" t="s">
        <v>1149</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923</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row>
    <row r="3061" spans="1:12">
      <c r="A3061" s="20" t="s">
        <v>1276</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2034</v>
      </c>
    </row>
    <row r="3063" spans="1:12">
      <c r="A3063" s="20" t="s">
        <v>1674</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1279</v>
      </c>
      <c r="B3064" s="21" t="s">
        <v>1084</v>
      </c>
      <c r="C3064" s="21" t="s">
        <v>1076</v>
      </c>
      <c r="D3064" s="21" t="s">
        <v>1060</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1361</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131</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1070</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1072</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1509</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1097</v>
      </c>
      <c r="B3070" s="21" t="s">
        <v>1179</v>
      </c>
      <c r="C3070" s="21" t="s">
        <v>1059</v>
      </c>
      <c r="D3070" s="21" t="s">
        <v>1060</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1061</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1166</v>
      </c>
      <c r="B3072" s="21" t="s">
        <v>1091</v>
      </c>
      <c r="C3072" s="21" t="s">
        <v>1076</v>
      </c>
      <c r="D3072" s="21" t="s">
        <v>1060</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1361</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643</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1212</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1194</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1279</v>
      </c>
      <c r="B3077" s="21" t="s">
        <v>1064</v>
      </c>
      <c r="C3077" s="21" t="s">
        <v>1076</v>
      </c>
      <c r="D3077" s="21" t="s">
        <v>1060</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1088</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1101</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1251</v>
      </c>
      <c r="B3080" s="21" t="s">
        <v>1064</v>
      </c>
      <c r="C3080" s="21" t="s">
        <v>1140</v>
      </c>
      <c r="D3080" s="21" t="s">
        <v>1060</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923</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607</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row>
    <row r="3084" spans="1:12">
      <c r="A3084" s="20" t="s">
        <v>2035</v>
      </c>
    </row>
    <row r="3085" spans="1:12">
      <c r="A3085" s="20" t="s">
        <v>1508</v>
      </c>
      <c r="B3085" s="21" t="s">
        <v>1058</v>
      </c>
      <c r="C3085" s="21" t="s">
        <v>1076</v>
      </c>
      <c r="D3085" s="21" t="s">
        <v>1060</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2036</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1088</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2037</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1088</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1090</v>
      </c>
      <c r="B3090" s="21" t="s">
        <v>1064</v>
      </c>
      <c r="C3090" s="21" t="s">
        <v>1092</v>
      </c>
      <c r="D3090" s="21" t="s">
        <v>1060</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1671</v>
      </c>
      <c r="B3091" s="21" t="s">
        <v>1068</v>
      </c>
      <c r="C3091" s="21" t="s">
        <v>1059</v>
      </c>
      <c r="D3091" s="21" t="s">
        <v>1060</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1167</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1156</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1083</v>
      </c>
      <c r="B3094" s="21" t="s">
        <v>1079</v>
      </c>
      <c r="C3094" s="21" t="s">
        <v>1076</v>
      </c>
      <c r="D3094" s="21" t="s">
        <v>1060</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1085</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1630</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2038</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1461</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1118</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2039</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1160</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1219</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2040</v>
      </c>
      <c r="B3103" s="21" t="s">
        <v>1064</v>
      </c>
      <c r="C3103" s="21" t="s">
        <v>1207</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923</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row>
    <row r="3106" spans="1:12">
      <c r="A3106" s="20" t="s">
        <v>2041</v>
      </c>
    </row>
    <row r="3107" spans="1:12">
      <c r="A3107" s="20" t="s">
        <v>1254</v>
      </c>
      <c r="B3107" s="21" t="s">
        <v>1058</v>
      </c>
      <c r="C3107" s="21" t="s">
        <v>1076</v>
      </c>
      <c r="D3107" s="21" t="s">
        <v>1060</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2042</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1127</v>
      </c>
      <c r="B3109" s="21" t="s">
        <v>1075</v>
      </c>
      <c r="C3109" s="21" t="s">
        <v>1076</v>
      </c>
      <c r="D3109" s="21" t="s">
        <v>1060</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1088</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1077</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1669</v>
      </c>
      <c r="B3112" s="21" t="s">
        <v>1097</v>
      </c>
      <c r="C3112" s="21" t="s">
        <v>1080</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1070</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1516</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1083</v>
      </c>
      <c r="B3115" s="21" t="s">
        <v>1084</v>
      </c>
      <c r="C3115" s="21" t="s">
        <v>1076</v>
      </c>
      <c r="D3115" s="21" t="s">
        <v>1060</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1446</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2043</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1194</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1090</v>
      </c>
      <c r="B3119" s="21" t="s">
        <v>1091</v>
      </c>
      <c r="C3119" s="21" t="s">
        <v>1092</v>
      </c>
      <c r="D3119" s="21" t="s">
        <v>1060</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690</v>
      </c>
      <c r="B3120" s="21" t="s">
        <v>1099</v>
      </c>
      <c r="C3120" s="21" t="s">
        <v>1059</v>
      </c>
      <c r="D3120" s="21" t="s">
        <v>1060</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2044</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1160</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1090</v>
      </c>
      <c r="B3123" s="21" t="s">
        <v>1104</v>
      </c>
      <c r="C3123" s="21" t="s">
        <v>1092</v>
      </c>
      <c r="D3123" s="21" t="s">
        <v>1060</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1681</v>
      </c>
      <c r="B3124" s="21" t="s">
        <v>1091</v>
      </c>
      <c r="C3124" s="21" t="s">
        <v>1059</v>
      </c>
      <c r="D3124" s="21" t="s">
        <v>1060</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923</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row>
    <row r="3127" spans="1:12">
      <c r="A3127" s="20" t="s">
        <v>1276</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2045</v>
      </c>
    </row>
    <row r="3129" spans="1:12">
      <c r="A3129" s="20" t="s">
        <v>607</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1254</v>
      </c>
      <c r="B3130" s="21" t="s">
        <v>1079</v>
      </c>
      <c r="C3130" s="21" t="s">
        <v>1076</v>
      </c>
      <c r="D3130" s="21" t="s">
        <v>1060</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1344</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303</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1279</v>
      </c>
      <c r="B3133" s="21" t="s">
        <v>1132</v>
      </c>
      <c r="C3133" s="21" t="s">
        <v>1076</v>
      </c>
      <c r="D3133" s="21" t="s">
        <v>1060</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1315</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1070</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607</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1176</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1063</v>
      </c>
      <c r="B3138" s="21" t="s">
        <v>1058</v>
      </c>
      <c r="C3138" s="21" t="s">
        <v>1065</v>
      </c>
      <c r="D3138" s="21" t="s">
        <v>1060</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923</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row>
    <row r="3141" spans="1:12">
      <c r="A3141" s="20" t="s">
        <v>1276</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2046</v>
      </c>
    </row>
    <row r="3143" spans="1:12">
      <c r="A3143" s="20" t="s">
        <v>607</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1138</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2047</v>
      </c>
      <c r="B3145" s="21" t="s">
        <v>1058</v>
      </c>
      <c r="C3145" s="21" t="s">
        <v>1059</v>
      </c>
      <c r="D3145" s="21" t="s">
        <v>1060</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1061</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1172</v>
      </c>
      <c r="B3147" s="21" t="s">
        <v>1064</v>
      </c>
      <c r="C3147" s="21" t="s">
        <v>1092</v>
      </c>
      <c r="D3147" s="21" t="s">
        <v>1060</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2048</v>
      </c>
      <c r="B3148" s="21" t="s">
        <v>1068</v>
      </c>
      <c r="C3148" s="21" t="s">
        <v>1059</v>
      </c>
      <c r="D3148" s="21" t="s">
        <v>1060</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1344</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185</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2049</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1070</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1118</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1219</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2050</v>
      </c>
      <c r="B3155" s="21" t="s">
        <v>1079</v>
      </c>
      <c r="C3155" s="21" t="s">
        <v>1207</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1340</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1061</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2051</v>
      </c>
      <c r="B3158" s="21" t="s">
        <v>1097</v>
      </c>
      <c r="C3158" s="21" t="s">
        <v>1149</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923</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row>
    <row r="3161" spans="1:12">
      <c r="A3161" s="20" t="s">
        <v>2052</v>
      </c>
    </row>
    <row r="3162" spans="1:12">
      <c r="A3162" s="20" t="s">
        <v>1254</v>
      </c>
      <c r="B3162" s="21" t="s">
        <v>1058</v>
      </c>
      <c r="C3162" s="21" t="s">
        <v>1076</v>
      </c>
      <c r="D3162" s="21" t="s">
        <v>1060</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576</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1172</v>
      </c>
      <c r="B3164" s="21" t="s">
        <v>1068</v>
      </c>
      <c r="C3164" s="21" t="s">
        <v>1092</v>
      </c>
      <c r="D3164" s="21" t="s">
        <v>1060</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2053</v>
      </c>
      <c r="B3165" s="21" t="s">
        <v>1075</v>
      </c>
      <c r="C3165" s="21" t="s">
        <v>1059</v>
      </c>
      <c r="D3165" s="21" t="s">
        <v>1060</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1070</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1118</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1315</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1170</v>
      </c>
      <c r="B3169" s="21" t="s">
        <v>1079</v>
      </c>
      <c r="C3169" s="21" t="s">
        <v>1076</v>
      </c>
      <c r="D3169" s="21" t="s">
        <v>1060</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1181</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2054</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1172</v>
      </c>
      <c r="B3172" s="21" t="s">
        <v>1064</v>
      </c>
      <c r="C3172" s="21" t="s">
        <v>1092</v>
      </c>
      <c r="D3172" s="21" t="s">
        <v>1060</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1733</v>
      </c>
      <c r="B3173" s="21" t="s">
        <v>1132</v>
      </c>
      <c r="C3173" s="21" t="s">
        <v>1059</v>
      </c>
      <c r="D3173" s="21" t="s">
        <v>1060</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923</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row>
    <row r="3176" spans="1:12">
      <c r="A3176" s="20" t="s">
        <v>1276</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2055</v>
      </c>
    </row>
    <row r="3178" spans="1:12">
      <c r="A3178" s="20" t="s">
        <v>607</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1240</v>
      </c>
      <c r="B3179" s="21" t="s">
        <v>1058</v>
      </c>
      <c r="C3179" s="21" t="s">
        <v>1076</v>
      </c>
      <c r="D3179" s="21" t="s">
        <v>1060</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1066</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1077</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2056</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1088</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1072</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1610</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1172</v>
      </c>
      <c r="B3186" s="21" t="s">
        <v>1068</v>
      </c>
      <c r="C3186" s="21" t="s">
        <v>1092</v>
      </c>
      <c r="D3186" s="21" t="s">
        <v>1060</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2057</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1127</v>
      </c>
      <c r="B3188" s="21" t="s">
        <v>1132</v>
      </c>
      <c r="C3188" s="21" t="s">
        <v>1076</v>
      </c>
      <c r="D3188" s="21" t="s">
        <v>1060</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1168</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1101</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1247</v>
      </c>
      <c r="B3191" s="21" t="s">
        <v>1068</v>
      </c>
      <c r="C3191" s="21" t="s">
        <v>1140</v>
      </c>
      <c r="D3191" s="21" t="s">
        <v>1060</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1070</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607</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1083</v>
      </c>
      <c r="B3194" s="21" t="s">
        <v>1079</v>
      </c>
      <c r="C3194" s="21" t="s">
        <v>1076</v>
      </c>
      <c r="D3194" s="21" t="s">
        <v>1060</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2058</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1146</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1170</v>
      </c>
      <c r="B3197" s="21" t="s">
        <v>1084</v>
      </c>
      <c r="C3197" s="21" t="s">
        <v>1076</v>
      </c>
      <c r="D3197" s="21" t="s">
        <v>1060</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2059</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1172</v>
      </c>
      <c r="B3199" s="21" t="s">
        <v>1099</v>
      </c>
      <c r="C3199" s="21" t="s">
        <v>1092</v>
      </c>
      <c r="D3199" s="21" t="s">
        <v>1060</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1490</v>
      </c>
      <c r="B3200" s="21" t="s">
        <v>1136</v>
      </c>
      <c r="C3200" s="21" t="s">
        <v>1059</v>
      </c>
      <c r="D3200" s="21" t="s">
        <v>1060</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1741</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1260</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1101</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1420</v>
      </c>
      <c r="B3204" s="21" t="s">
        <v>1099</v>
      </c>
      <c r="C3204" s="21" t="s">
        <v>1140</v>
      </c>
      <c r="D3204" s="21" t="s">
        <v>1060</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923</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row>
    <row r="3207" spans="1:12">
      <c r="A3207" s="20" t="s">
        <v>1276</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2060</v>
      </c>
    </row>
    <row r="3209" spans="1:12">
      <c r="A3209" s="20" t="s">
        <v>607</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2061</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2062</v>
      </c>
      <c r="B3211" s="21" t="s">
        <v>1058</v>
      </c>
      <c r="C3211" s="21" t="s">
        <v>1159</v>
      </c>
      <c r="D3211" s="21" t="s">
        <v>1060</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1344</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576</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1210</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1127</v>
      </c>
      <c r="B3215" s="21" t="s">
        <v>1075</v>
      </c>
      <c r="C3215" s="21" t="s">
        <v>1076</v>
      </c>
      <c r="D3215" s="21" t="s">
        <v>1060</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1082</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1101</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98</v>
      </c>
      <c r="B3218" s="21" t="s">
        <v>1079</v>
      </c>
      <c r="C3218" s="21" t="s">
        <v>1140</v>
      </c>
      <c r="D3218" s="21" t="s">
        <v>1060</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1085</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1257</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923</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607</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row>
    <row r="3224" spans="1:12">
      <c r="A3224" s="20" t="s">
        <v>1276</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2063</v>
      </c>
    </row>
    <row r="3226" spans="1:12">
      <c r="A3226" s="20" t="s">
        <v>607</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1254</v>
      </c>
      <c r="B3227" s="21" t="s">
        <v>1058</v>
      </c>
      <c r="C3227" s="21" t="s">
        <v>1076</v>
      </c>
      <c r="D3227" s="21" t="s">
        <v>1060</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1125</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2064</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2065</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1265</v>
      </c>
      <c r="B3231" s="21" t="s">
        <v>1097</v>
      </c>
      <c r="C3231" s="21" t="s">
        <v>1358</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1070</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1118</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1311</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1330</v>
      </c>
      <c r="B3235" s="21" t="s">
        <v>1079</v>
      </c>
      <c r="C3235" s="21" t="s">
        <v>1159</v>
      </c>
      <c r="D3235" s="21" t="s">
        <v>1060</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1073</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576</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2066</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1416</v>
      </c>
      <c r="B3239" s="21" t="s">
        <v>1132</v>
      </c>
      <c r="C3239" s="21" t="s">
        <v>1076</v>
      </c>
      <c r="D3239" s="21" t="s">
        <v>1060</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923</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607</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row>
    <row r="3243" spans="1:12">
      <c r="A3243" s="20" t="s">
        <v>1276</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2067</v>
      </c>
    </row>
    <row r="3245" spans="1:12">
      <c r="A3245" s="20" t="s">
        <v>607</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1508</v>
      </c>
      <c r="B3246" s="21" t="s">
        <v>1058</v>
      </c>
      <c r="C3246" s="21" t="s">
        <v>1076</v>
      </c>
      <c r="D3246" s="21" t="s">
        <v>1060</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2068</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1101</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768</v>
      </c>
      <c r="B3249" s="21" t="s">
        <v>1075</v>
      </c>
      <c r="C3249" s="21" t="s">
        <v>1140</v>
      </c>
      <c r="D3249" s="21" t="s">
        <v>1060</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1088</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13</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1127</v>
      </c>
      <c r="B3252" s="21" t="s">
        <v>1132</v>
      </c>
      <c r="C3252" s="21" t="s">
        <v>1076</v>
      </c>
      <c r="D3252" s="21" t="s">
        <v>1060</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1265</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2069</v>
      </c>
      <c r="B3254" s="21" t="s">
        <v>1068</v>
      </c>
      <c r="C3254" s="21" t="s">
        <v>1149</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1082</v>
      </c>
      <c r="B3255" s="21" t="s">
        <v>1095</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1279</v>
      </c>
      <c r="B3256" s="21" t="s">
        <v>1179</v>
      </c>
      <c r="C3256" s="21" t="s">
        <v>1076</v>
      </c>
      <c r="D3256" s="21" t="s">
        <v>1060</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1073</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185</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2070</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923</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row>
    <row r="3262" spans="1:12">
      <c r="A3262" s="20" t="s">
        <v>2071</v>
      </c>
    </row>
    <row r="3263" spans="1:12">
      <c r="A3263" s="20" t="s">
        <v>1528</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1070</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1109</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1070</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1083</v>
      </c>
      <c r="B3267" s="21" t="s">
        <v>1058</v>
      </c>
      <c r="C3267" s="21" t="s">
        <v>1076</v>
      </c>
      <c r="D3267" s="21" t="s">
        <v>1060</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1066</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2072</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1229</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1311</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1890</v>
      </c>
      <c r="B3272" s="21" t="s">
        <v>1097</v>
      </c>
      <c r="C3272" s="21" t="s">
        <v>1159</v>
      </c>
      <c r="D3272" s="21" t="s">
        <v>1060</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1300</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row>
    <row r="3275" spans="1:12">
      <c r="A3275" s="20" t="s">
        <v>1276</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2073</v>
      </c>
    </row>
    <row r="3277" spans="1:12">
      <c r="A3277" s="20" t="s">
        <v>1779</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1170</v>
      </c>
      <c r="B3278" s="21" t="s">
        <v>1058</v>
      </c>
      <c r="C3278" s="21" t="s">
        <v>1076</v>
      </c>
      <c r="D3278" s="21" t="s">
        <v>1060</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2074</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647</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1101</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1247</v>
      </c>
      <c r="B3282" s="21" t="s">
        <v>1075</v>
      </c>
      <c r="C3282" s="21" t="s">
        <v>1140</v>
      </c>
      <c r="D3282" s="21" t="s">
        <v>1060</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1118</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127</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2075</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923</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607</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row>
    <row r="3289" spans="1:12">
      <c r="A3289" s="20" t="s">
        <v>2076</v>
      </c>
    </row>
    <row r="3290" spans="1:12">
      <c r="A3290" s="20" t="s">
        <v>1138</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1165</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1258</v>
      </c>
      <c r="B3292" s="21" t="s">
        <v>1058</v>
      </c>
      <c r="C3292" s="21" t="s">
        <v>1140</v>
      </c>
      <c r="D3292" s="21" t="s">
        <v>1060</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1085</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671</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1070</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587</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1170</v>
      </c>
      <c r="B3297" s="21" t="s">
        <v>1079</v>
      </c>
      <c r="C3297" s="21" t="s">
        <v>1076</v>
      </c>
      <c r="D3297" s="21" t="s">
        <v>1060</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2077</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1160</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1118</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2078</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1111</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1400</v>
      </c>
      <c r="B3303" s="21" t="s">
        <v>1064</v>
      </c>
      <c r="C3303" s="21" t="s">
        <v>1149</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1088</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1400</v>
      </c>
      <c r="B3305" s="21" t="s">
        <v>1099</v>
      </c>
      <c r="C3305" s="21" t="s">
        <v>1149</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1088</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1101</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1784</v>
      </c>
      <c r="B3308" s="21" t="s">
        <v>1091</v>
      </c>
      <c r="C3308" s="21" t="s">
        <v>1140</v>
      </c>
      <c r="D3308" s="21" t="s">
        <v>1060</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1061</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1077</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2079</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2080</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2081</v>
      </c>
      <c r="B3313" s="21" t="s">
        <v>1104</v>
      </c>
      <c r="C3313" s="21" t="s">
        <v>1080</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1070</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1123</v>
      </c>
      <c r="B3315" s="21" t="s">
        <v>2082</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2083</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1166</v>
      </c>
      <c r="B3317" s="21" t="s">
        <v>2084</v>
      </c>
      <c r="C3317" s="21" t="s">
        <v>1076</v>
      </c>
      <c r="D3317" s="21" t="s">
        <v>1060</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1160</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1101</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2085</v>
      </c>
      <c r="B3320" s="21" t="s">
        <v>1802</v>
      </c>
      <c r="C3320" s="21" t="s">
        <v>1140</v>
      </c>
      <c r="D3320" s="21" t="s">
        <v>1060</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923</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row>
    <row r="3323" spans="1:12">
      <c r="A3323" s="20" t="s">
        <v>2086</v>
      </c>
    </row>
    <row r="3324" spans="1:12">
      <c r="A3324" s="20" t="s">
        <v>1440</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1085</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1109</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1533</v>
      </c>
      <c r="B3327" s="21" t="s">
        <v>1079</v>
      </c>
      <c r="C3327" s="21" t="s">
        <v>1358</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572</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1160</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1101</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1399</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16</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1400</v>
      </c>
      <c r="B3333" s="21" t="s">
        <v>1068</v>
      </c>
      <c r="C3333" s="21" t="s">
        <v>1140</v>
      </c>
      <c r="D3333" s="21" t="s">
        <v>1060</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1070</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1156</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1063</v>
      </c>
      <c r="B3336" s="21" t="s">
        <v>1079</v>
      </c>
      <c r="C3336" s="21" t="s">
        <v>1065</v>
      </c>
      <c r="D3336" s="21" t="s">
        <v>1060</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2087</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1257</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1101</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1626</v>
      </c>
      <c r="B3340" s="21" t="s">
        <v>1132</v>
      </c>
      <c r="C3340" s="21" t="s">
        <v>1140</v>
      </c>
      <c r="D3340" s="21" t="s">
        <v>1060</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1118</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1475</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1109</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1498</v>
      </c>
      <c r="B3344" s="21" t="s">
        <v>1136</v>
      </c>
      <c r="C3344" s="21" t="s">
        <v>1358</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1061</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1101</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1247</v>
      </c>
      <c r="B3347" s="21" t="s">
        <v>1099</v>
      </c>
      <c r="C3347" s="21" t="s">
        <v>1140</v>
      </c>
      <c r="D3347" s="21" t="s">
        <v>1060</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2088</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923</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row>
    <row r="3351" spans="1:12">
      <c r="A3351" s="20" t="s">
        <v>2089</v>
      </c>
    </row>
    <row r="3352" spans="1:12">
      <c r="A3352" s="20" t="s">
        <v>1528</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1930</v>
      </c>
      <c r="B3353" s="21" t="s">
        <v>1075</v>
      </c>
      <c r="C3353" s="21" t="s">
        <v>1358</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1180</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1170</v>
      </c>
      <c r="B3355" s="21" t="s">
        <v>1058</v>
      </c>
      <c r="C3355" s="21" t="s">
        <v>1076</v>
      </c>
      <c r="D3355" s="21" t="s">
        <v>1060</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106</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1061</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1101</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1733</v>
      </c>
      <c r="B3359" s="21" t="s">
        <v>1097</v>
      </c>
      <c r="C3359" s="21" t="s">
        <v>1140</v>
      </c>
      <c r="D3359" s="21" t="s">
        <v>1060</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1734</v>
      </c>
      <c r="B3360" s="21" t="s">
        <v>1136</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1170</v>
      </c>
      <c r="B3361" s="21" t="s">
        <v>1084</v>
      </c>
      <c r="C3361" s="21" t="s">
        <v>1076</v>
      </c>
      <c r="D3361" s="21" t="s">
        <v>1060</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1125</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2090</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923</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row>
    <row r="3366" spans="1:12">
      <c r="A3366" s="20" t="s">
        <v>2091</v>
      </c>
    </row>
    <row r="3367" spans="1:12">
      <c r="A3367" s="20" t="s">
        <v>2092</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1101</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1659</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1660</v>
      </c>
      <c r="B3370" s="21" t="s">
        <v>1097</v>
      </c>
      <c r="C3370" s="21" t="s">
        <v>1140</v>
      </c>
      <c r="D3370" s="21" t="s">
        <v>1060</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1070</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1141</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1070</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1072</v>
      </c>
      <c r="B3374" s="21" t="s">
        <v>1058</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1061</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1101</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2093</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2094</v>
      </c>
      <c r="B3378" s="21" t="s">
        <v>1068</v>
      </c>
      <c r="C3378" s="21" t="s">
        <v>1140</v>
      </c>
      <c r="D3378" s="21" t="s">
        <v>1060</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1085</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2095</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923</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row>
    <row r="3383" spans="1:12">
      <c r="A3383" s="20" t="s">
        <v>1276</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2096</v>
      </c>
    </row>
    <row r="3385" spans="1:12">
      <c r="A3385" s="20" t="s">
        <v>607</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1440</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1066</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2097</v>
      </c>
      <c r="B3388" s="21" t="s">
        <v>1058</v>
      </c>
      <c r="C3388" s="21" t="s">
        <v>2098</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1160</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728</v>
      </c>
      <c r="B3390" s="21" t="s">
        <v>1068</v>
      </c>
      <c r="C3390" s="21" t="s">
        <v>1522</v>
      </c>
      <c r="D3390" s="21" t="s">
        <v>1060</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1070</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607</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1752</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1281</v>
      </c>
      <c r="B3394" s="21" t="s">
        <v>1132</v>
      </c>
      <c r="C3394" s="21" t="s">
        <v>1065</v>
      </c>
      <c r="D3394" s="21" t="s">
        <v>1060</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923</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row>
    <row r="3397" spans="1:12">
      <c r="A3397" s="20" t="s">
        <v>1276</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2099</v>
      </c>
    </row>
    <row r="3399" spans="1:12">
      <c r="A3399" s="20" t="s">
        <v>607</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1151</v>
      </c>
      <c r="B3400" s="21" t="s">
        <v>1058</v>
      </c>
      <c r="C3400" s="21" t="s">
        <v>1076</v>
      </c>
      <c r="D3400" s="21" t="s">
        <v>1060</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1530</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209</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1077</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2100</v>
      </c>
      <c r="B3404" s="21" t="s">
        <v>1075</v>
      </c>
      <c r="C3404" s="21" t="s">
        <v>1080</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923</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row>
    <row r="3407" spans="1:12">
      <c r="A3407" s="20" t="s">
        <v>1276</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2101</v>
      </c>
    </row>
    <row r="3409" spans="1:12">
      <c r="A3409" s="20" t="s">
        <v>2102</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1311</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1258</v>
      </c>
      <c r="B3411" s="21" t="s">
        <v>1075</v>
      </c>
      <c r="C3411" s="21" t="s">
        <v>1159</v>
      </c>
      <c r="D3411" s="21" t="s">
        <v>1060</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1300</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607</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row>
    <row r="3415" spans="1:12">
      <c r="A3415" s="20" t="s">
        <v>2103</v>
      </c>
    </row>
    <row r="3416" spans="1:12">
      <c r="A3416" s="20" t="s">
        <v>1317</v>
      </c>
      <c r="B3416" s="21" t="s">
        <v>1058</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2104</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2105</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2106</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1118</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2107</v>
      </c>
      <c r="B3421" s="21" t="s">
        <v>1097</v>
      </c>
      <c r="C3421" s="21" t="s">
        <v>1149</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1108</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1111</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1506</v>
      </c>
      <c r="B3424" s="21" t="s">
        <v>1068</v>
      </c>
      <c r="C3424" s="21" t="s">
        <v>1149</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923</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row>
    <row r="3427" spans="1:12">
      <c r="A3427" s="20" t="s">
        <v>2108</v>
      </c>
    </row>
    <row r="3428" spans="1:12">
      <c r="A3428" s="20" t="s">
        <v>1063</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327</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1101</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1258</v>
      </c>
      <c r="B3431" s="21" t="s">
        <v>1075</v>
      </c>
      <c r="C3431" s="21" t="s">
        <v>1140</v>
      </c>
      <c r="D3431" s="21" t="s">
        <v>1060</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2109</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1332</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1101</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661</v>
      </c>
      <c r="B3435" s="21" t="s">
        <v>1097</v>
      </c>
      <c r="C3435" s="21" t="s">
        <v>1140</v>
      </c>
      <c r="D3435" s="21" t="s">
        <v>1060</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1194</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1101</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2110</v>
      </c>
      <c r="B3438" s="21" t="s">
        <v>1068</v>
      </c>
      <c r="C3438" s="21" t="s">
        <v>1059</v>
      </c>
      <c r="D3438" s="21" t="s">
        <v>1060</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1061</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1090</v>
      </c>
      <c r="B3440" s="21" t="s">
        <v>1099</v>
      </c>
      <c r="C3440" s="21" t="s">
        <v>1092</v>
      </c>
      <c r="D3440" s="21" t="s">
        <v>1060</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1881</v>
      </c>
      <c r="B3441" s="21" t="s">
        <v>1064</v>
      </c>
      <c r="C3441" s="21" t="s">
        <v>1059</v>
      </c>
      <c r="D3441" s="21" t="s">
        <v>1060</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1118</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1074</v>
      </c>
      <c r="B3443" s="21" t="s">
        <v>1079</v>
      </c>
      <c r="C3443" s="21" t="s">
        <v>1076</v>
      </c>
      <c r="D3443" s="21" t="s">
        <v>1060</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1885</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671</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923</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row>
    <row r="3448" spans="1:12">
      <c r="A3448" s="20" t="s">
        <v>2111</v>
      </c>
    </row>
    <row r="3449" spans="1:12">
      <c r="A3449" s="20" t="s">
        <v>682</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1160</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1667</v>
      </c>
      <c r="B3451" s="21" t="s">
        <v>1097</v>
      </c>
      <c r="C3451" s="21" t="s">
        <v>1149</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1070</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1170</v>
      </c>
      <c r="B3453" s="21" t="s">
        <v>1075</v>
      </c>
      <c r="C3453" s="21" t="s">
        <v>1076</v>
      </c>
      <c r="D3453" s="21" t="s">
        <v>1060</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1707</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1769</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2077</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1376</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1101</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1400</v>
      </c>
      <c r="B3459" s="21" t="s">
        <v>1064</v>
      </c>
      <c r="C3459" s="21" t="s">
        <v>1140</v>
      </c>
      <c r="D3459" s="21" t="s">
        <v>1060</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923</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row>
    <row r="3462" spans="1:12">
      <c r="A3462" s="20" t="s">
        <v>2112</v>
      </c>
    </row>
    <row r="3463" spans="1:12">
      <c r="A3463" s="20" t="s">
        <v>1779</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1502</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1085</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1109</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1930</v>
      </c>
      <c r="B3467" s="21" t="s">
        <v>1058</v>
      </c>
      <c r="C3467" s="21" t="s">
        <v>1059</v>
      </c>
      <c r="D3467" s="21" t="s">
        <v>1060</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1506</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1074</v>
      </c>
      <c r="B3469" s="21" t="s">
        <v>1068</v>
      </c>
      <c r="C3469" s="21" t="s">
        <v>1076</v>
      </c>
      <c r="D3469" s="21" t="s">
        <v>1060</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1061</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1082</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2113</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1118</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2114</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784</v>
      </c>
      <c r="B3475" s="21" t="s">
        <v>1068</v>
      </c>
      <c r="C3475" s="21" t="s">
        <v>1159</v>
      </c>
      <c r="D3475" s="21" t="s">
        <v>1060</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1734</v>
      </c>
      <c r="B3476" s="21" t="s">
        <v>1095</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1170</v>
      </c>
      <c r="B3477" s="21" t="s">
        <v>1179</v>
      </c>
      <c r="C3477" s="21" t="s">
        <v>1076</v>
      </c>
      <c r="D3477" s="21" t="s">
        <v>1060</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2115</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1088</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106</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923</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row>
    <row r="3483" spans="1:12">
      <c r="A3483" s="20" t="s">
        <v>2116</v>
      </c>
    </row>
    <row r="3484" spans="1:12">
      <c r="A3484" s="20" t="s">
        <v>2117</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1170</v>
      </c>
      <c r="B3485" s="21" t="s">
        <v>1058</v>
      </c>
      <c r="C3485" s="21" t="s">
        <v>1076</v>
      </c>
      <c r="D3485" s="21" t="s">
        <v>1060</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1125</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2118</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1229</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1366</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2119</v>
      </c>
      <c r="B3490" s="21" t="s">
        <v>1097</v>
      </c>
      <c r="C3490" s="21" t="s">
        <v>1080</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587</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1662</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1118</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587</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2120</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1082</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1170</v>
      </c>
      <c r="B3497" s="21" t="s">
        <v>1079</v>
      </c>
      <c r="C3497" s="21" t="s">
        <v>1076</v>
      </c>
      <c r="D3497" s="21" t="s">
        <v>1060</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2121</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1144</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1077</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2050</v>
      </c>
      <c r="B3501" s="21" t="s">
        <v>1068</v>
      </c>
      <c r="C3501" s="21" t="s">
        <v>1080</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2122</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1168</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1074</v>
      </c>
      <c r="B3504" s="21" t="s">
        <v>1099</v>
      </c>
      <c r="C3504" s="21" t="s">
        <v>1076</v>
      </c>
      <c r="D3504" s="21" t="s">
        <v>1060</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1160</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1784</v>
      </c>
      <c r="B3506" s="21" t="s">
        <v>1099</v>
      </c>
      <c r="C3506" s="21" t="s">
        <v>1149</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923</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row>
    <row r="3509" spans="1:12">
      <c r="A3509" s="20" t="s">
        <v>2123</v>
      </c>
    </row>
    <row r="3510" spans="1:12">
      <c r="A3510" s="20" t="s">
        <v>1138</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1400</v>
      </c>
      <c r="B3511" s="21" t="s">
        <v>1058</v>
      </c>
      <c r="C3511" s="21" t="s">
        <v>1140</v>
      </c>
      <c r="D3511" s="21" t="s">
        <v>1060</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1152</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1379</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2124</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1376</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1077</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1970</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2125</v>
      </c>
      <c r="B3518" s="21" t="s">
        <v>1097</v>
      </c>
      <c r="C3518" s="21" t="s">
        <v>1080</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1070</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1118</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1101</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2126</v>
      </c>
      <c r="B3522" s="21" t="s">
        <v>1079</v>
      </c>
      <c r="C3522" s="21" t="s">
        <v>1140</v>
      </c>
      <c r="D3522" s="21" t="s">
        <v>1060</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1125</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2127</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t="s">
        <v>1229</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1077</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2128</v>
      </c>
      <c r="B3527" s="21" t="s">
        <v>1068</v>
      </c>
      <c r="C3527" s="21" t="s">
        <v>1080</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1061</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1477</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16</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2129</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2130</v>
      </c>
      <c r="B3532" s="21" t="s">
        <v>1064</v>
      </c>
      <c r="C3532" s="21" t="s">
        <v>1149</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1093</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1061</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1082</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2131</v>
      </c>
      <c r="B3536" s="21" t="s">
        <v>1091</v>
      </c>
      <c r="C3536" s="21" t="s">
        <v>1159</v>
      </c>
      <c r="D3536" s="21" t="s">
        <v>1060</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1061</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2132</v>
      </c>
      <c r="B3538" s="21" t="s">
        <v>1104</v>
      </c>
      <c r="C3538" s="21" t="s">
        <v>1149</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1118</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2133</v>
      </c>
      <c r="B3540" s="21" t="s">
        <v>1185</v>
      </c>
      <c r="C3540" s="21" t="s">
        <v>1149</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1101</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2134</v>
      </c>
      <c r="B3542" s="21" t="s">
        <v>1091</v>
      </c>
      <c r="C3542" s="21" t="s">
        <v>1140</v>
      </c>
      <c r="D3542" s="21" t="s">
        <v>1060</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1061</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1115</v>
      </c>
      <c r="B3544" s="21" t="s">
        <v>1124</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1152</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1379</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1101</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2135</v>
      </c>
      <c r="B3548" s="21" t="s">
        <v>1104</v>
      </c>
      <c r="C3548" s="21" t="s">
        <v>1059</v>
      </c>
      <c r="D3548" s="21" t="s">
        <v>1060</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1061</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1311</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2136</v>
      </c>
      <c r="B3551" s="21" t="s">
        <v>1185</v>
      </c>
      <c r="C3551" s="21" t="s">
        <v>1159</v>
      </c>
      <c r="D3551" s="21" t="s">
        <v>1060</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1118</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2137</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1733</v>
      </c>
      <c r="B3554" s="21" t="s">
        <v>1802</v>
      </c>
      <c r="C3554" s="21" t="s">
        <v>1149</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923</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row>
    <row r="3557" spans="1:12">
      <c r="A3557" s="20" t="s">
        <v>2138</v>
      </c>
    </row>
    <row r="3558" spans="1:12">
      <c r="A3558" s="20" t="s">
        <v>1678</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1101</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2139</v>
      </c>
      <c r="B3560" s="21" t="s">
        <v>1097</v>
      </c>
      <c r="C3560" s="21" t="s">
        <v>1059</v>
      </c>
      <c r="D3560" s="21" t="s">
        <v>1060</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1061</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1311</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1400</v>
      </c>
      <c r="B3563" s="21" t="s">
        <v>1068</v>
      </c>
      <c r="C3563" s="21" t="s">
        <v>1159</v>
      </c>
      <c r="D3563" s="21" t="s">
        <v>1060</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1502</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1085</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1366</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2140</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2141</v>
      </c>
      <c r="B3568" s="21" t="s">
        <v>1058</v>
      </c>
      <c r="C3568" s="21" t="s">
        <v>1080</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1070</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1115</v>
      </c>
      <c r="B3570" s="21" t="s">
        <v>1084</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1152</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1379</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1984</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1168</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2064</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2142</v>
      </c>
      <c r="B3576" s="21" t="s">
        <v>1064</v>
      </c>
      <c r="C3576" s="21" t="s">
        <v>1358</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1146</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1077</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t="s">
        <v>2143</v>
      </c>
      <c r="B3579" s="21" t="s">
        <v>1064</v>
      </c>
      <c r="C3579" s="21" t="s">
        <v>1080</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1144</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1101</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2080</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2144</v>
      </c>
      <c r="B3583" s="21" t="s">
        <v>1099</v>
      </c>
      <c r="C3583" s="21" t="s">
        <v>1140</v>
      </c>
      <c r="D3583" s="21" t="s">
        <v>1060</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2145</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2146</v>
      </c>
      <c r="B3585" s="21" t="s">
        <v>1121</v>
      </c>
      <c r="C3585" s="21" t="s">
        <v>1149</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1061</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2147</v>
      </c>
      <c r="B3587" s="21" t="s">
        <v>1104</v>
      </c>
      <c r="C3587" s="21" t="s">
        <v>1149</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1115</v>
      </c>
      <c r="B3588" s="21" t="s">
        <v>2082</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2148</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1101</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1605</v>
      </c>
      <c r="B3591" s="21" t="s">
        <v>2084</v>
      </c>
      <c r="C3591" s="21" t="s">
        <v>1140</v>
      </c>
      <c r="D3591" s="21" t="s">
        <v>1060</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923</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row>
    <row r="3594" spans="1:12">
      <c r="A3594" s="20" t="s">
        <v>2149</v>
      </c>
    </row>
    <row r="3595" spans="1:12">
      <c r="A3595" s="20" t="s">
        <v>2030</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t="s">
        <v>1311</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2150</v>
      </c>
      <c r="B3597" s="21" t="s">
        <v>1097</v>
      </c>
      <c r="C3597" s="21" t="s">
        <v>1159</v>
      </c>
      <c r="D3597" s="21" t="s">
        <v>1060</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1077</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2151</v>
      </c>
      <c r="B3599" s="21" t="s">
        <v>1058</v>
      </c>
      <c r="C3599" s="21" t="s">
        <v>1080</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1085</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2152</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1070</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587</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2153</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1118</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2154</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1160</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1101</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2155</v>
      </c>
      <c r="B3609" s="21" t="s">
        <v>1064</v>
      </c>
      <c r="C3609" s="21" t="s">
        <v>1140</v>
      </c>
      <c r="D3609" s="21" t="s">
        <v>1060</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1115</v>
      </c>
      <c r="B3610" s="21" t="s">
        <v>1331</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1152</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1379</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2156</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1088</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2157</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1074</v>
      </c>
      <c r="B3616" s="21" t="s">
        <v>1518</v>
      </c>
      <c r="C3616" s="21" t="s">
        <v>1076</v>
      </c>
      <c r="D3616" s="21" t="s">
        <v>1060</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1082</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1072</v>
      </c>
      <c r="B3618" s="21" t="s">
        <v>1124</v>
      </c>
      <c r="C3618" s="21" t="s">
        <v>1159</v>
      </c>
      <c r="D3618" s="21" t="s">
        <v>1060</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1180</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1256</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1144</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1101</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2050</v>
      </c>
      <c r="B3623" s="21" t="s">
        <v>1185</v>
      </c>
      <c r="C3623" s="21" t="s">
        <v>1140</v>
      </c>
      <c r="D3623" s="21" t="s">
        <v>1060</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146</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2158</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1074</v>
      </c>
      <c r="B3626" s="21" t="s">
        <v>2082</v>
      </c>
      <c r="C3626" s="21" t="s">
        <v>1076</v>
      </c>
      <c r="D3626" s="21" t="s">
        <v>1060</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1085</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1082</v>
      </c>
      <c r="B3628" s="21" t="s">
        <v>1185</v>
      </c>
      <c r="C3628" s="21" t="s">
        <v>1122</v>
      </c>
      <c r="D3628" s="21" t="s">
        <v>1060</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t="s">
        <v>1061</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t="s">
        <v>1077</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1733</v>
      </c>
      <c r="B3631" s="21" t="s">
        <v>1802</v>
      </c>
      <c r="C3631" s="21" t="s">
        <v>1080</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1509</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1077</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2159</v>
      </c>
      <c r="B3634" s="21" t="s">
        <v>1802</v>
      </c>
      <c r="C3634" s="21" t="s">
        <v>1080</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923</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row>
    <row r="3637" spans="1:12">
      <c r="A3637" s="20" t="s">
        <v>2160</v>
      </c>
    </row>
    <row r="3638" spans="1:12">
      <c r="A3638" s="20" t="s">
        <v>1057</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705</v>
      </c>
      <c r="B3639" s="21" t="s">
        <v>1097</v>
      </c>
      <c r="C3639" s="21" t="s">
        <v>1358</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1245</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1324</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1101</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1894</v>
      </c>
      <c r="B3643" s="21" t="s">
        <v>1068</v>
      </c>
      <c r="C3643" s="21" t="s">
        <v>1140</v>
      </c>
      <c r="D3643" s="21" t="s">
        <v>1060</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1118</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1085</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2161</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1168</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1101</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1212</v>
      </c>
      <c r="B3649" s="21" t="s">
        <v>1068</v>
      </c>
      <c r="C3649" s="21" t="s">
        <v>1140</v>
      </c>
      <c r="D3649" s="21" t="s">
        <v>1060</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1061</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1101</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2162</v>
      </c>
      <c r="B3652" s="21" t="s">
        <v>1064</v>
      </c>
      <c r="C3652" s="21" t="s">
        <v>1140</v>
      </c>
      <c r="D3652" s="21" t="s">
        <v>1060</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923</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row>
    <row r="3655" spans="1:12">
      <c r="A3655" s="20" t="s">
        <v>2163</v>
      </c>
    </row>
    <row r="3656" spans="1:12">
      <c r="A3656" s="20" t="s">
        <v>2164</v>
      </c>
      <c r="B3656" s="21" t="s">
        <v>1058</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1635</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1101</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1618</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2165</v>
      </c>
      <c r="B3660" s="21" t="s">
        <v>1075</v>
      </c>
      <c r="C3660" s="21" t="s">
        <v>1140</v>
      </c>
      <c r="D3660" s="21" t="s">
        <v>1060</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1061</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1101</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690</v>
      </c>
      <c r="B3663" s="21" t="s">
        <v>1068</v>
      </c>
      <c r="C3663" s="21" t="s">
        <v>1140</v>
      </c>
      <c r="D3663" s="21" t="s">
        <v>1060</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1070</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1118</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1332</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1074</v>
      </c>
      <c r="B3667" s="21" t="s">
        <v>1097</v>
      </c>
      <c r="C3667" s="21" t="s">
        <v>1076</v>
      </c>
      <c r="D3667" s="21" t="s">
        <v>1060</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1355</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1201</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1775</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2166</v>
      </c>
      <c r="B3671" s="21" t="s">
        <v>1068</v>
      </c>
      <c r="C3671" s="21" t="s">
        <v>1149</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1093</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1061</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2167</v>
      </c>
      <c r="B3674" s="21" t="s">
        <v>1099</v>
      </c>
      <c r="C3674" s="21" t="s">
        <v>1149</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1118</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2168</v>
      </c>
      <c r="B3676" s="21" t="s">
        <v>1091</v>
      </c>
      <c r="C3676" s="21" t="s">
        <v>1149</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1118</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1077</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1798</v>
      </c>
      <c r="B3679" s="21" t="s">
        <v>1091</v>
      </c>
      <c r="C3679" s="21" t="s">
        <v>1080</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2169</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2170</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1212</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1168</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1166</v>
      </c>
      <c r="B3684" s="21" t="s">
        <v>1802</v>
      </c>
      <c r="C3684" s="21" t="s">
        <v>1076</v>
      </c>
      <c r="D3684" s="21" t="s">
        <v>1060</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923</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row>
    <row r="3687" spans="1:12">
      <c r="A3687" s="20" t="s">
        <v>2171</v>
      </c>
    </row>
    <row r="3688" spans="1:12">
      <c r="A3688" s="20" t="s">
        <v>1678</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1077</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311</v>
      </c>
      <c r="B3690" s="21" t="s">
        <v>1097</v>
      </c>
      <c r="C3690" s="21" t="s">
        <v>1080</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1170</v>
      </c>
      <c r="B3691" s="21" t="s">
        <v>1058</v>
      </c>
      <c r="C3691" s="21" t="s">
        <v>1076</v>
      </c>
      <c r="D3691" s="21" t="s">
        <v>1060</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1152</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2172</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1265</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1101</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2173</v>
      </c>
      <c r="B3696" s="21" t="s">
        <v>1075</v>
      </c>
      <c r="C3696" s="21" t="s">
        <v>1140</v>
      </c>
      <c r="D3696" s="21" t="s">
        <v>1060</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1070</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2174</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1101</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2175</v>
      </c>
      <c r="B3700" s="21" t="s">
        <v>1132</v>
      </c>
      <c r="C3700" s="21" t="s">
        <v>1140</v>
      </c>
      <c r="D3700" s="21" t="s">
        <v>1060</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t="s">
        <v>1070</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1118</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2176</v>
      </c>
      <c r="B3703" s="21" t="s">
        <v>1097</v>
      </c>
      <c r="C3703" s="21" t="s">
        <v>1065</v>
      </c>
      <c r="D3703" s="21" t="s">
        <v>1060</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row>
    <row r="3705" spans="1:12">
      <c r="A3705" s="20" t="s">
        <v>2177</v>
      </c>
    </row>
    <row r="3706" spans="1:12">
      <c r="A3706" s="20" t="s">
        <v>1443</v>
      </c>
      <c r="B3706" s="21" t="s">
        <v>1058</v>
      </c>
      <c r="C3706" s="21" t="s">
        <v>1065</v>
      </c>
      <c r="D3706" s="21" t="s">
        <v>1060</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716</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1199</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1101</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1660</v>
      </c>
      <c r="B3710" s="21" t="s">
        <v>1097</v>
      </c>
      <c r="C3710" s="21" t="s">
        <v>1140</v>
      </c>
      <c r="D3710" s="21" t="s">
        <v>1060</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1160</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1165</v>
      </c>
      <c r="B3712" s="21" t="s">
        <v>1097</v>
      </c>
      <c r="C3712" s="21" t="s">
        <v>1059</v>
      </c>
      <c r="D3712" s="21" t="s">
        <v>1060</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1061</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1166</v>
      </c>
      <c r="B3714" s="21" t="s">
        <v>1068</v>
      </c>
      <c r="C3714" s="21" t="s">
        <v>1076</v>
      </c>
      <c r="D3714" s="21" t="s">
        <v>1060</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923</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row>
    <row r="3717" spans="1:12">
      <c r="A3717" s="20" t="s">
        <v>2178</v>
      </c>
    </row>
    <row r="3718" spans="1:12">
      <c r="A3718" s="20" t="s">
        <v>1287</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2179</v>
      </c>
      <c r="B3719" s="21" t="s">
        <v>1068</v>
      </c>
      <c r="C3719" s="21" t="s">
        <v>1092</v>
      </c>
      <c r="D3719" s="21" t="s">
        <v>1060</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2180</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1914</v>
      </c>
      <c r="B3721" s="21" t="s">
        <v>1058</v>
      </c>
      <c r="C3721" s="21" t="s">
        <v>1059</v>
      </c>
      <c r="D3721" s="21" t="s">
        <v>1060</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1691</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1199</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2179</v>
      </c>
      <c r="B3724" s="21" t="s">
        <v>1068</v>
      </c>
      <c r="C3724" s="21" t="s">
        <v>1092</v>
      </c>
      <c r="D3724" s="21" t="s">
        <v>1060</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2181</v>
      </c>
      <c r="B3725" s="21" t="s">
        <v>1097</v>
      </c>
      <c r="C3725" s="21" t="s">
        <v>1059</v>
      </c>
      <c r="D3725" s="21" t="s">
        <v>1060</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1151</v>
      </c>
      <c r="B3726" s="21" t="s">
        <v>1079</v>
      </c>
      <c r="C3726" s="21" t="s">
        <v>1076</v>
      </c>
      <c r="D3726" s="21" t="s">
        <v>1060</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1495</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1101</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1591</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2182</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2183</v>
      </c>
      <c r="B3731" s="21" t="s">
        <v>1132</v>
      </c>
      <c r="C3731" s="21" t="s">
        <v>1140</v>
      </c>
      <c r="D3731" s="21" t="s">
        <v>1060</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1061</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1077</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2184</v>
      </c>
      <c r="B3734" s="21" t="s">
        <v>1064</v>
      </c>
      <c r="C3734" s="21" t="s">
        <v>1080</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1467</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2179</v>
      </c>
      <c r="B3736" s="21" t="s">
        <v>1091</v>
      </c>
      <c r="C3736" s="21" t="s">
        <v>1092</v>
      </c>
      <c r="D3736" s="21" t="s">
        <v>1060</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2185</v>
      </c>
      <c r="B3737" s="21" t="s">
        <v>1099</v>
      </c>
      <c r="C3737" s="21" t="s">
        <v>1059</v>
      </c>
      <c r="D3737" s="21" t="s">
        <v>1060</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923</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row>
    <row r="3740" spans="1:12">
      <c r="A3740" s="20" t="s">
        <v>1276</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2186</v>
      </c>
    </row>
    <row r="3742" spans="1:12">
      <c r="A3742" s="20" t="s">
        <v>607</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1138</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2187</v>
      </c>
      <c r="B3744" s="21" t="s">
        <v>1058</v>
      </c>
      <c r="C3744" s="21" t="s">
        <v>1140</v>
      </c>
      <c r="D3744" s="21" t="s">
        <v>1060</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1300</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607</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1752</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1063</v>
      </c>
      <c r="B3748" s="21" t="s">
        <v>1075</v>
      </c>
      <c r="C3748" s="21" t="s">
        <v>1065</v>
      </c>
      <c r="D3748" s="21" t="s">
        <v>1060</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923</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row>
    <row r="3751" spans="1:12">
      <c r="A3751" s="20" t="s">
        <v>1276</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t="s">
        <v>2188</v>
      </c>
    </row>
    <row r="3753" spans="1:12">
      <c r="A3753" s="20" t="s">
        <v>607</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2189</v>
      </c>
      <c r="B3754" s="21" t="s">
        <v>1097</v>
      </c>
      <c r="C3754" s="21" t="s">
        <v>1522</v>
      </c>
      <c r="D3754" s="21" t="s">
        <v>1060</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1070</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1281</v>
      </c>
      <c r="B3756" s="21" t="s">
        <v>1097</v>
      </c>
      <c r="C3756" s="21" t="s">
        <v>1065</v>
      </c>
      <c r="D3756" s="21" t="s">
        <v>1060</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1070</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2190</v>
      </c>
      <c r="B3758" s="21" t="s">
        <v>1068</v>
      </c>
      <c r="C3758" s="21" t="s">
        <v>1092</v>
      </c>
      <c r="D3758" s="21" t="s">
        <v>1060</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1938</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16</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2191</v>
      </c>
      <c r="B3761" s="21" t="s">
        <v>1097</v>
      </c>
      <c r="C3761" s="21" t="s">
        <v>1059</v>
      </c>
      <c r="D3761" s="21" t="s">
        <v>1060</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1300</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row>
    <row r="3764" spans="1:12">
      <c r="A3764" s="20" t="s">
        <v>2192</v>
      </c>
    </row>
    <row r="3765" spans="1:12">
      <c r="A3765" s="20" t="s">
        <v>2193</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2179</v>
      </c>
      <c r="B3766" s="21" t="s">
        <v>1075</v>
      </c>
      <c r="C3766" s="21" t="s">
        <v>1076</v>
      </c>
      <c r="D3766" s="21" t="s">
        <v>1060</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1160</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1101</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1479</v>
      </c>
      <c r="B3769" s="21" t="s">
        <v>1097</v>
      </c>
      <c r="C3769" s="21" t="s">
        <v>1140</v>
      </c>
      <c r="D3769" s="21" t="s">
        <v>1060</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1300</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row>
    <row r="3772" spans="1:12">
      <c r="A3772" s="20" t="s">
        <v>1276</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2194</v>
      </c>
    </row>
    <row r="3774" spans="1:12">
      <c r="A3774" s="20" t="s">
        <v>2195</v>
      </c>
      <c r="B3774" s="21" t="s">
        <v>1058</v>
      </c>
      <c r="C3774" s="21" t="s">
        <v>1076</v>
      </c>
      <c r="D3774" s="21" t="s">
        <v>1060</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2196</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2197</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1111</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1468</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16</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2198</v>
      </c>
      <c r="B3780" s="21" t="s">
        <v>1097</v>
      </c>
      <c r="C3780" s="21" t="s">
        <v>1149</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1118</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2199</v>
      </c>
      <c r="B3782" s="21" t="s">
        <v>1068</v>
      </c>
      <c r="C3782" s="21" t="s">
        <v>1149</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923</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607</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row>
    <row r="3786" spans="1:12">
      <c r="A3786" s="20" t="s">
        <v>2200</v>
      </c>
    </row>
    <row r="3787" spans="1:12">
      <c r="A3787" s="20" t="s">
        <v>2195</v>
      </c>
      <c r="B3787" s="21" t="s">
        <v>1058</v>
      </c>
      <c r="C3787" s="21" t="s">
        <v>1076</v>
      </c>
      <c r="D3787" s="21" t="s">
        <v>1060</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2201</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2179</v>
      </c>
      <c r="B3789" s="21" t="s">
        <v>1075</v>
      </c>
      <c r="C3789" s="21" t="s">
        <v>1076</v>
      </c>
      <c r="D3789" s="21" t="s">
        <v>1060</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1775</v>
      </c>
      <c r="B3790" s="21" t="s">
        <v>1075</v>
      </c>
      <c r="C3790" s="21" t="s">
        <v>1149</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1215</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923</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row>
    <row r="3794" spans="1:12">
      <c r="A3794" s="20" t="s">
        <v>1276</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2202</v>
      </c>
    </row>
    <row r="3796" spans="1:12">
      <c r="A3796" s="20" t="s">
        <v>607</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1568</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1083</v>
      </c>
      <c r="B3798" s="21" t="s">
        <v>1079</v>
      </c>
      <c r="C3798" s="21" t="s">
        <v>1076</v>
      </c>
      <c r="D3798" s="21" t="s">
        <v>1060</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2203</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1282</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607</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1531</v>
      </c>
      <c r="B3802" s="21" t="s">
        <v>1058</v>
      </c>
      <c r="C3802" s="21" t="s">
        <v>1076</v>
      </c>
      <c r="D3802" s="21" t="s">
        <v>1060</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1524</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923</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row>
    <row r="3806" spans="1:12">
      <c r="A3806" s="20" t="s">
        <v>1276</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2204</v>
      </c>
    </row>
    <row r="3808" spans="1:12">
      <c r="A3808" s="20" t="s">
        <v>607</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2205</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t="s">
        <v>1083</v>
      </c>
      <c r="B3810" s="21" t="s">
        <v>1058</v>
      </c>
      <c r="C3810" s="21" t="s">
        <v>1076</v>
      </c>
      <c r="D3810" s="21" t="s">
        <v>1060</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2206</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1282</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607</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row>
    <row r="3815" spans="1:12">
      <c r="A3815" s="20" t="s">
        <v>1276</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2207</v>
      </c>
    </row>
    <row r="3817" spans="1:12">
      <c r="A3817" s="20" t="s">
        <v>607</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1508</v>
      </c>
      <c r="B3818" s="21" t="s">
        <v>1058</v>
      </c>
      <c r="C3818" s="21" t="s">
        <v>1076</v>
      </c>
      <c r="D3818" s="21" t="s">
        <v>1060</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1530</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1256</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746</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1166</v>
      </c>
      <c r="B3822" s="21" t="s">
        <v>1075</v>
      </c>
      <c r="C3822" s="21" t="s">
        <v>1076</v>
      </c>
      <c r="D3822" s="21" t="s">
        <v>1060</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1070</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2208</v>
      </c>
      <c r="B3824" s="21" t="s">
        <v>1068</v>
      </c>
      <c r="C3824" s="21" t="s">
        <v>1149</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923</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607</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row>
    <row r="3828" spans="1:12">
      <c r="A3828" s="20" t="s">
        <v>1276</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2209</v>
      </c>
    </row>
    <row r="3830" spans="1:12">
      <c r="A3830" s="20" t="s">
        <v>607</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1528</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t="s">
        <v>1070</v>
      </c>
      <c r="E3832" s="22">
        <f>IF(D3832="?OLD","!!!","")</f>
        <v/>
      </c>
      <c r="F3832" s="23" t="str">
        <f>IF(OR(E3832="",E3832="!!!"),"",IF(NOT(ISNA(VLOOKUP(E3832,E$1:E3831,1,FALSE()))),"OLD",IF(AND(E3832&lt;&gt;"",E3832&lt;&gt;"!!!"),"NEW","")))</f>
        <v> </v>
      </c>
      <c r="G3832" s="24" t="str">
        <f>IF(OR(E3832="",E3832="!!!"),"",IF(OR(J3832=0,AND(J3832=1,K3832=1),AND(J3832=1,I3832="SBJ"),AND(J3832=1,I3832=0)),"?IN_FOCUS",IF(J3832&lt;=2,"?ACTIVATED",IF(J3832&lt;&gt;"","?FAMILIAR",IF(F3832="NEW",IF(ISNA(VLOOKUP(E3832,#REF!,1,FALSE())),"?TYPE_IDENTIFIABLE","?REFERENTIAL"),"_")))))</f>
        <v> </v>
      </c>
      <c r="H3832" s="25" t="str">
        <f>IF(J3832&lt;&gt;1,"",IF(I3832="SBJ","CB","?"))</f>
        <v> </v>
      </c>
      <c r="I3832" s="26" t="str">
        <f>IF(OR(E3832="",E3832="!!!",F3832="NEW"),"",INDEX(B3831:B$2,-1+SUMPRODUCT(MAX(ROW(E3831:E$2)*(E3832=E3831:E$2)))))</f>
        <v> </v>
      </c>
      <c r="J3832" s="26" t="str">
        <f>IF(OR(E3832="",E3832="!!!",F3832="NEW"),"",COUNTBLANK(OFFSET(A$1,,,SUMPRODUCT(MAX(ROW(E$2:E3832)*(E3832=E$2:E3832)))))-COUNTBLANK(OFFSET(A$1,,,SUMPRODUCT(MAX(ROW(E$1:E3831)*(E2=E$1:E3831))))))</f>
        <v> </v>
      </c>
      <c r="K3832" s="26" t="str">
        <f>IF(OR(E3832="",E3832="!!!",F3832="NEW"),"",INDEX(J$1:J3831,SUMPRODUCT(MAX(ROW(E$1:E3831)*(E3832=E$1:E3831)))))</f>
        <v> </v>
      </c>
      <c r="L3832" s="27"/>
    </row>
    <row r="3833" spans="1:12">
      <c r="A3833" s="20" t="s">
        <v>1109</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1070</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1151</v>
      </c>
      <c r="B3835" s="21" t="s">
        <v>1058</v>
      </c>
      <c r="C3835" s="21" t="s">
        <v>1076</v>
      </c>
      <c r="D3835" s="21" t="s">
        <v>1060</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1255</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1256</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753</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1288</v>
      </c>
      <c r="B3839" s="21" t="s">
        <v>1068</v>
      </c>
      <c r="C3839" s="21" t="s">
        <v>1092</v>
      </c>
      <c r="D3839" s="21" t="s">
        <v>1060</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2210</v>
      </c>
      <c r="B3840" s="21" t="s">
        <v>1075</v>
      </c>
      <c r="C3840" s="21" t="s">
        <v>1059</v>
      </c>
      <c r="D3840" s="21" t="s">
        <v>1060</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923</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row>
    <row r="3843" spans="1:12">
      <c r="A3843" s="20" t="s">
        <v>2211</v>
      </c>
    </row>
    <row r="3844" spans="1:12">
      <c r="A3844" s="20" t="s">
        <v>499</v>
      </c>
      <c r="B3844" s="21" t="s">
        <v>1097</v>
      </c>
      <c r="C3844" s="21" t="s">
        <v>1065</v>
      </c>
      <c r="D3844" s="21" t="s">
        <v>1060</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1442</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1282</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row>
    <row r="3848" spans="1:12">
      <c r="A3848" s="20" t="s">
        <v>1276</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2212</v>
      </c>
    </row>
    <row r="3850" spans="1:12">
      <c r="A3850" s="20" t="s">
        <v>1568</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1083</v>
      </c>
      <c r="B3851" s="21" t="s">
        <v>1058</v>
      </c>
      <c r="C3851" s="21" t="s">
        <v>1076</v>
      </c>
      <c r="D3851" s="21" t="s">
        <v>1060</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2203</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1282</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607</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row>
    <row r="3856" spans="1:12">
      <c r="A3856" s="20" t="s">
        <v>1276</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2213</v>
      </c>
    </row>
    <row r="3858" spans="1:12">
      <c r="A3858" s="20" t="s">
        <v>607</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1371</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923</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607</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row>
    <row r="3863" spans="1:12">
      <c r="A3863" s="20" t="s">
        <v>1276</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2214</v>
      </c>
    </row>
    <row r="3865" spans="1:12">
      <c r="A3865" s="20" t="s">
        <v>607</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1393</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1101</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t="s">
        <v>768</v>
      </c>
      <c r="B3868" s="21" t="s">
        <v>1097</v>
      </c>
      <c r="C3868" s="21" t="s">
        <v>1140</v>
      </c>
      <c r="D3868" s="21" t="s">
        <v>1060</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1282</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t="s">
        <v>607</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row>
    <row r="3872" spans="1:12">
      <c r="A3872" s="20" t="s">
        <v>1276</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2215</v>
      </c>
    </row>
    <row r="3874" spans="1:12">
      <c r="A3874" s="20" t="s">
        <v>607</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t="s">
        <v>1240</v>
      </c>
      <c r="B3875" s="21" t="s">
        <v>1058</v>
      </c>
      <c r="C3875" s="21" t="s">
        <v>1076</v>
      </c>
      <c r="D3875" s="21" t="s">
        <v>1060</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t="s">
        <v>1340</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1920</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923</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607</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row>
    <row r="3881" spans="1:12">
      <c r="A3881" s="20" t="s">
        <v>2216</v>
      </c>
    </row>
    <row r="3882" spans="1:12">
      <c r="A3882" s="20" t="s">
        <v>2195</v>
      </c>
      <c r="B3882" s="21" t="s">
        <v>1058</v>
      </c>
      <c r="C3882" s="21" t="s">
        <v>1076</v>
      </c>
      <c r="D3882" s="21" t="s">
        <v>1060</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1787</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1077</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78</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2217</v>
      </c>
      <c r="B3886" s="21" t="s">
        <v>1075</v>
      </c>
      <c r="C3886" s="21" t="s">
        <v>1080</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t="s">
        <v>1061</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2218</v>
      </c>
      <c r="B3888" s="21" t="s">
        <v>1068</v>
      </c>
      <c r="C3888" s="21" t="s">
        <v>1149</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923</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row>
    <row r="3891" spans="1:12">
      <c r="A3891" s="20" t="s">
        <v>1276</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2219</v>
      </c>
    </row>
    <row r="3893" spans="1:12">
      <c r="A3893" s="20" t="s">
        <v>607</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1715</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t="s">
        <v>1716</v>
      </c>
      <c r="B3895" s="21" t="s">
        <v>1075</v>
      </c>
      <c r="C3895" s="21" t="s">
        <v>1065</v>
      </c>
      <c r="D3895" s="21" t="s">
        <v>1060</v>
      </c>
      <c r="E3895" s="22">
        <f>IF(D3895="?OLD","!!!","")</f>
        <v/>
      </c>
      <c r="F3895" s="23" t="str">
        <f>IF(OR(E3895="",E3895="!!!"),"",IF(NOT(ISNA(VLOOKUP(E3895,E$1:E3894,1,FALSE()))),"OLD",IF(AND(E3895&lt;&gt;"",E3895&lt;&gt;"!!!"),"NEW","")))</f>
        <v> </v>
      </c>
      <c r="G3895" s="24" t="str">
        <f>IF(OR(E3895="",E3895="!!!"),"",IF(OR(J3895=0,AND(J3895=1,K3895=1),AND(J3895=1,I3895="SBJ"),AND(J3895=1,I3895=0)),"?IN_FOCUS",IF(J3895&lt;=2,"?ACTIVATED",IF(J3895&lt;&gt;"","?FAMILIAR",IF(F3895="NEW",IF(ISNA(VLOOKUP(E3895,#REF!,1,FALSE())),"?TYPE_IDENTIFIABLE","?REFERENTIAL"),"_")))))</f>
        <v> </v>
      </c>
      <c r="H3895" s="25" t="str">
        <f>IF(J3895&lt;&gt;1,"",IF(I3895="SBJ","CB","?"))</f>
        <v> </v>
      </c>
      <c r="I3895" s="26" t="str">
        <f>IF(OR(E3895="",E3895="!!!",F3895="NEW"),"",INDEX(B3894:B$2,-1+SUMPRODUCT(MAX(ROW(E3894:E$2)*(E3895=E3894:E$2)))))</f>
        <v> </v>
      </c>
      <c r="J3895" s="26" t="str">
        <f>IF(OR(E3895="",E3895="!!!",F3895="NEW"),"",COUNTBLANK(OFFSET(A$1,,,SUMPRODUCT(MAX(ROW(E$2:E3895)*(E3895=E$2:E3895)))))-COUNTBLANK(OFFSET(A$1,,,SUMPRODUCT(MAX(ROW(E$1:E3894)*(E2=E$1:E3894))))))</f>
        <v> </v>
      </c>
      <c r="K3895" s="26" t="str">
        <f>IF(OR(E3895="",E3895="!!!",F3895="NEW"),"",INDEX(J$1:J3894,SUMPRODUCT(MAX(ROW(E$1:E3894)*(E3895=E$1:E3894)))))</f>
        <v> </v>
      </c>
      <c r="L3895" s="27"/>
    </row>
    <row r="3896" spans="1:12">
      <c r="A3896" s="20" t="s">
        <v>1300</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row>
    <row r="3898" spans="1:12">
      <c r="A3898" s="20" t="s">
        <v>2220</v>
      </c>
    </row>
    <row r="3899" spans="1:12">
      <c r="A3899" s="20" t="s">
        <v>1715</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1716</v>
      </c>
      <c r="B3900" s="21" t="s">
        <v>1075</v>
      </c>
      <c r="C3900" s="21" t="s">
        <v>1065</v>
      </c>
      <c r="D3900" s="21" t="s">
        <v>1060</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1300</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row>
    <row r="3903" spans="1:12">
      <c r="A3903" s="20" t="s">
        <v>2221</v>
      </c>
    </row>
    <row r="3904" spans="1:12">
      <c r="A3904" s="20" t="s">
        <v>2222</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t="s">
        <v>1070</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1311</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784</v>
      </c>
      <c r="B3907" s="21" t="s">
        <v>1097</v>
      </c>
      <c r="C3907" s="21" t="s">
        <v>1159</v>
      </c>
      <c r="D3907" s="21" t="s">
        <v>1060</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1300</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row>
    <row r="3910" spans="1:12">
      <c r="A3910" s="20" t="s">
        <v>1276</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2223</v>
      </c>
    </row>
    <row r="3912" spans="1:12">
      <c r="A3912" s="20" t="s">
        <v>2224</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t="s">
        <v>2225</v>
      </c>
      <c r="E3913" s="22">
        <f>IF(D3913="?OLD","!!!","")</f>
        <v/>
      </c>
      <c r="F3913" s="23" t="str">
        <f>IF(OR(E3913="",E3913="!!!"),"",IF(NOT(ISNA(VLOOKUP(E3913,E$1:E3912,1,FALSE()))),"OLD",IF(AND(E3913&lt;&gt;"",E3913&lt;&gt;"!!!"),"NEW","")))</f>
        <v> </v>
      </c>
      <c r="G3913" s="24" t="str">
        <f>IF(OR(E3913="",E3913="!!!"),"",IF(OR(J3913=0,AND(J3913=1,K3913=1),AND(J3913=1,I3913="SBJ"),AND(J3913=1,I3913=0)),"?IN_FOCUS",IF(J3913&lt;=2,"?ACTIVATED",IF(J3913&lt;&gt;"","?FAMILIAR",IF(F3913="NEW",IF(ISNA(VLOOKUP(E3913,#REF!,1,FALSE())),"?TYPE_IDENTIFIABLE","?REFERENTIAL"),"_")))))</f>
        <v> </v>
      </c>
      <c r="H3913" s="25" t="str">
        <f>IF(J3913&lt;&gt;1,"",IF(I3913="SBJ","CB","?"))</f>
        <v> </v>
      </c>
      <c r="I3913" s="26" t="str">
        <f>IF(OR(E3913="",E3913="!!!",F3913="NEW"),"",INDEX(B3912:B$2,-1+SUMPRODUCT(MAX(ROW(E3912:E$2)*(E3913=E3912:E$2)))))</f>
        <v> </v>
      </c>
      <c r="J3913" s="26" t="str">
        <f>IF(OR(E3913="",E3913="!!!",F3913="NEW"),"",COUNTBLANK(OFFSET(A$1,,,SUMPRODUCT(MAX(ROW(E$2:E3913)*(E3913=E$2:E3913)))))-COUNTBLANK(OFFSET(A$1,,,SUMPRODUCT(MAX(ROW(E$1:E3912)*(E2=E$1:E3912))))))</f>
        <v> </v>
      </c>
      <c r="K3913" s="26" t="str">
        <f>IF(OR(E3913="",E3913="!!!",F3913="NEW"),"",INDEX(J$1:J3912,SUMPRODUCT(MAX(ROW(E$1:E3912)*(E3913=E$1:E3912)))))</f>
        <v> </v>
      </c>
      <c r="L3913" s="27"/>
    </row>
    <row r="3914" spans="1:12">
      <c r="A3914" s="20" t="s">
        <v>1083</v>
      </c>
      <c r="B3914" s="21" t="s">
        <v>1079</v>
      </c>
      <c r="C3914" s="21" t="s">
        <v>1076</v>
      </c>
      <c r="D3914" s="21" t="s">
        <v>1060</v>
      </c>
      <c r="E3914" s="22">
        <f>IF(D3914="?OLD","!!!","")</f>
        <v/>
      </c>
      <c r="F3914" s="23" t="str">
        <f>IF(OR(E3914="",E3914="!!!"),"",IF(NOT(ISNA(VLOOKUP(E3914,E$1:E3913,1,FALSE()))),"OLD",IF(AND(E3914&lt;&gt;"",E3914&lt;&gt;"!!!"),"NEW","")))</f>
        <v> </v>
      </c>
      <c r="G3914" s="24" t="str">
        <f>IF(OR(E3914="",E3914="!!!"),"",IF(OR(J3914=0,AND(J3914=1,K3914=1),AND(J3914=1,I3914="SBJ"),AND(J3914=1,I3914=0)),"?IN_FOCUS",IF(J3914&lt;=2,"?ACTIVATED",IF(J3914&lt;&gt;"","?FAMILIAR",IF(F3914="NEW",IF(ISNA(VLOOKUP(E3914,#REF!,1,FALSE())),"?TYPE_IDENTIFIABLE","?REFERENTIAL"),"_")))))</f>
        <v> </v>
      </c>
      <c r="H3914" s="25" t="str">
        <f>IF(J3914&lt;&gt;1,"",IF(I3914="SBJ","CB","?"))</f>
        <v> </v>
      </c>
      <c r="I3914" s="26" t="str">
        <f>IF(OR(E3914="",E3914="!!!",F3914="NEW"),"",INDEX(B3913:B$2,-1+SUMPRODUCT(MAX(ROW(E3913:E$2)*(E3914=E3913:E$2)))))</f>
        <v> </v>
      </c>
      <c r="J3914" s="26" t="str">
        <f>IF(OR(E3914="",E3914="!!!",F3914="NEW"),"",COUNTBLANK(OFFSET(A$1,,,SUMPRODUCT(MAX(ROW(E$2:E3914)*(E3914=E$2:E3914)))))-COUNTBLANK(OFFSET(A$1,,,SUMPRODUCT(MAX(ROW(E$1:E3913)*(E2=E$1:E3913))))))</f>
        <v> </v>
      </c>
      <c r="K3914" s="26" t="str">
        <f>IF(OR(E3914="",E3914="!!!",F3914="NEW"),"",INDEX(J$1:J3913,SUMPRODUCT(MAX(ROW(E$1:E3913)*(E3914=E$1:E3913)))))</f>
        <v> </v>
      </c>
      <c r="L3914" s="27"/>
    </row>
    <row r="3915" spans="1:12">
      <c r="A3915" s="20" t="s">
        <v>2196</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t="s">
        <v>2226</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1211</v>
      </c>
      <c r="B3917" s="21" t="s">
        <v>1132</v>
      </c>
      <c r="C3917" s="21" t="s">
        <v>1076</v>
      </c>
      <c r="D3917" s="21" t="s">
        <v>1060</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1300</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607</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row>
    <row r="3921" spans="1:12">
      <c r="A3921" s="20" t="s">
        <v>2227</v>
      </c>
    </row>
    <row r="3922" spans="1:12">
      <c r="A3922" s="20" t="s">
        <v>2195</v>
      </c>
      <c r="B3922" s="21" t="s">
        <v>1058</v>
      </c>
      <c r="C3922" s="21" t="s">
        <v>1076</v>
      </c>
      <c r="D3922" s="21" t="s">
        <v>1060</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791</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2179</v>
      </c>
      <c r="B3924" s="21" t="s">
        <v>1068</v>
      </c>
      <c r="C3924" s="21" t="s">
        <v>1092</v>
      </c>
      <c r="D3924" s="21" t="s">
        <v>1060</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2228</v>
      </c>
      <c r="B3925" s="21" t="s">
        <v>1075</v>
      </c>
      <c r="C3925" s="21" t="s">
        <v>1059</v>
      </c>
      <c r="D3925" s="21" t="s">
        <v>1060</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1497</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1111</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t="s">
        <v>2179</v>
      </c>
      <c r="B3928" s="21" t="s">
        <v>1068</v>
      </c>
      <c r="C3928" s="21" t="s">
        <v>1092</v>
      </c>
      <c r="D3928" s="21" t="s">
        <v>1060</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2229</v>
      </c>
      <c r="B3929" s="21" t="s">
        <v>1097</v>
      </c>
      <c r="C3929" s="21" t="s">
        <v>1059</v>
      </c>
      <c r="D3929" s="21" t="s">
        <v>1060</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t="s">
        <v>1070</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1118</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1170</v>
      </c>
      <c r="B3932" s="21" t="s">
        <v>1079</v>
      </c>
      <c r="C3932" s="21" t="s">
        <v>1076</v>
      </c>
      <c r="D3932" s="21" t="s">
        <v>1060</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1495</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1194</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1770</v>
      </c>
      <c r="B3935" s="21" t="s">
        <v>1068</v>
      </c>
      <c r="C3935" s="21" t="s">
        <v>1149</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1082</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1390</v>
      </c>
      <c r="B3937" s="21" t="s">
        <v>1084</v>
      </c>
      <c r="C3937" s="21" t="s">
        <v>1076</v>
      </c>
      <c r="D3937" s="21" t="s">
        <v>1060</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1125</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1707</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2230</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t="s">
        <v>1194</v>
      </c>
      <c r="E3941" s="22">
        <f>IF(D3941="?OLD","!!!","")</f>
        <v/>
      </c>
      <c r="F3941" s="23" t="str">
        <f>IF(OR(E3941="",E3941="!!!"),"",IF(NOT(ISNA(VLOOKUP(E3941,E$1:E3940,1,FALSE()))),"OLD",IF(AND(E3941&lt;&gt;"",E3941&lt;&gt;"!!!"),"NEW","")))</f>
        <v> </v>
      </c>
      <c r="G3941" s="24" t="str">
        <f>IF(OR(E3941="",E3941="!!!"),"",IF(OR(J3941=0,AND(J3941=1,K3941=1),AND(J3941=1,I3941="SBJ"),AND(J3941=1,I3941=0)),"?IN_FOCUS",IF(J3941&lt;=2,"?ACTIVATED",IF(J3941&lt;&gt;"","?FAMILIAR",IF(F3941="NEW",IF(ISNA(VLOOKUP(E3941,#REF!,1,FALSE())),"?TYPE_IDENTIFIABLE","?REFERENTIAL"),"_")))))</f>
        <v> </v>
      </c>
      <c r="H3941" s="25" t="str">
        <f>IF(J3941&lt;&gt;1,"",IF(I3941="SBJ","CB","?"))</f>
        <v> </v>
      </c>
      <c r="I3941" s="26" t="str">
        <f>IF(OR(E3941="",E3941="!!!",F3941="NEW"),"",INDEX(B3940:B$2,-1+SUMPRODUCT(MAX(ROW(E3940:E$2)*(E3941=E3940:E$2)))))</f>
        <v> </v>
      </c>
      <c r="J3941" s="26" t="str">
        <f>IF(OR(E3941="",E3941="!!!",F3941="NEW"),"",COUNTBLANK(OFFSET(A$1,,,SUMPRODUCT(MAX(ROW(E$2:E3941)*(E3941=E$2:E3941)))))-COUNTBLANK(OFFSET(A$1,,,SUMPRODUCT(MAX(ROW(E$1:E3940)*(E2=E$1:E3940))))))</f>
        <v> </v>
      </c>
      <c r="K3941" s="26" t="str">
        <f>IF(OR(E3941="",E3941="!!!",F3941="NEW"),"",INDEX(J$1:J3940,SUMPRODUCT(MAX(ROW(E$1:E3940)*(E3941=E$1:E3940)))))</f>
        <v> </v>
      </c>
      <c r="L3941" s="27"/>
    </row>
    <row r="3942" spans="1:12">
      <c r="A3942" s="20" t="s">
        <v>2231</v>
      </c>
      <c r="B3942" s="21" t="s">
        <v>1064</v>
      </c>
      <c r="C3942" s="21" t="s">
        <v>1149</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923</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row>
    <row r="3945" spans="1:12">
      <c r="A3945" s="20" t="s">
        <v>1276</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2232</v>
      </c>
    </row>
    <row r="3947" spans="1:12">
      <c r="A3947" s="20" t="s">
        <v>607</v>
      </c>
      <c r="E3947" s="22">
        <f>IF(D3947="?OLD","!!!","")</f>
        <v/>
      </c>
      <c r="F3947" s="23" t="str">
        <f>IF(OR(E3947="",E3947="!!!"),"",IF(NOT(ISNA(VLOOKUP(E3947,E$1:E3946,1,FALSE()))),"OLD",IF(AND(E3947&lt;&gt;"",E3947&lt;&gt;"!!!"),"NEW","")))</f>
        <v> </v>
      </c>
      <c r="G3947" s="24" t="str">
        <f>IF(OR(E3947="",E3947="!!!"),"",IF(OR(J3947=0,AND(J3947=1,K3947=1),AND(J3947=1,I3947="SBJ"),AND(J3947=1,I3947=0)),"?IN_FOCUS",IF(J3947&lt;=2,"?ACTIVATED",IF(J3947&lt;&gt;"","?FAMILIAR",IF(F3947="NEW",IF(ISNA(VLOOKUP(E3947,#REF!,1,FALSE())),"?TYPE_IDENTIFIABLE","?REFERENTIAL"),"_")))))</f>
        <v> </v>
      </c>
      <c r="H3947" s="25" t="str">
        <f>IF(J3947&lt;&gt;1,"",IF(I3947="SBJ","CB","?"))</f>
        <v> </v>
      </c>
      <c r="I3947" s="26" t="str">
        <f>IF(OR(E3947="",E3947="!!!",F3947="NEW"),"",INDEX(B3946:B$2,-1+SUMPRODUCT(MAX(ROW(E3946:E$2)*(E3947=E3946:E$2)))))</f>
        <v> </v>
      </c>
      <c r="J3947" s="26" t="str">
        <f>IF(OR(E3947="",E3947="!!!",F3947="NEW"),"",COUNTBLANK(OFFSET(A$1,,,SUMPRODUCT(MAX(ROW(E$2:E3947)*(E3947=E$2:E3947)))))-COUNTBLANK(OFFSET(A$1,,,SUMPRODUCT(MAX(ROW(E$1:E3946)*(E2=E$1:E3946))))))</f>
        <v> </v>
      </c>
      <c r="K3947" s="26" t="str">
        <f>IF(OR(E3947="",E3947="!!!",F3947="NEW"),"",INDEX(J$1:J3946,SUMPRODUCT(MAX(ROW(E$1:E3946)*(E3947=E$1:E3946)))))</f>
        <v> </v>
      </c>
      <c r="L3947" s="27"/>
    </row>
    <row r="3948" spans="1:12">
      <c r="A3948" s="20" t="s">
        <v>1779</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1311</v>
      </c>
      <c r="B3949" s="21" t="s">
        <v>1058</v>
      </c>
      <c r="C3949" s="21" t="s">
        <v>1122</v>
      </c>
      <c r="D3949" s="21" t="s">
        <v>1060</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1340</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1177</v>
      </c>
      <c r="B3951" s="21" t="s">
        <v>1097</v>
      </c>
      <c r="C3951" s="21" t="s">
        <v>1178</v>
      </c>
      <c r="D3951" s="21" t="s">
        <v>1060</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2233</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1300</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row>
    <row r="3955" spans="1:12">
      <c r="A3955" s="20" t="s">
        <v>2234</v>
      </c>
    </row>
    <row r="3956" spans="1:12">
      <c r="A3956" s="20" t="s">
        <v>1240</v>
      </c>
      <c r="B3956" s="21" t="s">
        <v>1058</v>
      </c>
      <c r="C3956" s="21" t="s">
        <v>1076</v>
      </c>
      <c r="D3956" s="21" t="s">
        <v>1060</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1340</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t="s">
        <v>1288</v>
      </c>
      <c r="B3958" s="21" t="s">
        <v>1097</v>
      </c>
      <c r="C3958" s="21" t="s">
        <v>1092</v>
      </c>
      <c r="D3958" s="21" t="s">
        <v>1060</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1472</v>
      </c>
      <c r="B3959" s="21" t="s">
        <v>1097</v>
      </c>
      <c r="C3959" s="21" t="s">
        <v>1059</v>
      </c>
      <c r="D3959" s="21" t="s">
        <v>1060</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1118</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t="s">
        <v>2235</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t="s">
        <v>1082</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t="s">
        <v>1083</v>
      </c>
      <c r="B3963" s="21" t="s">
        <v>1084</v>
      </c>
      <c r="C3963" s="21" t="s">
        <v>1076</v>
      </c>
      <c r="D3963" s="21" t="s">
        <v>1060</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2196</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2236</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1118</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2237</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923</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row>
    <row r="3970" spans="1:12">
      <c r="A3970" s="20" t="s">
        <v>1276</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2238</v>
      </c>
    </row>
    <row r="3972" spans="1:12">
      <c r="A3972" s="20" t="s">
        <v>1151</v>
      </c>
      <c r="B3972" s="21" t="s">
        <v>1058</v>
      </c>
      <c r="C3972" s="21" t="s">
        <v>1076</v>
      </c>
      <c r="D3972" s="21" t="s">
        <v>1060</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1180</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803</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1074</v>
      </c>
      <c r="B3975" s="21" t="s">
        <v>1075</v>
      </c>
      <c r="C3975" s="21" t="s">
        <v>1076</v>
      </c>
      <c r="D3975" s="21" t="s">
        <v>1060</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1707</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1070</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1468</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t="s">
        <v>16</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2198</v>
      </c>
      <c r="B3980" s="21" t="s">
        <v>1068</v>
      </c>
      <c r="C3980" s="21" t="s">
        <v>1149</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1070</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2239</v>
      </c>
      <c r="B3982" s="21" t="s">
        <v>1068</v>
      </c>
      <c r="C3982" s="21" t="s">
        <v>1149</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t="s">
        <v>1070</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1077</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t="s">
        <v>1585</v>
      </c>
      <c r="B3985" s="21" t="s">
        <v>1068</v>
      </c>
      <c r="C3985" s="21" t="s">
        <v>1080</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1061</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2240</v>
      </c>
      <c r="B3987" s="21" t="s">
        <v>1064</v>
      </c>
      <c r="C3987" s="21" t="s">
        <v>1149</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1070</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2241</v>
      </c>
      <c r="B3989" s="21" t="s">
        <v>1068</v>
      </c>
      <c r="C3989" s="21" t="s">
        <v>1178</v>
      </c>
      <c r="D3989" s="21" t="s">
        <v>1060</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1070</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1146</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78</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1146</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1151</v>
      </c>
      <c r="B3994" s="21" t="s">
        <v>1179</v>
      </c>
      <c r="C3994" s="21" t="s">
        <v>1076</v>
      </c>
      <c r="D3994" s="21" t="s">
        <v>1060</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1180</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1630</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2242</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1088</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1101</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2243</v>
      </c>
      <c r="B4000" s="21" t="s">
        <v>1099</v>
      </c>
      <c r="C4000" s="21" t="s">
        <v>1140</v>
      </c>
      <c r="D4000" s="21" t="s">
        <v>1060</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t="s">
        <v>1082</v>
      </c>
      <c r="B4001" s="21" t="s">
        <v>1518</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t="s">
        <v>1151</v>
      </c>
      <c r="B4002" s="21" t="s">
        <v>1187</v>
      </c>
      <c r="C4002" s="21" t="s">
        <v>1076</v>
      </c>
      <c r="D4002" s="21" t="s">
        <v>1060</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1152</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1090</v>
      </c>
      <c r="B4004" s="21" t="s">
        <v>1185</v>
      </c>
      <c r="C4004" s="21" t="s">
        <v>1092</v>
      </c>
      <c r="D4004" s="21" t="s">
        <v>1060</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2244</v>
      </c>
      <c r="B4005" s="21" t="s">
        <v>1518</v>
      </c>
      <c r="C4005" s="21" t="s">
        <v>1059</v>
      </c>
      <c r="D4005" s="21" t="s">
        <v>1060</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1070</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1156</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1315</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1151</v>
      </c>
      <c r="B4009" s="21" t="s">
        <v>1124</v>
      </c>
      <c r="C4009" s="21" t="s">
        <v>1076</v>
      </c>
      <c r="D4009" s="21" t="s">
        <v>1060</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169</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1082</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1160</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1311</v>
      </c>
      <c r="B4013" s="21" t="s">
        <v>1802</v>
      </c>
      <c r="C4013" s="21" t="s">
        <v>1122</v>
      </c>
      <c r="D4013" s="21" t="s">
        <v>1060</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1129</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1151</v>
      </c>
      <c r="B4015" s="21" t="s">
        <v>2082</v>
      </c>
      <c r="C4015" s="21" t="s">
        <v>1076</v>
      </c>
      <c r="D4015" s="21" t="s">
        <v>1060</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576</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1379</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1090</v>
      </c>
      <c r="B4018" s="21" t="s">
        <v>1802</v>
      </c>
      <c r="C4018" s="21" t="s">
        <v>1092</v>
      </c>
      <c r="D4018" s="21" t="s">
        <v>1060</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2245</v>
      </c>
      <c r="B4019" s="21" t="s">
        <v>1185</v>
      </c>
      <c r="C4019" s="21" t="s">
        <v>1059</v>
      </c>
      <c r="D4019" s="21" t="s">
        <v>1060</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1118</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1090</v>
      </c>
      <c r="B4021" s="21" t="s">
        <v>1292</v>
      </c>
      <c r="C4021" s="21" t="s">
        <v>1092</v>
      </c>
      <c r="D4021" s="21" t="s">
        <v>1060</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2246</v>
      </c>
      <c r="B4022" s="21" t="s">
        <v>1802</v>
      </c>
      <c r="C4022" s="21" t="s">
        <v>1059</v>
      </c>
      <c r="D4022" s="21" t="s">
        <v>1060</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923</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607</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row>
    <row r="4026" spans="1:12">
      <c r="A4026" s="20" t="s">
        <v>2247</v>
      </c>
    </row>
    <row r="4027" spans="1:12">
      <c r="A4027" s="20" t="s">
        <v>2195</v>
      </c>
      <c r="B4027" s="21" t="s">
        <v>1058</v>
      </c>
      <c r="C4027" s="21" t="s">
        <v>1076</v>
      </c>
      <c r="D4027" s="21" t="s">
        <v>1060</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1719</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1376</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2248</v>
      </c>
      <c r="B4030" s="21" t="s">
        <v>1097</v>
      </c>
      <c r="C4030" s="21" t="s">
        <v>1149</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2249</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1146</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1531</v>
      </c>
      <c r="B4033" s="21" t="s">
        <v>1084</v>
      </c>
      <c r="C4033" s="21" t="s">
        <v>1076</v>
      </c>
      <c r="D4033" s="21" t="s">
        <v>1060</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2250</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923</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row>
    <row r="4037" spans="1:12">
      <c r="A4037" s="20" t="s">
        <v>1276</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2251</v>
      </c>
    </row>
    <row r="4039" spans="1:12">
      <c r="A4039" s="20" t="s">
        <v>607</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1307</v>
      </c>
      <c r="B4040" s="21" t="s">
        <v>1079</v>
      </c>
      <c r="C4040" s="21" t="s">
        <v>1076</v>
      </c>
      <c r="D4040" s="21" t="s">
        <v>1060</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2252</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1127</v>
      </c>
      <c r="B4042" s="21" t="s">
        <v>1132</v>
      </c>
      <c r="C4042" s="21" t="s">
        <v>1076</v>
      </c>
      <c r="D4042" s="21" t="s">
        <v>1060</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1109</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82</v>
      </c>
      <c r="E4044" s="22">
        <f>IF(D4044="?OLD","!!!","")</f>
        <v/>
      </c>
      <c r="F4044" s="23" t="str">
        <f>IF(OR(E4044="",E4044="!!!"),"",IF(NOT(ISNA(VLOOKUP(E4044,E$1:E4043,1,FALSE()))),"OLD",IF(AND(E4044&lt;&gt;"",E4044&lt;&gt;"!!!"),"NEW","")))</f>
        <v> </v>
      </c>
      <c r="G4044" s="24" t="str">
        <f>IF(OR(E4044="",E4044="!!!"),"",IF(OR(J4044=0,AND(J4044=1,K4044=1),AND(J4044=1,I4044="SBJ"),AND(J4044=1,I4044=0)),"?IN_FOCUS",IF(J4044&lt;=2,"?ACTIVATED",IF(J4044&lt;&gt;"","?FAMILIAR",IF(F4044="NEW",IF(ISNA(VLOOKUP(E4044,#REF!,1,FALSE())),"?TYPE_IDENTIFIABLE","?REFERENTIAL"),"_")))))</f>
        <v> </v>
      </c>
      <c r="H4044" s="25" t="str">
        <f>IF(J4044&lt;&gt;1,"",IF(I4044="SBJ","CB","?"))</f>
        <v> </v>
      </c>
      <c r="I4044" s="26" t="str">
        <f>IF(OR(E4044="",E4044="!!!",F4044="NEW"),"",INDEX(B4043:B$2,-1+SUMPRODUCT(MAX(ROW(E4043:E$2)*(E4044=E4043:E$2)))))</f>
        <v> </v>
      </c>
      <c r="J4044" s="26" t="str">
        <f>IF(OR(E4044="",E4044="!!!",F4044="NEW"),"",COUNTBLANK(OFFSET(A$1,,,SUMPRODUCT(MAX(ROW(E$2:E4044)*(E4044=E$2:E4044)))))-COUNTBLANK(OFFSET(A$1,,,SUMPRODUCT(MAX(ROW(E$1:E4043)*(E2=E$1:E4043))))))</f>
        <v> </v>
      </c>
      <c r="K4044" s="26" t="str">
        <f>IF(OR(E4044="",E4044="!!!",F4044="NEW"),"",INDEX(J$1:J4043,SUMPRODUCT(MAX(ROW(E$1:E4043)*(E4044=E$1:E4043)))))</f>
        <v> </v>
      </c>
      <c r="L4044" s="27"/>
    </row>
    <row r="4045" spans="1:12">
      <c r="A4045" s="20" t="s">
        <v>1361</v>
      </c>
      <c r="B4045" s="21" t="s">
        <v>1068</v>
      </c>
      <c r="C4045" s="21" t="s">
        <v>1358</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1070</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t="s">
        <v>2208</v>
      </c>
      <c r="B4047" s="21" t="s">
        <v>1064</v>
      </c>
      <c r="C4047" s="21" t="s">
        <v>1149</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1070</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607</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1176</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t="s">
        <v>1063</v>
      </c>
      <c r="B4051" s="21" t="s">
        <v>1058</v>
      </c>
      <c r="C4051" s="21" t="s">
        <v>1065</v>
      </c>
      <c r="D4051" s="21" t="s">
        <v>1060</v>
      </c>
      <c r="E4051" s="22">
        <f>IF(D4051="?OLD","!!!","")</f>
        <v/>
      </c>
      <c r="F4051" s="23" t="str">
        <f>IF(OR(E4051="",E4051="!!!"),"",IF(NOT(ISNA(VLOOKUP(E4051,E$1:E4050,1,FALSE()))),"OLD",IF(AND(E4051&lt;&gt;"",E4051&lt;&gt;"!!!"),"NEW","")))</f>
        <v> </v>
      </c>
      <c r="G4051" s="24" t="str">
        <f>IF(OR(E4051="",E4051="!!!"),"",IF(OR(J4051=0,AND(J4051=1,K4051=1),AND(J4051=1,I4051="SBJ"),AND(J4051=1,I4051=0)),"?IN_FOCUS",IF(J4051&lt;=2,"?ACTIVATED",IF(J4051&lt;&gt;"","?FAMILIAR",IF(F4051="NEW",IF(ISNA(VLOOKUP(E4051,#REF!,1,FALSE())),"?TYPE_IDENTIFIABLE","?REFERENTIAL"),"_")))))</f>
        <v> </v>
      </c>
      <c r="H4051" s="25" t="str">
        <f>IF(J4051&lt;&gt;1,"",IF(I4051="SBJ","CB","?"))</f>
        <v> </v>
      </c>
      <c r="I4051" s="26" t="str">
        <f>IF(OR(E4051="",E4051="!!!",F4051="NEW"),"",INDEX(B4050:B$2,-1+SUMPRODUCT(MAX(ROW(E4050:E$2)*(E4051=E4050:E$2)))))</f>
        <v> </v>
      </c>
      <c r="J4051" s="26" t="str">
        <f>IF(OR(E4051="",E4051="!!!",F4051="NEW"),"",COUNTBLANK(OFFSET(A$1,,,SUMPRODUCT(MAX(ROW(E$2:E4051)*(E4051=E$2:E4051)))))-COUNTBLANK(OFFSET(A$1,,,SUMPRODUCT(MAX(ROW(E$1:E4050)*(E2=E$1:E4050))))))</f>
        <v> </v>
      </c>
      <c r="K4051" s="26" t="str">
        <f>IF(OR(E4051="",E4051="!!!",F4051="NEW"),"",INDEX(J$1:J4050,SUMPRODUCT(MAX(ROW(E$1:E4050)*(E4051=E$1:E4050)))))</f>
        <v> </v>
      </c>
      <c r="L4051" s="27"/>
    </row>
    <row r="4052" spans="1:12">
      <c r="A4052" s="20" t="s">
        <v>923</v>
      </c>
      <c r="E4052" s="22">
        <f>IF(D4052="?OLD","!!!","")</f>
        <v/>
      </c>
      <c r="F4052" s="23" t="str">
        <f>IF(OR(E4052="",E4052="!!!"),"",IF(NOT(ISNA(VLOOKUP(E4052,E$1:E4051,1,FALSE()))),"OLD",IF(AND(E4052&lt;&gt;"",E4052&lt;&gt;"!!!"),"NEW","")))</f>
        <v> </v>
      </c>
      <c r="G4052" s="24" t="str">
        <f>IF(OR(E4052="",E4052="!!!"),"",IF(OR(J4052=0,AND(J4052=1,K4052=1),AND(J4052=1,I4052="SBJ"),AND(J4052=1,I4052=0)),"?IN_FOCUS",IF(J4052&lt;=2,"?ACTIVATED",IF(J4052&lt;&gt;"","?FAMILIAR",IF(F4052="NEW",IF(ISNA(VLOOKUP(E4052,#REF!,1,FALSE())),"?TYPE_IDENTIFIABLE","?REFERENTIAL"),"_")))))</f>
        <v> </v>
      </c>
      <c r="H4052" s="25" t="str">
        <f>IF(J4052&lt;&gt;1,"",IF(I4052="SBJ","CB","?"))</f>
        <v> </v>
      </c>
      <c r="I4052" s="26" t="str">
        <f>IF(OR(E4052="",E4052="!!!",F4052="NEW"),"",INDEX(B4051:B$2,-1+SUMPRODUCT(MAX(ROW(E4051:E$2)*(E4052=E4051:E$2)))))</f>
        <v> </v>
      </c>
      <c r="J4052" s="26" t="str">
        <f>IF(OR(E4052="",E4052="!!!",F4052="NEW"),"",COUNTBLANK(OFFSET(A$1,,,SUMPRODUCT(MAX(ROW(E$2:E4052)*(E4052=E$2:E4052)))))-COUNTBLANK(OFFSET(A$1,,,SUMPRODUCT(MAX(ROW(E$1:E4051)*(E2=E$1:E4051))))))</f>
        <v> </v>
      </c>
      <c r="K4052" s="26" t="str">
        <f>IF(OR(E4052="",E4052="!!!",F4052="NEW"),"",INDEX(J$1:J4051,SUMPRODUCT(MAX(ROW(E$1:E4051)*(E4052=E$1:E4051)))))</f>
        <v> </v>
      </c>
      <c r="L4052" s="27"/>
    </row>
    <row r="4053" spans="1:12">
      <c r="A4053" s="20"/>
    </row>
    <row r="4054" spans="1:12">
      <c r="A4054" s="20" t="s">
        <v>1276</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2253</v>
      </c>
    </row>
    <row r="4056" spans="1:12">
      <c r="A4056" s="20" t="s">
        <v>607</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t="s">
        <v>2254</v>
      </c>
      <c r="E4057" s="22">
        <f>IF(D4057="?OLD","!!!","")</f>
        <v/>
      </c>
      <c r="F4057" s="23" t="str">
        <f>IF(OR(E4057="",E4057="!!!"),"",IF(NOT(ISNA(VLOOKUP(E4057,E$1:E4056,1,FALSE()))),"OLD",IF(AND(E4057&lt;&gt;"",E4057&lt;&gt;"!!!"),"NEW","")))</f>
        <v> </v>
      </c>
      <c r="G4057" s="24" t="str">
        <f>IF(OR(E4057="",E4057="!!!"),"",IF(OR(J4057=0,AND(J4057=1,K4057=1),AND(J4057=1,I4057="SBJ"),AND(J4057=1,I4057=0)),"?IN_FOCUS",IF(J4057&lt;=2,"?ACTIVATED",IF(J4057&lt;&gt;"","?FAMILIAR",IF(F4057="NEW",IF(ISNA(VLOOKUP(E4057,#REF!,1,FALSE())),"?TYPE_IDENTIFIABLE","?REFERENTIAL"),"_")))))</f>
        <v> </v>
      </c>
      <c r="H4057" s="25" t="str">
        <f>IF(J4057&lt;&gt;1,"",IF(I4057="SBJ","CB","?"))</f>
        <v> </v>
      </c>
      <c r="I4057" s="26" t="str">
        <f>IF(OR(E4057="",E4057="!!!",F4057="NEW"),"",INDEX(B4056:B$2,-1+SUMPRODUCT(MAX(ROW(E4056:E$2)*(E4057=E4056:E$2)))))</f>
        <v> </v>
      </c>
      <c r="J4057" s="26" t="str">
        <f>IF(OR(E4057="",E4057="!!!",F4057="NEW"),"",COUNTBLANK(OFFSET(A$1,,,SUMPRODUCT(MAX(ROW(E$2:E4057)*(E4057=E$2:E4057)))))-COUNTBLANK(OFFSET(A$1,,,SUMPRODUCT(MAX(ROW(E$1:E4056)*(E2=E$1:E4056))))))</f>
        <v> </v>
      </c>
      <c r="K4057" s="26" t="str">
        <f>IF(OR(E4057="",E4057="!!!",F4057="NEW"),"",INDEX(J$1:J4056,SUMPRODUCT(MAX(ROW(E$1:E4056)*(E4057=E$1:E4056)))))</f>
        <v> </v>
      </c>
      <c r="L4057" s="27"/>
    </row>
    <row r="4058" spans="1:12">
      <c r="A4058" s="20" t="s">
        <v>1166</v>
      </c>
      <c r="B4058" s="21" t="s">
        <v>1075</v>
      </c>
      <c r="C4058" s="21" t="s">
        <v>1076</v>
      </c>
      <c r="D4058" s="21" t="s">
        <v>1060</v>
      </c>
      <c r="E4058" s="22">
        <f>IF(D4058="?OLD","!!!","")</f>
        <v/>
      </c>
      <c r="F4058" s="23" t="str">
        <f>IF(OR(E4058="",E4058="!!!"),"",IF(NOT(ISNA(VLOOKUP(E4058,E$1:E4057,1,FALSE()))),"OLD",IF(AND(E4058&lt;&gt;"",E4058&lt;&gt;"!!!"),"NEW","")))</f>
        <v> </v>
      </c>
      <c r="G4058" s="24" t="str">
        <f>IF(OR(E4058="",E4058="!!!"),"",IF(OR(J4058=0,AND(J4058=1,K4058=1),AND(J4058=1,I4058="SBJ"),AND(J4058=1,I4058=0)),"?IN_FOCUS",IF(J4058&lt;=2,"?ACTIVATED",IF(J4058&lt;&gt;"","?FAMILIAR",IF(F4058="NEW",IF(ISNA(VLOOKUP(E4058,#REF!,1,FALSE())),"?TYPE_IDENTIFIABLE","?REFERENTIAL"),"_")))))</f>
        <v> </v>
      </c>
      <c r="H4058" s="25" t="str">
        <f>IF(J4058&lt;&gt;1,"",IF(I4058="SBJ","CB","?"))</f>
        <v> </v>
      </c>
      <c r="I4058" s="26" t="str">
        <f>IF(OR(E4058="",E4058="!!!",F4058="NEW"),"",INDEX(B4057:B$2,-1+SUMPRODUCT(MAX(ROW(E4057:E$2)*(E4058=E4057:E$2)))))</f>
        <v> </v>
      </c>
      <c r="J4058" s="26" t="str">
        <f>IF(OR(E4058="",E4058="!!!",F4058="NEW"),"",COUNTBLANK(OFFSET(A$1,,,SUMPRODUCT(MAX(ROW(E$2:E4058)*(E4058=E$2:E4058)))))-COUNTBLANK(OFFSET(A$1,,,SUMPRODUCT(MAX(ROW(E$1:E4057)*(E2=E$1:E4057))))))</f>
        <v> </v>
      </c>
      <c r="K4058" s="26" t="str">
        <f>IF(OR(E4058="",E4058="!!!",F4058="NEW"),"",INDEX(J$1:J4057,SUMPRODUCT(MAX(ROW(E$1:E4057)*(E4058=E$1:E4057)))))</f>
        <v> </v>
      </c>
      <c r="L4058" s="27"/>
    </row>
    <row r="4059" spans="1:12">
      <c r="A4059" s="20" t="s">
        <v>1510</v>
      </c>
      <c r="E4059" s="22">
        <f>IF(D4059="?OLD","!!!","")</f>
        <v/>
      </c>
      <c r="F4059" s="23" t="str">
        <f>IF(OR(E4059="",E4059="!!!"),"",IF(NOT(ISNA(VLOOKUP(E4059,E$1:E4058,1,FALSE()))),"OLD",IF(AND(E4059&lt;&gt;"",E4059&lt;&gt;"!!!"),"NEW","")))</f>
        <v> </v>
      </c>
      <c r="G4059" s="24" t="str">
        <f>IF(OR(E4059="",E4059="!!!"),"",IF(OR(J4059=0,AND(J4059=1,K4059=1),AND(J4059=1,I4059="SBJ"),AND(J4059=1,I4059=0)),"?IN_FOCUS",IF(J4059&lt;=2,"?ACTIVATED",IF(J4059&lt;&gt;"","?FAMILIAR",IF(F4059="NEW",IF(ISNA(VLOOKUP(E4059,#REF!,1,FALSE())),"?TYPE_IDENTIFIABLE","?REFERENTIAL"),"_")))))</f>
        <v> </v>
      </c>
      <c r="H4059" s="25" t="str">
        <f>IF(J4059&lt;&gt;1,"",IF(I4059="SBJ","CB","?"))</f>
        <v> </v>
      </c>
      <c r="I4059" s="26" t="str">
        <f>IF(OR(E4059="",E4059="!!!",F4059="NEW"),"",INDEX(B4058:B$2,-1+SUMPRODUCT(MAX(ROW(E4058:E$2)*(E4059=E4058:E$2)))))</f>
        <v> </v>
      </c>
      <c r="J4059" s="26" t="str">
        <f>IF(OR(E4059="",E4059="!!!",F4059="NEW"),"",COUNTBLANK(OFFSET(A$1,,,SUMPRODUCT(MAX(ROW(E$2:E4059)*(E4059=E$2:E4059)))))-COUNTBLANK(OFFSET(A$1,,,SUMPRODUCT(MAX(ROW(E$1:E4058)*(E2=E$1:E4058))))))</f>
        <v> </v>
      </c>
      <c r="K4059" s="26" t="str">
        <f>IF(OR(E4059="",E4059="!!!",F4059="NEW"),"",INDEX(J$1:J4058,SUMPRODUCT(MAX(ROW(E$1:E4058)*(E4059=E$1:E4058)))))</f>
        <v> </v>
      </c>
      <c r="L4059" s="27"/>
    </row>
    <row r="4060" spans="1:12">
      <c r="A4060" s="20" t="s">
        <v>1516</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1170</v>
      </c>
      <c r="B4061" s="21" t="s">
        <v>1079</v>
      </c>
      <c r="C4061" s="21" t="s">
        <v>1076</v>
      </c>
      <c r="D4061" s="21" t="s">
        <v>1060</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1372</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844</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t="s">
        <v>1127</v>
      </c>
      <c r="B4064" s="21" t="s">
        <v>1132</v>
      </c>
      <c r="C4064" s="21" t="s">
        <v>1076</v>
      </c>
      <c r="D4064" s="21" t="s">
        <v>1060</v>
      </c>
      <c r="E4064" s="22">
        <f>IF(D4064="?OLD","!!!","")</f>
        <v/>
      </c>
      <c r="F4064" s="23" t="str">
        <f>IF(OR(E4064="",E4064="!!!"),"",IF(NOT(ISNA(VLOOKUP(E4064,E$1:E4063,1,FALSE()))),"OLD",IF(AND(E4064&lt;&gt;"",E4064&lt;&gt;"!!!"),"NEW","")))</f>
        <v> </v>
      </c>
      <c r="G4064" s="24" t="str">
        <f>IF(OR(E4064="",E4064="!!!"),"",IF(OR(J4064=0,AND(J4064=1,K4064=1),AND(J4064=1,I4064="SBJ"),AND(J4064=1,I4064=0)),"?IN_FOCUS",IF(J4064&lt;=2,"?ACTIVATED",IF(J4064&lt;&gt;"","?FAMILIAR",IF(F4064="NEW",IF(ISNA(VLOOKUP(E4064,#REF!,1,FALSE())),"?TYPE_IDENTIFIABLE","?REFERENTIAL"),"_")))))</f>
        <v> </v>
      </c>
      <c r="H4064" s="25" t="str">
        <f>IF(J4064&lt;&gt;1,"",IF(I4064="SBJ","CB","?"))</f>
        <v> </v>
      </c>
      <c r="I4064" s="26" t="str">
        <f>IF(OR(E4064="",E4064="!!!",F4064="NEW"),"",INDEX(B4063:B$2,-1+SUMPRODUCT(MAX(ROW(E4063:E$2)*(E4064=E4063:E$2)))))</f>
        <v> </v>
      </c>
      <c r="J4064" s="26" t="str">
        <f>IF(OR(E4064="",E4064="!!!",F4064="NEW"),"",COUNTBLANK(OFFSET(A$1,,,SUMPRODUCT(MAX(ROW(E$2:E4064)*(E4064=E$2:E4064)))))-COUNTBLANK(OFFSET(A$1,,,SUMPRODUCT(MAX(ROW(E$1:E4063)*(E2=E$1:E4063))))))</f>
        <v> </v>
      </c>
      <c r="K4064" s="26" t="str">
        <f>IF(OR(E4064="",E4064="!!!",F4064="NEW"),"",INDEX(J$1:J4063,SUMPRODUCT(MAX(ROW(E$1:E4063)*(E4064=E$1:E4063)))))</f>
        <v> </v>
      </c>
      <c r="L4064" s="27"/>
    </row>
    <row r="4065" spans="1:12">
      <c r="A4065" s="20" t="s">
        <v>923</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row>
    <row r="4067" spans="1:12">
      <c r="A4067" s="20" t="s">
        <v>1276</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t="s">
        <v>2255</v>
      </c>
    </row>
    <row r="4069" spans="1:12">
      <c r="A4069" s="20" t="s">
        <v>1674</v>
      </c>
      <c r="E4069" s="22">
        <f>IF(D4069="?OLD","!!!","")</f>
        <v/>
      </c>
      <c r="F4069" s="23" t="str">
        <f>IF(OR(E4069="",E4069="!!!"),"",IF(NOT(ISNA(VLOOKUP(E4069,E$1:E4068,1,FALSE()))),"OLD",IF(AND(E4069&lt;&gt;"",E4069&lt;&gt;"!!!"),"NEW","")))</f>
        <v> </v>
      </c>
      <c r="G4069" s="24" t="str">
        <f>IF(OR(E4069="",E4069="!!!"),"",IF(OR(J4069=0,AND(J4069=1,K4069=1),AND(J4069=1,I4069="SBJ"),AND(J4069=1,I4069=0)),"?IN_FOCUS",IF(J4069&lt;=2,"?ACTIVATED",IF(J4069&lt;&gt;"","?FAMILIAR",IF(F4069="NEW",IF(ISNA(VLOOKUP(E4069,#REF!,1,FALSE())),"?TYPE_IDENTIFIABLE","?REFERENTIAL"),"_")))))</f>
        <v> </v>
      </c>
      <c r="H4069" s="25" t="str">
        <f>IF(J4069&lt;&gt;1,"",IF(I4069="SBJ","CB","?"))</f>
        <v> </v>
      </c>
      <c r="I4069" s="26" t="str">
        <f>IF(OR(E4069="",E4069="!!!",F4069="NEW"),"",INDEX(B4068:B$2,-1+SUMPRODUCT(MAX(ROW(E4068:E$2)*(E4069=E4068:E$2)))))</f>
        <v> </v>
      </c>
      <c r="J4069" s="26" t="str">
        <f>IF(OR(E4069="",E4069="!!!",F4069="NEW"),"",COUNTBLANK(OFFSET(A$1,,,SUMPRODUCT(MAX(ROW(E$2:E4069)*(E4069=E$2:E4069)))))-COUNTBLANK(OFFSET(A$1,,,SUMPRODUCT(MAX(ROW(E$1:E4068)*(E2=E$1:E4068))))))</f>
        <v> </v>
      </c>
      <c r="K4069" s="26" t="str">
        <f>IF(OR(E4069="",E4069="!!!",F4069="NEW"),"",INDEX(J$1:J4068,SUMPRODUCT(MAX(ROW(E$1:E4068)*(E4069=E$1:E4068)))))</f>
        <v> </v>
      </c>
      <c r="L4069" s="27"/>
    </row>
    <row r="4070" spans="1:12">
      <c r="A4070" s="20" t="s">
        <v>1279</v>
      </c>
      <c r="B4070" s="21" t="s">
        <v>1079</v>
      </c>
      <c r="C4070" s="21" t="s">
        <v>1076</v>
      </c>
      <c r="D4070" s="21" t="s">
        <v>1060</v>
      </c>
      <c r="E4070" s="22">
        <f>IF(D4070="?OLD","!!!","")</f>
        <v/>
      </c>
      <c r="F4070" s="23" t="str">
        <f>IF(OR(E4070="",E4070="!!!"),"",IF(NOT(ISNA(VLOOKUP(E4070,E$1:E4069,1,FALSE()))),"OLD",IF(AND(E4070&lt;&gt;"",E4070&lt;&gt;"!!!"),"NEW","")))</f>
        <v> </v>
      </c>
      <c r="G4070" s="24" t="str">
        <f>IF(OR(E4070="",E4070="!!!"),"",IF(OR(J4070=0,AND(J4070=1,K4070=1),AND(J4070=1,I4070="SBJ"),AND(J4070=1,I4070=0)),"?IN_FOCUS",IF(J4070&lt;=2,"?ACTIVATED",IF(J4070&lt;&gt;"","?FAMILIAR",IF(F4070="NEW",IF(ISNA(VLOOKUP(E4070,#REF!,1,FALSE())),"?TYPE_IDENTIFIABLE","?REFERENTIAL"),"_")))))</f>
        <v> </v>
      </c>
      <c r="H4070" s="25" t="str">
        <f>IF(J4070&lt;&gt;1,"",IF(I4070="SBJ","CB","?"))</f>
        <v> </v>
      </c>
      <c r="I4070" s="26" t="str">
        <f>IF(OR(E4070="",E4070="!!!",F4070="NEW"),"",INDEX(B4069:B$2,-1+SUMPRODUCT(MAX(ROW(E4069:E$2)*(E4070=E4069:E$2)))))</f>
        <v> </v>
      </c>
      <c r="J4070" s="26" t="str">
        <f>IF(OR(E4070="",E4070="!!!",F4070="NEW"),"",COUNTBLANK(OFFSET(A$1,,,SUMPRODUCT(MAX(ROW(E$2:E4070)*(E4070=E$2:E4070)))))-COUNTBLANK(OFFSET(A$1,,,SUMPRODUCT(MAX(ROW(E$1:E4069)*(E2=E$1:E4069))))))</f>
        <v> </v>
      </c>
      <c r="K4070" s="26" t="str">
        <f>IF(OR(E4070="",E4070="!!!",F4070="NEW"),"",INDEX(J$1:J4069,SUMPRODUCT(MAX(ROW(E$1:E4069)*(E4070=E$1:E4069)))))</f>
        <v> </v>
      </c>
      <c r="L4070" s="27"/>
    </row>
    <row r="4071" spans="1:12">
      <c r="A4071" s="20" t="s">
        <v>576</v>
      </c>
      <c r="E4071" s="22">
        <f>IF(D4071="?OLD","!!!","")</f>
        <v/>
      </c>
      <c r="F4071" s="23" t="str">
        <f>IF(OR(E4071="",E4071="!!!"),"",IF(NOT(ISNA(VLOOKUP(E4071,E$1:E4070,1,FALSE()))),"OLD",IF(AND(E4071&lt;&gt;"",E4071&lt;&gt;"!!!"),"NEW","")))</f>
        <v> </v>
      </c>
      <c r="G4071" s="24" t="str">
        <f>IF(OR(E4071="",E4071="!!!"),"",IF(OR(J4071=0,AND(J4071=1,K4071=1),AND(J4071=1,I4071="SBJ"),AND(J4071=1,I4071=0)),"?IN_FOCUS",IF(J4071&lt;=2,"?ACTIVATED",IF(J4071&lt;&gt;"","?FAMILIAR",IF(F4071="NEW",IF(ISNA(VLOOKUP(E4071,#REF!,1,FALSE())),"?TYPE_IDENTIFIABLE","?REFERENTIAL"),"_")))))</f>
        <v> </v>
      </c>
      <c r="H4071" s="25" t="str">
        <f>IF(J4071&lt;&gt;1,"",IF(I4071="SBJ","CB","?"))</f>
        <v> </v>
      </c>
      <c r="I4071" s="26" t="str">
        <f>IF(OR(E4071="",E4071="!!!",F4071="NEW"),"",INDEX(B4070:B$2,-1+SUMPRODUCT(MAX(ROW(E4070:E$2)*(E4071=E4070:E$2)))))</f>
        <v> </v>
      </c>
      <c r="J4071" s="26" t="str">
        <f>IF(OR(E4071="",E4071="!!!",F4071="NEW"),"",COUNTBLANK(OFFSET(A$1,,,SUMPRODUCT(MAX(ROW(E$2:E4071)*(E4071=E$2:E4071)))))-COUNTBLANK(OFFSET(A$1,,,SUMPRODUCT(MAX(ROW(E$1:E4070)*(E2=E$1:E4070))))))</f>
        <v> </v>
      </c>
      <c r="K4071" s="26" t="str">
        <f>IF(OR(E4071="",E4071="!!!",F4071="NEW"),"",INDEX(J$1:J4070,SUMPRODUCT(MAX(ROW(E$1:E4070)*(E4071=E$1:E4070)))))</f>
        <v> </v>
      </c>
      <c r="L4071" s="27"/>
    </row>
    <row r="4072" spans="1:12">
      <c r="A4072" s="20" t="s">
        <v>1809</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2256</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1127</v>
      </c>
      <c r="B4074" s="21" t="s">
        <v>1132</v>
      </c>
      <c r="C4074" s="21" t="s">
        <v>1076</v>
      </c>
      <c r="D4074" s="21" t="s">
        <v>1060</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1160</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2257</v>
      </c>
      <c r="B4076" s="21" t="s">
        <v>1068</v>
      </c>
      <c r="C4076" s="21" t="s">
        <v>1149</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1070</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591</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t="s">
        <v>1166</v>
      </c>
      <c r="B4079" s="21" t="s">
        <v>1075</v>
      </c>
      <c r="C4079" s="21" t="s">
        <v>1076</v>
      </c>
      <c r="D4079" s="21" t="s">
        <v>1060</v>
      </c>
      <c r="E4079" s="22">
        <f>IF(D4079="?OLD","!!!","")</f>
        <v/>
      </c>
      <c r="F4079" s="23" t="str">
        <f>IF(OR(E4079="",E4079="!!!"),"",IF(NOT(ISNA(VLOOKUP(E4079,E$1:E4078,1,FALSE()))),"OLD",IF(AND(E4079&lt;&gt;"",E4079&lt;&gt;"!!!"),"NEW","")))</f>
        <v> </v>
      </c>
      <c r="G4079" s="24" t="str">
        <f>IF(OR(E4079="",E4079="!!!"),"",IF(OR(J4079=0,AND(J4079=1,K4079=1),AND(J4079=1,I4079="SBJ"),AND(J4079=1,I4079=0)),"?IN_FOCUS",IF(J4079&lt;=2,"?ACTIVATED",IF(J4079&lt;&gt;"","?FAMILIAR",IF(F4079="NEW",IF(ISNA(VLOOKUP(E4079,#REF!,1,FALSE())),"?TYPE_IDENTIFIABLE","?REFERENTIAL"),"_")))))</f>
        <v> </v>
      </c>
      <c r="H4079" s="25" t="str">
        <f>IF(J4079&lt;&gt;1,"",IF(I4079="SBJ","CB","?"))</f>
        <v> </v>
      </c>
      <c r="I4079" s="26" t="str">
        <f>IF(OR(E4079="",E4079="!!!",F4079="NEW"),"",INDEX(B4078:B$2,-1+SUMPRODUCT(MAX(ROW(E4078:E$2)*(E4079=E4078:E$2)))))</f>
        <v> </v>
      </c>
      <c r="J4079" s="26" t="str">
        <f>IF(OR(E4079="",E4079="!!!",F4079="NEW"),"",COUNTBLANK(OFFSET(A$1,,,SUMPRODUCT(MAX(ROW(E$2:E4079)*(E4079=E$2:E4079)))))-COUNTBLANK(OFFSET(A$1,,,SUMPRODUCT(MAX(ROW(E$1:E4078)*(E2=E$1:E4078))))))</f>
        <v> </v>
      </c>
      <c r="K4079" s="26" t="str">
        <f>IF(OR(E4079="",E4079="!!!",F4079="NEW"),"",INDEX(J$1:J4078,SUMPRODUCT(MAX(ROW(E$1:E4078)*(E4079=E$1:E4078)))))</f>
        <v> </v>
      </c>
      <c r="L4079" s="27"/>
    </row>
    <row r="4080" spans="1:12">
      <c r="A4080" s="20" t="s">
        <v>1315</v>
      </c>
      <c r="E4080" s="22">
        <f>IF(D4080="?OLD","!!!","")</f>
        <v/>
      </c>
      <c r="F4080" s="23" t="str">
        <f>IF(OR(E4080="",E4080="!!!"),"",IF(NOT(ISNA(VLOOKUP(E4080,E$1:E4079,1,FALSE()))),"OLD",IF(AND(E4080&lt;&gt;"",E4080&lt;&gt;"!!!"),"NEW","")))</f>
        <v> </v>
      </c>
      <c r="G4080" s="24" t="str">
        <f>IF(OR(E4080="",E4080="!!!"),"",IF(OR(J4080=0,AND(J4080=1,K4080=1),AND(J4080=1,I4080="SBJ"),AND(J4080=1,I4080=0)),"?IN_FOCUS",IF(J4080&lt;=2,"?ACTIVATED",IF(J4080&lt;&gt;"","?FAMILIAR",IF(F4080="NEW",IF(ISNA(VLOOKUP(E4080,#REF!,1,FALSE())),"?TYPE_IDENTIFIABLE","?REFERENTIAL"),"_")))))</f>
        <v> </v>
      </c>
      <c r="H4080" s="25" t="str">
        <f>IF(J4080&lt;&gt;1,"",IF(I4080="SBJ","CB","?"))</f>
        <v> </v>
      </c>
      <c r="I4080" s="26" t="str">
        <f>IF(OR(E4080="",E4080="!!!",F4080="NEW"),"",INDEX(B4079:B$2,-1+SUMPRODUCT(MAX(ROW(E4079:E$2)*(E4080=E4079:E$2)))))</f>
        <v> </v>
      </c>
      <c r="J4080" s="26" t="str">
        <f>IF(OR(E4080="",E4080="!!!",F4080="NEW"),"",COUNTBLANK(OFFSET(A$1,,,SUMPRODUCT(MAX(ROW(E$2:E4080)*(E4080=E$2:E4080)))))-COUNTBLANK(OFFSET(A$1,,,SUMPRODUCT(MAX(ROW(E$1:E4079)*(E2=E$1:E4079))))))</f>
        <v> </v>
      </c>
      <c r="K4080" s="26" t="str">
        <f>IF(OR(E4080="",E4080="!!!",F4080="NEW"),"",INDEX(J$1:J4079,SUMPRODUCT(MAX(ROW(E$1:E4079)*(E4080=E$1:E4079)))))</f>
        <v> </v>
      </c>
      <c r="L4080" s="27"/>
    </row>
    <row r="4081" spans="1:12">
      <c r="A4081" s="20" t="s">
        <v>1118</v>
      </c>
      <c r="E4081" s="22">
        <f>IF(D4081="?OLD","!!!","")</f>
        <v/>
      </c>
      <c r="F4081" s="23" t="str">
        <f>IF(OR(E4081="",E4081="!!!"),"",IF(NOT(ISNA(VLOOKUP(E4081,E$1:E4080,1,FALSE()))),"OLD",IF(AND(E4081&lt;&gt;"",E4081&lt;&gt;"!!!"),"NEW","")))</f>
        <v> </v>
      </c>
      <c r="G4081" s="24" t="str">
        <f>IF(OR(E4081="",E4081="!!!"),"",IF(OR(J4081=0,AND(J4081=1,K4081=1),AND(J4081=1,I4081="SBJ"),AND(J4081=1,I4081=0)),"?IN_FOCUS",IF(J4081&lt;=2,"?ACTIVATED",IF(J4081&lt;&gt;"","?FAMILIAR",IF(F4081="NEW",IF(ISNA(VLOOKUP(E4081,#REF!,1,FALSE())),"?TYPE_IDENTIFIABLE","?REFERENTIAL"),"_")))))</f>
        <v> </v>
      </c>
      <c r="H4081" s="25" t="str">
        <f>IF(J4081&lt;&gt;1,"",IF(I4081="SBJ","CB","?"))</f>
        <v> </v>
      </c>
      <c r="I4081" s="26" t="str">
        <f>IF(OR(E4081="",E4081="!!!",F4081="NEW"),"",INDEX(B4080:B$2,-1+SUMPRODUCT(MAX(ROW(E4080:E$2)*(E4081=E4080:E$2)))))</f>
        <v> </v>
      </c>
      <c r="J4081" s="26" t="str">
        <f>IF(OR(E4081="",E4081="!!!",F4081="NEW"),"",COUNTBLANK(OFFSET(A$1,,,SUMPRODUCT(MAX(ROW(E$2:E4081)*(E4081=E$2:E4081)))))-COUNTBLANK(OFFSET(A$1,,,SUMPRODUCT(MAX(ROW(E$1:E4080)*(E2=E$1:E4080))))))</f>
        <v> </v>
      </c>
      <c r="K4081" s="26" t="str">
        <f>IF(OR(E4081="",E4081="!!!",F4081="NEW"),"",INDEX(J$1:J4080,SUMPRODUCT(MAX(ROW(E$1:E4080)*(E4081=E$1:E4080)))))</f>
        <v> </v>
      </c>
      <c r="L4081" s="27"/>
    </row>
    <row r="4082" spans="1:12">
      <c r="A4082" s="20" t="s">
        <v>587</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2258</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923</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607</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row>
    <row r="4087" spans="1:12">
      <c r="A4087" s="20" t="s">
        <v>1276</v>
      </c>
      <c r="E4087" s="22">
        <f>IF(D4087="?OLD","!!!","")</f>
        <v/>
      </c>
      <c r="F4087" s="23" t="str">
        <f>IF(OR(E4087="",E4087="!!!"),"",IF(NOT(ISNA(VLOOKUP(E4087,E$1:E4086,1,FALSE()))),"OLD",IF(AND(E4087&lt;&gt;"",E4087&lt;&gt;"!!!"),"NEW","")))</f>
        <v> </v>
      </c>
      <c r="G4087" s="24" t="str">
        <f>IF(OR(E4087="",E4087="!!!"),"",IF(OR(J4087=0,AND(J4087=1,K4087=1),AND(J4087=1,I4087="SBJ"),AND(J4087=1,I4087=0)),"?IN_FOCUS",IF(J4087&lt;=2,"?ACTIVATED",IF(J4087&lt;&gt;"","?FAMILIAR",IF(F4087="NEW",IF(ISNA(VLOOKUP(E4087,#REF!,1,FALSE())),"?TYPE_IDENTIFIABLE","?REFERENTIAL"),"_")))))</f>
        <v> </v>
      </c>
      <c r="H4087" s="25" t="str">
        <f>IF(J4087&lt;&gt;1,"",IF(I4087="SBJ","CB","?"))</f>
        <v> </v>
      </c>
      <c r="I4087" s="26" t="str">
        <f>IF(OR(E4087="",E4087="!!!",F4087="NEW"),"",INDEX(B4086:B$2,-1+SUMPRODUCT(MAX(ROW(E4086:E$2)*(E4087=E4086:E$2)))))</f>
        <v> </v>
      </c>
      <c r="J4087" s="26" t="str">
        <f>IF(OR(E4087="",E4087="!!!",F4087="NEW"),"",COUNTBLANK(OFFSET(A$1,,,SUMPRODUCT(MAX(ROW(E$2:E4087)*(E4087=E$2:E4087)))))-COUNTBLANK(OFFSET(A$1,,,SUMPRODUCT(MAX(ROW(E$1:E4086)*(E2=E$1:E4086))))))</f>
        <v> </v>
      </c>
      <c r="K4087" s="26" t="str">
        <f>IF(OR(E4087="",E4087="!!!",F4087="NEW"),"",INDEX(J$1:J4086,SUMPRODUCT(MAX(ROW(E$1:E4086)*(E4087=E$1:E4086)))))</f>
        <v> </v>
      </c>
      <c r="L4087" s="27"/>
    </row>
    <row r="4088" spans="1:12">
      <c r="A4088" s="20" t="s">
        <v>2259</v>
      </c>
    </row>
    <row r="4089" spans="1:12">
      <c r="A4089" s="20" t="s">
        <v>607</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t="s">
        <v>1440</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1340</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1156</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t="s">
        <v>1072</v>
      </c>
      <c r="E4093" s="22">
        <f>IF(D4093="?OLD","!!!","")</f>
        <v/>
      </c>
      <c r="F4093" s="23" t="str">
        <f>IF(OR(E4093="",E4093="!!!"),"",IF(NOT(ISNA(VLOOKUP(E4093,E$1:E4092,1,FALSE()))),"OLD",IF(AND(E4093&lt;&gt;"",E4093&lt;&gt;"!!!"),"NEW","")))</f>
        <v> </v>
      </c>
      <c r="G4093" s="24" t="str">
        <f>IF(OR(E4093="",E4093="!!!"),"",IF(OR(J4093=0,AND(J4093=1,K4093=1),AND(J4093=1,I4093="SBJ"),AND(J4093=1,I4093=0)),"?IN_FOCUS",IF(J4093&lt;=2,"?ACTIVATED",IF(J4093&lt;&gt;"","?FAMILIAR",IF(F4093="NEW",IF(ISNA(VLOOKUP(E4093,#REF!,1,FALSE())),"?TYPE_IDENTIFIABLE","?REFERENTIAL"),"_")))))</f>
        <v> </v>
      </c>
      <c r="H4093" s="25" t="str">
        <f>IF(J4093&lt;&gt;1,"",IF(I4093="SBJ","CB","?"))</f>
        <v> </v>
      </c>
      <c r="I4093" s="26" t="str">
        <f>IF(OR(E4093="",E4093="!!!",F4093="NEW"),"",INDEX(B4092:B$2,-1+SUMPRODUCT(MAX(ROW(E4092:E$2)*(E4093=E4092:E$2)))))</f>
        <v> </v>
      </c>
      <c r="J4093" s="26" t="str">
        <f>IF(OR(E4093="",E4093="!!!",F4093="NEW"),"",COUNTBLANK(OFFSET(A$1,,,SUMPRODUCT(MAX(ROW(E$2:E4093)*(E4093=E$2:E4093)))))-COUNTBLANK(OFFSET(A$1,,,SUMPRODUCT(MAX(ROW(E$1:E4092)*(E2=E$1:E4092))))))</f>
        <v> </v>
      </c>
      <c r="K4093" s="26" t="str">
        <f>IF(OR(E4093="",E4093="!!!",F4093="NEW"),"",INDEX(J$1:J4092,SUMPRODUCT(MAX(ROW(E$1:E4092)*(E4093=E$1:E4092)))))</f>
        <v> </v>
      </c>
      <c r="L4093" s="27"/>
    </row>
    <row r="4094" spans="1:12">
      <c r="A4094" s="20" t="s">
        <v>547</v>
      </c>
      <c r="B4094" s="21" t="s">
        <v>1058</v>
      </c>
      <c r="C4094" s="21" t="s">
        <v>1358</v>
      </c>
      <c r="E4094" s="22">
        <f>IF(D4094="?OLD","!!!","")</f>
        <v/>
      </c>
      <c r="F4094" s="23" t="str">
        <f>IF(OR(E4094="",E4094="!!!"),"",IF(NOT(ISNA(VLOOKUP(E4094,E$1:E4093,1,FALSE()))),"OLD",IF(AND(E4094&lt;&gt;"",E4094&lt;&gt;"!!!"),"NEW","")))</f>
        <v> </v>
      </c>
      <c r="G4094" s="24" t="str">
        <f>IF(OR(E4094="",E4094="!!!"),"",IF(OR(J4094=0,AND(J4094=1,K4094=1),AND(J4094=1,I4094="SBJ"),AND(J4094=1,I4094=0)),"?IN_FOCUS",IF(J4094&lt;=2,"?ACTIVATED",IF(J4094&lt;&gt;"","?FAMILIAR",IF(F4094="NEW",IF(ISNA(VLOOKUP(E4094,#REF!,1,FALSE())),"?TYPE_IDENTIFIABLE","?REFERENTIAL"),"_")))))</f>
        <v> </v>
      </c>
      <c r="H4094" s="25" t="str">
        <f>IF(J4094&lt;&gt;1,"",IF(I4094="SBJ","CB","?"))</f>
        <v> </v>
      </c>
      <c r="I4094" s="26" t="str">
        <f>IF(OR(E4094="",E4094="!!!",F4094="NEW"),"",INDEX(B4093:B$2,-1+SUMPRODUCT(MAX(ROW(E4093:E$2)*(E4094=E4093:E$2)))))</f>
        <v> </v>
      </c>
      <c r="J4094" s="26" t="str">
        <f>IF(OR(E4094="",E4094="!!!",F4094="NEW"),"",COUNTBLANK(OFFSET(A$1,,,SUMPRODUCT(MAX(ROW(E$2:E4094)*(E4094=E$2:E4094)))))-COUNTBLANK(OFFSET(A$1,,,SUMPRODUCT(MAX(ROW(E$1:E4093)*(E2=E$1:E4093))))))</f>
        <v> </v>
      </c>
      <c r="K4094" s="26" t="str">
        <f>IF(OR(E4094="",E4094="!!!",F4094="NEW"),"",INDEX(J$1:J4093,SUMPRODUCT(MAX(ROW(E$1:E4093)*(E4094=E$1:E4093)))))</f>
        <v> </v>
      </c>
      <c r="L4094" s="27"/>
    </row>
    <row r="4095" spans="1:12">
      <c r="A4095" s="20" t="s">
        <v>1516</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t="s">
        <v>1083</v>
      </c>
      <c r="B4096" s="21" t="s">
        <v>1084</v>
      </c>
      <c r="C4096" s="21" t="s">
        <v>1076</v>
      </c>
      <c r="D4096" s="21" t="s">
        <v>1060</v>
      </c>
      <c r="E4096" s="22">
        <f>IF(D4096="?OLD","!!!","")</f>
        <v/>
      </c>
      <c r="F4096" s="23" t="str">
        <f>IF(OR(E4096="",E4096="!!!"),"",IF(NOT(ISNA(VLOOKUP(E4096,E$1:E4095,1,FALSE()))),"OLD",IF(AND(E4096&lt;&gt;"",E4096&lt;&gt;"!!!"),"NEW","")))</f>
        <v> </v>
      </c>
      <c r="G4096" s="24" t="str">
        <f>IF(OR(E4096="",E4096="!!!"),"",IF(OR(J4096=0,AND(J4096=1,K4096=1),AND(J4096=1,I4096="SBJ"),AND(J4096=1,I4096=0)),"?IN_FOCUS",IF(J4096&lt;=2,"?ACTIVATED",IF(J4096&lt;&gt;"","?FAMILIAR",IF(F4096="NEW",IF(ISNA(VLOOKUP(E4096,#REF!,1,FALSE())),"?TYPE_IDENTIFIABLE","?REFERENTIAL"),"_")))))</f>
        <v> </v>
      </c>
      <c r="H4096" s="25" t="str">
        <f>IF(J4096&lt;&gt;1,"",IF(I4096="SBJ","CB","?"))</f>
        <v> </v>
      </c>
      <c r="I4096" s="26" t="str">
        <f>IF(OR(E4096="",E4096="!!!",F4096="NEW"),"",INDEX(B4095:B$2,-1+SUMPRODUCT(MAX(ROW(E4095:E$2)*(E4096=E4095:E$2)))))</f>
        <v> </v>
      </c>
      <c r="J4096" s="26" t="str">
        <f>IF(OR(E4096="",E4096="!!!",F4096="NEW"),"",COUNTBLANK(OFFSET(A$1,,,SUMPRODUCT(MAX(ROW(E$2:E4096)*(E4096=E$2:E4096)))))-COUNTBLANK(OFFSET(A$1,,,SUMPRODUCT(MAX(ROW(E$1:E4095)*(E2=E$1:E4095))))))</f>
        <v> </v>
      </c>
      <c r="K4096" s="26" t="str">
        <f>IF(OR(E4096="",E4096="!!!",F4096="NEW"),"",INDEX(J$1:J4095,SUMPRODUCT(MAX(ROW(E$1:E4095)*(E4096=E$1:E4095)))))</f>
        <v> </v>
      </c>
      <c r="L4096" s="27"/>
    </row>
    <row r="4097" spans="1:12">
      <c r="A4097" s="20" t="s">
        <v>1530</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576</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2260</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1070</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607</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1531</v>
      </c>
      <c r="B4102" s="21" t="s">
        <v>1079</v>
      </c>
      <c r="C4102" s="21" t="s">
        <v>1076</v>
      </c>
      <c r="D4102" s="21" t="s">
        <v>1060</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2261</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t="s">
        <v>923</v>
      </c>
      <c r="E4104" s="22">
        <f>IF(D4104="?OLD","!!!","")</f>
        <v/>
      </c>
      <c r="F4104" s="23" t="str">
        <f>IF(OR(E4104="",E4104="!!!"),"",IF(NOT(ISNA(VLOOKUP(E4104,E$1:E4103,1,FALSE()))),"OLD",IF(AND(E4104&lt;&gt;"",E4104&lt;&gt;"!!!"),"NEW","")))</f>
        <v> </v>
      </c>
      <c r="G4104" s="24" t="str">
        <f>IF(OR(E4104="",E4104="!!!"),"",IF(OR(J4104=0,AND(J4104=1,K4104=1),AND(J4104=1,I4104="SBJ"),AND(J4104=1,I4104=0)),"?IN_FOCUS",IF(J4104&lt;=2,"?ACTIVATED",IF(J4104&lt;&gt;"","?FAMILIAR",IF(F4104="NEW",IF(ISNA(VLOOKUP(E4104,#REF!,1,FALSE())),"?TYPE_IDENTIFIABLE","?REFERENTIAL"),"_")))))</f>
        <v> </v>
      </c>
      <c r="H4104" s="25" t="str">
        <f>IF(J4104&lt;&gt;1,"",IF(I4104="SBJ","CB","?"))</f>
        <v> </v>
      </c>
      <c r="I4104" s="26" t="str">
        <f>IF(OR(E4104="",E4104="!!!",F4104="NEW"),"",INDEX(B4103:B$2,-1+SUMPRODUCT(MAX(ROW(E4103:E$2)*(E4104=E4103:E$2)))))</f>
        <v> </v>
      </c>
      <c r="J4104" s="26" t="str">
        <f>IF(OR(E4104="",E4104="!!!",F4104="NEW"),"",COUNTBLANK(OFFSET(A$1,,,SUMPRODUCT(MAX(ROW(E$2:E4104)*(E4104=E$2:E4104)))))-COUNTBLANK(OFFSET(A$1,,,SUMPRODUCT(MAX(ROW(E$1:E4103)*(E2=E$1:E4103))))))</f>
        <v> </v>
      </c>
      <c r="K4104" s="26" t="str">
        <f>IF(OR(E4104="",E4104="!!!",F4104="NEW"),"",INDEX(J$1:J4103,SUMPRODUCT(MAX(ROW(E$1:E4103)*(E4104=E$1:E4103)))))</f>
        <v> </v>
      </c>
      <c r="L4104" s="27"/>
    </row>
    <row r="4105" spans="1:12">
      <c r="A4105" s="20"/>
    </row>
    <row r="4106" spans="1:12">
      <c r="A4106" s="20" t="s">
        <v>1276</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t="s">
        <v>2262</v>
      </c>
    </row>
    <row r="4108" spans="1:12">
      <c r="A4108" s="20" t="s">
        <v>607</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t="s">
        <v>1440</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1340</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1366</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t="s">
        <v>2080</v>
      </c>
      <c r="E4112" s="22">
        <f>IF(D4112="?OLD","!!!","")</f>
        <v/>
      </c>
      <c r="F4112" s="23" t="str">
        <f>IF(OR(E4112="",E4112="!!!"),"",IF(NOT(ISNA(VLOOKUP(E4112,E$1:E4111,1,FALSE()))),"OLD",IF(AND(E4112&lt;&gt;"",E4112&lt;&gt;"!!!"),"NEW","")))</f>
        <v> </v>
      </c>
      <c r="G4112" s="24" t="str">
        <f>IF(OR(E4112="",E4112="!!!"),"",IF(OR(J4112=0,AND(J4112=1,K4112=1),AND(J4112=1,I4112="SBJ"),AND(J4112=1,I4112=0)),"?IN_FOCUS",IF(J4112&lt;=2,"?ACTIVATED",IF(J4112&lt;&gt;"","?FAMILIAR",IF(F4112="NEW",IF(ISNA(VLOOKUP(E4112,#REF!,1,FALSE())),"?TYPE_IDENTIFIABLE","?REFERENTIAL"),"_")))))</f>
        <v> </v>
      </c>
      <c r="H4112" s="25" t="str">
        <f>IF(J4112&lt;&gt;1,"",IF(I4112="SBJ","CB","?"))</f>
        <v> </v>
      </c>
      <c r="I4112" s="26" t="str">
        <f>IF(OR(E4112="",E4112="!!!",F4112="NEW"),"",INDEX(B4111:B$2,-1+SUMPRODUCT(MAX(ROW(E4111:E$2)*(E4112=E4111:E$2)))))</f>
        <v> </v>
      </c>
      <c r="J4112" s="26" t="str">
        <f>IF(OR(E4112="",E4112="!!!",F4112="NEW"),"",COUNTBLANK(OFFSET(A$1,,,SUMPRODUCT(MAX(ROW(E$2:E4112)*(E4112=E$2:E4112)))))-COUNTBLANK(OFFSET(A$1,,,SUMPRODUCT(MAX(ROW(E$1:E4111)*(E2=E$1:E4111))))))</f>
        <v> </v>
      </c>
      <c r="K4112" s="26" t="str">
        <f>IF(OR(E4112="",E4112="!!!",F4112="NEW"),"",INDEX(J$1:J4111,SUMPRODUCT(MAX(ROW(E$1:E4111)*(E4112=E$1:E4111)))))</f>
        <v> </v>
      </c>
      <c r="L4112" s="27"/>
    </row>
    <row r="4113" spans="1:12">
      <c r="A4113" s="20" t="s">
        <v>2263</v>
      </c>
      <c r="B4113" s="21" t="s">
        <v>1058</v>
      </c>
      <c r="C4113" s="21" t="s">
        <v>1080</v>
      </c>
      <c r="E4113" s="22">
        <f>IF(D4113="?OLD","!!!","")</f>
        <v/>
      </c>
      <c r="F4113" s="23" t="str">
        <f>IF(OR(E4113="",E4113="!!!"),"",IF(NOT(ISNA(VLOOKUP(E4113,E$1:E4112,1,FALSE()))),"OLD",IF(AND(E4113&lt;&gt;"",E4113&lt;&gt;"!!!"),"NEW","")))</f>
        <v> </v>
      </c>
      <c r="G4113" s="24" t="str">
        <f>IF(OR(E4113="",E4113="!!!"),"",IF(OR(J4113=0,AND(J4113=1,K4113=1),AND(J4113=1,I4113="SBJ"),AND(J4113=1,I4113=0)),"?IN_FOCUS",IF(J4113&lt;=2,"?ACTIVATED",IF(J4113&lt;&gt;"","?FAMILIAR",IF(F4113="NEW",IF(ISNA(VLOOKUP(E4113,#REF!,1,FALSE())),"?TYPE_IDENTIFIABLE","?REFERENTIAL"),"_")))))</f>
        <v> </v>
      </c>
      <c r="H4113" s="25" t="str">
        <f>IF(J4113&lt;&gt;1,"",IF(I4113="SBJ","CB","?"))</f>
        <v> </v>
      </c>
      <c r="I4113" s="26" t="str">
        <f>IF(OR(E4113="",E4113="!!!",F4113="NEW"),"",INDEX(B4112:B$2,-1+SUMPRODUCT(MAX(ROW(E4112:E$2)*(E4113=E4112:E$2)))))</f>
        <v> </v>
      </c>
      <c r="J4113" s="26" t="str">
        <f>IF(OR(E4113="",E4113="!!!",F4113="NEW"),"",COUNTBLANK(OFFSET(A$1,,,SUMPRODUCT(MAX(ROW(E$2:E4113)*(E4113=E$2:E4113)))))-COUNTBLANK(OFFSET(A$1,,,SUMPRODUCT(MAX(ROW(E$1:E4112)*(E2=E$1:E4112))))))</f>
        <v> </v>
      </c>
      <c r="K4113" s="26" t="str">
        <f>IF(OR(E4113="",E4113="!!!",F4113="NEW"),"",INDEX(J$1:J4112,SUMPRODUCT(MAX(ROW(E$1:E4112)*(E4113=E$1:E4112)))))</f>
        <v> </v>
      </c>
      <c r="L4113" s="27"/>
    </row>
    <row r="4114" spans="1:12">
      <c r="A4114" s="20" t="s">
        <v>2264</v>
      </c>
      <c r="B4114" s="21" t="s">
        <v>1132</v>
      </c>
      <c r="C4114" s="21" t="s">
        <v>1178</v>
      </c>
      <c r="D4114" s="21" t="s">
        <v>1060</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t="s">
        <v>1204</v>
      </c>
      <c r="E4115" s="22">
        <f>IF(D4115="?OLD","!!!","")</f>
        <v/>
      </c>
      <c r="F4115" s="23" t="str">
        <f>IF(OR(E4115="",E4115="!!!"),"",IF(NOT(ISNA(VLOOKUP(E4115,E$1:E4114,1,FALSE()))),"OLD",IF(AND(E4115&lt;&gt;"",E4115&lt;&gt;"!!!"),"NEW","")))</f>
        <v> </v>
      </c>
      <c r="G4115" s="24" t="str">
        <f>IF(OR(E4115="",E4115="!!!"),"",IF(OR(J4115=0,AND(J4115=1,K4115=1),AND(J4115=1,I4115="SBJ"),AND(J4115=1,I4115=0)),"?IN_FOCUS",IF(J4115&lt;=2,"?ACTIVATED",IF(J4115&lt;&gt;"","?FAMILIAR",IF(F4115="NEW",IF(ISNA(VLOOKUP(E4115,#REF!,1,FALSE())),"?TYPE_IDENTIFIABLE","?REFERENTIAL"),"_")))))</f>
        <v> </v>
      </c>
      <c r="H4115" s="25" t="str">
        <f>IF(J4115&lt;&gt;1,"",IF(I4115="SBJ","CB","?"))</f>
        <v> </v>
      </c>
      <c r="I4115" s="26" t="str">
        <f>IF(OR(E4115="",E4115="!!!",F4115="NEW"),"",INDEX(B4114:B$2,-1+SUMPRODUCT(MAX(ROW(E4114:E$2)*(E4115=E4114:E$2)))))</f>
        <v> </v>
      </c>
      <c r="J4115" s="26" t="str">
        <f>IF(OR(E4115="",E4115="!!!",F4115="NEW"),"",COUNTBLANK(OFFSET(A$1,,,SUMPRODUCT(MAX(ROW(E$2:E4115)*(E4115=E$2:E4115)))))-COUNTBLANK(OFFSET(A$1,,,SUMPRODUCT(MAX(ROW(E$1:E4114)*(E2=E$1:E4114))))))</f>
        <v> </v>
      </c>
      <c r="K4115" s="26" t="str">
        <f>IF(OR(E4115="",E4115="!!!",F4115="NEW"),"",INDEX(J$1:J4114,SUMPRODUCT(MAX(ROW(E$1:E4114)*(E4115=E$1:E4114)))))</f>
        <v> </v>
      </c>
      <c r="L4115" s="27"/>
    </row>
    <row r="4116" spans="1:12">
      <c r="A4116" s="20" t="s">
        <v>1366</v>
      </c>
      <c r="E4116" s="22">
        <f>IF(D4116="?OLD","!!!","")</f>
        <v/>
      </c>
      <c r="F4116" s="23" t="str">
        <f>IF(OR(E4116="",E4116="!!!"),"",IF(NOT(ISNA(VLOOKUP(E4116,E$1:E4115,1,FALSE()))),"OLD",IF(AND(E4116&lt;&gt;"",E4116&lt;&gt;"!!!"),"NEW","")))</f>
        <v> </v>
      </c>
      <c r="G4116" s="24" t="str">
        <f>IF(OR(E4116="",E4116="!!!"),"",IF(OR(J4116=0,AND(J4116=1,K4116=1),AND(J4116=1,I4116="SBJ"),AND(J4116=1,I4116=0)),"?IN_FOCUS",IF(J4116&lt;=2,"?ACTIVATED",IF(J4116&lt;&gt;"","?FAMILIAR",IF(F4116="NEW",IF(ISNA(VLOOKUP(E4116,#REF!,1,FALSE())),"?TYPE_IDENTIFIABLE","?REFERENTIAL"),"_")))))</f>
        <v> </v>
      </c>
      <c r="H4116" s="25" t="str">
        <f>IF(J4116&lt;&gt;1,"",IF(I4116="SBJ","CB","?"))</f>
        <v> </v>
      </c>
      <c r="I4116" s="26" t="str">
        <f>IF(OR(E4116="",E4116="!!!",F4116="NEW"),"",INDEX(B4115:B$2,-1+SUMPRODUCT(MAX(ROW(E4115:E$2)*(E4116=E4115:E$2)))))</f>
        <v> </v>
      </c>
      <c r="J4116" s="26" t="str">
        <f>IF(OR(E4116="",E4116="!!!",F4116="NEW"),"",COUNTBLANK(OFFSET(A$1,,,SUMPRODUCT(MAX(ROW(E$2:E4116)*(E4116=E$2:E4116)))))-COUNTBLANK(OFFSET(A$1,,,SUMPRODUCT(MAX(ROW(E$1:E4115)*(E2=E$1:E4115))))))</f>
        <v> </v>
      </c>
      <c r="K4116" s="26" t="str">
        <f>IF(OR(E4116="",E4116="!!!",F4116="NEW"),"",INDEX(J$1:J4115,SUMPRODUCT(MAX(ROW(E$1:E4115)*(E4116=E$1:E4115)))))</f>
        <v> </v>
      </c>
      <c r="L4116" s="27"/>
    </row>
    <row r="4117" spans="1:12">
      <c r="A4117" s="20" t="s">
        <v>2265</v>
      </c>
      <c r="B4117" s="21" t="s">
        <v>1068</v>
      </c>
      <c r="C4117" s="21" t="s">
        <v>1080</v>
      </c>
      <c r="E4117" s="22">
        <f>IF(D4117="?OLD","!!!","")</f>
        <v/>
      </c>
      <c r="F4117" s="23" t="str">
        <f>IF(OR(E4117="",E4117="!!!"),"",IF(NOT(ISNA(VLOOKUP(E4117,E$1:E4116,1,FALSE()))),"OLD",IF(AND(E4117&lt;&gt;"",E4117&lt;&gt;"!!!"),"NEW","")))</f>
        <v> </v>
      </c>
      <c r="G4117" s="24" t="str">
        <f>IF(OR(E4117="",E4117="!!!"),"",IF(OR(J4117=0,AND(J4117=1,K4117=1),AND(J4117=1,I4117="SBJ"),AND(J4117=1,I4117=0)),"?IN_FOCUS",IF(J4117&lt;=2,"?ACTIVATED",IF(J4117&lt;&gt;"","?FAMILIAR",IF(F4117="NEW",IF(ISNA(VLOOKUP(E4117,#REF!,1,FALSE())),"?TYPE_IDENTIFIABLE","?REFERENTIAL"),"_")))))</f>
        <v> </v>
      </c>
      <c r="H4117" s="25" t="str">
        <f>IF(J4117&lt;&gt;1,"",IF(I4117="SBJ","CB","?"))</f>
        <v> </v>
      </c>
      <c r="I4117" s="26" t="str">
        <f>IF(OR(E4117="",E4117="!!!",F4117="NEW"),"",INDEX(B4116:B$2,-1+SUMPRODUCT(MAX(ROW(E4116:E$2)*(E4117=E4116:E$2)))))</f>
        <v> </v>
      </c>
      <c r="J4117" s="26" t="str">
        <f>IF(OR(E4117="",E4117="!!!",F4117="NEW"),"",COUNTBLANK(OFFSET(A$1,,,SUMPRODUCT(MAX(ROW(E$2:E4117)*(E4117=E$2:E4117)))))-COUNTBLANK(OFFSET(A$1,,,SUMPRODUCT(MAX(ROW(E$1:E4116)*(E2=E$1:E4116))))))</f>
        <v> </v>
      </c>
      <c r="K4117" s="26" t="str">
        <f>IF(OR(E4117="",E4117="!!!",F4117="NEW"),"",INDEX(J$1:J4116,SUMPRODUCT(MAX(ROW(E$1:E4116)*(E4117=E$1:E4116)))))</f>
        <v> </v>
      </c>
      <c r="L4117" s="27"/>
    </row>
    <row r="4118" spans="1:12">
      <c r="A4118" s="20" t="s">
        <v>1160</v>
      </c>
      <c r="E4118" s="22">
        <f>IF(D4118="?OLD","!!!","")</f>
        <v/>
      </c>
      <c r="F4118" s="23" t="str">
        <f>IF(OR(E4118="",E4118="!!!"),"",IF(NOT(ISNA(VLOOKUP(E4118,E$1:E4117,1,FALSE()))),"OLD",IF(AND(E4118&lt;&gt;"",E4118&lt;&gt;"!!!"),"NEW","")))</f>
        <v> </v>
      </c>
      <c r="G4118" s="24" t="str">
        <f>IF(OR(E4118="",E4118="!!!"),"",IF(OR(J4118=0,AND(J4118=1,K4118=1),AND(J4118=1,I4118="SBJ"),AND(J4118=1,I4118=0)),"?IN_FOCUS",IF(J4118&lt;=2,"?ACTIVATED",IF(J4118&lt;&gt;"","?FAMILIAR",IF(F4118="NEW",IF(ISNA(VLOOKUP(E4118,#REF!,1,FALSE())),"?TYPE_IDENTIFIABLE","?REFERENTIAL"),"_")))))</f>
        <v> </v>
      </c>
      <c r="H4118" s="25" t="str">
        <f>IF(J4118&lt;&gt;1,"",IF(I4118="SBJ","CB","?"))</f>
        <v> </v>
      </c>
      <c r="I4118" s="26" t="str">
        <f>IF(OR(E4118="",E4118="!!!",F4118="NEW"),"",INDEX(B4117:B$2,-1+SUMPRODUCT(MAX(ROW(E4117:E$2)*(E4118=E4117:E$2)))))</f>
        <v> </v>
      </c>
      <c r="J4118" s="26" t="str">
        <f>IF(OR(E4118="",E4118="!!!",F4118="NEW"),"",COUNTBLANK(OFFSET(A$1,,,SUMPRODUCT(MAX(ROW(E$2:E4118)*(E4118=E$2:E4118)))))-COUNTBLANK(OFFSET(A$1,,,SUMPRODUCT(MAX(ROW(E$1:E4117)*(E2=E$1:E4117))))))</f>
        <v> </v>
      </c>
      <c r="K4118" s="26" t="str">
        <f>IF(OR(E4118="",E4118="!!!",F4118="NEW"),"",INDEX(J$1:J4117,SUMPRODUCT(MAX(ROW(E$1:E4117)*(E4118=E$1:E4117)))))</f>
        <v> </v>
      </c>
      <c r="L4118" s="27"/>
    </row>
    <row r="4119" spans="1:12">
      <c r="A4119" s="20" t="s">
        <v>1101</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t="s">
        <v>1764</v>
      </c>
      <c r="B4120" s="21" t="s">
        <v>1064</v>
      </c>
      <c r="C4120" s="21" t="s">
        <v>1140</v>
      </c>
      <c r="D4120" s="21" t="s">
        <v>1060</v>
      </c>
      <c r="E4120" s="22">
        <f>IF(D4120="?OLD","!!!","")</f>
        <v/>
      </c>
      <c r="F4120" s="23" t="str">
        <f>IF(OR(E4120="",E4120="!!!"),"",IF(NOT(ISNA(VLOOKUP(E4120,E$1:E4119,1,FALSE()))),"OLD",IF(AND(E4120&lt;&gt;"",E4120&lt;&gt;"!!!"),"NEW","")))</f>
        <v> </v>
      </c>
      <c r="G4120" s="24" t="str">
        <f>IF(OR(E4120="",E4120="!!!"),"",IF(OR(J4120=0,AND(J4120=1,K4120=1),AND(J4120=1,I4120="SBJ"),AND(J4120=1,I4120=0)),"?IN_FOCUS",IF(J4120&lt;=2,"?ACTIVATED",IF(J4120&lt;&gt;"","?FAMILIAR",IF(F4120="NEW",IF(ISNA(VLOOKUP(E4120,#REF!,1,FALSE())),"?TYPE_IDENTIFIABLE","?REFERENTIAL"),"_")))))</f>
        <v> </v>
      </c>
      <c r="H4120" s="25" t="str">
        <f>IF(J4120&lt;&gt;1,"",IF(I4120="SBJ","CB","?"))</f>
        <v> </v>
      </c>
      <c r="I4120" s="26" t="str">
        <f>IF(OR(E4120="",E4120="!!!",F4120="NEW"),"",INDEX(B4119:B$2,-1+SUMPRODUCT(MAX(ROW(E4119:E$2)*(E4120=E4119:E$2)))))</f>
        <v> </v>
      </c>
      <c r="J4120" s="26" t="str">
        <f>IF(OR(E4120="",E4120="!!!",F4120="NEW"),"",COUNTBLANK(OFFSET(A$1,,,SUMPRODUCT(MAX(ROW(E$2:E4120)*(E4120=E$2:E4120)))))-COUNTBLANK(OFFSET(A$1,,,SUMPRODUCT(MAX(ROW(E$1:E4119)*(E2=E$1:E4119))))))</f>
        <v> </v>
      </c>
      <c r="K4120" s="26" t="str">
        <f>IF(OR(E4120="",E4120="!!!",F4120="NEW"),"",INDEX(J$1:J4119,SUMPRODUCT(MAX(ROW(E$1:E4119)*(E4120=E$1:E4119)))))</f>
        <v> </v>
      </c>
      <c r="L4120" s="27"/>
    </row>
    <row r="4121" spans="1:12">
      <c r="A4121" s="20" t="s">
        <v>1061</v>
      </c>
      <c r="E4121" s="22">
        <f>IF(D4121="?OLD","!!!","")</f>
        <v/>
      </c>
      <c r="F4121" s="23" t="str">
        <f>IF(OR(E4121="",E4121="!!!"),"",IF(NOT(ISNA(VLOOKUP(E4121,E$1:E4120,1,FALSE()))),"OLD",IF(AND(E4121&lt;&gt;"",E4121&lt;&gt;"!!!"),"NEW","")))</f>
        <v> </v>
      </c>
      <c r="G4121" s="24" t="str">
        <f>IF(OR(E4121="",E4121="!!!"),"",IF(OR(J4121=0,AND(J4121=1,K4121=1),AND(J4121=1,I4121="SBJ"),AND(J4121=1,I4121=0)),"?IN_FOCUS",IF(J4121&lt;=2,"?ACTIVATED",IF(J4121&lt;&gt;"","?FAMILIAR",IF(F4121="NEW",IF(ISNA(VLOOKUP(E4121,#REF!,1,FALSE())),"?TYPE_IDENTIFIABLE","?REFERENTIAL"),"_")))))</f>
        <v> </v>
      </c>
      <c r="H4121" s="25" t="str">
        <f>IF(J4121&lt;&gt;1,"",IF(I4121="SBJ","CB","?"))</f>
        <v> </v>
      </c>
      <c r="I4121" s="26" t="str">
        <f>IF(OR(E4121="",E4121="!!!",F4121="NEW"),"",INDEX(B4120:B$2,-1+SUMPRODUCT(MAX(ROW(E4120:E$2)*(E4121=E4120:E$2)))))</f>
        <v> </v>
      </c>
      <c r="J4121" s="26" t="str">
        <f>IF(OR(E4121="",E4121="!!!",F4121="NEW"),"",COUNTBLANK(OFFSET(A$1,,,SUMPRODUCT(MAX(ROW(E$2:E4121)*(E4121=E$2:E4121)))))-COUNTBLANK(OFFSET(A$1,,,SUMPRODUCT(MAX(ROW(E$1:E4120)*(E2=E$1:E4120))))))</f>
        <v> </v>
      </c>
      <c r="K4121" s="26" t="str">
        <f>IF(OR(E4121="",E4121="!!!",F4121="NEW"),"",INDEX(J$1:J4120,SUMPRODUCT(MAX(ROW(E$1:E4120)*(E4121=E$1:E4120)))))</f>
        <v> </v>
      </c>
      <c r="L4121" s="27"/>
    </row>
    <row r="4122" spans="1:12">
      <c r="A4122" s="20" t="s">
        <v>1101</v>
      </c>
      <c r="E4122" s="22">
        <f>IF(D4122="?OLD","!!!","")</f>
        <v/>
      </c>
      <c r="F4122" s="23" t="str">
        <f>IF(OR(E4122="",E4122="!!!"),"",IF(NOT(ISNA(VLOOKUP(E4122,E$1:E4121,1,FALSE()))),"OLD",IF(AND(E4122&lt;&gt;"",E4122&lt;&gt;"!!!"),"NEW","")))</f>
        <v> </v>
      </c>
      <c r="G4122" s="24" t="str">
        <f>IF(OR(E4122="",E4122="!!!"),"",IF(OR(J4122=0,AND(J4122=1,K4122=1),AND(J4122=1,I4122="SBJ"),AND(J4122=1,I4122=0)),"?IN_FOCUS",IF(J4122&lt;=2,"?ACTIVATED",IF(J4122&lt;&gt;"","?FAMILIAR",IF(F4122="NEW",IF(ISNA(VLOOKUP(E4122,#REF!,1,FALSE())),"?TYPE_IDENTIFIABLE","?REFERENTIAL"),"_")))))</f>
        <v> </v>
      </c>
      <c r="H4122" s="25" t="str">
        <f>IF(J4122&lt;&gt;1,"",IF(I4122="SBJ","CB","?"))</f>
        <v> </v>
      </c>
      <c r="I4122" s="26" t="str">
        <f>IF(OR(E4122="",E4122="!!!",F4122="NEW"),"",INDEX(B4121:B$2,-1+SUMPRODUCT(MAX(ROW(E4121:E$2)*(E4122=E4121:E$2)))))</f>
        <v> </v>
      </c>
      <c r="J4122" s="26" t="str">
        <f>IF(OR(E4122="",E4122="!!!",F4122="NEW"),"",COUNTBLANK(OFFSET(A$1,,,SUMPRODUCT(MAX(ROW(E$2:E4122)*(E4122=E$2:E4122)))))-COUNTBLANK(OFFSET(A$1,,,SUMPRODUCT(MAX(ROW(E$1:E4121)*(E2=E$1:E4121))))))</f>
        <v> </v>
      </c>
      <c r="K4122" s="26" t="str">
        <f>IF(OR(E4122="",E4122="!!!",F4122="NEW"),"",INDEX(J$1:J4121,SUMPRODUCT(MAX(ROW(E$1:E4121)*(E4122=E$1:E4121)))))</f>
        <v> </v>
      </c>
      <c r="L4122" s="27"/>
    </row>
    <row r="4123" spans="1:12">
      <c r="A4123" s="20" t="s">
        <v>2266</v>
      </c>
      <c r="B4123" s="21" t="s">
        <v>1099</v>
      </c>
      <c r="C4123" s="21" t="s">
        <v>1140</v>
      </c>
      <c r="D4123" s="21" t="s">
        <v>1060</v>
      </c>
      <c r="E4123" s="22">
        <f>IF(D4123="?OLD","!!!","")</f>
        <v/>
      </c>
      <c r="F4123" s="23" t="str">
        <f>IF(OR(E4123="",E4123="!!!"),"",IF(NOT(ISNA(VLOOKUP(E4123,E$1:E4122,1,FALSE()))),"OLD",IF(AND(E4123&lt;&gt;"",E4123&lt;&gt;"!!!"),"NEW","")))</f>
        <v> </v>
      </c>
      <c r="G4123" s="24" t="str">
        <f>IF(OR(E4123="",E4123="!!!"),"",IF(OR(J4123=0,AND(J4123=1,K4123=1),AND(J4123=1,I4123="SBJ"),AND(J4123=1,I4123=0)),"?IN_FOCUS",IF(J4123&lt;=2,"?ACTIVATED",IF(J4123&lt;&gt;"","?FAMILIAR",IF(F4123="NEW",IF(ISNA(VLOOKUP(E4123,#REF!,1,FALSE())),"?TYPE_IDENTIFIABLE","?REFERENTIAL"),"_")))))</f>
        <v> </v>
      </c>
      <c r="H4123" s="25" t="str">
        <f>IF(J4123&lt;&gt;1,"",IF(I4123="SBJ","CB","?"))</f>
        <v> </v>
      </c>
      <c r="I4123" s="26" t="str">
        <f>IF(OR(E4123="",E4123="!!!",F4123="NEW"),"",INDEX(B4122:B$2,-1+SUMPRODUCT(MAX(ROW(E4122:E$2)*(E4123=E4122:E$2)))))</f>
        <v> </v>
      </c>
      <c r="J4123" s="26" t="str">
        <f>IF(OR(E4123="",E4123="!!!",F4123="NEW"),"",COUNTBLANK(OFFSET(A$1,,,SUMPRODUCT(MAX(ROW(E$2:E4123)*(E4123=E$2:E4123)))))-COUNTBLANK(OFFSET(A$1,,,SUMPRODUCT(MAX(ROW(E$1:E4122)*(E2=E$1:E4122))))))</f>
        <v> </v>
      </c>
      <c r="K4123" s="26" t="str">
        <f>IF(OR(E4123="",E4123="!!!",F4123="NEW"),"",INDEX(J$1:J4122,SUMPRODUCT(MAX(ROW(E$1:E4122)*(E4123=E$1:E4122)))))</f>
        <v> </v>
      </c>
      <c r="L4123" s="27"/>
    </row>
    <row r="4124" spans="1:12">
      <c r="A4124" s="20" t="s">
        <v>923</v>
      </c>
      <c r="E4124" s="22">
        <f>IF(D4124="?OLD","!!!","")</f>
        <v/>
      </c>
      <c r="F4124" s="23" t="str">
        <f>IF(OR(E4124="",E4124="!!!"),"",IF(NOT(ISNA(VLOOKUP(E4124,E$1:E4123,1,FALSE()))),"OLD",IF(AND(E4124&lt;&gt;"",E4124&lt;&gt;"!!!"),"NEW","")))</f>
        <v> </v>
      </c>
      <c r="G4124" s="24" t="str">
        <f>IF(OR(E4124="",E4124="!!!"),"",IF(OR(J4124=0,AND(J4124=1,K4124=1),AND(J4124=1,I4124="SBJ"),AND(J4124=1,I4124=0)),"?IN_FOCUS",IF(J4124&lt;=2,"?ACTIVATED",IF(J4124&lt;&gt;"","?FAMILIAR",IF(F4124="NEW",IF(ISNA(VLOOKUP(E4124,#REF!,1,FALSE())),"?TYPE_IDENTIFIABLE","?REFERENTIAL"),"_")))))</f>
        <v> </v>
      </c>
      <c r="H4124" s="25" t="str">
        <f>IF(J4124&lt;&gt;1,"",IF(I4124="SBJ","CB","?"))</f>
        <v> </v>
      </c>
      <c r="I4124" s="26" t="str">
        <f>IF(OR(E4124="",E4124="!!!",F4124="NEW"),"",INDEX(B4123:B$2,-1+SUMPRODUCT(MAX(ROW(E4123:E$2)*(E4124=E4123:E$2)))))</f>
        <v> </v>
      </c>
      <c r="J4124" s="26" t="str">
        <f>IF(OR(E4124="",E4124="!!!",F4124="NEW"),"",COUNTBLANK(OFFSET(A$1,,,SUMPRODUCT(MAX(ROW(E$2:E4124)*(E4124=E$2:E4124)))))-COUNTBLANK(OFFSET(A$1,,,SUMPRODUCT(MAX(ROW(E$1:E4123)*(E2=E$1:E4123))))))</f>
        <v> </v>
      </c>
      <c r="K4124" s="26" t="str">
        <f>IF(OR(E4124="",E4124="!!!",F4124="NEW"),"",INDEX(J$1:J4123,SUMPRODUCT(MAX(ROW(E$1:E4123)*(E4124=E$1:E4123)))))</f>
        <v> </v>
      </c>
      <c r="L4124" s="27"/>
    </row>
    <row r="4125" spans="1:12">
      <c r="A4125" s="20"/>
    </row>
    <row r="4126" spans="1:12">
      <c r="A4126" s="20" t="s">
        <v>2267</v>
      </c>
    </row>
    <row r="4127" spans="1:12">
      <c r="A4127" s="20" t="s">
        <v>1240</v>
      </c>
      <c r="B4127" s="21" t="s">
        <v>1058</v>
      </c>
      <c r="C4127" s="21" t="s">
        <v>1076</v>
      </c>
      <c r="D4127" s="21" t="s">
        <v>1060</v>
      </c>
      <c r="E4127" s="22">
        <f>IF(D4127="?OLD","!!!","")</f>
        <v/>
      </c>
      <c r="F4127" s="23" t="str">
        <f>IF(OR(E4127="",E4127="!!!"),"",IF(NOT(ISNA(VLOOKUP(E4127,E$1:E4126,1,FALSE()))),"OLD",IF(AND(E4127&lt;&gt;"",E4127&lt;&gt;"!!!"),"NEW","")))</f>
        <v> </v>
      </c>
      <c r="G4127" s="24" t="str">
        <f>IF(OR(E4127="",E4127="!!!"),"",IF(OR(J4127=0,AND(J4127=1,K4127=1),AND(J4127=1,I4127="SBJ"),AND(J4127=1,I4127=0)),"?IN_FOCUS",IF(J4127&lt;=2,"?ACTIVATED",IF(J4127&lt;&gt;"","?FAMILIAR",IF(F4127="NEW",IF(ISNA(VLOOKUP(E4127,#REF!,1,FALSE())),"?TYPE_IDENTIFIABLE","?REFERENTIAL"),"_")))))</f>
        <v> </v>
      </c>
      <c r="H4127" s="25" t="str">
        <f>IF(J4127&lt;&gt;1,"",IF(I4127="SBJ","CB","?"))</f>
        <v> </v>
      </c>
      <c r="I4127" s="26" t="str">
        <f>IF(OR(E4127="",E4127="!!!",F4127="NEW"),"",INDEX(B4126:B$2,-1+SUMPRODUCT(MAX(ROW(E4126:E$2)*(E4127=E4126:E$2)))))</f>
        <v> </v>
      </c>
      <c r="J4127" s="26" t="str">
        <f>IF(OR(E4127="",E4127="!!!",F4127="NEW"),"",COUNTBLANK(OFFSET(A$1,,,SUMPRODUCT(MAX(ROW(E$2:E4127)*(E4127=E$2:E4127)))))-COUNTBLANK(OFFSET(A$1,,,SUMPRODUCT(MAX(ROW(E$1:E4126)*(E2=E$1:E4126))))))</f>
        <v> </v>
      </c>
      <c r="K4127" s="26" t="str">
        <f>IF(OR(E4127="",E4127="!!!",F4127="NEW"),"",INDEX(J$1:J4126,SUMPRODUCT(MAX(ROW(E$1:E4126)*(E4127=E$1:E4126)))))</f>
        <v> </v>
      </c>
      <c r="L4127" s="27"/>
    </row>
    <row r="4128" spans="1:12">
      <c r="A4128" s="20" t="s">
        <v>1085</v>
      </c>
      <c r="E4128" s="22">
        <f>IF(D4128="?OLD","!!!","")</f>
        <v/>
      </c>
      <c r="F4128" s="23" t="str">
        <f>IF(OR(E4128="",E4128="!!!"),"",IF(NOT(ISNA(VLOOKUP(E4128,E$1:E4127,1,FALSE()))),"OLD",IF(AND(E4128&lt;&gt;"",E4128&lt;&gt;"!!!"),"NEW","")))</f>
        <v> </v>
      </c>
      <c r="G4128" s="24" t="str">
        <f>IF(OR(E4128="",E4128="!!!"),"",IF(OR(J4128=0,AND(J4128=1,K4128=1),AND(J4128=1,I4128="SBJ"),AND(J4128=1,I4128=0)),"?IN_FOCUS",IF(J4128&lt;=2,"?ACTIVATED",IF(J4128&lt;&gt;"","?FAMILIAR",IF(F4128="NEW",IF(ISNA(VLOOKUP(E4128,#REF!,1,FALSE())),"?TYPE_IDENTIFIABLE","?REFERENTIAL"),"_")))))</f>
        <v> </v>
      </c>
      <c r="H4128" s="25" t="str">
        <f>IF(J4128&lt;&gt;1,"",IF(I4128="SBJ","CB","?"))</f>
        <v> </v>
      </c>
      <c r="I4128" s="26" t="str">
        <f>IF(OR(E4128="",E4128="!!!",F4128="NEW"),"",INDEX(B4127:B$2,-1+SUMPRODUCT(MAX(ROW(E4127:E$2)*(E4128=E4127:E$2)))))</f>
        <v> </v>
      </c>
      <c r="J4128" s="26" t="str">
        <f>IF(OR(E4128="",E4128="!!!",F4128="NEW"),"",COUNTBLANK(OFFSET(A$1,,,SUMPRODUCT(MAX(ROW(E$2:E4128)*(E4128=E$2:E4128)))))-COUNTBLANK(OFFSET(A$1,,,SUMPRODUCT(MAX(ROW(E$1:E4127)*(E2=E$1:E4127))))))</f>
        <v> </v>
      </c>
      <c r="K4128" s="26" t="str">
        <f>IF(OR(E4128="",E4128="!!!",F4128="NEW"),"",INDEX(J$1:J4127,SUMPRODUCT(MAX(ROW(E$1:E4127)*(E4128=E$1:E4127)))))</f>
        <v> </v>
      </c>
      <c r="L4128" s="27"/>
    </row>
    <row r="4129" spans="1:12">
      <c r="A4129" s="20" t="s">
        <v>1502</v>
      </c>
      <c r="B4129" s="21" t="s">
        <v>1097</v>
      </c>
      <c r="C4129" s="21" t="s">
        <v>1522</v>
      </c>
      <c r="D4129" s="21" t="s">
        <v>1060</v>
      </c>
      <c r="E4129" s="22">
        <f>IF(D4129="?OLD","!!!","")</f>
        <v/>
      </c>
      <c r="F4129" s="23" t="str">
        <f>IF(OR(E4129="",E4129="!!!"),"",IF(NOT(ISNA(VLOOKUP(E4129,E$1:E4128,1,FALSE()))),"OLD",IF(AND(E4129&lt;&gt;"",E4129&lt;&gt;"!!!"),"NEW","")))</f>
        <v> </v>
      </c>
      <c r="G4129" s="24" t="str">
        <f>IF(OR(E4129="",E4129="!!!"),"",IF(OR(J4129=0,AND(J4129=1,K4129=1),AND(J4129=1,I4129="SBJ"),AND(J4129=1,I4129=0)),"?IN_FOCUS",IF(J4129&lt;=2,"?ACTIVATED",IF(J4129&lt;&gt;"","?FAMILIAR",IF(F4129="NEW",IF(ISNA(VLOOKUP(E4129,#REF!,1,FALSE())),"?TYPE_IDENTIFIABLE","?REFERENTIAL"),"_")))))</f>
        <v> </v>
      </c>
      <c r="H4129" s="25" t="str">
        <f>IF(J4129&lt;&gt;1,"",IF(I4129="SBJ","CB","?"))</f>
        <v> </v>
      </c>
      <c r="I4129" s="26" t="str">
        <f>IF(OR(E4129="",E4129="!!!",F4129="NEW"),"",INDEX(B4128:B$2,-1+SUMPRODUCT(MAX(ROW(E4128:E$2)*(E4129=E4128:E$2)))))</f>
        <v> </v>
      </c>
      <c r="J4129" s="26" t="str">
        <f>IF(OR(E4129="",E4129="!!!",F4129="NEW"),"",COUNTBLANK(OFFSET(A$1,,,SUMPRODUCT(MAX(ROW(E$2:E4129)*(E4129=E$2:E4129)))))-COUNTBLANK(OFFSET(A$1,,,SUMPRODUCT(MAX(ROW(E$1:E4128)*(E2=E$1:E4128))))))</f>
        <v> </v>
      </c>
      <c r="K4129" s="26" t="str">
        <f>IF(OR(E4129="",E4129="!!!",F4129="NEW"),"",INDEX(J$1:J4128,SUMPRODUCT(MAX(ROW(E$1:E4128)*(E4129=E$1:E4128)))))</f>
        <v> </v>
      </c>
      <c r="L4129" s="27"/>
    </row>
    <row r="4130" spans="1:12">
      <c r="A4130" s="20" t="s">
        <v>1082</v>
      </c>
      <c r="E4130" s="22">
        <f>IF(D4130="?OLD","!!!","")</f>
        <v/>
      </c>
      <c r="F4130" s="23" t="str">
        <f>IF(OR(E4130="",E4130="!!!"),"",IF(NOT(ISNA(VLOOKUP(E4130,E$1:E4129,1,FALSE()))),"OLD",IF(AND(E4130&lt;&gt;"",E4130&lt;&gt;"!!!"),"NEW","")))</f>
        <v> </v>
      </c>
      <c r="G4130" s="24" t="str">
        <f>IF(OR(E4130="",E4130="!!!"),"",IF(OR(J4130=0,AND(J4130=1,K4130=1),AND(J4130=1,I4130="SBJ"),AND(J4130=1,I4130=0)),"?IN_FOCUS",IF(J4130&lt;=2,"?ACTIVATED",IF(J4130&lt;&gt;"","?FAMILIAR",IF(F4130="NEW",IF(ISNA(VLOOKUP(E4130,#REF!,1,FALSE())),"?TYPE_IDENTIFIABLE","?REFERENTIAL"),"_")))))</f>
        <v> </v>
      </c>
      <c r="H4130" s="25" t="str">
        <f>IF(J4130&lt;&gt;1,"",IF(I4130="SBJ","CB","?"))</f>
        <v> </v>
      </c>
      <c r="I4130" s="26" t="str">
        <f>IF(OR(E4130="",E4130="!!!",F4130="NEW"),"",INDEX(B4129:B$2,-1+SUMPRODUCT(MAX(ROW(E4129:E$2)*(E4130=E4129:E$2)))))</f>
        <v> </v>
      </c>
      <c r="J4130" s="26" t="str">
        <f>IF(OR(E4130="",E4130="!!!",F4130="NEW"),"",COUNTBLANK(OFFSET(A$1,,,SUMPRODUCT(MAX(ROW(E$2:E4130)*(E4130=E$2:E4130)))))-COUNTBLANK(OFFSET(A$1,,,SUMPRODUCT(MAX(ROW(E$1:E4129)*(E2=E$1:E4129))))))</f>
        <v> </v>
      </c>
      <c r="K4130" s="26" t="str">
        <f>IF(OR(E4130="",E4130="!!!",F4130="NEW"),"",INDEX(J$1:J4129,SUMPRODUCT(MAX(ROW(E$1:E4129)*(E4130=E$1:E4129)))))</f>
        <v> </v>
      </c>
      <c r="L4130" s="27"/>
    </row>
    <row r="4131" spans="1:12">
      <c r="A4131" s="20" t="s">
        <v>1083</v>
      </c>
      <c r="B4131" s="21" t="s">
        <v>1079</v>
      </c>
      <c r="C4131" s="21" t="s">
        <v>1076</v>
      </c>
      <c r="D4131" s="21" t="s">
        <v>1060</v>
      </c>
      <c r="E4131" s="22">
        <f>IF(D4131="?OLD","!!!","")</f>
        <v/>
      </c>
      <c r="F4131" s="23" t="str">
        <f>IF(OR(E4131="",E4131="!!!"),"",IF(NOT(ISNA(VLOOKUP(E4131,E$1:E4130,1,FALSE()))),"OLD",IF(AND(E4131&lt;&gt;"",E4131&lt;&gt;"!!!"),"NEW","")))</f>
        <v> </v>
      </c>
      <c r="G4131" s="24" t="str">
        <f>IF(OR(E4131="",E4131="!!!"),"",IF(OR(J4131=0,AND(J4131=1,K4131=1),AND(J4131=1,I4131="SBJ"),AND(J4131=1,I4131=0)),"?IN_FOCUS",IF(J4131&lt;=2,"?ACTIVATED",IF(J4131&lt;&gt;"","?FAMILIAR",IF(F4131="NEW",IF(ISNA(VLOOKUP(E4131,#REF!,1,FALSE())),"?TYPE_IDENTIFIABLE","?REFERENTIAL"),"_")))))</f>
        <v> </v>
      </c>
      <c r="H4131" s="25" t="str">
        <f>IF(J4131&lt;&gt;1,"",IF(I4131="SBJ","CB","?"))</f>
        <v> </v>
      </c>
      <c r="I4131" s="26" t="str">
        <f>IF(OR(E4131="",E4131="!!!",F4131="NEW"),"",INDEX(B4130:B$2,-1+SUMPRODUCT(MAX(ROW(E4130:E$2)*(E4131=E4130:E$2)))))</f>
        <v> </v>
      </c>
      <c r="J4131" s="26" t="str">
        <f>IF(OR(E4131="",E4131="!!!",F4131="NEW"),"",COUNTBLANK(OFFSET(A$1,,,SUMPRODUCT(MAX(ROW(E$2:E4131)*(E4131=E$2:E4131)))))-COUNTBLANK(OFFSET(A$1,,,SUMPRODUCT(MAX(ROW(E$1:E4130)*(E2=E$1:E4130))))))</f>
        <v> </v>
      </c>
      <c r="K4131" s="26" t="str">
        <f>IF(OR(E4131="",E4131="!!!",F4131="NEW"),"",INDEX(J$1:J4130,SUMPRODUCT(MAX(ROW(E$1:E4130)*(E4131=E$1:E4130)))))</f>
        <v> </v>
      </c>
      <c r="L4131" s="27"/>
    </row>
    <row r="4132" spans="1:12">
      <c r="A4132" s="20" t="s">
        <v>2268</v>
      </c>
      <c r="E4132" s="22">
        <f>IF(D4132="?OLD","!!!","")</f>
        <v/>
      </c>
      <c r="F4132" s="23" t="str">
        <f>IF(OR(E4132="",E4132="!!!"),"",IF(NOT(ISNA(VLOOKUP(E4132,E$1:E4131,1,FALSE()))),"OLD",IF(AND(E4132&lt;&gt;"",E4132&lt;&gt;"!!!"),"NEW","")))</f>
        <v> </v>
      </c>
      <c r="G4132" s="24" t="str">
        <f>IF(OR(E4132="",E4132="!!!"),"",IF(OR(J4132=0,AND(J4132=1,K4132=1),AND(J4132=1,I4132="SBJ"),AND(J4132=1,I4132=0)),"?IN_FOCUS",IF(J4132&lt;=2,"?ACTIVATED",IF(J4132&lt;&gt;"","?FAMILIAR",IF(F4132="NEW",IF(ISNA(VLOOKUP(E4132,#REF!,1,FALSE())),"?TYPE_IDENTIFIABLE","?REFERENTIAL"),"_")))))</f>
        <v> </v>
      </c>
      <c r="H4132" s="25" t="str">
        <f>IF(J4132&lt;&gt;1,"",IF(I4132="SBJ","CB","?"))</f>
        <v> </v>
      </c>
      <c r="I4132" s="26" t="str">
        <f>IF(OR(E4132="",E4132="!!!",F4132="NEW"),"",INDEX(B4131:B$2,-1+SUMPRODUCT(MAX(ROW(E4131:E$2)*(E4132=E4131:E$2)))))</f>
        <v> </v>
      </c>
      <c r="J4132" s="26" t="str">
        <f>IF(OR(E4132="",E4132="!!!",F4132="NEW"),"",COUNTBLANK(OFFSET(A$1,,,SUMPRODUCT(MAX(ROW(E$2:E4132)*(E4132=E$2:E4132)))))-COUNTBLANK(OFFSET(A$1,,,SUMPRODUCT(MAX(ROW(E$1:E4131)*(E2=E$1:E4131))))))</f>
        <v> </v>
      </c>
      <c r="K4132" s="26" t="str">
        <f>IF(OR(E4132="",E4132="!!!",F4132="NEW"),"",INDEX(J$1:J4131,SUMPRODUCT(MAX(ROW(E$1:E4131)*(E4132=E$1:E4131)))))</f>
        <v> </v>
      </c>
      <c r="L4132" s="27"/>
    </row>
    <row r="4133" spans="1:12">
      <c r="A4133" s="20" t="s">
        <v>1090</v>
      </c>
      <c r="B4133" s="21" t="s">
        <v>1064</v>
      </c>
      <c r="C4133" s="21" t="s">
        <v>1092</v>
      </c>
      <c r="D4133" s="21" t="s">
        <v>1060</v>
      </c>
      <c r="E4133" s="22">
        <f>IF(D4133="?OLD","!!!","")</f>
        <v/>
      </c>
      <c r="F4133" s="23" t="str">
        <f>IF(OR(E4133="",E4133="!!!"),"",IF(NOT(ISNA(VLOOKUP(E4133,E$1:E4132,1,FALSE()))),"OLD",IF(AND(E4133&lt;&gt;"",E4133&lt;&gt;"!!!"),"NEW","")))</f>
        <v> </v>
      </c>
      <c r="G4133" s="24" t="str">
        <f>IF(OR(E4133="",E4133="!!!"),"",IF(OR(J4133=0,AND(J4133=1,K4133=1),AND(J4133=1,I4133="SBJ"),AND(J4133=1,I4133=0)),"?IN_FOCUS",IF(J4133&lt;=2,"?ACTIVATED",IF(J4133&lt;&gt;"","?FAMILIAR",IF(F4133="NEW",IF(ISNA(VLOOKUP(E4133,#REF!,1,FALSE())),"?TYPE_IDENTIFIABLE","?REFERENTIAL"),"_")))))</f>
        <v> </v>
      </c>
      <c r="H4133" s="25" t="str">
        <f>IF(J4133&lt;&gt;1,"",IF(I4133="SBJ","CB","?"))</f>
        <v> </v>
      </c>
      <c r="I4133" s="26" t="str">
        <f>IF(OR(E4133="",E4133="!!!",F4133="NEW"),"",INDEX(B4132:B$2,-1+SUMPRODUCT(MAX(ROW(E4132:E$2)*(E4133=E4132:E$2)))))</f>
        <v> </v>
      </c>
      <c r="J4133" s="26" t="str">
        <f>IF(OR(E4133="",E4133="!!!",F4133="NEW"),"",COUNTBLANK(OFFSET(A$1,,,SUMPRODUCT(MAX(ROW(E$2:E4133)*(E4133=E$2:E4133)))))-COUNTBLANK(OFFSET(A$1,,,SUMPRODUCT(MAX(ROW(E$1:E4132)*(E2=E$1:E4132))))))</f>
        <v> </v>
      </c>
      <c r="K4133" s="26" t="str">
        <f>IF(OR(E4133="",E4133="!!!",F4133="NEW"),"",INDEX(J$1:J4132,SUMPRODUCT(MAX(ROW(E$1:E4132)*(E4133=E$1:E4132)))))</f>
        <v> </v>
      </c>
      <c r="L4133" s="27"/>
    </row>
    <row r="4134" spans="1:12">
      <c r="A4134" s="20" t="s">
        <v>768</v>
      </c>
      <c r="B4134" s="21" t="s">
        <v>1132</v>
      </c>
      <c r="C4134" s="21" t="s">
        <v>1059</v>
      </c>
      <c r="D4134" s="21" t="s">
        <v>1060</v>
      </c>
      <c r="E4134" s="22">
        <f>IF(D4134="?OLD","!!!","")</f>
        <v/>
      </c>
      <c r="F4134" s="23" t="str">
        <f>IF(OR(E4134="",E4134="!!!"),"",IF(NOT(ISNA(VLOOKUP(E4134,E$1:E4133,1,FALSE()))),"OLD",IF(AND(E4134&lt;&gt;"",E4134&lt;&gt;"!!!"),"NEW","")))</f>
        <v> </v>
      </c>
      <c r="G4134" s="24" t="str">
        <f>IF(OR(E4134="",E4134="!!!"),"",IF(OR(J4134=0,AND(J4134=1,K4134=1),AND(J4134=1,I4134="SBJ"),AND(J4134=1,I4134=0)),"?IN_FOCUS",IF(J4134&lt;=2,"?ACTIVATED",IF(J4134&lt;&gt;"","?FAMILIAR",IF(F4134="NEW",IF(ISNA(VLOOKUP(E4134,#REF!,1,FALSE())),"?TYPE_IDENTIFIABLE","?REFERENTIAL"),"_")))))</f>
        <v> </v>
      </c>
      <c r="H4134" s="25" t="str">
        <f>IF(J4134&lt;&gt;1,"",IF(I4134="SBJ","CB","?"))</f>
        <v> </v>
      </c>
      <c r="I4134" s="26" t="str">
        <f>IF(OR(E4134="",E4134="!!!",F4134="NEW"),"",INDEX(B4133:B$2,-1+SUMPRODUCT(MAX(ROW(E4133:E$2)*(E4134=E4133:E$2)))))</f>
        <v> </v>
      </c>
      <c r="J4134" s="26" t="str">
        <f>IF(OR(E4134="",E4134="!!!",F4134="NEW"),"",COUNTBLANK(OFFSET(A$1,,,SUMPRODUCT(MAX(ROW(E$2:E4134)*(E4134=E$2:E4134)))))-COUNTBLANK(OFFSET(A$1,,,SUMPRODUCT(MAX(ROW(E$1:E4133)*(E2=E$1:E4133))))))</f>
        <v> </v>
      </c>
      <c r="K4134" s="26" t="str">
        <f>IF(OR(E4134="",E4134="!!!",F4134="NEW"),"",INDEX(J$1:J4133,SUMPRODUCT(MAX(ROW(E$1:E4133)*(E4134=E$1:E4133)))))</f>
        <v> </v>
      </c>
      <c r="L4134" s="27"/>
    </row>
    <row r="4135" spans="1:12">
      <c r="A4135" s="20" t="s">
        <v>1118</v>
      </c>
      <c r="E4135" s="22">
        <f>IF(D4135="?OLD","!!!","")</f>
        <v/>
      </c>
      <c r="F4135" s="23" t="str">
        <f>IF(OR(E4135="",E4135="!!!"),"",IF(NOT(ISNA(VLOOKUP(E4135,E$1:E4134,1,FALSE()))),"OLD",IF(AND(E4135&lt;&gt;"",E4135&lt;&gt;"!!!"),"NEW","")))</f>
        <v> </v>
      </c>
      <c r="G4135" s="24" t="str">
        <f>IF(OR(E4135="",E4135="!!!"),"",IF(OR(J4135=0,AND(J4135=1,K4135=1),AND(J4135=1,I4135="SBJ"),AND(J4135=1,I4135=0)),"?IN_FOCUS",IF(J4135&lt;=2,"?ACTIVATED",IF(J4135&lt;&gt;"","?FAMILIAR",IF(F4135="NEW",IF(ISNA(VLOOKUP(E4135,#REF!,1,FALSE())),"?TYPE_IDENTIFIABLE","?REFERENTIAL"),"_")))))</f>
        <v> </v>
      </c>
      <c r="H4135" s="25" t="str">
        <f>IF(J4135&lt;&gt;1,"",IF(I4135="SBJ","CB","?"))</f>
        <v> </v>
      </c>
      <c r="I4135" s="26" t="str">
        <f>IF(OR(E4135="",E4135="!!!",F4135="NEW"),"",INDEX(B4134:B$2,-1+SUMPRODUCT(MAX(ROW(E4134:E$2)*(E4135=E4134:E$2)))))</f>
        <v> </v>
      </c>
      <c r="J4135" s="26" t="str">
        <f>IF(OR(E4135="",E4135="!!!",F4135="NEW"),"",COUNTBLANK(OFFSET(A$1,,,SUMPRODUCT(MAX(ROW(E$2:E4135)*(E4135=E$2:E4135)))))-COUNTBLANK(OFFSET(A$1,,,SUMPRODUCT(MAX(ROW(E$1:E4134)*(E2=E$1:E4134))))))</f>
        <v> </v>
      </c>
      <c r="K4135" s="26" t="str">
        <f>IF(OR(E4135="",E4135="!!!",F4135="NEW"),"",INDEX(J$1:J4134,SUMPRODUCT(MAX(ROW(E$1:E4134)*(E4135=E$1:E4134)))))</f>
        <v> </v>
      </c>
      <c r="L4135" s="27"/>
    </row>
    <row r="4136" spans="1:12">
      <c r="A4136" s="20" t="s">
        <v>1502</v>
      </c>
      <c r="E4136" s="22">
        <f>IF(D4136="?OLD","!!!","")</f>
        <v/>
      </c>
      <c r="F4136" s="23" t="str">
        <f>IF(OR(E4136="",E4136="!!!"),"",IF(NOT(ISNA(VLOOKUP(E4136,E$1:E4135,1,FALSE()))),"OLD",IF(AND(E4136&lt;&gt;"",E4136&lt;&gt;"!!!"),"NEW","")))</f>
        <v> </v>
      </c>
      <c r="G4136" s="24" t="str">
        <f>IF(OR(E4136="",E4136="!!!"),"",IF(OR(J4136=0,AND(J4136=1,K4136=1),AND(J4136=1,I4136="SBJ"),AND(J4136=1,I4136=0)),"?IN_FOCUS",IF(J4136&lt;=2,"?ACTIVATED",IF(J4136&lt;&gt;"","?FAMILIAR",IF(F4136="NEW",IF(ISNA(VLOOKUP(E4136,#REF!,1,FALSE())),"?TYPE_IDENTIFIABLE","?REFERENTIAL"),"_")))))</f>
        <v> </v>
      </c>
      <c r="H4136" s="25" t="str">
        <f>IF(J4136&lt;&gt;1,"",IF(I4136="SBJ","CB","?"))</f>
        <v> </v>
      </c>
      <c r="I4136" s="26" t="str">
        <f>IF(OR(E4136="",E4136="!!!",F4136="NEW"),"",INDEX(B4135:B$2,-1+SUMPRODUCT(MAX(ROW(E4135:E$2)*(E4136=E4135:E$2)))))</f>
        <v> </v>
      </c>
      <c r="J4136" s="26" t="str">
        <f>IF(OR(E4136="",E4136="!!!",F4136="NEW"),"",COUNTBLANK(OFFSET(A$1,,,SUMPRODUCT(MAX(ROW(E$2:E4136)*(E4136=E$2:E4136)))))-COUNTBLANK(OFFSET(A$1,,,SUMPRODUCT(MAX(ROW(E$1:E4135)*(E2=E$1:E4135))))))</f>
        <v> </v>
      </c>
      <c r="K4136" s="26" t="str">
        <f>IF(OR(E4136="",E4136="!!!",F4136="NEW"),"",INDEX(J$1:J4135,SUMPRODUCT(MAX(ROW(E$1:E4135)*(E4136=E$1:E4135)))))</f>
        <v> </v>
      </c>
      <c r="L4136" s="27"/>
    </row>
    <row r="4137" spans="1:12">
      <c r="A4137" s="20" t="s">
        <v>1129</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t="s">
        <v>1083</v>
      </c>
      <c r="B4138" s="21" t="s">
        <v>1084</v>
      </c>
      <c r="C4138" s="21" t="s">
        <v>1076</v>
      </c>
      <c r="D4138" s="21" t="s">
        <v>1060</v>
      </c>
      <c r="E4138" s="22">
        <f>IF(D4138="?OLD","!!!","")</f>
        <v/>
      </c>
      <c r="F4138" s="23" t="str">
        <f>IF(OR(E4138="",E4138="!!!"),"",IF(NOT(ISNA(VLOOKUP(E4138,E$1:E4137,1,FALSE()))),"OLD",IF(AND(E4138&lt;&gt;"",E4138&lt;&gt;"!!!"),"NEW","")))</f>
        <v> </v>
      </c>
      <c r="G4138" s="24" t="str">
        <f>IF(OR(E4138="",E4138="!!!"),"",IF(OR(J4138=0,AND(J4138=1,K4138=1),AND(J4138=1,I4138="SBJ"),AND(J4138=1,I4138=0)),"?IN_FOCUS",IF(J4138&lt;=2,"?ACTIVATED",IF(J4138&lt;&gt;"","?FAMILIAR",IF(F4138="NEW",IF(ISNA(VLOOKUP(E4138,#REF!,1,FALSE())),"?TYPE_IDENTIFIABLE","?REFERENTIAL"),"_")))))</f>
        <v> </v>
      </c>
      <c r="H4138" s="25" t="str">
        <f>IF(J4138&lt;&gt;1,"",IF(I4138="SBJ","CB","?"))</f>
        <v> </v>
      </c>
      <c r="I4138" s="26" t="str">
        <f>IF(OR(E4138="",E4138="!!!",F4138="NEW"),"",INDEX(B4137:B$2,-1+SUMPRODUCT(MAX(ROW(E4137:E$2)*(E4138=E4137:E$2)))))</f>
        <v> </v>
      </c>
      <c r="J4138" s="26" t="str">
        <f>IF(OR(E4138="",E4138="!!!",F4138="NEW"),"",COUNTBLANK(OFFSET(A$1,,,SUMPRODUCT(MAX(ROW(E$2:E4138)*(E4138=E$2:E4138)))))-COUNTBLANK(OFFSET(A$1,,,SUMPRODUCT(MAX(ROW(E$1:E4137)*(E2=E$1:E4137))))))</f>
        <v> </v>
      </c>
      <c r="K4138" s="26" t="str">
        <f>IF(OR(E4138="",E4138="!!!",F4138="NEW"),"",INDEX(J$1:J4137,SUMPRODUCT(MAX(ROW(E$1:E4137)*(E4138=E$1:E4137)))))</f>
        <v> </v>
      </c>
      <c r="L4138" s="27"/>
    </row>
    <row r="4139" spans="1:12">
      <c r="A4139" s="20" t="s">
        <v>1152</v>
      </c>
      <c r="E4139" s="22">
        <f>IF(D4139="?OLD","!!!","")</f>
        <v/>
      </c>
      <c r="F4139" s="23" t="str">
        <f>IF(OR(E4139="",E4139="!!!"),"",IF(NOT(ISNA(VLOOKUP(E4139,E$1:E4138,1,FALSE()))),"OLD",IF(AND(E4139&lt;&gt;"",E4139&lt;&gt;"!!!"),"NEW","")))</f>
        <v> </v>
      </c>
      <c r="G4139" s="24" t="str">
        <f>IF(OR(E4139="",E4139="!!!"),"",IF(OR(J4139=0,AND(J4139=1,K4139=1),AND(J4139=1,I4139="SBJ"),AND(J4139=1,I4139=0)),"?IN_FOCUS",IF(J4139&lt;=2,"?ACTIVATED",IF(J4139&lt;&gt;"","?FAMILIAR",IF(F4139="NEW",IF(ISNA(VLOOKUP(E4139,#REF!,1,FALSE())),"?TYPE_IDENTIFIABLE","?REFERENTIAL"),"_")))))</f>
        <v> </v>
      </c>
      <c r="H4139" s="25" t="str">
        <f>IF(J4139&lt;&gt;1,"",IF(I4139="SBJ","CB","?"))</f>
        <v> </v>
      </c>
      <c r="I4139" s="26" t="str">
        <f>IF(OR(E4139="",E4139="!!!",F4139="NEW"),"",INDEX(B4138:B$2,-1+SUMPRODUCT(MAX(ROW(E4138:E$2)*(E4139=E4138:E$2)))))</f>
        <v> </v>
      </c>
      <c r="J4139" s="26" t="str">
        <f>IF(OR(E4139="",E4139="!!!",F4139="NEW"),"",COUNTBLANK(OFFSET(A$1,,,SUMPRODUCT(MAX(ROW(E$2:E4139)*(E4139=E$2:E4139)))))-COUNTBLANK(OFFSET(A$1,,,SUMPRODUCT(MAX(ROW(E$1:E4138)*(E2=E$1:E4138))))))</f>
        <v> </v>
      </c>
      <c r="K4139" s="26" t="str">
        <f>IF(OR(E4139="",E4139="!!!",F4139="NEW"),"",INDEX(J$1:J4138,SUMPRODUCT(MAX(ROW(E$1:E4138)*(E4139=E$1:E4138)))))</f>
        <v> </v>
      </c>
      <c r="L4139" s="27"/>
    </row>
    <row r="4140" spans="1:12">
      <c r="A4140" s="20" t="s">
        <v>1935</v>
      </c>
      <c r="E4140" s="22">
        <f>IF(D4140="?OLD","!!!","")</f>
        <v/>
      </c>
      <c r="F4140" s="23" t="str">
        <f>IF(OR(E4140="",E4140="!!!"),"",IF(NOT(ISNA(VLOOKUP(E4140,E$1:E4139,1,FALSE()))),"OLD",IF(AND(E4140&lt;&gt;"",E4140&lt;&gt;"!!!"),"NEW","")))</f>
        <v> </v>
      </c>
      <c r="G4140" s="24" t="str">
        <f>IF(OR(E4140="",E4140="!!!"),"",IF(OR(J4140=0,AND(J4140=1,K4140=1),AND(J4140=1,I4140="SBJ"),AND(J4140=1,I4140=0)),"?IN_FOCUS",IF(J4140&lt;=2,"?ACTIVATED",IF(J4140&lt;&gt;"","?FAMILIAR",IF(F4140="NEW",IF(ISNA(VLOOKUP(E4140,#REF!,1,FALSE())),"?TYPE_IDENTIFIABLE","?REFERENTIAL"),"_")))))</f>
        <v> </v>
      </c>
      <c r="H4140" s="25" t="str">
        <f>IF(J4140&lt;&gt;1,"",IF(I4140="SBJ","CB","?"))</f>
        <v> </v>
      </c>
      <c r="I4140" s="26" t="str">
        <f>IF(OR(E4140="",E4140="!!!",F4140="NEW"),"",INDEX(B4139:B$2,-1+SUMPRODUCT(MAX(ROW(E4139:E$2)*(E4140=E4139:E$2)))))</f>
        <v> </v>
      </c>
      <c r="J4140" s="26" t="str">
        <f>IF(OR(E4140="",E4140="!!!",F4140="NEW"),"",COUNTBLANK(OFFSET(A$1,,,SUMPRODUCT(MAX(ROW(E$2:E4140)*(E4140=E$2:E4140)))))-COUNTBLANK(OFFSET(A$1,,,SUMPRODUCT(MAX(ROW(E$1:E4139)*(E2=E$1:E4139))))))</f>
        <v> </v>
      </c>
      <c r="K4140" s="26" t="str">
        <f>IF(OR(E4140="",E4140="!!!",F4140="NEW"),"",INDEX(J$1:J4139,SUMPRODUCT(MAX(ROW(E$1:E4139)*(E4140=E$1:E4139)))))</f>
        <v> </v>
      </c>
      <c r="L4140" s="27"/>
    </row>
    <row r="4141" spans="1:12">
      <c r="A4141" s="20" t="s">
        <v>2269</v>
      </c>
      <c r="B4141" s="21" t="s">
        <v>1136</v>
      </c>
      <c r="C4141" s="21" t="s">
        <v>1149</v>
      </c>
      <c r="E4141" s="22">
        <f>IF(D4141="?OLD","!!!","")</f>
        <v/>
      </c>
      <c r="F4141" s="23" t="str">
        <f>IF(OR(E4141="",E4141="!!!"),"",IF(NOT(ISNA(VLOOKUP(E4141,E$1:E4140,1,FALSE()))),"OLD",IF(AND(E4141&lt;&gt;"",E4141&lt;&gt;"!!!"),"NEW","")))</f>
        <v> </v>
      </c>
      <c r="G4141" s="24" t="str">
        <f>IF(OR(E4141="",E4141="!!!"),"",IF(OR(J4141=0,AND(J4141=1,K4141=1),AND(J4141=1,I4141="SBJ"),AND(J4141=1,I4141=0)),"?IN_FOCUS",IF(J4141&lt;=2,"?ACTIVATED",IF(J4141&lt;&gt;"","?FAMILIAR",IF(F4141="NEW",IF(ISNA(VLOOKUP(E4141,#REF!,1,FALSE())),"?TYPE_IDENTIFIABLE","?REFERENTIAL"),"_")))))</f>
        <v> </v>
      </c>
      <c r="H4141" s="25" t="str">
        <f>IF(J4141&lt;&gt;1,"",IF(I4141="SBJ","CB","?"))</f>
        <v> </v>
      </c>
      <c r="I4141" s="26" t="str">
        <f>IF(OR(E4141="",E4141="!!!",F4141="NEW"),"",INDEX(B4140:B$2,-1+SUMPRODUCT(MAX(ROW(E4140:E$2)*(E4141=E4140:E$2)))))</f>
        <v> </v>
      </c>
      <c r="J4141" s="26" t="str">
        <f>IF(OR(E4141="",E4141="!!!",F4141="NEW"),"",COUNTBLANK(OFFSET(A$1,,,SUMPRODUCT(MAX(ROW(E$2:E4141)*(E4141=E$2:E4141)))))-COUNTBLANK(OFFSET(A$1,,,SUMPRODUCT(MAX(ROW(E$1:E4140)*(E2=E$1:E4140))))))</f>
        <v> </v>
      </c>
      <c r="K4141" s="26" t="str">
        <f>IF(OR(E4141="",E4141="!!!",F4141="NEW"),"",INDEX(J$1:J4140,SUMPRODUCT(MAX(ROW(E$1:E4140)*(E4141=E$1:E4140)))))</f>
        <v> </v>
      </c>
      <c r="L4141" s="27"/>
    </row>
    <row r="4142" spans="1:12">
      <c r="A4142" s="20" t="s">
        <v>587</v>
      </c>
      <c r="E4142" s="22">
        <f>IF(D4142="?OLD","!!!","")</f>
        <v/>
      </c>
      <c r="F4142" s="23" t="str">
        <f>IF(OR(E4142="",E4142="!!!"),"",IF(NOT(ISNA(VLOOKUP(E4142,E$1:E4141,1,FALSE()))),"OLD",IF(AND(E4142&lt;&gt;"",E4142&lt;&gt;"!!!"),"NEW","")))</f>
        <v> </v>
      </c>
      <c r="G4142" s="24" t="str">
        <f>IF(OR(E4142="",E4142="!!!"),"",IF(OR(J4142=0,AND(J4142=1,K4142=1),AND(J4142=1,I4142="SBJ"),AND(J4142=1,I4142=0)),"?IN_FOCUS",IF(J4142&lt;=2,"?ACTIVATED",IF(J4142&lt;&gt;"","?FAMILIAR",IF(F4142="NEW",IF(ISNA(VLOOKUP(E4142,#REF!,1,FALSE())),"?TYPE_IDENTIFIABLE","?REFERENTIAL"),"_")))))</f>
        <v> </v>
      </c>
      <c r="H4142" s="25" t="str">
        <f>IF(J4142&lt;&gt;1,"",IF(I4142="SBJ","CB","?"))</f>
        <v> </v>
      </c>
      <c r="I4142" s="26" t="str">
        <f>IF(OR(E4142="",E4142="!!!",F4142="NEW"),"",INDEX(B4141:B$2,-1+SUMPRODUCT(MAX(ROW(E4141:E$2)*(E4142=E4141:E$2)))))</f>
        <v> </v>
      </c>
      <c r="J4142" s="26" t="str">
        <f>IF(OR(E4142="",E4142="!!!",F4142="NEW"),"",COUNTBLANK(OFFSET(A$1,,,SUMPRODUCT(MAX(ROW(E$2:E4142)*(E4142=E$2:E4142)))))-COUNTBLANK(OFFSET(A$1,,,SUMPRODUCT(MAX(ROW(E$1:E4141)*(E2=E$1:E4141))))))</f>
        <v> </v>
      </c>
      <c r="K4142" s="26" t="str">
        <f>IF(OR(E4142="",E4142="!!!",F4142="NEW"),"",INDEX(J$1:J4141,SUMPRODUCT(MAX(ROW(E$1:E4141)*(E4142=E$1:E4141)))))</f>
        <v> </v>
      </c>
      <c r="L4142" s="27"/>
    </row>
    <row r="4143" spans="1:12">
      <c r="A4143" s="20" t="s">
        <v>1082</v>
      </c>
      <c r="E4143" s="22">
        <f>IF(D4143="?OLD","!!!","")</f>
        <v/>
      </c>
      <c r="F4143" s="23" t="str">
        <f>IF(OR(E4143="",E4143="!!!"),"",IF(NOT(ISNA(VLOOKUP(E4143,E$1:E4142,1,FALSE()))),"OLD",IF(AND(E4143&lt;&gt;"",E4143&lt;&gt;"!!!"),"NEW","")))</f>
        <v> </v>
      </c>
      <c r="G4143" s="24" t="str">
        <f>IF(OR(E4143="",E4143="!!!"),"",IF(OR(J4143=0,AND(J4143=1,K4143=1),AND(J4143=1,I4143="SBJ"),AND(J4143=1,I4143=0)),"?IN_FOCUS",IF(J4143&lt;=2,"?ACTIVATED",IF(J4143&lt;&gt;"","?FAMILIAR",IF(F4143="NEW",IF(ISNA(VLOOKUP(E4143,#REF!,1,FALSE())),"?TYPE_IDENTIFIABLE","?REFERENTIAL"),"_")))))</f>
        <v> </v>
      </c>
      <c r="H4143" s="25" t="str">
        <f>IF(J4143&lt;&gt;1,"",IF(I4143="SBJ","CB","?"))</f>
        <v> </v>
      </c>
      <c r="I4143" s="26" t="str">
        <f>IF(OR(E4143="",E4143="!!!",F4143="NEW"),"",INDEX(B4142:B$2,-1+SUMPRODUCT(MAX(ROW(E4142:E$2)*(E4143=E4142:E$2)))))</f>
        <v> </v>
      </c>
      <c r="J4143" s="26" t="str">
        <f>IF(OR(E4143="",E4143="!!!",F4143="NEW"),"",COUNTBLANK(OFFSET(A$1,,,SUMPRODUCT(MAX(ROW(E$2:E4143)*(E4143=E$2:E4143)))))-COUNTBLANK(OFFSET(A$1,,,SUMPRODUCT(MAX(ROW(E$1:E4142)*(E2=E$1:E4142))))))</f>
        <v> </v>
      </c>
      <c r="K4143" s="26" t="str">
        <f>IF(OR(E4143="",E4143="!!!",F4143="NEW"),"",INDEX(J$1:J4142,SUMPRODUCT(MAX(ROW(E$1:E4142)*(E4143=E$1:E4142)))))</f>
        <v> </v>
      </c>
      <c r="L4143" s="27"/>
    </row>
    <row r="4144" spans="1:12">
      <c r="A4144" s="20" t="s">
        <v>1083</v>
      </c>
      <c r="B4144" s="21" t="s">
        <v>1179</v>
      </c>
      <c r="C4144" s="21" t="s">
        <v>1076</v>
      </c>
      <c r="D4144" s="21" t="s">
        <v>1060</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t="s">
        <v>1999</v>
      </c>
      <c r="E4145" s="22">
        <f>IF(D4145="?OLD","!!!","")</f>
        <v/>
      </c>
      <c r="F4145" s="23" t="str">
        <f>IF(OR(E4145="",E4145="!!!"),"",IF(NOT(ISNA(VLOOKUP(E4145,E$1:E4144,1,FALSE()))),"OLD",IF(AND(E4145&lt;&gt;"",E4145&lt;&gt;"!!!"),"NEW","")))</f>
        <v> </v>
      </c>
      <c r="G4145" s="24" t="str">
        <f>IF(OR(E4145="",E4145="!!!"),"",IF(OR(J4145=0,AND(J4145=1,K4145=1),AND(J4145=1,I4145="SBJ"),AND(J4145=1,I4145=0)),"?IN_FOCUS",IF(J4145&lt;=2,"?ACTIVATED",IF(J4145&lt;&gt;"","?FAMILIAR",IF(F4145="NEW",IF(ISNA(VLOOKUP(E4145,#REF!,1,FALSE())),"?TYPE_IDENTIFIABLE","?REFERENTIAL"),"_")))))</f>
        <v> </v>
      </c>
      <c r="H4145" s="25" t="str">
        <f>IF(J4145&lt;&gt;1,"",IF(I4145="SBJ","CB","?"))</f>
        <v> </v>
      </c>
      <c r="I4145" s="26" t="str">
        <f>IF(OR(E4145="",E4145="!!!",F4145="NEW"),"",INDEX(B4144:B$2,-1+SUMPRODUCT(MAX(ROW(E4144:E$2)*(E4145=E4144:E$2)))))</f>
        <v> </v>
      </c>
      <c r="J4145" s="26" t="str">
        <f>IF(OR(E4145="",E4145="!!!",F4145="NEW"),"",COUNTBLANK(OFFSET(A$1,,,SUMPRODUCT(MAX(ROW(E$2:E4145)*(E4145=E$2:E4145)))))-COUNTBLANK(OFFSET(A$1,,,SUMPRODUCT(MAX(ROW(E$1:E4144)*(E2=E$1:E4144))))))</f>
        <v> </v>
      </c>
      <c r="K4145" s="26" t="str">
        <f>IF(OR(E4145="",E4145="!!!",F4145="NEW"),"",INDEX(J$1:J4144,SUMPRODUCT(MAX(ROW(E$1:E4144)*(E4145=E$1:E4144)))))</f>
        <v> </v>
      </c>
      <c r="L4145" s="27"/>
    </row>
    <row r="4146" spans="1:12">
      <c r="A4146" s="20" t="s">
        <v>576</v>
      </c>
      <c r="E4146" s="22">
        <f>IF(D4146="?OLD","!!!","")</f>
        <v/>
      </c>
      <c r="F4146" s="23" t="str">
        <f>IF(OR(E4146="",E4146="!!!"),"",IF(NOT(ISNA(VLOOKUP(E4146,E$1:E4145,1,FALSE()))),"OLD",IF(AND(E4146&lt;&gt;"",E4146&lt;&gt;"!!!"),"NEW","")))</f>
        <v> </v>
      </c>
      <c r="G4146" s="24" t="str">
        <f>IF(OR(E4146="",E4146="!!!"),"",IF(OR(J4146=0,AND(J4146=1,K4146=1),AND(J4146=1,I4146="SBJ"),AND(J4146=1,I4146=0)),"?IN_FOCUS",IF(J4146&lt;=2,"?ACTIVATED",IF(J4146&lt;&gt;"","?FAMILIAR",IF(F4146="NEW",IF(ISNA(VLOOKUP(E4146,#REF!,1,FALSE())),"?TYPE_IDENTIFIABLE","?REFERENTIAL"),"_")))))</f>
        <v> </v>
      </c>
      <c r="H4146" s="25" t="str">
        <f>IF(J4146&lt;&gt;1,"",IF(I4146="SBJ","CB","?"))</f>
        <v> </v>
      </c>
      <c r="I4146" s="26" t="str">
        <f>IF(OR(E4146="",E4146="!!!",F4146="NEW"),"",INDEX(B4145:B$2,-1+SUMPRODUCT(MAX(ROW(E4145:E$2)*(E4146=E4145:E$2)))))</f>
        <v> </v>
      </c>
      <c r="J4146" s="26" t="str">
        <f>IF(OR(E4146="",E4146="!!!",F4146="NEW"),"",COUNTBLANK(OFFSET(A$1,,,SUMPRODUCT(MAX(ROW(E$2:E4146)*(E4146=E$2:E4146)))))-COUNTBLANK(OFFSET(A$1,,,SUMPRODUCT(MAX(ROW(E$1:E4145)*(E2=E$1:E4145))))))</f>
        <v> </v>
      </c>
      <c r="K4146" s="26" t="str">
        <f>IF(OR(E4146="",E4146="!!!",F4146="NEW"),"",INDEX(J$1:J4145,SUMPRODUCT(MAX(ROW(E$1:E4145)*(E4146=E$1:E4145)))))</f>
        <v> </v>
      </c>
      <c r="L4146" s="27"/>
    </row>
    <row r="4147" spans="1:12">
      <c r="A4147" s="20" t="s">
        <v>1077</v>
      </c>
      <c r="E4147" s="22">
        <f>IF(D4147="?OLD","!!!","")</f>
        <v/>
      </c>
      <c r="F4147" s="23" t="str">
        <f>IF(OR(E4147="",E4147="!!!"),"",IF(NOT(ISNA(VLOOKUP(E4147,E$1:E4146,1,FALSE()))),"OLD",IF(AND(E4147&lt;&gt;"",E4147&lt;&gt;"!!!"),"NEW","")))</f>
        <v> </v>
      </c>
      <c r="G4147" s="24" t="str">
        <f>IF(OR(E4147="",E4147="!!!"),"",IF(OR(J4147=0,AND(J4147=1,K4147=1),AND(J4147=1,I4147="SBJ"),AND(J4147=1,I4147=0)),"?IN_FOCUS",IF(J4147&lt;=2,"?ACTIVATED",IF(J4147&lt;&gt;"","?FAMILIAR",IF(F4147="NEW",IF(ISNA(VLOOKUP(E4147,#REF!,1,FALSE())),"?TYPE_IDENTIFIABLE","?REFERENTIAL"),"_")))))</f>
        <v> </v>
      </c>
      <c r="H4147" s="25" t="str">
        <f>IF(J4147&lt;&gt;1,"",IF(I4147="SBJ","CB","?"))</f>
        <v> </v>
      </c>
      <c r="I4147" s="26" t="str">
        <f>IF(OR(E4147="",E4147="!!!",F4147="NEW"),"",INDEX(B4146:B$2,-1+SUMPRODUCT(MAX(ROW(E4146:E$2)*(E4147=E4146:E$2)))))</f>
        <v> </v>
      </c>
      <c r="J4147" s="26" t="str">
        <f>IF(OR(E4147="",E4147="!!!",F4147="NEW"),"",COUNTBLANK(OFFSET(A$1,,,SUMPRODUCT(MAX(ROW(E$2:E4147)*(E4147=E$2:E4147)))))-COUNTBLANK(OFFSET(A$1,,,SUMPRODUCT(MAX(ROW(E$1:E4146)*(E2=E$1:E4146))))))</f>
        <v> </v>
      </c>
      <c r="K4147" s="26" t="str">
        <f>IF(OR(E4147="",E4147="!!!",F4147="NEW"),"",INDEX(J$1:J4146,SUMPRODUCT(MAX(ROW(E$1:E4146)*(E4147=E$1:E4146)))))</f>
        <v> </v>
      </c>
      <c r="L4147" s="27"/>
    </row>
    <row r="4148" spans="1:12">
      <c r="A4148" s="20" t="s">
        <v>2270</v>
      </c>
      <c r="B4148" s="21" t="s">
        <v>1095</v>
      </c>
      <c r="C4148" s="21" t="s">
        <v>1080</v>
      </c>
      <c r="E4148" s="22">
        <f>IF(D4148="?OLD","!!!","")</f>
        <v/>
      </c>
      <c r="F4148" s="23" t="str">
        <f>IF(OR(E4148="",E4148="!!!"),"",IF(NOT(ISNA(VLOOKUP(E4148,E$1:E4147,1,FALSE()))),"OLD",IF(AND(E4148&lt;&gt;"",E4148&lt;&gt;"!!!"),"NEW","")))</f>
        <v> </v>
      </c>
      <c r="G4148" s="24" t="str">
        <f>IF(OR(E4148="",E4148="!!!"),"",IF(OR(J4148=0,AND(J4148=1,K4148=1),AND(J4148=1,I4148="SBJ"),AND(J4148=1,I4148=0)),"?IN_FOCUS",IF(J4148&lt;=2,"?ACTIVATED",IF(J4148&lt;&gt;"","?FAMILIAR",IF(F4148="NEW",IF(ISNA(VLOOKUP(E4148,#REF!,1,FALSE())),"?TYPE_IDENTIFIABLE","?REFERENTIAL"),"_")))))</f>
        <v> </v>
      </c>
      <c r="H4148" s="25" t="str">
        <f>IF(J4148&lt;&gt;1,"",IF(I4148="SBJ","CB","?"))</f>
        <v> </v>
      </c>
      <c r="I4148" s="26" t="str">
        <f>IF(OR(E4148="",E4148="!!!",F4148="NEW"),"",INDEX(B4147:B$2,-1+SUMPRODUCT(MAX(ROW(E4147:E$2)*(E4148=E4147:E$2)))))</f>
        <v> </v>
      </c>
      <c r="J4148" s="26" t="str">
        <f>IF(OR(E4148="",E4148="!!!",F4148="NEW"),"",COUNTBLANK(OFFSET(A$1,,,SUMPRODUCT(MAX(ROW(E$2:E4148)*(E4148=E$2:E4148)))))-COUNTBLANK(OFFSET(A$1,,,SUMPRODUCT(MAX(ROW(E$1:E4147)*(E2=E$1:E4147))))))</f>
        <v> </v>
      </c>
      <c r="K4148" s="26" t="str">
        <f>IF(OR(E4148="",E4148="!!!",F4148="NEW"),"",INDEX(J$1:J4147,SUMPRODUCT(MAX(ROW(E$1:E4147)*(E4148=E$1:E4147)))))</f>
        <v> </v>
      </c>
      <c r="L4148" s="27"/>
    </row>
    <row r="4149" spans="1:12">
      <c r="A4149" s="20" t="s">
        <v>923</v>
      </c>
      <c r="E4149" s="22">
        <f>IF(D4149="?OLD","!!!","")</f>
        <v/>
      </c>
      <c r="F4149" s="23" t="str">
        <f>IF(OR(E4149="",E4149="!!!"),"",IF(NOT(ISNA(VLOOKUP(E4149,E$1:E4148,1,FALSE()))),"OLD",IF(AND(E4149&lt;&gt;"",E4149&lt;&gt;"!!!"),"NEW","")))</f>
        <v> </v>
      </c>
      <c r="G4149" s="24" t="str">
        <f>IF(OR(E4149="",E4149="!!!"),"",IF(OR(J4149=0,AND(J4149=1,K4149=1),AND(J4149=1,I4149="SBJ"),AND(J4149=1,I4149=0)),"?IN_FOCUS",IF(J4149&lt;=2,"?ACTIVATED",IF(J4149&lt;&gt;"","?FAMILIAR",IF(F4149="NEW",IF(ISNA(VLOOKUP(E4149,#REF!,1,FALSE())),"?TYPE_IDENTIFIABLE","?REFERENTIAL"),"_")))))</f>
        <v> </v>
      </c>
      <c r="H4149" s="25" t="str">
        <f>IF(J4149&lt;&gt;1,"",IF(I4149="SBJ","CB","?"))</f>
        <v> </v>
      </c>
      <c r="I4149" s="26" t="str">
        <f>IF(OR(E4149="",E4149="!!!",F4149="NEW"),"",INDEX(B4148:B$2,-1+SUMPRODUCT(MAX(ROW(E4148:E$2)*(E4149=E4148:E$2)))))</f>
        <v> </v>
      </c>
      <c r="J4149" s="26" t="str">
        <f>IF(OR(E4149="",E4149="!!!",F4149="NEW"),"",COUNTBLANK(OFFSET(A$1,,,SUMPRODUCT(MAX(ROW(E$2:E4149)*(E4149=E$2:E4149)))))-COUNTBLANK(OFFSET(A$1,,,SUMPRODUCT(MAX(ROW(E$1:E4148)*(E2=E$1:E4148))))))</f>
        <v> </v>
      </c>
      <c r="K4149" s="26" t="str">
        <f>IF(OR(E4149="",E4149="!!!",F4149="NEW"),"",INDEX(J$1:J4148,SUMPRODUCT(MAX(ROW(E$1:E4148)*(E4149=E$1:E4148)))))</f>
        <v> </v>
      </c>
      <c r="L4149" s="27"/>
    </row>
    <row r="4150" spans="1:12">
      <c r="A4150" s="20"/>
    </row>
    <row r="4151" spans="1:12">
      <c r="A4151" s="20" t="s">
        <v>1276</v>
      </c>
      <c r="E4151" s="22">
        <f>IF(D4151="?OLD","!!!","")</f>
        <v/>
      </c>
      <c r="F4151" s="23" t="str">
        <f>IF(OR(E4151="",E4151="!!!"),"",IF(NOT(ISNA(VLOOKUP(E4151,E$1:E4150,1,FALSE()))),"OLD",IF(AND(E4151&lt;&gt;"",E4151&lt;&gt;"!!!"),"NEW","")))</f>
        <v> </v>
      </c>
      <c r="G4151" s="24" t="str">
        <f>IF(OR(E4151="",E4151="!!!"),"",IF(OR(J4151=0,AND(J4151=1,K4151=1),AND(J4151=1,I4151="SBJ"),AND(J4151=1,I4151=0)),"?IN_FOCUS",IF(J4151&lt;=2,"?ACTIVATED",IF(J4151&lt;&gt;"","?FAMILIAR",IF(F4151="NEW",IF(ISNA(VLOOKUP(E4151,#REF!,1,FALSE())),"?TYPE_IDENTIFIABLE","?REFERENTIAL"),"_")))))</f>
        <v> </v>
      </c>
      <c r="H4151" s="25" t="str">
        <f>IF(J4151&lt;&gt;1,"",IF(I4151="SBJ","CB","?"))</f>
        <v> </v>
      </c>
      <c r="I4151" s="26" t="str">
        <f>IF(OR(E4151="",E4151="!!!",F4151="NEW"),"",INDEX(B4150:B$2,-1+SUMPRODUCT(MAX(ROW(E4150:E$2)*(E4151=E4150:E$2)))))</f>
        <v> </v>
      </c>
      <c r="J4151" s="26" t="str">
        <f>IF(OR(E4151="",E4151="!!!",F4151="NEW"),"",COUNTBLANK(OFFSET(A$1,,,SUMPRODUCT(MAX(ROW(E$2:E4151)*(E4151=E$2:E4151)))))-COUNTBLANK(OFFSET(A$1,,,SUMPRODUCT(MAX(ROW(E$1:E4150)*(E2=E$1:E4150))))))</f>
        <v> </v>
      </c>
      <c r="K4151" s="26" t="str">
        <f>IF(OR(E4151="",E4151="!!!",F4151="NEW"),"",INDEX(J$1:J4150,SUMPRODUCT(MAX(ROW(E$1:E4150)*(E4151=E$1:E4150)))))</f>
        <v> </v>
      </c>
      <c r="L4151" s="27"/>
    </row>
    <row r="4152" spans="1:12">
      <c r="A4152" s="20" t="s">
        <v>2271</v>
      </c>
    </row>
    <row r="4153" spans="1:12">
      <c r="A4153" s="20" t="s">
        <v>1339</v>
      </c>
      <c r="B4153" s="21" t="s">
        <v>1058</v>
      </c>
      <c r="C4153" s="21" t="s">
        <v>1122</v>
      </c>
      <c r="D4153" s="21" t="s">
        <v>1060</v>
      </c>
      <c r="E4153" s="22">
        <f>IF(D4153="?OLD","!!!","")</f>
        <v/>
      </c>
      <c r="F4153" s="23" t="str">
        <f>IF(OR(E4153="",E4153="!!!"),"",IF(NOT(ISNA(VLOOKUP(E4153,E$1:E4152,1,FALSE()))),"OLD",IF(AND(E4153&lt;&gt;"",E4153&lt;&gt;"!!!"),"NEW","")))</f>
        <v> </v>
      </c>
      <c r="G4153" s="24" t="str">
        <f>IF(OR(E4153="",E4153="!!!"),"",IF(OR(J4153=0,AND(J4153=1,K4153=1),AND(J4153=1,I4153="SBJ"),AND(J4153=1,I4153=0)),"?IN_FOCUS",IF(J4153&lt;=2,"?ACTIVATED",IF(J4153&lt;&gt;"","?FAMILIAR",IF(F4153="NEW",IF(ISNA(VLOOKUP(E4153,#REF!,1,FALSE())),"?TYPE_IDENTIFIABLE","?REFERENTIAL"),"_")))))</f>
        <v> </v>
      </c>
      <c r="H4153" s="25" t="str">
        <f>IF(J4153&lt;&gt;1,"",IF(I4153="SBJ","CB","?"))</f>
        <v> </v>
      </c>
      <c r="I4153" s="26" t="str">
        <f>IF(OR(E4153="",E4153="!!!",F4153="NEW"),"",INDEX(B4152:B$2,-1+SUMPRODUCT(MAX(ROW(E4152:E$2)*(E4153=E4152:E$2)))))</f>
        <v> </v>
      </c>
      <c r="J4153" s="26" t="str">
        <f>IF(OR(E4153="",E4153="!!!",F4153="NEW"),"",COUNTBLANK(OFFSET(A$1,,,SUMPRODUCT(MAX(ROW(E$2:E4153)*(E4153=E$2:E4153)))))-COUNTBLANK(OFFSET(A$1,,,SUMPRODUCT(MAX(ROW(E$1:E4152)*(E2=E$1:E4152))))))</f>
        <v> </v>
      </c>
      <c r="K4153" s="26" t="str">
        <f>IF(OR(E4153="",E4153="!!!",F4153="NEW"),"",INDEX(J$1:J4152,SUMPRODUCT(MAX(ROW(E$1:E4152)*(E4153=E$1:E4152)))))</f>
        <v> </v>
      </c>
      <c r="L4153" s="27"/>
    </row>
    <row r="4154" spans="1:12">
      <c r="A4154" s="20" t="s">
        <v>1340</v>
      </c>
      <c r="E4154" s="22">
        <f>IF(D4154="?OLD","!!!","")</f>
        <v/>
      </c>
      <c r="F4154" s="23" t="str">
        <f>IF(OR(E4154="",E4154="!!!"),"",IF(NOT(ISNA(VLOOKUP(E4154,E$1:E4153,1,FALSE()))),"OLD",IF(AND(E4154&lt;&gt;"",E4154&lt;&gt;"!!!"),"NEW","")))</f>
        <v> </v>
      </c>
      <c r="G4154" s="24" t="str">
        <f>IF(OR(E4154="",E4154="!!!"),"",IF(OR(J4154=0,AND(J4154=1,K4154=1),AND(J4154=1,I4154="SBJ"),AND(J4154=1,I4154=0)),"?IN_FOCUS",IF(J4154&lt;=2,"?ACTIVATED",IF(J4154&lt;&gt;"","?FAMILIAR",IF(F4154="NEW",IF(ISNA(VLOOKUP(E4154,#REF!,1,FALSE())),"?TYPE_IDENTIFIABLE","?REFERENTIAL"),"_")))))</f>
        <v> </v>
      </c>
      <c r="H4154" s="25" t="str">
        <f>IF(J4154&lt;&gt;1,"",IF(I4154="SBJ","CB","?"))</f>
        <v> </v>
      </c>
      <c r="I4154" s="26" t="str">
        <f>IF(OR(E4154="",E4154="!!!",F4154="NEW"),"",INDEX(B4153:B$2,-1+SUMPRODUCT(MAX(ROW(E4153:E$2)*(E4154=E4153:E$2)))))</f>
        <v> </v>
      </c>
      <c r="J4154" s="26" t="str">
        <f>IF(OR(E4154="",E4154="!!!",F4154="NEW"),"",COUNTBLANK(OFFSET(A$1,,,SUMPRODUCT(MAX(ROW(E$2:E4154)*(E4154=E$2:E4154)))))-COUNTBLANK(OFFSET(A$1,,,SUMPRODUCT(MAX(ROW(E$1:E4153)*(E2=E$1:E4153))))))</f>
        <v> </v>
      </c>
      <c r="K4154" s="26" t="str">
        <f>IF(OR(E4154="",E4154="!!!",F4154="NEW"),"",INDEX(J$1:J4153,SUMPRODUCT(MAX(ROW(E$1:E4153)*(E4154=E$1:E4153)))))</f>
        <v> </v>
      </c>
      <c r="L4154" s="27"/>
    </row>
    <row r="4155" spans="1:12">
      <c r="A4155" s="20" t="s">
        <v>1516</v>
      </c>
      <c r="B4155" s="21" t="s">
        <v>1097</v>
      </c>
      <c r="C4155" s="21" t="s">
        <v>1184</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t="s">
        <v>1083</v>
      </c>
      <c r="B4156" s="21" t="s">
        <v>1079</v>
      </c>
      <c r="C4156" s="21" t="s">
        <v>1076</v>
      </c>
      <c r="D4156" s="21" t="s">
        <v>1060</v>
      </c>
      <c r="E4156" s="22">
        <f>IF(D4156="?OLD","!!!","")</f>
        <v/>
      </c>
      <c r="F4156" s="23" t="str">
        <f>IF(OR(E4156="",E4156="!!!"),"",IF(NOT(ISNA(VLOOKUP(E4156,E$1:E4155,1,FALSE()))),"OLD",IF(AND(E4156&lt;&gt;"",E4156&lt;&gt;"!!!"),"NEW","")))</f>
        <v> </v>
      </c>
      <c r="G4156" s="24" t="str">
        <f>IF(OR(E4156="",E4156="!!!"),"",IF(OR(J4156=0,AND(J4156=1,K4156=1),AND(J4156=1,I4156="SBJ"),AND(J4156=1,I4156=0)),"?IN_FOCUS",IF(J4156&lt;=2,"?ACTIVATED",IF(J4156&lt;&gt;"","?FAMILIAR",IF(F4156="NEW",IF(ISNA(VLOOKUP(E4156,#REF!,1,FALSE())),"?TYPE_IDENTIFIABLE","?REFERENTIAL"),"_")))))</f>
        <v> </v>
      </c>
      <c r="H4156" s="25" t="str">
        <f>IF(J4156&lt;&gt;1,"",IF(I4156="SBJ","CB","?"))</f>
        <v> </v>
      </c>
      <c r="I4156" s="26" t="str">
        <f>IF(OR(E4156="",E4156="!!!",F4156="NEW"),"",INDEX(B4155:B$2,-1+SUMPRODUCT(MAX(ROW(E4155:E$2)*(E4156=E4155:E$2)))))</f>
        <v> </v>
      </c>
      <c r="J4156" s="26" t="str">
        <f>IF(OR(E4156="",E4156="!!!",F4156="NEW"),"",COUNTBLANK(OFFSET(A$1,,,SUMPRODUCT(MAX(ROW(E$2:E4156)*(E4156=E$2:E4156)))))-COUNTBLANK(OFFSET(A$1,,,SUMPRODUCT(MAX(ROW(E$1:E4155)*(E2=E$1:E4155))))))</f>
        <v> </v>
      </c>
      <c r="K4156" s="26" t="str">
        <f>IF(OR(E4156="",E4156="!!!",F4156="NEW"),"",INDEX(J$1:J4155,SUMPRODUCT(MAX(ROW(E$1:E4155)*(E4156=E$1:E4155)))))</f>
        <v> </v>
      </c>
      <c r="L4156" s="27"/>
    </row>
    <row r="4157" spans="1:12">
      <c r="A4157" s="20" t="s">
        <v>1189</v>
      </c>
      <c r="E4157" s="22">
        <f>IF(D4157="?OLD","!!!","")</f>
        <v/>
      </c>
      <c r="F4157" s="23" t="str">
        <f>IF(OR(E4157="",E4157="!!!"),"",IF(NOT(ISNA(VLOOKUP(E4157,E$1:E4156,1,FALSE()))),"OLD",IF(AND(E4157&lt;&gt;"",E4157&lt;&gt;"!!!"),"NEW","")))</f>
        <v> </v>
      </c>
      <c r="G4157" s="24" t="str">
        <f>IF(OR(E4157="",E4157="!!!"),"",IF(OR(J4157=0,AND(J4157=1,K4157=1),AND(J4157=1,I4157="SBJ"),AND(J4157=1,I4157=0)),"?IN_FOCUS",IF(J4157&lt;=2,"?ACTIVATED",IF(J4157&lt;&gt;"","?FAMILIAR",IF(F4157="NEW",IF(ISNA(VLOOKUP(E4157,#REF!,1,FALSE())),"?TYPE_IDENTIFIABLE","?REFERENTIAL"),"_")))))</f>
        <v> </v>
      </c>
      <c r="H4157" s="25" t="str">
        <f>IF(J4157&lt;&gt;1,"",IF(I4157="SBJ","CB","?"))</f>
        <v> </v>
      </c>
      <c r="I4157" s="26" t="str">
        <f>IF(OR(E4157="",E4157="!!!",F4157="NEW"),"",INDEX(B4156:B$2,-1+SUMPRODUCT(MAX(ROW(E4156:E$2)*(E4157=E4156:E$2)))))</f>
        <v> </v>
      </c>
      <c r="J4157" s="26" t="str">
        <f>IF(OR(E4157="",E4157="!!!",F4157="NEW"),"",COUNTBLANK(OFFSET(A$1,,,SUMPRODUCT(MAX(ROW(E$2:E4157)*(E4157=E$2:E4157)))))-COUNTBLANK(OFFSET(A$1,,,SUMPRODUCT(MAX(ROW(E$1:E4156)*(E2=E$1:E4156))))))</f>
        <v> </v>
      </c>
      <c r="K4157" s="26" t="str">
        <f>IF(OR(E4157="",E4157="!!!",F4157="NEW"),"",INDEX(J$1:J4156,SUMPRODUCT(MAX(ROW(E$1:E4156)*(E4157=E$1:E4156)))))</f>
        <v> </v>
      </c>
      <c r="L4157" s="27"/>
    </row>
    <row r="4158" spans="1:12">
      <c r="A4158" s="20" t="s">
        <v>474</v>
      </c>
      <c r="E4158" s="22">
        <f>IF(D4158="?OLD","!!!","")</f>
        <v/>
      </c>
      <c r="F4158" s="23" t="str">
        <f>IF(OR(E4158="",E4158="!!!"),"",IF(NOT(ISNA(VLOOKUP(E4158,E$1:E4157,1,FALSE()))),"OLD",IF(AND(E4158&lt;&gt;"",E4158&lt;&gt;"!!!"),"NEW","")))</f>
        <v> </v>
      </c>
      <c r="G4158" s="24" t="str">
        <f>IF(OR(E4158="",E4158="!!!"),"",IF(OR(J4158=0,AND(J4158=1,K4158=1),AND(J4158=1,I4158="SBJ"),AND(J4158=1,I4158=0)),"?IN_FOCUS",IF(J4158&lt;=2,"?ACTIVATED",IF(J4158&lt;&gt;"","?FAMILIAR",IF(F4158="NEW",IF(ISNA(VLOOKUP(E4158,#REF!,1,FALSE())),"?TYPE_IDENTIFIABLE","?REFERENTIAL"),"_")))))</f>
        <v> </v>
      </c>
      <c r="H4158" s="25" t="str">
        <f>IF(J4158&lt;&gt;1,"",IF(I4158="SBJ","CB","?"))</f>
        <v> </v>
      </c>
      <c r="I4158" s="26" t="str">
        <f>IF(OR(E4158="",E4158="!!!",F4158="NEW"),"",INDEX(B4157:B$2,-1+SUMPRODUCT(MAX(ROW(E4157:E$2)*(E4158=E4157:E$2)))))</f>
        <v> </v>
      </c>
      <c r="J4158" s="26" t="str">
        <f>IF(OR(E4158="",E4158="!!!",F4158="NEW"),"",COUNTBLANK(OFFSET(A$1,,,SUMPRODUCT(MAX(ROW(E$2:E4158)*(E4158=E$2:E4158)))))-COUNTBLANK(OFFSET(A$1,,,SUMPRODUCT(MAX(ROW(E$1:E4157)*(E2=E$1:E4157))))))</f>
        <v> </v>
      </c>
      <c r="K4158" s="26" t="str">
        <f>IF(OR(E4158="",E4158="!!!",F4158="NEW"),"",INDEX(J$1:J4157,SUMPRODUCT(MAX(ROW(E$1:E4157)*(E4158=E$1:E4157)))))</f>
        <v> </v>
      </c>
      <c r="L4158" s="27"/>
    </row>
    <row r="4159" spans="1:12">
      <c r="A4159" s="20" t="s">
        <v>923</v>
      </c>
      <c r="E4159" s="22">
        <f>IF(D4159="?OLD","!!!","")</f>
        <v/>
      </c>
      <c r="F4159" s="23" t="str">
        <f>IF(OR(E4159="",E4159="!!!"),"",IF(NOT(ISNA(VLOOKUP(E4159,E$1:E4158,1,FALSE()))),"OLD",IF(AND(E4159&lt;&gt;"",E4159&lt;&gt;"!!!"),"NEW","")))</f>
        <v> </v>
      </c>
      <c r="G4159" s="24" t="str">
        <f>IF(OR(E4159="",E4159="!!!"),"",IF(OR(J4159=0,AND(J4159=1,K4159=1),AND(J4159=1,I4159="SBJ"),AND(J4159=1,I4159=0)),"?IN_FOCUS",IF(J4159&lt;=2,"?ACTIVATED",IF(J4159&lt;&gt;"","?FAMILIAR",IF(F4159="NEW",IF(ISNA(VLOOKUP(E4159,#REF!,1,FALSE())),"?TYPE_IDENTIFIABLE","?REFERENTIAL"),"_")))))</f>
        <v> </v>
      </c>
      <c r="H4159" s="25" t="str">
        <f>IF(J4159&lt;&gt;1,"",IF(I4159="SBJ","CB","?"))</f>
        <v> </v>
      </c>
      <c r="I4159" s="26" t="str">
        <f>IF(OR(E4159="",E4159="!!!",F4159="NEW"),"",INDEX(B4158:B$2,-1+SUMPRODUCT(MAX(ROW(E4158:E$2)*(E4159=E4158:E$2)))))</f>
        <v> </v>
      </c>
      <c r="J4159" s="26" t="str">
        <f>IF(OR(E4159="",E4159="!!!",F4159="NEW"),"",COUNTBLANK(OFFSET(A$1,,,SUMPRODUCT(MAX(ROW(E$2:E4159)*(E4159=E$2:E4159)))))-COUNTBLANK(OFFSET(A$1,,,SUMPRODUCT(MAX(ROW(E$1:E4158)*(E2=E$1:E4158))))))</f>
        <v> </v>
      </c>
      <c r="K4159" s="26" t="str">
        <f>IF(OR(E4159="",E4159="!!!",F4159="NEW"),"",INDEX(J$1:J4158,SUMPRODUCT(MAX(ROW(E$1:E4158)*(E4159=E$1:E4158)))))</f>
        <v> </v>
      </c>
      <c r="L4159" s="27"/>
    </row>
    <row r="4160" spans="1:12">
      <c r="A4160" s="20" t="s">
        <v>607</v>
      </c>
      <c r="E4160" s="22">
        <f>IF(D4160="?OLD","!!!","")</f>
        <v/>
      </c>
      <c r="F4160" s="23" t="str">
        <f>IF(OR(E4160="",E4160="!!!"),"",IF(NOT(ISNA(VLOOKUP(E4160,E$1:E4159,1,FALSE()))),"OLD",IF(AND(E4160&lt;&gt;"",E4160&lt;&gt;"!!!"),"NEW","")))</f>
        <v> </v>
      </c>
      <c r="G4160" s="24" t="str">
        <f>IF(OR(E4160="",E4160="!!!"),"",IF(OR(J4160=0,AND(J4160=1,K4160=1),AND(J4160=1,I4160="SBJ"),AND(J4160=1,I4160=0)),"?IN_FOCUS",IF(J4160&lt;=2,"?ACTIVATED",IF(J4160&lt;&gt;"","?FAMILIAR",IF(F4160="NEW",IF(ISNA(VLOOKUP(E4160,#REF!,1,FALSE())),"?TYPE_IDENTIFIABLE","?REFERENTIAL"),"_")))))</f>
        <v> </v>
      </c>
      <c r="H4160" s="25" t="str">
        <f>IF(J4160&lt;&gt;1,"",IF(I4160="SBJ","CB","?"))</f>
        <v> </v>
      </c>
      <c r="I4160" s="26" t="str">
        <f>IF(OR(E4160="",E4160="!!!",F4160="NEW"),"",INDEX(B4159:B$2,-1+SUMPRODUCT(MAX(ROW(E4159:E$2)*(E4160=E4159:E$2)))))</f>
        <v> </v>
      </c>
      <c r="J4160" s="26" t="str">
        <f>IF(OR(E4160="",E4160="!!!",F4160="NEW"),"",COUNTBLANK(OFFSET(A$1,,,SUMPRODUCT(MAX(ROW(E$2:E4160)*(E4160=E$2:E4160)))))-COUNTBLANK(OFFSET(A$1,,,SUMPRODUCT(MAX(ROW(E$1:E4159)*(E2=E$1:E4159))))))</f>
        <v> </v>
      </c>
      <c r="K4160" s="26" t="str">
        <f>IF(OR(E4160="",E4160="!!!",F4160="NEW"),"",INDEX(J$1:J4159,SUMPRODUCT(MAX(ROW(E$1:E4159)*(E4160=E$1:E4159)))))</f>
        <v> </v>
      </c>
      <c r="L4160" s="27"/>
    </row>
    <row r="4161" spans="1:12">
      <c r="A4161" s="20"/>
    </row>
    <row r="4162" spans="1:12">
      <c r="A4162" s="20" t="s">
        <v>2272</v>
      </c>
    </row>
    <row r="4163" spans="1:12">
      <c r="A4163" s="20" t="s">
        <v>1138</v>
      </c>
      <c r="E4163" s="22">
        <f>IF(D4163="?OLD","!!!","")</f>
        <v/>
      </c>
      <c r="F4163" s="23" t="str">
        <f>IF(OR(E4163="",E4163="!!!"),"",IF(NOT(ISNA(VLOOKUP(E4163,E$1:E4162,1,FALSE()))),"OLD",IF(AND(E4163&lt;&gt;"",E4163&lt;&gt;"!!!"),"NEW","")))</f>
        <v> </v>
      </c>
      <c r="G4163" s="24" t="str">
        <f>IF(OR(E4163="",E4163="!!!"),"",IF(OR(J4163=0,AND(J4163=1,K4163=1),AND(J4163=1,I4163="SBJ"),AND(J4163=1,I4163=0)),"?IN_FOCUS",IF(J4163&lt;=2,"?ACTIVATED",IF(J4163&lt;&gt;"","?FAMILIAR",IF(F4163="NEW",IF(ISNA(VLOOKUP(E4163,#REF!,1,FALSE())),"?TYPE_IDENTIFIABLE","?REFERENTIAL"),"_")))))</f>
        <v> </v>
      </c>
      <c r="H4163" s="25" t="str">
        <f>IF(J4163&lt;&gt;1,"",IF(I4163="SBJ","CB","?"))</f>
        <v> </v>
      </c>
      <c r="I4163" s="26" t="str">
        <f>IF(OR(E4163="",E4163="!!!",F4163="NEW"),"",INDEX(B4162:B$2,-1+SUMPRODUCT(MAX(ROW(E4162:E$2)*(E4163=E4162:E$2)))))</f>
        <v> </v>
      </c>
      <c r="J4163" s="26" t="str">
        <f>IF(OR(E4163="",E4163="!!!",F4163="NEW"),"",COUNTBLANK(OFFSET(A$1,,,SUMPRODUCT(MAX(ROW(E$2:E4163)*(E4163=E$2:E4163)))))-COUNTBLANK(OFFSET(A$1,,,SUMPRODUCT(MAX(ROW(E$1:E4162)*(E2=E$1:E4162))))))</f>
        <v> </v>
      </c>
      <c r="K4163" s="26" t="str">
        <f>IF(OR(E4163="",E4163="!!!",F4163="NEW"),"",INDEX(J$1:J4162,SUMPRODUCT(MAX(ROW(E$1:E4162)*(E4163=E$1:E4162)))))</f>
        <v> </v>
      </c>
      <c r="L4163" s="27"/>
    </row>
    <row r="4164" spans="1:12">
      <c r="A4164" s="20" t="s">
        <v>1330</v>
      </c>
      <c r="E4164" s="22">
        <f>IF(D4164="?OLD","!!!","")</f>
        <v/>
      </c>
      <c r="F4164" s="23" t="str">
        <f>IF(OR(E4164="",E4164="!!!"),"",IF(NOT(ISNA(VLOOKUP(E4164,E$1:E4163,1,FALSE()))),"OLD",IF(AND(E4164&lt;&gt;"",E4164&lt;&gt;"!!!"),"NEW","")))</f>
        <v> </v>
      </c>
      <c r="G4164" s="24" t="str">
        <f>IF(OR(E4164="",E4164="!!!"),"",IF(OR(J4164=0,AND(J4164=1,K4164=1),AND(J4164=1,I4164="SBJ"),AND(J4164=1,I4164=0)),"?IN_FOCUS",IF(J4164&lt;=2,"?ACTIVATED",IF(J4164&lt;&gt;"","?FAMILIAR",IF(F4164="NEW",IF(ISNA(VLOOKUP(E4164,#REF!,1,FALSE())),"?TYPE_IDENTIFIABLE","?REFERENTIAL"),"_")))))</f>
        <v> </v>
      </c>
      <c r="H4164" s="25" t="str">
        <f>IF(J4164&lt;&gt;1,"",IF(I4164="SBJ","CB","?"))</f>
        <v> </v>
      </c>
      <c r="I4164" s="26" t="str">
        <f>IF(OR(E4164="",E4164="!!!",F4164="NEW"),"",INDEX(B4163:B$2,-1+SUMPRODUCT(MAX(ROW(E4163:E$2)*(E4164=E4163:E$2)))))</f>
        <v> </v>
      </c>
      <c r="J4164" s="26" t="str">
        <f>IF(OR(E4164="",E4164="!!!",F4164="NEW"),"",COUNTBLANK(OFFSET(A$1,,,SUMPRODUCT(MAX(ROW(E$2:E4164)*(E4164=E$2:E4164)))))-COUNTBLANK(OFFSET(A$1,,,SUMPRODUCT(MAX(ROW(E$1:E4163)*(E2=E$1:E4163))))))</f>
        <v> </v>
      </c>
      <c r="K4164" s="26" t="str">
        <f>IF(OR(E4164="",E4164="!!!",F4164="NEW"),"",INDEX(J$1:J4163,SUMPRODUCT(MAX(ROW(E$1:E4163)*(E4164=E$1:E4163)))))</f>
        <v> </v>
      </c>
      <c r="L4164" s="27"/>
    </row>
    <row r="4165" spans="1:12">
      <c r="A4165" s="20" t="s">
        <v>16</v>
      </c>
      <c r="E4165" s="22">
        <f>IF(D4165="?OLD","!!!","")</f>
        <v/>
      </c>
      <c r="F4165" s="23" t="str">
        <f>IF(OR(E4165="",E4165="!!!"),"",IF(NOT(ISNA(VLOOKUP(E4165,E$1:E4164,1,FALSE()))),"OLD",IF(AND(E4165&lt;&gt;"",E4165&lt;&gt;"!!!"),"NEW","")))</f>
        <v> </v>
      </c>
      <c r="G4165" s="24" t="str">
        <f>IF(OR(E4165="",E4165="!!!"),"",IF(OR(J4165=0,AND(J4165=1,K4165=1),AND(J4165=1,I4165="SBJ"),AND(J4165=1,I4165=0)),"?IN_FOCUS",IF(J4165&lt;=2,"?ACTIVATED",IF(J4165&lt;&gt;"","?FAMILIAR",IF(F4165="NEW",IF(ISNA(VLOOKUP(E4165,#REF!,1,FALSE())),"?TYPE_IDENTIFIABLE","?REFERENTIAL"),"_")))))</f>
        <v> </v>
      </c>
      <c r="H4165" s="25" t="str">
        <f>IF(J4165&lt;&gt;1,"",IF(I4165="SBJ","CB","?"))</f>
        <v> </v>
      </c>
      <c r="I4165" s="26" t="str">
        <f>IF(OR(E4165="",E4165="!!!",F4165="NEW"),"",INDEX(B4164:B$2,-1+SUMPRODUCT(MAX(ROW(E4164:E$2)*(E4165=E4164:E$2)))))</f>
        <v> </v>
      </c>
      <c r="J4165" s="26" t="str">
        <f>IF(OR(E4165="",E4165="!!!",F4165="NEW"),"",COUNTBLANK(OFFSET(A$1,,,SUMPRODUCT(MAX(ROW(E$2:E4165)*(E4165=E$2:E4165)))))-COUNTBLANK(OFFSET(A$1,,,SUMPRODUCT(MAX(ROW(E$1:E4164)*(E2=E$1:E4164))))))</f>
        <v> </v>
      </c>
      <c r="K4165" s="26" t="str">
        <f>IF(OR(E4165="",E4165="!!!",F4165="NEW"),"",INDEX(J$1:J4164,SUMPRODUCT(MAX(ROW(E$1:E4164)*(E4165=E$1:E4164)))))</f>
        <v> </v>
      </c>
      <c r="L4165" s="27"/>
    </row>
    <row r="4166" spans="1:12">
      <c r="A4166" s="20" t="s">
        <v>1658</v>
      </c>
      <c r="B4166" s="21" t="s">
        <v>1058</v>
      </c>
      <c r="C4166" s="21" t="s">
        <v>1140</v>
      </c>
      <c r="D4166" s="21" t="s">
        <v>1060</v>
      </c>
      <c r="E4166" s="22">
        <f>IF(D4166="?OLD","!!!","")</f>
        <v/>
      </c>
      <c r="F4166" s="23" t="str">
        <f>IF(OR(E4166="",E4166="!!!"),"",IF(NOT(ISNA(VLOOKUP(E4166,E$1:E4165,1,FALSE()))),"OLD",IF(AND(E4166&lt;&gt;"",E4166&lt;&gt;"!!!"),"NEW","")))</f>
        <v> </v>
      </c>
      <c r="G4166" s="24" t="str">
        <f>IF(OR(E4166="",E4166="!!!"),"",IF(OR(J4166=0,AND(J4166=1,K4166=1),AND(J4166=1,I4166="SBJ"),AND(J4166=1,I4166=0)),"?IN_FOCUS",IF(J4166&lt;=2,"?ACTIVATED",IF(J4166&lt;&gt;"","?FAMILIAR",IF(F4166="NEW",IF(ISNA(VLOOKUP(E4166,#REF!,1,FALSE())),"?TYPE_IDENTIFIABLE","?REFERENTIAL"),"_")))))</f>
        <v> </v>
      </c>
      <c r="H4166" s="25" t="str">
        <f>IF(J4166&lt;&gt;1,"",IF(I4166="SBJ","CB","?"))</f>
        <v> </v>
      </c>
      <c r="I4166" s="26" t="str">
        <f>IF(OR(E4166="",E4166="!!!",F4166="NEW"),"",INDEX(B4165:B$2,-1+SUMPRODUCT(MAX(ROW(E4165:E$2)*(E4166=E4165:E$2)))))</f>
        <v> </v>
      </c>
      <c r="J4166" s="26" t="str">
        <f>IF(OR(E4166="",E4166="!!!",F4166="NEW"),"",COUNTBLANK(OFFSET(A$1,,,SUMPRODUCT(MAX(ROW(E$2:E4166)*(E4166=E$2:E4166)))))-COUNTBLANK(OFFSET(A$1,,,SUMPRODUCT(MAX(ROW(E$1:E4165)*(E2=E$1:E4165))))))</f>
        <v> </v>
      </c>
      <c r="K4166" s="26" t="str">
        <f>IF(OR(E4166="",E4166="!!!",F4166="NEW"),"",INDEX(J$1:J4165,SUMPRODUCT(MAX(ROW(E$1:E4165)*(E4166=E$1:E4165)))))</f>
        <v> </v>
      </c>
      <c r="L4166" s="27"/>
    </row>
    <row r="4167" spans="1:12">
      <c r="A4167" s="20" t="s">
        <v>502</v>
      </c>
      <c r="E4167" s="22">
        <f>IF(D4167="?OLD","!!!","")</f>
        <v/>
      </c>
      <c r="F4167" s="23" t="str">
        <f>IF(OR(E4167="",E4167="!!!"),"",IF(NOT(ISNA(VLOOKUP(E4167,E$1:E4166,1,FALSE()))),"OLD",IF(AND(E4167&lt;&gt;"",E4167&lt;&gt;"!!!"),"NEW","")))</f>
        <v> </v>
      </c>
      <c r="G4167" s="24" t="str">
        <f>IF(OR(E4167="",E4167="!!!"),"",IF(OR(J4167=0,AND(J4167=1,K4167=1),AND(J4167=1,I4167="SBJ"),AND(J4167=1,I4167=0)),"?IN_FOCUS",IF(J4167&lt;=2,"?ACTIVATED",IF(J4167&lt;&gt;"","?FAMILIAR",IF(F4167="NEW",IF(ISNA(VLOOKUP(E4167,#REF!,1,FALSE())),"?TYPE_IDENTIFIABLE","?REFERENTIAL"),"_")))))</f>
        <v> </v>
      </c>
      <c r="H4167" s="25" t="str">
        <f>IF(J4167&lt;&gt;1,"",IF(I4167="SBJ","CB","?"))</f>
        <v> </v>
      </c>
      <c r="I4167" s="26" t="str">
        <f>IF(OR(E4167="",E4167="!!!",F4167="NEW"),"",INDEX(B4166:B$2,-1+SUMPRODUCT(MAX(ROW(E4166:E$2)*(E4167=E4166:E$2)))))</f>
        <v> </v>
      </c>
      <c r="J4167" s="26" t="str">
        <f>IF(OR(E4167="",E4167="!!!",F4167="NEW"),"",COUNTBLANK(OFFSET(A$1,,,SUMPRODUCT(MAX(ROW(E$2:E4167)*(E4167=E$2:E4167)))))-COUNTBLANK(OFFSET(A$1,,,SUMPRODUCT(MAX(ROW(E$1:E4166)*(E2=E$1:E4166))))))</f>
        <v> </v>
      </c>
      <c r="K4167" s="26" t="str">
        <f>IF(OR(E4167="",E4167="!!!",F4167="NEW"),"",INDEX(J$1:J4166,SUMPRODUCT(MAX(ROW(E$1:E4166)*(E4167=E$1:E4166)))))</f>
        <v> </v>
      </c>
      <c r="L4167" s="27"/>
    </row>
    <row r="4168" spans="1:12">
      <c r="A4168" s="20" t="s">
        <v>1546</v>
      </c>
      <c r="E4168" s="22">
        <f>IF(D4168="?OLD","!!!","")</f>
        <v/>
      </c>
      <c r="F4168" s="23" t="str">
        <f>IF(OR(E4168="",E4168="!!!"),"",IF(NOT(ISNA(VLOOKUP(E4168,E$1:E4167,1,FALSE()))),"OLD",IF(AND(E4168&lt;&gt;"",E4168&lt;&gt;"!!!"),"NEW","")))</f>
        <v> </v>
      </c>
      <c r="G4168" s="24" t="str">
        <f>IF(OR(E4168="",E4168="!!!"),"",IF(OR(J4168=0,AND(J4168=1,K4168=1),AND(J4168=1,I4168="SBJ"),AND(J4168=1,I4168=0)),"?IN_FOCUS",IF(J4168&lt;=2,"?ACTIVATED",IF(J4168&lt;&gt;"","?FAMILIAR",IF(F4168="NEW",IF(ISNA(VLOOKUP(E4168,#REF!,1,FALSE())),"?TYPE_IDENTIFIABLE","?REFERENTIAL"),"_")))))</f>
        <v> </v>
      </c>
      <c r="H4168" s="25" t="str">
        <f>IF(J4168&lt;&gt;1,"",IF(I4168="SBJ","CB","?"))</f>
        <v> </v>
      </c>
      <c r="I4168" s="26" t="str">
        <f>IF(OR(E4168="",E4168="!!!",F4168="NEW"),"",INDEX(B4167:B$2,-1+SUMPRODUCT(MAX(ROW(E4167:E$2)*(E4168=E4167:E$2)))))</f>
        <v> </v>
      </c>
      <c r="J4168" s="26" t="str">
        <f>IF(OR(E4168="",E4168="!!!",F4168="NEW"),"",COUNTBLANK(OFFSET(A$1,,,SUMPRODUCT(MAX(ROW(E$2:E4168)*(E4168=E$2:E4168)))))-COUNTBLANK(OFFSET(A$1,,,SUMPRODUCT(MAX(ROW(E$1:E4167)*(E2=E$1:E4167))))))</f>
        <v> </v>
      </c>
      <c r="K4168" s="26" t="str">
        <f>IF(OR(E4168="",E4168="!!!",F4168="NEW"),"",INDEX(J$1:J4167,SUMPRODUCT(MAX(ROW(E$1:E4167)*(E4168=E$1:E4167)))))</f>
        <v> </v>
      </c>
      <c r="L4168" s="27"/>
    </row>
    <row r="4169" spans="1:12">
      <c r="A4169" s="20" t="s">
        <v>1539</v>
      </c>
      <c r="E4169" s="22">
        <f>IF(D4169="?OLD","!!!","")</f>
        <v/>
      </c>
      <c r="F4169" s="23" t="str">
        <f>IF(OR(E4169="",E4169="!!!"),"",IF(NOT(ISNA(VLOOKUP(E4169,E$1:E4168,1,FALSE()))),"OLD",IF(AND(E4169&lt;&gt;"",E4169&lt;&gt;"!!!"),"NEW","")))</f>
        <v> </v>
      </c>
      <c r="G4169" s="24" t="str">
        <f>IF(OR(E4169="",E4169="!!!"),"",IF(OR(J4169=0,AND(J4169=1,K4169=1),AND(J4169=1,I4169="SBJ"),AND(J4169=1,I4169=0)),"?IN_FOCUS",IF(J4169&lt;=2,"?ACTIVATED",IF(J4169&lt;&gt;"","?FAMILIAR",IF(F4169="NEW",IF(ISNA(VLOOKUP(E4169,#REF!,1,FALSE())),"?TYPE_IDENTIFIABLE","?REFERENTIAL"),"_")))))</f>
        <v> </v>
      </c>
      <c r="H4169" s="25" t="str">
        <f>IF(J4169&lt;&gt;1,"",IF(I4169="SBJ","CB","?"))</f>
        <v> </v>
      </c>
      <c r="I4169" s="26" t="str">
        <f>IF(OR(E4169="",E4169="!!!",F4169="NEW"),"",INDEX(B4168:B$2,-1+SUMPRODUCT(MAX(ROW(E4168:E$2)*(E4169=E4168:E$2)))))</f>
        <v> </v>
      </c>
      <c r="J4169" s="26" t="str">
        <f>IF(OR(E4169="",E4169="!!!",F4169="NEW"),"",COUNTBLANK(OFFSET(A$1,,,SUMPRODUCT(MAX(ROW(E$2:E4169)*(E4169=E$2:E4169)))))-COUNTBLANK(OFFSET(A$1,,,SUMPRODUCT(MAX(ROW(E$1:E4168)*(E2=E$1:E4168))))))</f>
        <v> </v>
      </c>
      <c r="K4169" s="26" t="str">
        <f>IF(OR(E4169="",E4169="!!!",F4169="NEW"),"",INDEX(J$1:J4168,SUMPRODUCT(MAX(ROW(E$1:E4168)*(E4169=E$1:E4168)))))</f>
        <v> </v>
      </c>
      <c r="L4169" s="27"/>
    </row>
    <row r="4170" spans="1:12">
      <c r="A4170" s="20" t="s">
        <v>2273</v>
      </c>
      <c r="B4170" s="21" t="s">
        <v>1097</v>
      </c>
      <c r="C4170" s="21" t="s">
        <v>1149</v>
      </c>
      <c r="E4170" s="22">
        <f>IF(D4170="?OLD","!!!","")</f>
        <v/>
      </c>
      <c r="F4170" s="23" t="str">
        <f>IF(OR(E4170="",E4170="!!!"),"",IF(NOT(ISNA(VLOOKUP(E4170,E$1:E4169,1,FALSE()))),"OLD",IF(AND(E4170&lt;&gt;"",E4170&lt;&gt;"!!!"),"NEW","")))</f>
        <v> </v>
      </c>
      <c r="G4170" s="24" t="str">
        <f>IF(OR(E4170="",E4170="!!!"),"",IF(OR(J4170=0,AND(J4170=1,K4170=1),AND(J4170=1,I4170="SBJ"),AND(J4170=1,I4170=0)),"?IN_FOCUS",IF(J4170&lt;=2,"?ACTIVATED",IF(J4170&lt;&gt;"","?FAMILIAR",IF(F4170="NEW",IF(ISNA(VLOOKUP(E4170,#REF!,1,FALSE())),"?TYPE_IDENTIFIABLE","?REFERENTIAL"),"_")))))</f>
        <v> </v>
      </c>
      <c r="H4170" s="25" t="str">
        <f>IF(J4170&lt;&gt;1,"",IF(I4170="SBJ","CB","?"))</f>
        <v> </v>
      </c>
      <c r="I4170" s="26" t="str">
        <f>IF(OR(E4170="",E4170="!!!",F4170="NEW"),"",INDEX(B4169:B$2,-1+SUMPRODUCT(MAX(ROW(E4169:E$2)*(E4170=E4169:E$2)))))</f>
        <v> </v>
      </c>
      <c r="J4170" s="26" t="str">
        <f>IF(OR(E4170="",E4170="!!!",F4170="NEW"),"",COUNTBLANK(OFFSET(A$1,,,SUMPRODUCT(MAX(ROW(E$2:E4170)*(E4170=E$2:E4170)))))-COUNTBLANK(OFFSET(A$1,,,SUMPRODUCT(MAX(ROW(E$1:E4169)*(E2=E$1:E4169))))))</f>
        <v> </v>
      </c>
      <c r="K4170" s="26" t="str">
        <f>IF(OR(E4170="",E4170="!!!",F4170="NEW"),"",INDEX(J$1:J4169,SUMPRODUCT(MAX(ROW(E$1:E4169)*(E4170=E$1:E4169)))))</f>
        <v> </v>
      </c>
      <c r="L4170" s="27"/>
    </row>
    <row r="4171" spans="1:12">
      <c r="A4171" s="20" t="s">
        <v>1610</v>
      </c>
      <c r="E4171" s="22">
        <f>IF(D4171="?OLD","!!!","")</f>
        <v/>
      </c>
      <c r="F4171" s="23" t="str">
        <f>IF(OR(E4171="",E4171="!!!"),"",IF(NOT(ISNA(VLOOKUP(E4171,E$1:E4170,1,FALSE()))),"OLD",IF(AND(E4171&lt;&gt;"",E4171&lt;&gt;"!!!"),"NEW","")))</f>
        <v> </v>
      </c>
      <c r="G4171" s="24" t="str">
        <f>IF(OR(E4171="",E4171="!!!"),"",IF(OR(J4171=0,AND(J4171=1,K4171=1),AND(J4171=1,I4171="SBJ"),AND(J4171=1,I4171=0)),"?IN_FOCUS",IF(J4171&lt;=2,"?ACTIVATED",IF(J4171&lt;&gt;"","?FAMILIAR",IF(F4171="NEW",IF(ISNA(VLOOKUP(E4171,#REF!,1,FALSE())),"?TYPE_IDENTIFIABLE","?REFERENTIAL"),"_")))))</f>
        <v> </v>
      </c>
      <c r="H4171" s="25" t="str">
        <f>IF(J4171&lt;&gt;1,"",IF(I4171="SBJ","CB","?"))</f>
        <v> </v>
      </c>
      <c r="I4171" s="26" t="str">
        <f>IF(OR(E4171="",E4171="!!!",F4171="NEW"),"",INDEX(B4170:B$2,-1+SUMPRODUCT(MAX(ROW(E4170:E$2)*(E4171=E4170:E$2)))))</f>
        <v> </v>
      </c>
      <c r="J4171" s="26" t="str">
        <f>IF(OR(E4171="",E4171="!!!",F4171="NEW"),"",COUNTBLANK(OFFSET(A$1,,,SUMPRODUCT(MAX(ROW(E$2:E4171)*(E4171=E$2:E4171)))))-COUNTBLANK(OFFSET(A$1,,,SUMPRODUCT(MAX(ROW(E$1:E4170)*(E2=E$1:E4170))))))</f>
        <v> </v>
      </c>
      <c r="K4171" s="26" t="str">
        <f>IF(OR(E4171="",E4171="!!!",F4171="NEW"),"",INDEX(J$1:J4170,SUMPRODUCT(MAX(ROW(E$1:E4170)*(E4171=E$1:E4170)))))</f>
        <v> </v>
      </c>
      <c r="L4171" s="27"/>
    </row>
    <row r="4172" spans="1:12">
      <c r="A4172" s="20" t="s">
        <v>1101</v>
      </c>
      <c r="E4172" s="22">
        <f>IF(D4172="?OLD","!!!","")</f>
        <v/>
      </c>
      <c r="F4172" s="23" t="str">
        <f>IF(OR(E4172="",E4172="!!!"),"",IF(NOT(ISNA(VLOOKUP(E4172,E$1:E4171,1,FALSE()))),"OLD",IF(AND(E4172&lt;&gt;"",E4172&lt;&gt;"!!!"),"NEW","")))</f>
        <v> </v>
      </c>
      <c r="G4172" s="24" t="str">
        <f>IF(OR(E4172="",E4172="!!!"),"",IF(OR(J4172=0,AND(J4172=1,K4172=1),AND(J4172=1,I4172="SBJ"),AND(J4172=1,I4172=0)),"?IN_FOCUS",IF(J4172&lt;=2,"?ACTIVATED",IF(J4172&lt;&gt;"","?FAMILIAR",IF(F4172="NEW",IF(ISNA(VLOOKUP(E4172,#REF!,1,FALSE())),"?TYPE_IDENTIFIABLE","?REFERENTIAL"),"_")))))</f>
        <v> </v>
      </c>
      <c r="H4172" s="25" t="str">
        <f>IF(J4172&lt;&gt;1,"",IF(I4172="SBJ","CB","?"))</f>
        <v> </v>
      </c>
      <c r="I4172" s="26" t="str">
        <f>IF(OR(E4172="",E4172="!!!",F4172="NEW"),"",INDEX(B4171:B$2,-1+SUMPRODUCT(MAX(ROW(E4171:E$2)*(E4172=E4171:E$2)))))</f>
        <v> </v>
      </c>
      <c r="J4172" s="26" t="str">
        <f>IF(OR(E4172="",E4172="!!!",F4172="NEW"),"",COUNTBLANK(OFFSET(A$1,,,SUMPRODUCT(MAX(ROW(E$2:E4172)*(E4172=E$2:E4172)))))-COUNTBLANK(OFFSET(A$1,,,SUMPRODUCT(MAX(ROW(E$1:E4171)*(E2=E$1:E4171))))))</f>
        <v> </v>
      </c>
      <c r="K4172" s="26" t="str">
        <f>IF(OR(E4172="",E4172="!!!",F4172="NEW"),"",INDEX(J$1:J4171,SUMPRODUCT(MAX(ROW(E$1:E4171)*(E4172=E$1:E4171)))))</f>
        <v> </v>
      </c>
      <c r="L4172" s="27"/>
    </row>
    <row r="4173" spans="1:12">
      <c r="A4173" s="20" t="s">
        <v>1438</v>
      </c>
      <c r="B4173" s="21" t="s">
        <v>1068</v>
      </c>
      <c r="C4173" s="21" t="s">
        <v>1140</v>
      </c>
      <c r="D4173" s="21" t="s">
        <v>1060</v>
      </c>
      <c r="E4173" s="22">
        <f>IF(D4173="?OLD","!!!","")</f>
        <v/>
      </c>
      <c r="F4173" s="23" t="str">
        <f>IF(OR(E4173="",E4173="!!!"),"",IF(NOT(ISNA(VLOOKUP(E4173,E$1:E4172,1,FALSE()))),"OLD",IF(AND(E4173&lt;&gt;"",E4173&lt;&gt;"!!!"),"NEW","")))</f>
        <v> </v>
      </c>
      <c r="G4173" s="24" t="str">
        <f>IF(OR(E4173="",E4173="!!!"),"",IF(OR(J4173=0,AND(J4173=1,K4173=1),AND(J4173=1,I4173="SBJ"),AND(J4173=1,I4173=0)),"?IN_FOCUS",IF(J4173&lt;=2,"?ACTIVATED",IF(J4173&lt;&gt;"","?FAMILIAR",IF(F4173="NEW",IF(ISNA(VLOOKUP(E4173,#REF!,1,FALSE())),"?TYPE_IDENTIFIABLE","?REFERENTIAL"),"_")))))</f>
        <v> </v>
      </c>
      <c r="H4173" s="25" t="str">
        <f>IF(J4173&lt;&gt;1,"",IF(I4173="SBJ","CB","?"))</f>
        <v> </v>
      </c>
      <c r="I4173" s="26" t="str">
        <f>IF(OR(E4173="",E4173="!!!",F4173="NEW"),"",INDEX(B4172:B$2,-1+SUMPRODUCT(MAX(ROW(E4172:E$2)*(E4173=E4172:E$2)))))</f>
        <v> </v>
      </c>
      <c r="J4173" s="26" t="str">
        <f>IF(OR(E4173="",E4173="!!!",F4173="NEW"),"",COUNTBLANK(OFFSET(A$1,,,SUMPRODUCT(MAX(ROW(E$2:E4173)*(E4173=E$2:E4173)))))-COUNTBLANK(OFFSET(A$1,,,SUMPRODUCT(MAX(ROW(E$1:E4172)*(E2=E$1:E4172))))))</f>
        <v> </v>
      </c>
      <c r="K4173" s="26" t="str">
        <f>IF(OR(E4173="",E4173="!!!",F4173="NEW"),"",INDEX(J$1:J4172,SUMPRODUCT(MAX(ROW(E$1:E4172)*(E4173=E$1:E4172)))))</f>
        <v> </v>
      </c>
      <c r="L4173" s="27"/>
    </row>
    <row r="4174" spans="1:12">
      <c r="A4174" s="20" t="s">
        <v>923</v>
      </c>
      <c r="E4174" s="22">
        <f>IF(D4174="?OLD","!!!","")</f>
        <v/>
      </c>
      <c r="F4174" s="23" t="str">
        <f>IF(OR(E4174="",E4174="!!!"),"",IF(NOT(ISNA(VLOOKUP(E4174,E$1:E4173,1,FALSE()))),"OLD",IF(AND(E4174&lt;&gt;"",E4174&lt;&gt;"!!!"),"NEW","")))</f>
        <v> </v>
      </c>
      <c r="G4174" s="24" t="str">
        <f>IF(OR(E4174="",E4174="!!!"),"",IF(OR(J4174=0,AND(J4174=1,K4174=1),AND(J4174=1,I4174="SBJ"),AND(J4174=1,I4174=0)),"?IN_FOCUS",IF(J4174&lt;=2,"?ACTIVATED",IF(J4174&lt;&gt;"","?FAMILIAR",IF(F4174="NEW",IF(ISNA(VLOOKUP(E4174,#REF!,1,FALSE())),"?TYPE_IDENTIFIABLE","?REFERENTIAL"),"_")))))</f>
        <v> </v>
      </c>
      <c r="H4174" s="25" t="str">
        <f>IF(J4174&lt;&gt;1,"",IF(I4174="SBJ","CB","?"))</f>
        <v> </v>
      </c>
      <c r="I4174" s="26" t="str">
        <f>IF(OR(E4174="",E4174="!!!",F4174="NEW"),"",INDEX(B4173:B$2,-1+SUMPRODUCT(MAX(ROW(E4173:E$2)*(E4174=E4173:E$2)))))</f>
        <v> </v>
      </c>
      <c r="J4174" s="26" t="str">
        <f>IF(OR(E4174="",E4174="!!!",F4174="NEW"),"",COUNTBLANK(OFFSET(A$1,,,SUMPRODUCT(MAX(ROW(E$2:E4174)*(E4174=E$2:E4174)))))-COUNTBLANK(OFFSET(A$1,,,SUMPRODUCT(MAX(ROW(E$1:E4173)*(E2=E$1:E4173))))))</f>
        <v> </v>
      </c>
      <c r="K4174" s="26" t="str">
        <f>IF(OR(E4174="",E4174="!!!",F4174="NEW"),"",INDEX(J$1:J4173,SUMPRODUCT(MAX(ROW(E$1:E4173)*(E4174=E$1:E4173)))))</f>
        <v> </v>
      </c>
      <c r="L4174" s="27"/>
    </row>
    <row r="4175" spans="1:12">
      <c r="A4175" s="20"/>
    </row>
    <row r="4176" spans="1:12">
      <c r="A4176" s="20" t="s">
        <v>2274</v>
      </c>
    </row>
    <row r="4177" spans="1:12">
      <c r="A4177" s="20" t="s">
        <v>1063</v>
      </c>
      <c r="E4177" s="22">
        <f>IF(D4177="?OLD","!!!","")</f>
        <v/>
      </c>
      <c r="F4177" s="23" t="str">
        <f>IF(OR(E4177="",E4177="!!!"),"",IF(NOT(ISNA(VLOOKUP(E4177,E$1:E4176,1,FALSE()))),"OLD",IF(AND(E4177&lt;&gt;"",E4177&lt;&gt;"!!!"),"NEW","")))</f>
        <v> </v>
      </c>
      <c r="G4177" s="24" t="str">
        <f>IF(OR(E4177="",E4177="!!!"),"",IF(OR(J4177=0,AND(J4177=1,K4177=1),AND(J4177=1,I4177="SBJ"),AND(J4177=1,I4177=0)),"?IN_FOCUS",IF(J4177&lt;=2,"?ACTIVATED",IF(J4177&lt;&gt;"","?FAMILIAR",IF(F4177="NEW",IF(ISNA(VLOOKUP(E4177,#REF!,1,FALSE())),"?TYPE_IDENTIFIABLE","?REFERENTIAL"),"_")))))</f>
        <v> </v>
      </c>
      <c r="H4177" s="25" t="str">
        <f>IF(J4177&lt;&gt;1,"",IF(I4177="SBJ","CB","?"))</f>
        <v> </v>
      </c>
      <c r="I4177" s="26" t="str">
        <f>IF(OR(E4177="",E4177="!!!",F4177="NEW"),"",INDEX(B4176:B$2,-1+SUMPRODUCT(MAX(ROW(E4176:E$2)*(E4177=E4176:E$2)))))</f>
        <v> </v>
      </c>
      <c r="J4177" s="26" t="str">
        <f>IF(OR(E4177="",E4177="!!!",F4177="NEW"),"",COUNTBLANK(OFFSET(A$1,,,SUMPRODUCT(MAX(ROW(E$2:E4177)*(E4177=E$2:E4177)))))-COUNTBLANK(OFFSET(A$1,,,SUMPRODUCT(MAX(ROW(E$1:E4176)*(E2=E$1:E4176))))))</f>
        <v> </v>
      </c>
      <c r="K4177" s="26" t="str">
        <f>IF(OR(E4177="",E4177="!!!",F4177="NEW"),"",INDEX(J$1:J4176,SUMPRODUCT(MAX(ROW(E$1:E4176)*(E4177=E$1:E4176)))))</f>
        <v> </v>
      </c>
      <c r="L4177" s="27"/>
    </row>
    <row r="4178" spans="1:12">
      <c r="A4178" s="20" t="s">
        <v>1986</v>
      </c>
      <c r="E4178" s="22">
        <f>IF(D4178="?OLD","!!!","")</f>
        <v/>
      </c>
      <c r="F4178" s="23" t="str">
        <f>IF(OR(E4178="",E4178="!!!"),"",IF(NOT(ISNA(VLOOKUP(E4178,E$1:E4177,1,FALSE()))),"OLD",IF(AND(E4178&lt;&gt;"",E4178&lt;&gt;"!!!"),"NEW","")))</f>
        <v> </v>
      </c>
      <c r="G4178" s="24" t="str">
        <f>IF(OR(E4178="",E4178="!!!"),"",IF(OR(J4178=0,AND(J4178=1,K4178=1),AND(J4178=1,I4178="SBJ"),AND(J4178=1,I4178=0)),"?IN_FOCUS",IF(J4178&lt;=2,"?ACTIVATED",IF(J4178&lt;&gt;"","?FAMILIAR",IF(F4178="NEW",IF(ISNA(VLOOKUP(E4178,#REF!,1,FALSE())),"?TYPE_IDENTIFIABLE","?REFERENTIAL"),"_")))))</f>
        <v> </v>
      </c>
      <c r="H4178" s="25" t="str">
        <f>IF(J4178&lt;&gt;1,"",IF(I4178="SBJ","CB","?"))</f>
        <v> </v>
      </c>
      <c r="I4178" s="26" t="str">
        <f>IF(OR(E4178="",E4178="!!!",F4178="NEW"),"",INDEX(B4177:B$2,-1+SUMPRODUCT(MAX(ROW(E4177:E$2)*(E4178=E4177:E$2)))))</f>
        <v> </v>
      </c>
      <c r="J4178" s="26" t="str">
        <f>IF(OR(E4178="",E4178="!!!",F4178="NEW"),"",COUNTBLANK(OFFSET(A$1,,,SUMPRODUCT(MAX(ROW(E$2:E4178)*(E4178=E$2:E4178)))))-COUNTBLANK(OFFSET(A$1,,,SUMPRODUCT(MAX(ROW(E$1:E4177)*(E2=E$1:E4177))))))</f>
        <v> </v>
      </c>
      <c r="K4178" s="26" t="str">
        <f>IF(OR(E4178="",E4178="!!!",F4178="NEW"),"",INDEX(J$1:J4177,SUMPRODUCT(MAX(ROW(E$1:E4177)*(E4178=E$1:E4177)))))</f>
        <v> </v>
      </c>
      <c r="L4178" s="27"/>
    </row>
    <row r="4179" spans="1:12">
      <c r="A4179" s="20" t="s">
        <v>1101</v>
      </c>
      <c r="E4179" s="22">
        <f>IF(D4179="?OLD","!!!","")</f>
        <v/>
      </c>
      <c r="F4179" s="23" t="str">
        <f>IF(OR(E4179="",E4179="!!!"),"",IF(NOT(ISNA(VLOOKUP(E4179,E$1:E4178,1,FALSE()))),"OLD",IF(AND(E4179&lt;&gt;"",E4179&lt;&gt;"!!!"),"NEW","")))</f>
        <v> </v>
      </c>
      <c r="G4179" s="24" t="str">
        <f>IF(OR(E4179="",E4179="!!!"),"",IF(OR(J4179=0,AND(J4179=1,K4179=1),AND(J4179=1,I4179="SBJ"),AND(J4179=1,I4179=0)),"?IN_FOCUS",IF(J4179&lt;=2,"?ACTIVATED",IF(J4179&lt;&gt;"","?FAMILIAR",IF(F4179="NEW",IF(ISNA(VLOOKUP(E4179,#REF!,1,FALSE())),"?TYPE_IDENTIFIABLE","?REFERENTIAL"),"_")))))</f>
        <v> </v>
      </c>
      <c r="H4179" s="25" t="str">
        <f>IF(J4179&lt;&gt;1,"",IF(I4179="SBJ","CB","?"))</f>
        <v> </v>
      </c>
      <c r="I4179" s="26" t="str">
        <f>IF(OR(E4179="",E4179="!!!",F4179="NEW"),"",INDEX(B4178:B$2,-1+SUMPRODUCT(MAX(ROW(E4178:E$2)*(E4179=E4178:E$2)))))</f>
        <v> </v>
      </c>
      <c r="J4179" s="26" t="str">
        <f>IF(OR(E4179="",E4179="!!!",F4179="NEW"),"",COUNTBLANK(OFFSET(A$1,,,SUMPRODUCT(MAX(ROW(E$2:E4179)*(E4179=E$2:E4179)))))-COUNTBLANK(OFFSET(A$1,,,SUMPRODUCT(MAX(ROW(E$1:E4178)*(E2=E$1:E4178))))))</f>
        <v> </v>
      </c>
      <c r="K4179" s="26" t="str">
        <f>IF(OR(E4179="",E4179="!!!",F4179="NEW"),"",INDEX(J$1:J4178,SUMPRODUCT(MAX(ROW(E$1:E4178)*(E4179=E$1:E4178)))))</f>
        <v> </v>
      </c>
      <c r="L4179" s="27"/>
    </row>
    <row r="4180" spans="1:12">
      <c r="A4180" s="20" t="s">
        <v>1626</v>
      </c>
      <c r="B4180" s="21" t="s">
        <v>1075</v>
      </c>
      <c r="C4180" s="21" t="s">
        <v>1140</v>
      </c>
      <c r="D4180" s="21" t="s">
        <v>1060</v>
      </c>
      <c r="E4180" s="22">
        <f>IF(D4180="?OLD","!!!","")</f>
        <v/>
      </c>
      <c r="F4180" s="23" t="str">
        <f>IF(OR(E4180="",E4180="!!!"),"",IF(NOT(ISNA(VLOOKUP(E4180,E$1:E4179,1,FALSE()))),"OLD",IF(AND(E4180&lt;&gt;"",E4180&lt;&gt;"!!!"),"NEW","")))</f>
        <v> </v>
      </c>
      <c r="G4180" s="24" t="str">
        <f>IF(OR(E4180="",E4180="!!!"),"",IF(OR(J4180=0,AND(J4180=1,K4180=1),AND(J4180=1,I4180="SBJ"),AND(J4180=1,I4180=0)),"?IN_FOCUS",IF(J4180&lt;=2,"?ACTIVATED",IF(J4180&lt;&gt;"","?FAMILIAR",IF(F4180="NEW",IF(ISNA(VLOOKUP(E4180,#REF!,1,FALSE())),"?TYPE_IDENTIFIABLE","?REFERENTIAL"),"_")))))</f>
        <v> </v>
      </c>
      <c r="H4180" s="25" t="str">
        <f>IF(J4180&lt;&gt;1,"",IF(I4180="SBJ","CB","?"))</f>
        <v> </v>
      </c>
      <c r="I4180" s="26" t="str">
        <f>IF(OR(E4180="",E4180="!!!",F4180="NEW"),"",INDEX(B4179:B$2,-1+SUMPRODUCT(MAX(ROW(E4179:E$2)*(E4180=E4179:E$2)))))</f>
        <v> </v>
      </c>
      <c r="J4180" s="26" t="str">
        <f>IF(OR(E4180="",E4180="!!!",F4180="NEW"),"",COUNTBLANK(OFFSET(A$1,,,SUMPRODUCT(MAX(ROW(E$2:E4180)*(E4180=E$2:E4180)))))-COUNTBLANK(OFFSET(A$1,,,SUMPRODUCT(MAX(ROW(E$1:E4179)*(E2=E$1:E4179))))))</f>
        <v> </v>
      </c>
      <c r="K4180" s="26" t="str">
        <f>IF(OR(E4180="",E4180="!!!",F4180="NEW"),"",INDEX(J$1:J4179,SUMPRODUCT(MAX(ROW(E$1:E4179)*(E4180=E$1:E4179)))))</f>
        <v> </v>
      </c>
      <c r="L4180" s="27"/>
    </row>
    <row r="4181" spans="1:12">
      <c r="A4181" s="20" t="s">
        <v>1448</v>
      </c>
      <c r="E4181" s="22">
        <f>IF(D4181="?OLD","!!!","")</f>
        <v/>
      </c>
      <c r="F4181" s="23" t="str">
        <f>IF(OR(E4181="",E4181="!!!"),"",IF(NOT(ISNA(VLOOKUP(E4181,E$1:E4180,1,FALSE()))),"OLD",IF(AND(E4181&lt;&gt;"",E4181&lt;&gt;"!!!"),"NEW","")))</f>
        <v> </v>
      </c>
      <c r="G4181" s="24" t="str">
        <f>IF(OR(E4181="",E4181="!!!"),"",IF(OR(J4181=0,AND(J4181=1,K4181=1),AND(J4181=1,I4181="SBJ"),AND(J4181=1,I4181=0)),"?IN_FOCUS",IF(J4181&lt;=2,"?ACTIVATED",IF(J4181&lt;&gt;"","?FAMILIAR",IF(F4181="NEW",IF(ISNA(VLOOKUP(E4181,#REF!,1,FALSE())),"?TYPE_IDENTIFIABLE","?REFERENTIAL"),"_")))))</f>
        <v> </v>
      </c>
      <c r="H4181" s="25" t="str">
        <f>IF(J4181&lt;&gt;1,"",IF(I4181="SBJ","CB","?"))</f>
        <v> </v>
      </c>
      <c r="I4181" s="26" t="str">
        <f>IF(OR(E4181="",E4181="!!!",F4181="NEW"),"",INDEX(B4180:B$2,-1+SUMPRODUCT(MAX(ROW(E4180:E$2)*(E4181=E4180:E$2)))))</f>
        <v> </v>
      </c>
      <c r="J4181" s="26" t="str">
        <f>IF(OR(E4181="",E4181="!!!",F4181="NEW"),"",COUNTBLANK(OFFSET(A$1,,,SUMPRODUCT(MAX(ROW(E$2:E4181)*(E4181=E$2:E4181)))))-COUNTBLANK(OFFSET(A$1,,,SUMPRODUCT(MAX(ROW(E$1:E4180)*(E2=E$1:E4180))))))</f>
        <v> </v>
      </c>
      <c r="K4181" s="26" t="str">
        <f>IF(OR(E4181="",E4181="!!!",F4181="NEW"),"",INDEX(J$1:J4180,SUMPRODUCT(MAX(ROW(E$1:E4180)*(E4181=E$1:E4180)))))</f>
        <v> </v>
      </c>
      <c r="L4181" s="27"/>
    </row>
    <row r="4182" spans="1:12">
      <c r="A4182" s="20" t="s">
        <v>1074</v>
      </c>
      <c r="B4182" s="21" t="s">
        <v>1097</v>
      </c>
      <c r="C4182" s="21" t="s">
        <v>1076</v>
      </c>
      <c r="D4182" s="21" t="s">
        <v>1060</v>
      </c>
      <c r="E4182" s="22">
        <f>IF(D4182="?OLD","!!!","")</f>
        <v/>
      </c>
      <c r="F4182" s="23" t="str">
        <f>IF(OR(E4182="",E4182="!!!"),"",IF(NOT(ISNA(VLOOKUP(E4182,E$1:E4181,1,FALSE()))),"OLD",IF(AND(E4182&lt;&gt;"",E4182&lt;&gt;"!!!"),"NEW","")))</f>
        <v> </v>
      </c>
      <c r="G4182" s="24" t="str">
        <f>IF(OR(E4182="",E4182="!!!"),"",IF(OR(J4182=0,AND(J4182=1,K4182=1),AND(J4182=1,I4182="SBJ"),AND(J4182=1,I4182=0)),"?IN_FOCUS",IF(J4182&lt;=2,"?ACTIVATED",IF(J4182&lt;&gt;"","?FAMILIAR",IF(F4182="NEW",IF(ISNA(VLOOKUP(E4182,#REF!,1,FALSE())),"?TYPE_IDENTIFIABLE","?REFERENTIAL"),"_")))))</f>
        <v> </v>
      </c>
      <c r="H4182" s="25" t="str">
        <f>IF(J4182&lt;&gt;1,"",IF(I4182="SBJ","CB","?"))</f>
        <v> </v>
      </c>
      <c r="I4182" s="26" t="str">
        <f>IF(OR(E4182="",E4182="!!!",F4182="NEW"),"",INDEX(B4181:B$2,-1+SUMPRODUCT(MAX(ROW(E4181:E$2)*(E4182=E4181:E$2)))))</f>
        <v> </v>
      </c>
      <c r="J4182" s="26" t="str">
        <f>IF(OR(E4182="",E4182="!!!",F4182="NEW"),"",COUNTBLANK(OFFSET(A$1,,,SUMPRODUCT(MAX(ROW(E$2:E4182)*(E4182=E$2:E4182)))))-COUNTBLANK(OFFSET(A$1,,,SUMPRODUCT(MAX(ROW(E$1:E4181)*(E2=E$1:E4181))))))</f>
        <v> </v>
      </c>
      <c r="K4182" s="26" t="str">
        <f>IF(OR(E4182="",E4182="!!!",F4182="NEW"),"",INDEX(J$1:J4181,SUMPRODUCT(MAX(ROW(E$1:E4181)*(E4182=E$1:E4181)))))</f>
        <v> </v>
      </c>
      <c r="L4182" s="27"/>
    </row>
    <row r="4183" spans="1:12">
      <c r="A4183" s="20" t="s">
        <v>923</v>
      </c>
      <c r="E4183" s="22">
        <f>IF(D4183="?OLD","!!!","")</f>
        <v/>
      </c>
      <c r="F4183" s="23" t="str">
        <f>IF(OR(E4183="",E4183="!!!"),"",IF(NOT(ISNA(VLOOKUP(E4183,E$1:E4182,1,FALSE()))),"OLD",IF(AND(E4183&lt;&gt;"",E4183&lt;&gt;"!!!"),"NEW","")))</f>
        <v> </v>
      </c>
      <c r="G4183" s="24" t="str">
        <f>IF(OR(E4183="",E4183="!!!"),"",IF(OR(J4183=0,AND(J4183=1,K4183=1),AND(J4183=1,I4183="SBJ"),AND(J4183=1,I4183=0)),"?IN_FOCUS",IF(J4183&lt;=2,"?ACTIVATED",IF(J4183&lt;&gt;"","?FAMILIAR",IF(F4183="NEW",IF(ISNA(VLOOKUP(E4183,#REF!,1,FALSE())),"?TYPE_IDENTIFIABLE","?REFERENTIAL"),"_")))))</f>
        <v> </v>
      </c>
      <c r="H4183" s="25" t="str">
        <f>IF(J4183&lt;&gt;1,"",IF(I4183="SBJ","CB","?"))</f>
        <v> </v>
      </c>
      <c r="I4183" s="26" t="str">
        <f>IF(OR(E4183="",E4183="!!!",F4183="NEW"),"",INDEX(B4182:B$2,-1+SUMPRODUCT(MAX(ROW(E4182:E$2)*(E4183=E4182:E$2)))))</f>
        <v> </v>
      </c>
      <c r="J4183" s="26" t="str">
        <f>IF(OR(E4183="",E4183="!!!",F4183="NEW"),"",COUNTBLANK(OFFSET(A$1,,,SUMPRODUCT(MAX(ROW(E$2:E4183)*(E4183=E$2:E4183)))))-COUNTBLANK(OFFSET(A$1,,,SUMPRODUCT(MAX(ROW(E$1:E4182)*(E2=E$1:E4182))))))</f>
        <v> </v>
      </c>
      <c r="K4183" s="26" t="str">
        <f>IF(OR(E4183="",E4183="!!!",F4183="NEW"),"",INDEX(J$1:J4182,SUMPRODUCT(MAX(ROW(E$1:E4182)*(E4183=E$1:E4182)))))</f>
        <v> </v>
      </c>
      <c r="L4183" s="27"/>
    </row>
    <row r="4184" spans="1:12">
      <c r="A4184" s="20"/>
    </row>
    <row r="4185" spans="1:12">
      <c r="A4185" s="20" t="s">
        <v>1276</v>
      </c>
      <c r="E4185" s="22">
        <f>IF(D4185="?OLD","!!!","")</f>
        <v/>
      </c>
      <c r="F4185" s="23" t="str">
        <f>IF(OR(E4185="",E4185="!!!"),"",IF(NOT(ISNA(VLOOKUP(E4185,E$1:E4184,1,FALSE()))),"OLD",IF(AND(E4185&lt;&gt;"",E4185&lt;&gt;"!!!"),"NEW","")))</f>
        <v> </v>
      </c>
      <c r="G4185" s="24" t="str">
        <f>IF(OR(E4185="",E4185="!!!"),"",IF(OR(J4185=0,AND(J4185=1,K4185=1),AND(J4185=1,I4185="SBJ"),AND(J4185=1,I4185=0)),"?IN_FOCUS",IF(J4185&lt;=2,"?ACTIVATED",IF(J4185&lt;&gt;"","?FAMILIAR",IF(F4185="NEW",IF(ISNA(VLOOKUP(E4185,#REF!,1,FALSE())),"?TYPE_IDENTIFIABLE","?REFERENTIAL"),"_")))))</f>
        <v> </v>
      </c>
      <c r="H4185" s="25" t="str">
        <f>IF(J4185&lt;&gt;1,"",IF(I4185="SBJ","CB","?"))</f>
        <v> </v>
      </c>
      <c r="I4185" s="26" t="str">
        <f>IF(OR(E4185="",E4185="!!!",F4185="NEW"),"",INDEX(B4184:B$2,-1+SUMPRODUCT(MAX(ROW(E4184:E$2)*(E4185=E4184:E$2)))))</f>
        <v> </v>
      </c>
      <c r="J4185" s="26" t="str">
        <f>IF(OR(E4185="",E4185="!!!",F4185="NEW"),"",COUNTBLANK(OFFSET(A$1,,,SUMPRODUCT(MAX(ROW(E$2:E4185)*(E4185=E$2:E4185)))))-COUNTBLANK(OFFSET(A$1,,,SUMPRODUCT(MAX(ROW(E$1:E4184)*(E2=E$1:E4184))))))</f>
        <v> </v>
      </c>
      <c r="K4185" s="26" t="str">
        <f>IF(OR(E4185="",E4185="!!!",F4185="NEW"),"",INDEX(J$1:J4184,SUMPRODUCT(MAX(ROW(E$1:E4184)*(E4185=E$1:E4184)))))</f>
        <v> </v>
      </c>
      <c r="L4185" s="27"/>
    </row>
    <row r="4186" spans="1:12">
      <c r="A4186" s="20" t="s">
        <v>2275</v>
      </c>
    </row>
    <row r="4187" spans="1:12">
      <c r="A4187" s="20" t="s">
        <v>607</v>
      </c>
      <c r="E4187" s="22">
        <f>IF(D4187="?OLD","!!!","")</f>
        <v/>
      </c>
      <c r="F4187" s="23" t="str">
        <f>IF(OR(E4187="",E4187="!!!"),"",IF(NOT(ISNA(VLOOKUP(E4187,E$1:E4186,1,FALSE()))),"OLD",IF(AND(E4187&lt;&gt;"",E4187&lt;&gt;"!!!"),"NEW","")))</f>
        <v> </v>
      </c>
      <c r="G4187" s="24" t="str">
        <f>IF(OR(E4187="",E4187="!!!"),"",IF(OR(J4187=0,AND(J4187=1,K4187=1),AND(J4187=1,I4187="SBJ"),AND(J4187=1,I4187=0)),"?IN_FOCUS",IF(J4187&lt;=2,"?ACTIVATED",IF(J4187&lt;&gt;"","?FAMILIAR",IF(F4187="NEW",IF(ISNA(VLOOKUP(E4187,#REF!,1,FALSE())),"?TYPE_IDENTIFIABLE","?REFERENTIAL"),"_")))))</f>
        <v> </v>
      </c>
      <c r="H4187" s="25" t="str">
        <f>IF(J4187&lt;&gt;1,"",IF(I4187="SBJ","CB","?"))</f>
        <v> </v>
      </c>
      <c r="I4187" s="26" t="str">
        <f>IF(OR(E4187="",E4187="!!!",F4187="NEW"),"",INDEX(B4186:B$2,-1+SUMPRODUCT(MAX(ROW(E4186:E$2)*(E4187=E4186:E$2)))))</f>
        <v> </v>
      </c>
      <c r="J4187" s="26" t="str">
        <f>IF(OR(E4187="",E4187="!!!",F4187="NEW"),"",COUNTBLANK(OFFSET(A$1,,,SUMPRODUCT(MAX(ROW(E$2:E4187)*(E4187=E$2:E4187)))))-COUNTBLANK(OFFSET(A$1,,,SUMPRODUCT(MAX(ROW(E$1:E4186)*(E2=E$1:E4186))))))</f>
        <v> </v>
      </c>
      <c r="K4187" s="26" t="str">
        <f>IF(OR(E4187="",E4187="!!!",F4187="NEW"),"",INDEX(J$1:J4186,SUMPRODUCT(MAX(ROW(E$1:E4186)*(E4187=E$1:E4186)))))</f>
        <v> </v>
      </c>
      <c r="L4187" s="27"/>
    </row>
    <row r="4188" spans="1:12">
      <c r="A4188" s="20" t="s">
        <v>2224</v>
      </c>
      <c r="E4188" s="22">
        <f>IF(D4188="?OLD","!!!","")</f>
        <v/>
      </c>
      <c r="F4188" s="23" t="str">
        <f>IF(OR(E4188="",E4188="!!!"),"",IF(NOT(ISNA(VLOOKUP(E4188,E$1:E4187,1,FALSE()))),"OLD",IF(AND(E4188&lt;&gt;"",E4188&lt;&gt;"!!!"),"NEW","")))</f>
        <v> </v>
      </c>
      <c r="G4188" s="24" t="str">
        <f>IF(OR(E4188="",E4188="!!!"),"",IF(OR(J4188=0,AND(J4188=1,K4188=1),AND(J4188=1,I4188="SBJ"),AND(J4188=1,I4188=0)),"?IN_FOCUS",IF(J4188&lt;=2,"?ACTIVATED",IF(J4188&lt;&gt;"","?FAMILIAR",IF(F4188="NEW",IF(ISNA(VLOOKUP(E4188,#REF!,1,FALSE())),"?TYPE_IDENTIFIABLE","?REFERENTIAL"),"_")))))</f>
        <v> </v>
      </c>
      <c r="H4188" s="25" t="str">
        <f>IF(J4188&lt;&gt;1,"",IF(I4188="SBJ","CB","?"))</f>
        <v> </v>
      </c>
      <c r="I4188" s="26" t="str">
        <f>IF(OR(E4188="",E4188="!!!",F4188="NEW"),"",INDEX(B4187:B$2,-1+SUMPRODUCT(MAX(ROW(E4187:E$2)*(E4188=E4187:E$2)))))</f>
        <v> </v>
      </c>
      <c r="J4188" s="26" t="str">
        <f>IF(OR(E4188="",E4188="!!!",F4188="NEW"),"",COUNTBLANK(OFFSET(A$1,,,SUMPRODUCT(MAX(ROW(E$2:E4188)*(E4188=E$2:E4188)))))-COUNTBLANK(OFFSET(A$1,,,SUMPRODUCT(MAX(ROW(E$1:E4187)*(E2=E$1:E4187))))))</f>
        <v> </v>
      </c>
      <c r="K4188" s="26" t="str">
        <f>IF(OR(E4188="",E4188="!!!",F4188="NEW"),"",INDEX(J$1:J4187,SUMPRODUCT(MAX(ROW(E$1:E4187)*(E4188=E$1:E4187)))))</f>
        <v> </v>
      </c>
      <c r="L4188" s="27"/>
    </row>
    <row r="4189" spans="1:12">
      <c r="A4189" s="20" t="s">
        <v>1070</v>
      </c>
      <c r="E4189" s="22">
        <f>IF(D4189="?OLD","!!!","")</f>
        <v/>
      </c>
      <c r="F4189" s="23" t="str">
        <f>IF(OR(E4189="",E4189="!!!"),"",IF(NOT(ISNA(VLOOKUP(E4189,E$1:E4188,1,FALSE()))),"OLD",IF(AND(E4189&lt;&gt;"",E4189&lt;&gt;"!!!"),"NEW","")))</f>
        <v> </v>
      </c>
      <c r="G4189" s="24" t="str">
        <f>IF(OR(E4189="",E4189="!!!"),"",IF(OR(J4189=0,AND(J4189=1,K4189=1),AND(J4189=1,I4189="SBJ"),AND(J4189=1,I4189=0)),"?IN_FOCUS",IF(J4189&lt;=2,"?ACTIVATED",IF(J4189&lt;&gt;"","?FAMILIAR",IF(F4189="NEW",IF(ISNA(VLOOKUP(E4189,#REF!,1,FALSE())),"?TYPE_IDENTIFIABLE","?REFERENTIAL"),"_")))))</f>
        <v> </v>
      </c>
      <c r="H4189" s="25" t="str">
        <f>IF(J4189&lt;&gt;1,"",IF(I4189="SBJ","CB","?"))</f>
        <v> </v>
      </c>
      <c r="I4189" s="26" t="str">
        <f>IF(OR(E4189="",E4189="!!!",F4189="NEW"),"",INDEX(B4188:B$2,-1+SUMPRODUCT(MAX(ROW(E4188:E$2)*(E4189=E4188:E$2)))))</f>
        <v> </v>
      </c>
      <c r="J4189" s="26" t="str">
        <f>IF(OR(E4189="",E4189="!!!",F4189="NEW"),"",COUNTBLANK(OFFSET(A$1,,,SUMPRODUCT(MAX(ROW(E$2:E4189)*(E4189=E$2:E4189)))))-COUNTBLANK(OFFSET(A$1,,,SUMPRODUCT(MAX(ROW(E$1:E4188)*(E2=E$1:E4188))))))</f>
        <v> </v>
      </c>
      <c r="K4189" s="26" t="str">
        <f>IF(OR(E4189="",E4189="!!!",F4189="NEW"),"",INDEX(J$1:J4188,SUMPRODUCT(MAX(ROW(E$1:E4188)*(E4189=E$1:E4188)))))</f>
        <v> </v>
      </c>
      <c r="L4189" s="27"/>
    </row>
    <row r="4190" spans="1:12">
      <c r="A4190" s="20" t="s">
        <v>607</v>
      </c>
      <c r="E4190" s="22">
        <f>IF(D4190="?OLD","!!!","")</f>
        <v/>
      </c>
      <c r="F4190" s="23" t="str">
        <f>IF(OR(E4190="",E4190="!!!"),"",IF(NOT(ISNA(VLOOKUP(E4190,E$1:E4189,1,FALSE()))),"OLD",IF(AND(E4190&lt;&gt;"",E4190&lt;&gt;"!!!"),"NEW","")))</f>
        <v> </v>
      </c>
      <c r="G4190" s="24" t="str">
        <f>IF(OR(E4190="",E4190="!!!"),"",IF(OR(J4190=0,AND(J4190=1,K4190=1),AND(J4190=1,I4190="SBJ"),AND(J4190=1,I4190=0)),"?IN_FOCUS",IF(J4190&lt;=2,"?ACTIVATED",IF(J4190&lt;&gt;"","?FAMILIAR",IF(F4190="NEW",IF(ISNA(VLOOKUP(E4190,#REF!,1,FALSE())),"?TYPE_IDENTIFIABLE","?REFERENTIAL"),"_")))))</f>
        <v> </v>
      </c>
      <c r="H4190" s="25" t="str">
        <f>IF(J4190&lt;&gt;1,"",IF(I4190="SBJ","CB","?"))</f>
        <v> </v>
      </c>
      <c r="I4190" s="26" t="str">
        <f>IF(OR(E4190="",E4190="!!!",F4190="NEW"),"",INDEX(B4189:B$2,-1+SUMPRODUCT(MAX(ROW(E4189:E$2)*(E4190=E4189:E$2)))))</f>
        <v> </v>
      </c>
      <c r="J4190" s="26" t="str">
        <f>IF(OR(E4190="",E4190="!!!",F4190="NEW"),"",COUNTBLANK(OFFSET(A$1,,,SUMPRODUCT(MAX(ROW(E$2:E4190)*(E4190=E$2:E4190)))))-COUNTBLANK(OFFSET(A$1,,,SUMPRODUCT(MAX(ROW(E$1:E4189)*(E2=E$1:E4189))))))</f>
        <v> </v>
      </c>
      <c r="K4190" s="26" t="str">
        <f>IF(OR(E4190="",E4190="!!!",F4190="NEW"),"",INDEX(J$1:J4189,SUMPRODUCT(MAX(ROW(E$1:E4189)*(E4190=E$1:E4189)))))</f>
        <v> </v>
      </c>
      <c r="L4190" s="27"/>
    </row>
    <row r="4191" spans="1:12">
      <c r="A4191" s="20" t="s">
        <v>1176</v>
      </c>
      <c r="E4191" s="22">
        <f>IF(D4191="?OLD","!!!","")</f>
        <v/>
      </c>
      <c r="F4191" s="23" t="str">
        <f>IF(OR(E4191="",E4191="!!!"),"",IF(NOT(ISNA(VLOOKUP(E4191,E$1:E4190,1,FALSE()))),"OLD",IF(AND(E4191&lt;&gt;"",E4191&lt;&gt;"!!!"),"NEW","")))</f>
        <v> </v>
      </c>
      <c r="G4191" s="24" t="str">
        <f>IF(OR(E4191="",E4191="!!!"),"",IF(OR(J4191=0,AND(J4191=1,K4191=1),AND(J4191=1,I4191="SBJ"),AND(J4191=1,I4191=0)),"?IN_FOCUS",IF(J4191&lt;=2,"?ACTIVATED",IF(J4191&lt;&gt;"","?FAMILIAR",IF(F4191="NEW",IF(ISNA(VLOOKUP(E4191,#REF!,1,FALSE())),"?TYPE_IDENTIFIABLE","?REFERENTIAL"),"_")))))</f>
        <v> </v>
      </c>
      <c r="H4191" s="25" t="str">
        <f>IF(J4191&lt;&gt;1,"",IF(I4191="SBJ","CB","?"))</f>
        <v> </v>
      </c>
      <c r="I4191" s="26" t="str">
        <f>IF(OR(E4191="",E4191="!!!",F4191="NEW"),"",INDEX(B4190:B$2,-1+SUMPRODUCT(MAX(ROW(E4190:E$2)*(E4191=E4190:E$2)))))</f>
        <v> </v>
      </c>
      <c r="J4191" s="26" t="str">
        <f>IF(OR(E4191="",E4191="!!!",F4191="NEW"),"",COUNTBLANK(OFFSET(A$1,,,SUMPRODUCT(MAX(ROW(E$2:E4191)*(E4191=E$2:E4191)))))-COUNTBLANK(OFFSET(A$1,,,SUMPRODUCT(MAX(ROW(E$1:E4190)*(E2=E$1:E4190))))))</f>
        <v> </v>
      </c>
      <c r="K4191" s="26" t="str">
        <f>IF(OR(E4191="",E4191="!!!",F4191="NEW"),"",INDEX(J$1:J4190,SUMPRODUCT(MAX(ROW(E$1:E4190)*(E4191=E$1:E4190)))))</f>
        <v> </v>
      </c>
      <c r="L4191" s="27"/>
    </row>
    <row r="4192" spans="1:12">
      <c r="A4192" s="20" t="s">
        <v>1083</v>
      </c>
      <c r="B4192" s="21" t="s">
        <v>1058</v>
      </c>
      <c r="C4192" s="21" t="s">
        <v>1076</v>
      </c>
      <c r="D4192" s="21" t="s">
        <v>1060</v>
      </c>
      <c r="E4192" s="22">
        <f>IF(D4192="?OLD","!!!","")</f>
        <v/>
      </c>
      <c r="F4192" s="23" t="str">
        <f>IF(OR(E4192="",E4192="!!!"),"",IF(NOT(ISNA(VLOOKUP(E4192,E$1:E4191,1,FALSE()))),"OLD",IF(AND(E4192&lt;&gt;"",E4192&lt;&gt;"!!!"),"NEW","")))</f>
        <v> </v>
      </c>
      <c r="G4192" s="24" t="str">
        <f>IF(OR(E4192="",E4192="!!!"),"",IF(OR(J4192=0,AND(J4192=1,K4192=1),AND(J4192=1,I4192="SBJ"),AND(J4192=1,I4192=0)),"?IN_FOCUS",IF(J4192&lt;=2,"?ACTIVATED",IF(J4192&lt;&gt;"","?FAMILIAR",IF(F4192="NEW",IF(ISNA(VLOOKUP(E4192,#REF!,1,FALSE())),"?TYPE_IDENTIFIABLE","?REFERENTIAL"),"_")))))</f>
        <v> </v>
      </c>
      <c r="H4192" s="25" t="str">
        <f>IF(J4192&lt;&gt;1,"",IF(I4192="SBJ","CB","?"))</f>
        <v> </v>
      </c>
      <c r="I4192" s="26" t="str">
        <f>IF(OR(E4192="",E4192="!!!",F4192="NEW"),"",INDEX(B4191:B$2,-1+SUMPRODUCT(MAX(ROW(E4191:E$2)*(E4192=E4191:E$2)))))</f>
        <v> </v>
      </c>
      <c r="J4192" s="26" t="str">
        <f>IF(OR(E4192="",E4192="!!!",F4192="NEW"),"",COUNTBLANK(OFFSET(A$1,,,SUMPRODUCT(MAX(ROW(E$2:E4192)*(E4192=E$2:E4192)))))-COUNTBLANK(OFFSET(A$1,,,SUMPRODUCT(MAX(ROW(E$1:E4191)*(E2=E$1:E4191))))))</f>
        <v> </v>
      </c>
      <c r="K4192" s="26" t="str">
        <f>IF(OR(E4192="",E4192="!!!",F4192="NEW"),"",INDEX(J$1:J4191,SUMPRODUCT(MAX(ROW(E$1:E4191)*(E4192=E$1:E4191)))))</f>
        <v> </v>
      </c>
      <c r="L4192" s="27"/>
    </row>
    <row r="4193" spans="1:12">
      <c r="A4193" s="20" t="s">
        <v>923</v>
      </c>
      <c r="E4193" s="22">
        <f>IF(D4193="?OLD","!!!","")</f>
        <v/>
      </c>
      <c r="F4193" s="23" t="str">
        <f>IF(OR(E4193="",E4193="!!!"),"",IF(NOT(ISNA(VLOOKUP(E4193,E$1:E4192,1,FALSE()))),"OLD",IF(AND(E4193&lt;&gt;"",E4193&lt;&gt;"!!!"),"NEW","")))</f>
        <v> </v>
      </c>
      <c r="G4193" s="24" t="str">
        <f>IF(OR(E4193="",E4193="!!!"),"",IF(OR(J4193=0,AND(J4193=1,K4193=1),AND(J4193=1,I4193="SBJ"),AND(J4193=1,I4193=0)),"?IN_FOCUS",IF(J4193&lt;=2,"?ACTIVATED",IF(J4193&lt;&gt;"","?FAMILIAR",IF(F4193="NEW",IF(ISNA(VLOOKUP(E4193,#REF!,1,FALSE())),"?TYPE_IDENTIFIABLE","?REFERENTIAL"),"_")))))</f>
        <v> </v>
      </c>
      <c r="H4193" s="25" t="str">
        <f>IF(J4193&lt;&gt;1,"",IF(I4193="SBJ","CB","?"))</f>
        <v> </v>
      </c>
      <c r="I4193" s="26" t="str">
        <f>IF(OR(E4193="",E4193="!!!",F4193="NEW"),"",INDEX(B4192:B$2,-1+SUMPRODUCT(MAX(ROW(E4192:E$2)*(E4193=E4192:E$2)))))</f>
        <v> </v>
      </c>
      <c r="J4193" s="26" t="str">
        <f>IF(OR(E4193="",E4193="!!!",F4193="NEW"),"",COUNTBLANK(OFFSET(A$1,,,SUMPRODUCT(MAX(ROW(E$2:E4193)*(E4193=E$2:E4193)))))-COUNTBLANK(OFFSET(A$1,,,SUMPRODUCT(MAX(ROW(E$1:E4192)*(E2=E$1:E4192))))))</f>
        <v> </v>
      </c>
      <c r="K4193" s="26" t="str">
        <f>IF(OR(E4193="",E4193="!!!",F4193="NEW"),"",INDEX(J$1:J4192,SUMPRODUCT(MAX(ROW(E$1:E4192)*(E4193=E$1:E4192)))))</f>
        <v> </v>
      </c>
      <c r="L4193" s="27"/>
    </row>
    <row r="4194" spans="1:12">
      <c r="A4194" s="20"/>
    </row>
    <row r="4195" spans="1:12">
      <c r="A4195" s="20" t="s">
        <v>1276</v>
      </c>
      <c r="E4195" s="22">
        <f>IF(D4195="?OLD","!!!","")</f>
        <v/>
      </c>
      <c r="F4195" s="23" t="str">
        <f>IF(OR(E4195="",E4195="!!!"),"",IF(NOT(ISNA(VLOOKUP(E4195,E$1:E4194,1,FALSE()))),"OLD",IF(AND(E4195&lt;&gt;"",E4195&lt;&gt;"!!!"),"NEW","")))</f>
        <v> </v>
      </c>
      <c r="G4195" s="24" t="str">
        <f>IF(OR(E4195="",E4195="!!!"),"",IF(OR(J4195=0,AND(J4195=1,K4195=1),AND(J4195=1,I4195="SBJ"),AND(J4195=1,I4195=0)),"?IN_FOCUS",IF(J4195&lt;=2,"?ACTIVATED",IF(J4195&lt;&gt;"","?FAMILIAR",IF(F4195="NEW",IF(ISNA(VLOOKUP(E4195,#REF!,1,FALSE())),"?TYPE_IDENTIFIABLE","?REFERENTIAL"),"_")))))</f>
        <v> </v>
      </c>
      <c r="H4195" s="25" t="str">
        <f>IF(J4195&lt;&gt;1,"",IF(I4195="SBJ","CB","?"))</f>
        <v> </v>
      </c>
      <c r="I4195" s="26" t="str">
        <f>IF(OR(E4195="",E4195="!!!",F4195="NEW"),"",INDEX(B4194:B$2,-1+SUMPRODUCT(MAX(ROW(E4194:E$2)*(E4195=E4194:E$2)))))</f>
        <v> </v>
      </c>
      <c r="J4195" s="26" t="str">
        <f>IF(OR(E4195="",E4195="!!!",F4195="NEW"),"",COUNTBLANK(OFFSET(A$1,,,SUMPRODUCT(MAX(ROW(E$2:E4195)*(E4195=E$2:E4195)))))-COUNTBLANK(OFFSET(A$1,,,SUMPRODUCT(MAX(ROW(E$1:E4194)*(E2=E$1:E4194))))))</f>
        <v> </v>
      </c>
      <c r="K4195" s="26" t="str">
        <f>IF(OR(E4195="",E4195="!!!",F4195="NEW"),"",INDEX(J$1:J4194,SUMPRODUCT(MAX(ROW(E$1:E4194)*(E4195=E$1:E4194)))))</f>
        <v> </v>
      </c>
      <c r="L4195" s="27"/>
    </row>
    <row r="4196" spans="1:12">
      <c r="A4196" s="20" t="s">
        <v>2276</v>
      </c>
    </row>
    <row r="4197" spans="1:12">
      <c r="A4197" s="20" t="s">
        <v>607</v>
      </c>
      <c r="E4197" s="22">
        <f>IF(D4197="?OLD","!!!","")</f>
        <v/>
      </c>
      <c r="F4197" s="23" t="str">
        <f>IF(OR(E4197="",E4197="!!!"),"",IF(NOT(ISNA(VLOOKUP(E4197,E$1:E4196,1,FALSE()))),"OLD",IF(AND(E4197&lt;&gt;"",E4197&lt;&gt;"!!!"),"NEW","")))</f>
        <v> </v>
      </c>
      <c r="G4197" s="24" t="str">
        <f>IF(OR(E4197="",E4197="!!!"),"",IF(OR(J4197=0,AND(J4197=1,K4197=1),AND(J4197=1,I4197="SBJ"),AND(J4197=1,I4197=0)),"?IN_FOCUS",IF(J4197&lt;=2,"?ACTIVATED",IF(J4197&lt;&gt;"","?FAMILIAR",IF(F4197="NEW",IF(ISNA(VLOOKUP(E4197,#REF!,1,FALSE())),"?TYPE_IDENTIFIABLE","?REFERENTIAL"),"_")))))</f>
        <v> </v>
      </c>
      <c r="H4197" s="25" t="str">
        <f>IF(J4197&lt;&gt;1,"",IF(I4197="SBJ","CB","?"))</f>
        <v> </v>
      </c>
      <c r="I4197" s="26" t="str">
        <f>IF(OR(E4197="",E4197="!!!",F4197="NEW"),"",INDEX(B4196:B$2,-1+SUMPRODUCT(MAX(ROW(E4196:E$2)*(E4197=E4196:E$2)))))</f>
        <v> </v>
      </c>
      <c r="J4197" s="26" t="str">
        <f>IF(OR(E4197="",E4197="!!!",F4197="NEW"),"",COUNTBLANK(OFFSET(A$1,,,SUMPRODUCT(MAX(ROW(E$2:E4197)*(E4197=E$2:E4197)))))-COUNTBLANK(OFFSET(A$1,,,SUMPRODUCT(MAX(ROW(E$1:E4196)*(E2=E$1:E4196))))))</f>
        <v> </v>
      </c>
      <c r="K4197" s="26" t="str">
        <f>IF(OR(E4197="",E4197="!!!",F4197="NEW"),"",INDEX(J$1:J4196,SUMPRODUCT(MAX(ROW(E$1:E4196)*(E4197=E$1:E4196)))))</f>
        <v> </v>
      </c>
      <c r="L4197" s="27"/>
    </row>
    <row r="4198" spans="1:12">
      <c r="A4198" s="20" t="s">
        <v>1528</v>
      </c>
      <c r="E4198" s="22">
        <f>IF(D4198="?OLD","!!!","")</f>
        <v/>
      </c>
      <c r="F4198" s="23" t="str">
        <f>IF(OR(E4198="",E4198="!!!"),"",IF(NOT(ISNA(VLOOKUP(E4198,E$1:E4197,1,FALSE()))),"OLD",IF(AND(E4198&lt;&gt;"",E4198&lt;&gt;"!!!"),"NEW","")))</f>
        <v> </v>
      </c>
      <c r="G4198" s="24" t="str">
        <f>IF(OR(E4198="",E4198="!!!"),"",IF(OR(J4198=0,AND(J4198=1,K4198=1),AND(J4198=1,I4198="SBJ"),AND(J4198=1,I4198=0)),"?IN_FOCUS",IF(J4198&lt;=2,"?ACTIVATED",IF(J4198&lt;&gt;"","?FAMILIAR",IF(F4198="NEW",IF(ISNA(VLOOKUP(E4198,#REF!,1,FALSE())),"?TYPE_IDENTIFIABLE","?REFERENTIAL"),"_")))))</f>
        <v> </v>
      </c>
      <c r="H4198" s="25" t="str">
        <f>IF(J4198&lt;&gt;1,"",IF(I4198="SBJ","CB","?"))</f>
        <v> </v>
      </c>
      <c r="I4198" s="26" t="str">
        <f>IF(OR(E4198="",E4198="!!!",F4198="NEW"),"",INDEX(B4197:B$2,-1+SUMPRODUCT(MAX(ROW(E4197:E$2)*(E4198=E4197:E$2)))))</f>
        <v> </v>
      </c>
      <c r="J4198" s="26" t="str">
        <f>IF(OR(E4198="",E4198="!!!",F4198="NEW"),"",COUNTBLANK(OFFSET(A$1,,,SUMPRODUCT(MAX(ROW(E$2:E4198)*(E4198=E$2:E4198)))))-COUNTBLANK(OFFSET(A$1,,,SUMPRODUCT(MAX(ROW(E$1:E4197)*(E2=E$1:E4197))))))</f>
        <v> </v>
      </c>
      <c r="K4198" s="26" t="str">
        <f>IF(OR(E4198="",E4198="!!!",F4198="NEW"),"",INDEX(J$1:J4197,SUMPRODUCT(MAX(ROW(E$1:E4197)*(E4198=E$1:E4197)))))</f>
        <v> </v>
      </c>
      <c r="L4198" s="27"/>
    </row>
    <row r="4199" spans="1:12">
      <c r="A4199" s="20" t="s">
        <v>1072</v>
      </c>
      <c r="B4199" s="21" t="s">
        <v>1058</v>
      </c>
      <c r="C4199" s="21" t="s">
        <v>1358</v>
      </c>
      <c r="E4199" s="22">
        <f>IF(D4199="?OLD","!!!","")</f>
        <v/>
      </c>
      <c r="F4199" s="23" t="str">
        <f>IF(OR(E4199="",E4199="!!!"),"",IF(NOT(ISNA(VLOOKUP(E4199,E$1:E4198,1,FALSE()))),"OLD",IF(AND(E4199&lt;&gt;"",E4199&lt;&gt;"!!!"),"NEW","")))</f>
        <v> </v>
      </c>
      <c r="G4199" s="24" t="str">
        <f>IF(OR(E4199="",E4199="!!!"),"",IF(OR(J4199=0,AND(J4199=1,K4199=1),AND(J4199=1,I4199="SBJ"),AND(J4199=1,I4199=0)),"?IN_FOCUS",IF(J4199&lt;=2,"?ACTIVATED",IF(J4199&lt;&gt;"","?FAMILIAR",IF(F4199="NEW",IF(ISNA(VLOOKUP(E4199,#REF!,1,FALSE())),"?TYPE_IDENTIFIABLE","?REFERENTIAL"),"_")))))</f>
        <v> </v>
      </c>
      <c r="H4199" s="25" t="str">
        <f>IF(J4199&lt;&gt;1,"",IF(I4199="SBJ","CB","?"))</f>
        <v> </v>
      </c>
      <c r="I4199" s="26" t="str">
        <f>IF(OR(E4199="",E4199="!!!",F4199="NEW"),"",INDEX(B4198:B$2,-1+SUMPRODUCT(MAX(ROW(E4198:E$2)*(E4199=E4198:E$2)))))</f>
        <v> </v>
      </c>
      <c r="J4199" s="26" t="str">
        <f>IF(OR(E4199="",E4199="!!!",F4199="NEW"),"",COUNTBLANK(OFFSET(A$1,,,SUMPRODUCT(MAX(ROW(E$2:E4199)*(E4199=E$2:E4199)))))-COUNTBLANK(OFFSET(A$1,,,SUMPRODUCT(MAX(ROW(E$1:E4198)*(E2=E$1:E4198))))))</f>
        <v> </v>
      </c>
      <c r="K4199" s="26" t="str">
        <f>IF(OR(E4199="",E4199="!!!",F4199="NEW"),"",INDEX(J$1:J4198,SUMPRODUCT(MAX(ROW(E$1:E4198)*(E4199=E$1:E4198)))))</f>
        <v> </v>
      </c>
      <c r="L4199" s="27"/>
    </row>
    <row r="4200" spans="1:12">
      <c r="A4200" s="20" t="s">
        <v>1180</v>
      </c>
      <c r="E4200" s="22">
        <f>IF(D4200="?OLD","!!!","")</f>
        <v/>
      </c>
      <c r="F4200" s="23" t="str">
        <f>IF(OR(E4200="",E4200="!!!"),"",IF(NOT(ISNA(VLOOKUP(E4200,E$1:E4199,1,FALSE()))),"OLD",IF(AND(E4200&lt;&gt;"",E4200&lt;&gt;"!!!"),"NEW","")))</f>
        <v> </v>
      </c>
      <c r="G4200" s="24" t="str">
        <f>IF(OR(E4200="",E4200="!!!"),"",IF(OR(J4200=0,AND(J4200=1,K4200=1),AND(J4200=1,I4200="SBJ"),AND(J4200=1,I4200=0)),"?IN_FOCUS",IF(J4200&lt;=2,"?ACTIVATED",IF(J4200&lt;&gt;"","?FAMILIAR",IF(F4200="NEW",IF(ISNA(VLOOKUP(E4200,#REF!,1,FALSE())),"?TYPE_IDENTIFIABLE","?REFERENTIAL"),"_")))))</f>
        <v> </v>
      </c>
      <c r="H4200" s="25" t="str">
        <f>IF(J4200&lt;&gt;1,"",IF(I4200="SBJ","CB","?"))</f>
        <v> </v>
      </c>
      <c r="I4200" s="26" t="str">
        <f>IF(OR(E4200="",E4200="!!!",F4200="NEW"),"",INDEX(B4199:B$2,-1+SUMPRODUCT(MAX(ROW(E4199:E$2)*(E4200=E4199:E$2)))))</f>
        <v> </v>
      </c>
      <c r="J4200" s="26" t="str">
        <f>IF(OR(E4200="",E4200="!!!",F4200="NEW"),"",COUNTBLANK(OFFSET(A$1,,,SUMPRODUCT(MAX(ROW(E$2:E4200)*(E4200=E$2:E4200)))))-COUNTBLANK(OFFSET(A$1,,,SUMPRODUCT(MAX(ROW(E$1:E4199)*(E2=E$1:E4199))))))</f>
        <v> </v>
      </c>
      <c r="K4200" s="26" t="str">
        <f>IF(OR(E4200="",E4200="!!!",F4200="NEW"),"",INDEX(J$1:J4199,SUMPRODUCT(MAX(ROW(E$1:E4199)*(E4200=E$1:E4199)))))</f>
        <v> </v>
      </c>
      <c r="L4200" s="27"/>
    </row>
    <row r="4201" spans="1:12">
      <c r="A4201" s="20" t="s">
        <v>844</v>
      </c>
      <c r="E4201" s="22">
        <f>IF(D4201="?OLD","!!!","")</f>
        <v/>
      </c>
      <c r="F4201" s="23" t="str">
        <f>IF(OR(E4201="",E4201="!!!"),"",IF(NOT(ISNA(VLOOKUP(E4201,E$1:E4200,1,FALSE()))),"OLD",IF(AND(E4201&lt;&gt;"",E4201&lt;&gt;"!!!"),"NEW","")))</f>
        <v> </v>
      </c>
      <c r="G4201" s="24" t="str">
        <f>IF(OR(E4201="",E4201="!!!"),"",IF(OR(J4201=0,AND(J4201=1,K4201=1),AND(J4201=1,I4201="SBJ"),AND(J4201=1,I4201=0)),"?IN_FOCUS",IF(J4201&lt;=2,"?ACTIVATED",IF(J4201&lt;&gt;"","?FAMILIAR",IF(F4201="NEW",IF(ISNA(VLOOKUP(E4201,#REF!,1,FALSE())),"?TYPE_IDENTIFIABLE","?REFERENTIAL"),"_")))))</f>
        <v> </v>
      </c>
      <c r="H4201" s="25" t="str">
        <f>IF(J4201&lt;&gt;1,"",IF(I4201="SBJ","CB","?"))</f>
        <v> </v>
      </c>
      <c r="I4201" s="26" t="str">
        <f>IF(OR(E4201="",E4201="!!!",F4201="NEW"),"",INDEX(B4200:B$2,-1+SUMPRODUCT(MAX(ROW(E4200:E$2)*(E4201=E4200:E$2)))))</f>
        <v> </v>
      </c>
      <c r="J4201" s="26" t="str">
        <f>IF(OR(E4201="",E4201="!!!",F4201="NEW"),"",COUNTBLANK(OFFSET(A$1,,,SUMPRODUCT(MAX(ROW(E$2:E4201)*(E4201=E$2:E4201)))))-COUNTBLANK(OFFSET(A$1,,,SUMPRODUCT(MAX(ROW(E$1:E4200)*(E2=E$1:E4200))))))</f>
        <v> </v>
      </c>
      <c r="K4201" s="26" t="str">
        <f>IF(OR(E4201="",E4201="!!!",F4201="NEW"),"",INDEX(J$1:J4200,SUMPRODUCT(MAX(ROW(E$1:E4200)*(E4201=E$1:E4200)))))</f>
        <v> </v>
      </c>
      <c r="L4201" s="27"/>
    </row>
    <row r="4202" spans="1:12">
      <c r="A4202" s="20" t="s">
        <v>1090</v>
      </c>
      <c r="B4202" s="21" t="s">
        <v>1068</v>
      </c>
      <c r="C4202" s="21" t="s">
        <v>1092</v>
      </c>
      <c r="D4202" s="21" t="s">
        <v>1060</v>
      </c>
      <c r="E4202" s="22">
        <f>IF(D4202="?OLD","!!!","")</f>
        <v/>
      </c>
      <c r="F4202" s="23" t="str">
        <f>IF(OR(E4202="",E4202="!!!"),"",IF(NOT(ISNA(VLOOKUP(E4202,E$1:E4201,1,FALSE()))),"OLD",IF(AND(E4202&lt;&gt;"",E4202&lt;&gt;"!!!"),"NEW","")))</f>
        <v> </v>
      </c>
      <c r="G4202" s="24" t="str">
        <f>IF(OR(E4202="",E4202="!!!"),"",IF(OR(J4202=0,AND(J4202=1,K4202=1),AND(J4202=1,I4202="SBJ"),AND(J4202=1,I4202=0)),"?IN_FOCUS",IF(J4202&lt;=2,"?ACTIVATED",IF(J4202&lt;&gt;"","?FAMILIAR",IF(F4202="NEW",IF(ISNA(VLOOKUP(E4202,#REF!,1,FALSE())),"?TYPE_IDENTIFIABLE","?REFERENTIAL"),"_")))))</f>
        <v> </v>
      </c>
      <c r="H4202" s="25" t="str">
        <f>IF(J4202&lt;&gt;1,"",IF(I4202="SBJ","CB","?"))</f>
        <v> </v>
      </c>
      <c r="I4202" s="26" t="str">
        <f>IF(OR(E4202="",E4202="!!!",F4202="NEW"),"",INDEX(B4201:B$2,-1+SUMPRODUCT(MAX(ROW(E4201:E$2)*(E4202=E4201:E$2)))))</f>
        <v> </v>
      </c>
      <c r="J4202" s="26" t="str">
        <f>IF(OR(E4202="",E4202="!!!",F4202="NEW"),"",COUNTBLANK(OFFSET(A$1,,,SUMPRODUCT(MAX(ROW(E$2:E4202)*(E4202=E$2:E4202)))))-COUNTBLANK(OFFSET(A$1,,,SUMPRODUCT(MAX(ROW(E$1:E4201)*(E2=E$1:E4201))))))</f>
        <v> </v>
      </c>
      <c r="K4202" s="26" t="str">
        <f>IF(OR(E4202="",E4202="!!!",F4202="NEW"),"",INDEX(J$1:J4201,SUMPRODUCT(MAX(ROW(E$1:E4201)*(E4202=E$1:E4201)))))</f>
        <v> </v>
      </c>
      <c r="L4202" s="27"/>
    </row>
    <row r="4203" spans="1:12">
      <c r="A4203" s="20" t="s">
        <v>2277</v>
      </c>
      <c r="B4203" s="21" t="s">
        <v>1075</v>
      </c>
      <c r="C4203" s="21" t="s">
        <v>1059</v>
      </c>
      <c r="D4203" s="21" t="s">
        <v>1060</v>
      </c>
      <c r="E4203" s="22">
        <f>IF(D4203="?OLD","!!!","")</f>
        <v/>
      </c>
      <c r="F4203" s="23" t="str">
        <f>IF(OR(E4203="",E4203="!!!"),"",IF(NOT(ISNA(VLOOKUP(E4203,E$1:E4202,1,FALSE()))),"OLD",IF(AND(E4203&lt;&gt;"",E4203&lt;&gt;"!!!"),"NEW","")))</f>
        <v> </v>
      </c>
      <c r="G4203" s="24" t="str">
        <f>IF(OR(E4203="",E4203="!!!"),"",IF(OR(J4203=0,AND(J4203=1,K4203=1),AND(J4203=1,I4203="SBJ"),AND(J4203=1,I4203=0)),"?IN_FOCUS",IF(J4203&lt;=2,"?ACTIVATED",IF(J4203&lt;&gt;"","?FAMILIAR",IF(F4203="NEW",IF(ISNA(VLOOKUP(E4203,#REF!,1,FALSE())),"?TYPE_IDENTIFIABLE","?REFERENTIAL"),"_")))))</f>
        <v> </v>
      </c>
      <c r="H4203" s="25" t="str">
        <f>IF(J4203&lt;&gt;1,"",IF(I4203="SBJ","CB","?"))</f>
        <v> </v>
      </c>
      <c r="I4203" s="26" t="str">
        <f>IF(OR(E4203="",E4203="!!!",F4203="NEW"),"",INDEX(B4202:B$2,-1+SUMPRODUCT(MAX(ROW(E4202:E$2)*(E4203=E4202:E$2)))))</f>
        <v> </v>
      </c>
      <c r="J4203" s="26" t="str">
        <f>IF(OR(E4203="",E4203="!!!",F4203="NEW"),"",COUNTBLANK(OFFSET(A$1,,,SUMPRODUCT(MAX(ROW(E$2:E4203)*(E4203=E$2:E4203)))))-COUNTBLANK(OFFSET(A$1,,,SUMPRODUCT(MAX(ROW(E$1:E4202)*(E2=E$1:E4202))))))</f>
        <v> </v>
      </c>
      <c r="K4203" s="26" t="str">
        <f>IF(OR(E4203="",E4203="!!!",F4203="NEW"),"",INDEX(J$1:J4202,SUMPRODUCT(MAX(ROW(E$1:E4202)*(E4203=E$1:E4202)))))</f>
        <v> </v>
      </c>
      <c r="L4203" s="27"/>
    </row>
    <row r="4204" spans="1:12">
      <c r="A4204" s="20" t="s">
        <v>1376</v>
      </c>
      <c r="E4204" s="22">
        <f>IF(D4204="?OLD","!!!","")</f>
        <v/>
      </c>
      <c r="F4204" s="23" t="str">
        <f>IF(OR(E4204="",E4204="!!!"),"",IF(NOT(ISNA(VLOOKUP(E4204,E$1:E4203,1,FALSE()))),"OLD",IF(AND(E4204&lt;&gt;"",E4204&lt;&gt;"!!!"),"NEW","")))</f>
        <v> </v>
      </c>
      <c r="G4204" s="24" t="str">
        <f>IF(OR(E4204="",E4204="!!!"),"",IF(OR(J4204=0,AND(J4204=1,K4204=1),AND(J4204=1,I4204="SBJ"),AND(J4204=1,I4204=0)),"?IN_FOCUS",IF(J4204&lt;=2,"?ACTIVATED",IF(J4204&lt;&gt;"","?FAMILIAR",IF(F4204="NEW",IF(ISNA(VLOOKUP(E4204,#REF!,1,FALSE())),"?TYPE_IDENTIFIABLE","?REFERENTIAL"),"_")))))</f>
        <v> </v>
      </c>
      <c r="H4204" s="25" t="str">
        <f>IF(J4204&lt;&gt;1,"",IF(I4204="SBJ","CB","?"))</f>
        <v> </v>
      </c>
      <c r="I4204" s="26" t="str">
        <f>IF(OR(E4204="",E4204="!!!",F4204="NEW"),"",INDEX(B4203:B$2,-1+SUMPRODUCT(MAX(ROW(E4203:E$2)*(E4204=E4203:E$2)))))</f>
        <v> </v>
      </c>
      <c r="J4204" s="26" t="str">
        <f>IF(OR(E4204="",E4204="!!!",F4204="NEW"),"",COUNTBLANK(OFFSET(A$1,,,SUMPRODUCT(MAX(ROW(E$2:E4204)*(E4204=E$2:E4204)))))-COUNTBLANK(OFFSET(A$1,,,SUMPRODUCT(MAX(ROW(E$1:E4203)*(E2=E$1:E4203))))))</f>
        <v> </v>
      </c>
      <c r="K4204" s="26" t="str">
        <f>IF(OR(E4204="",E4204="!!!",F4204="NEW"),"",INDEX(J$1:J4203,SUMPRODUCT(MAX(ROW(E$1:E4203)*(E4204=E$1:E4203)))))</f>
        <v> </v>
      </c>
      <c r="L4204" s="27"/>
    </row>
    <row r="4205" spans="1:12">
      <c r="A4205" s="20" t="s">
        <v>1101</v>
      </c>
      <c r="E4205" s="22">
        <f>IF(D4205="?OLD","!!!","")</f>
        <v/>
      </c>
      <c r="F4205" s="23" t="str">
        <f>IF(OR(E4205="",E4205="!!!"),"",IF(NOT(ISNA(VLOOKUP(E4205,E$1:E4204,1,FALSE()))),"OLD",IF(AND(E4205&lt;&gt;"",E4205&lt;&gt;"!!!"),"NEW","")))</f>
        <v> </v>
      </c>
      <c r="G4205" s="24" t="str">
        <f>IF(OR(E4205="",E4205="!!!"),"",IF(OR(J4205=0,AND(J4205=1,K4205=1),AND(J4205=1,I4205="SBJ"),AND(J4205=1,I4205=0)),"?IN_FOCUS",IF(J4205&lt;=2,"?ACTIVATED",IF(J4205&lt;&gt;"","?FAMILIAR",IF(F4205="NEW",IF(ISNA(VLOOKUP(E4205,#REF!,1,FALSE())),"?TYPE_IDENTIFIABLE","?REFERENTIAL"),"_")))))</f>
        <v> </v>
      </c>
      <c r="H4205" s="25" t="str">
        <f>IF(J4205&lt;&gt;1,"",IF(I4205="SBJ","CB","?"))</f>
        <v> </v>
      </c>
      <c r="I4205" s="26" t="str">
        <f>IF(OR(E4205="",E4205="!!!",F4205="NEW"),"",INDEX(B4204:B$2,-1+SUMPRODUCT(MAX(ROW(E4204:E$2)*(E4205=E4204:E$2)))))</f>
        <v> </v>
      </c>
      <c r="J4205" s="26" t="str">
        <f>IF(OR(E4205="",E4205="!!!",F4205="NEW"),"",COUNTBLANK(OFFSET(A$1,,,SUMPRODUCT(MAX(ROW(E$2:E4205)*(E4205=E$2:E4205)))))-COUNTBLANK(OFFSET(A$1,,,SUMPRODUCT(MAX(ROW(E$1:E4204)*(E2=E$1:E4204))))))</f>
        <v> </v>
      </c>
      <c r="K4205" s="26" t="str">
        <f>IF(OR(E4205="",E4205="!!!",F4205="NEW"),"",INDEX(J$1:J4204,SUMPRODUCT(MAX(ROW(E$1:E4204)*(E4205=E$1:E4204)))))</f>
        <v> </v>
      </c>
      <c r="L4205" s="27"/>
    </row>
    <row r="4206" spans="1:12">
      <c r="A4206" s="20" t="s">
        <v>1333</v>
      </c>
      <c r="E4206" s="22">
        <f>IF(D4206="?OLD","!!!","")</f>
        <v/>
      </c>
      <c r="F4206" s="23" t="str">
        <f>IF(OR(E4206="",E4206="!!!"),"",IF(NOT(ISNA(VLOOKUP(E4206,E$1:E4205,1,FALSE()))),"OLD",IF(AND(E4206&lt;&gt;"",E4206&lt;&gt;"!!!"),"NEW","")))</f>
        <v> </v>
      </c>
      <c r="G4206" s="24" t="str">
        <f>IF(OR(E4206="",E4206="!!!"),"",IF(OR(J4206=0,AND(J4206=1,K4206=1),AND(J4206=1,I4206="SBJ"),AND(J4206=1,I4206=0)),"?IN_FOCUS",IF(J4206&lt;=2,"?ACTIVATED",IF(J4206&lt;&gt;"","?FAMILIAR",IF(F4206="NEW",IF(ISNA(VLOOKUP(E4206,#REF!,1,FALSE())),"?TYPE_IDENTIFIABLE","?REFERENTIAL"),"_")))))</f>
        <v> </v>
      </c>
      <c r="H4206" s="25" t="str">
        <f>IF(J4206&lt;&gt;1,"",IF(I4206="SBJ","CB","?"))</f>
        <v> </v>
      </c>
      <c r="I4206" s="26" t="str">
        <f>IF(OR(E4206="",E4206="!!!",F4206="NEW"),"",INDEX(B4205:B$2,-1+SUMPRODUCT(MAX(ROW(E4205:E$2)*(E4206=E4205:E$2)))))</f>
        <v> </v>
      </c>
      <c r="J4206" s="26" t="str">
        <f>IF(OR(E4206="",E4206="!!!",F4206="NEW"),"",COUNTBLANK(OFFSET(A$1,,,SUMPRODUCT(MAX(ROW(E$2:E4206)*(E4206=E$2:E4206)))))-COUNTBLANK(OFFSET(A$1,,,SUMPRODUCT(MAX(ROW(E$1:E4205)*(E2=E$1:E4205))))))</f>
        <v> </v>
      </c>
      <c r="K4206" s="26" t="str">
        <f>IF(OR(E4206="",E4206="!!!",F4206="NEW"),"",INDEX(J$1:J4205,SUMPRODUCT(MAX(ROW(E$1:E4205)*(E4206=E$1:E4205)))))</f>
        <v> </v>
      </c>
      <c r="L4206" s="27"/>
    </row>
    <row r="4207" spans="1:12">
      <c r="A4207" s="20" t="s">
        <v>1334</v>
      </c>
      <c r="B4207" s="21" t="s">
        <v>1097</v>
      </c>
      <c r="C4207" s="21" t="s">
        <v>1065</v>
      </c>
      <c r="D4207" s="21" t="s">
        <v>1060</v>
      </c>
      <c r="E4207" s="22">
        <f>IF(D4207="?OLD","!!!","")</f>
        <v/>
      </c>
      <c r="F4207" s="23" t="str">
        <f>IF(OR(E4207="",E4207="!!!"),"",IF(NOT(ISNA(VLOOKUP(E4207,E$1:E4206,1,FALSE()))),"OLD",IF(AND(E4207&lt;&gt;"",E4207&lt;&gt;"!!!"),"NEW","")))</f>
        <v> </v>
      </c>
      <c r="G4207" s="24" t="str">
        <f>IF(OR(E4207="",E4207="!!!"),"",IF(OR(J4207=0,AND(J4207=1,K4207=1),AND(J4207=1,I4207="SBJ"),AND(J4207=1,I4207=0)),"?IN_FOCUS",IF(J4207&lt;=2,"?ACTIVATED",IF(J4207&lt;&gt;"","?FAMILIAR",IF(F4207="NEW",IF(ISNA(VLOOKUP(E4207,#REF!,1,FALSE())),"?TYPE_IDENTIFIABLE","?REFERENTIAL"),"_")))))</f>
        <v> </v>
      </c>
      <c r="H4207" s="25" t="str">
        <f>IF(J4207&lt;&gt;1,"",IF(I4207="SBJ","CB","?"))</f>
        <v> </v>
      </c>
      <c r="I4207" s="26" t="str">
        <f>IF(OR(E4207="",E4207="!!!",F4207="NEW"),"",INDEX(B4206:B$2,-1+SUMPRODUCT(MAX(ROW(E4206:E$2)*(E4207=E4206:E$2)))))</f>
        <v> </v>
      </c>
      <c r="J4207" s="26" t="str">
        <f>IF(OR(E4207="",E4207="!!!",F4207="NEW"),"",COUNTBLANK(OFFSET(A$1,,,SUMPRODUCT(MAX(ROW(E$2:E4207)*(E4207=E$2:E4207)))))-COUNTBLANK(OFFSET(A$1,,,SUMPRODUCT(MAX(ROW(E$1:E4206)*(E2=E$1:E4206))))))</f>
        <v> </v>
      </c>
      <c r="K4207" s="26" t="str">
        <f>IF(OR(E4207="",E4207="!!!",F4207="NEW"),"",INDEX(J$1:J4206,SUMPRODUCT(MAX(ROW(E$1:E4206)*(E4207=E$1:E4206)))))</f>
        <v> </v>
      </c>
      <c r="L4207" s="27"/>
    </row>
    <row r="4208" spans="1:12">
      <c r="A4208" s="20" t="s">
        <v>1088</v>
      </c>
      <c r="E4208" s="22">
        <f>IF(D4208="?OLD","!!!","")</f>
        <v/>
      </c>
      <c r="F4208" s="23" t="str">
        <f>IF(OR(E4208="",E4208="!!!"),"",IF(NOT(ISNA(VLOOKUP(E4208,E$1:E4207,1,FALSE()))),"OLD",IF(AND(E4208&lt;&gt;"",E4208&lt;&gt;"!!!"),"NEW","")))</f>
        <v> </v>
      </c>
      <c r="G4208" s="24" t="str">
        <f>IF(OR(E4208="",E4208="!!!"),"",IF(OR(J4208=0,AND(J4208=1,K4208=1),AND(J4208=1,I4208="SBJ"),AND(J4208=1,I4208=0)),"?IN_FOCUS",IF(J4208&lt;=2,"?ACTIVATED",IF(J4208&lt;&gt;"","?FAMILIAR",IF(F4208="NEW",IF(ISNA(VLOOKUP(E4208,#REF!,1,FALSE())),"?TYPE_IDENTIFIABLE","?REFERENTIAL"),"_")))))</f>
        <v> </v>
      </c>
      <c r="H4208" s="25" t="str">
        <f>IF(J4208&lt;&gt;1,"",IF(I4208="SBJ","CB","?"))</f>
        <v> </v>
      </c>
      <c r="I4208" s="26" t="str">
        <f>IF(OR(E4208="",E4208="!!!",F4208="NEW"),"",INDEX(B4207:B$2,-1+SUMPRODUCT(MAX(ROW(E4207:E$2)*(E4208=E4207:E$2)))))</f>
        <v> </v>
      </c>
      <c r="J4208" s="26" t="str">
        <f>IF(OR(E4208="",E4208="!!!",F4208="NEW"),"",COUNTBLANK(OFFSET(A$1,,,SUMPRODUCT(MAX(ROW(E$2:E4208)*(E4208=E$2:E4208)))))-COUNTBLANK(OFFSET(A$1,,,SUMPRODUCT(MAX(ROW(E$1:E4207)*(E2=E$1:E4207))))))</f>
        <v> </v>
      </c>
      <c r="K4208" s="26" t="str">
        <f>IF(OR(E4208="",E4208="!!!",F4208="NEW"),"",INDEX(J$1:J4207,SUMPRODUCT(MAX(ROW(E$1:E4207)*(E4208=E$1:E4207)))))</f>
        <v> </v>
      </c>
      <c r="L4208" s="27"/>
    </row>
    <row r="4209" spans="1:12">
      <c r="A4209" s="20" t="s">
        <v>16</v>
      </c>
      <c r="E4209" s="22">
        <f>IF(D4209="?OLD","!!!","")</f>
        <v/>
      </c>
      <c r="F4209" s="23" t="str">
        <f>IF(OR(E4209="",E4209="!!!"),"",IF(NOT(ISNA(VLOOKUP(E4209,E$1:E4208,1,FALSE()))),"OLD",IF(AND(E4209&lt;&gt;"",E4209&lt;&gt;"!!!"),"NEW","")))</f>
        <v> </v>
      </c>
      <c r="G4209" s="24" t="str">
        <f>IF(OR(E4209="",E4209="!!!"),"",IF(OR(J4209=0,AND(J4209=1,K4209=1),AND(J4209=1,I4209="SBJ"),AND(J4209=1,I4209=0)),"?IN_FOCUS",IF(J4209&lt;=2,"?ACTIVATED",IF(J4209&lt;&gt;"","?FAMILIAR",IF(F4209="NEW",IF(ISNA(VLOOKUP(E4209,#REF!,1,FALSE())),"?TYPE_IDENTIFIABLE","?REFERENTIAL"),"_")))))</f>
        <v> </v>
      </c>
      <c r="H4209" s="25" t="str">
        <f>IF(J4209&lt;&gt;1,"",IF(I4209="SBJ","CB","?"))</f>
        <v> </v>
      </c>
      <c r="I4209" s="26" t="str">
        <f>IF(OR(E4209="",E4209="!!!",F4209="NEW"),"",INDEX(B4208:B$2,-1+SUMPRODUCT(MAX(ROW(E4208:E$2)*(E4209=E4208:E$2)))))</f>
        <v> </v>
      </c>
      <c r="J4209" s="26" t="str">
        <f>IF(OR(E4209="",E4209="!!!",F4209="NEW"),"",COUNTBLANK(OFFSET(A$1,,,SUMPRODUCT(MAX(ROW(E$2:E4209)*(E4209=E$2:E4209)))))-COUNTBLANK(OFFSET(A$1,,,SUMPRODUCT(MAX(ROW(E$1:E4208)*(E2=E$1:E4208))))))</f>
        <v> </v>
      </c>
      <c r="K4209" s="26" t="str">
        <f>IF(OR(E4209="",E4209="!!!",F4209="NEW"),"",INDEX(J$1:J4208,SUMPRODUCT(MAX(ROW(E$1:E4208)*(E4209=E$1:E4208)))))</f>
        <v> </v>
      </c>
      <c r="L4209" s="27"/>
    </row>
    <row r="4210" spans="1:12">
      <c r="A4210" s="20" t="s">
        <v>1590</v>
      </c>
      <c r="B4210" s="21" t="s">
        <v>1097</v>
      </c>
      <c r="C4210" s="21" t="s">
        <v>1149</v>
      </c>
      <c r="E4210" s="22">
        <f>IF(D4210="?OLD","!!!","")</f>
        <v/>
      </c>
      <c r="F4210" s="23" t="str">
        <f>IF(OR(E4210="",E4210="!!!"),"",IF(NOT(ISNA(VLOOKUP(E4210,E$1:E4209,1,FALSE()))),"OLD",IF(AND(E4210&lt;&gt;"",E4210&lt;&gt;"!!!"),"NEW","")))</f>
        <v> </v>
      </c>
      <c r="G4210" s="24" t="str">
        <f>IF(OR(E4210="",E4210="!!!"),"",IF(OR(J4210=0,AND(J4210=1,K4210=1),AND(J4210=1,I4210="SBJ"),AND(J4210=1,I4210=0)),"?IN_FOCUS",IF(J4210&lt;=2,"?ACTIVATED",IF(J4210&lt;&gt;"","?FAMILIAR",IF(F4210="NEW",IF(ISNA(VLOOKUP(E4210,#REF!,1,FALSE())),"?TYPE_IDENTIFIABLE","?REFERENTIAL"),"_")))))</f>
        <v> </v>
      </c>
      <c r="H4210" s="25" t="str">
        <f>IF(J4210&lt;&gt;1,"",IF(I4210="SBJ","CB","?"))</f>
        <v> </v>
      </c>
      <c r="I4210" s="26" t="str">
        <f>IF(OR(E4210="",E4210="!!!",F4210="NEW"),"",INDEX(B4209:B$2,-1+SUMPRODUCT(MAX(ROW(E4209:E$2)*(E4210=E4209:E$2)))))</f>
        <v> </v>
      </c>
      <c r="J4210" s="26" t="str">
        <f>IF(OR(E4210="",E4210="!!!",F4210="NEW"),"",COUNTBLANK(OFFSET(A$1,,,SUMPRODUCT(MAX(ROW(E$2:E4210)*(E4210=E$2:E4210)))))-COUNTBLANK(OFFSET(A$1,,,SUMPRODUCT(MAX(ROW(E$1:E4209)*(E2=E$1:E4209))))))</f>
        <v> </v>
      </c>
      <c r="K4210" s="26" t="str">
        <f>IF(OR(E4210="",E4210="!!!",F4210="NEW"),"",INDEX(J$1:J4209,SUMPRODUCT(MAX(ROW(E$1:E4209)*(E4210=E$1:E4209)))))</f>
        <v> </v>
      </c>
      <c r="L4210" s="27"/>
    </row>
    <row r="4211" spans="1:12">
      <c r="A4211" s="20" t="s">
        <v>923</v>
      </c>
      <c r="E4211" s="22">
        <f>IF(D4211="?OLD","!!!","")</f>
        <v/>
      </c>
      <c r="F4211" s="23" t="str">
        <f>IF(OR(E4211="",E4211="!!!"),"",IF(NOT(ISNA(VLOOKUP(E4211,E$1:E4210,1,FALSE()))),"OLD",IF(AND(E4211&lt;&gt;"",E4211&lt;&gt;"!!!"),"NEW","")))</f>
        <v> </v>
      </c>
      <c r="G4211" s="24" t="str">
        <f>IF(OR(E4211="",E4211="!!!"),"",IF(OR(J4211=0,AND(J4211=1,K4211=1),AND(J4211=1,I4211="SBJ"),AND(J4211=1,I4211=0)),"?IN_FOCUS",IF(J4211&lt;=2,"?ACTIVATED",IF(J4211&lt;&gt;"","?FAMILIAR",IF(F4211="NEW",IF(ISNA(VLOOKUP(E4211,#REF!,1,FALSE())),"?TYPE_IDENTIFIABLE","?REFERENTIAL"),"_")))))</f>
        <v> </v>
      </c>
      <c r="H4211" s="25" t="str">
        <f>IF(J4211&lt;&gt;1,"",IF(I4211="SBJ","CB","?"))</f>
        <v> </v>
      </c>
      <c r="I4211" s="26" t="str">
        <f>IF(OR(E4211="",E4211="!!!",F4211="NEW"),"",INDEX(B4210:B$2,-1+SUMPRODUCT(MAX(ROW(E4210:E$2)*(E4211=E4210:E$2)))))</f>
        <v> </v>
      </c>
      <c r="J4211" s="26" t="str">
        <f>IF(OR(E4211="",E4211="!!!",F4211="NEW"),"",COUNTBLANK(OFFSET(A$1,,,SUMPRODUCT(MAX(ROW(E$2:E4211)*(E4211=E$2:E4211)))))-COUNTBLANK(OFFSET(A$1,,,SUMPRODUCT(MAX(ROW(E$1:E4210)*(E2=E$1:E4210))))))</f>
        <v> </v>
      </c>
      <c r="K4211" s="26" t="str">
        <f>IF(OR(E4211="",E4211="!!!",F4211="NEW"),"",INDEX(J$1:J4210,SUMPRODUCT(MAX(ROW(E$1:E4210)*(E4211=E$1:E4210)))))</f>
        <v> </v>
      </c>
      <c r="L4211" s="27"/>
    </row>
    <row r="4212" spans="1:12">
      <c r="A4212" s="20" t="s">
        <v>607</v>
      </c>
      <c r="E4212" s="22">
        <f>IF(D4212="?OLD","!!!","")</f>
        <v/>
      </c>
      <c r="F4212" s="23" t="str">
        <f>IF(OR(E4212="",E4212="!!!"),"",IF(NOT(ISNA(VLOOKUP(E4212,E$1:E4211,1,FALSE()))),"OLD",IF(AND(E4212&lt;&gt;"",E4212&lt;&gt;"!!!"),"NEW","")))</f>
        <v> </v>
      </c>
      <c r="G4212" s="24" t="str">
        <f>IF(OR(E4212="",E4212="!!!"),"",IF(OR(J4212=0,AND(J4212=1,K4212=1),AND(J4212=1,I4212="SBJ"),AND(J4212=1,I4212=0)),"?IN_FOCUS",IF(J4212&lt;=2,"?ACTIVATED",IF(J4212&lt;&gt;"","?FAMILIAR",IF(F4212="NEW",IF(ISNA(VLOOKUP(E4212,#REF!,1,FALSE())),"?TYPE_IDENTIFIABLE","?REFERENTIAL"),"_")))))</f>
        <v> </v>
      </c>
      <c r="H4212" s="25" t="str">
        <f>IF(J4212&lt;&gt;1,"",IF(I4212="SBJ","CB","?"))</f>
        <v> </v>
      </c>
      <c r="I4212" s="26" t="str">
        <f>IF(OR(E4212="",E4212="!!!",F4212="NEW"),"",INDEX(B4211:B$2,-1+SUMPRODUCT(MAX(ROW(E4211:E$2)*(E4212=E4211:E$2)))))</f>
        <v> </v>
      </c>
      <c r="J4212" s="26" t="str">
        <f>IF(OR(E4212="",E4212="!!!",F4212="NEW"),"",COUNTBLANK(OFFSET(A$1,,,SUMPRODUCT(MAX(ROW(E$2:E4212)*(E4212=E$2:E4212)))))-COUNTBLANK(OFFSET(A$1,,,SUMPRODUCT(MAX(ROW(E$1:E4211)*(E2=E$1:E4211))))))</f>
        <v> </v>
      </c>
      <c r="K4212" s="26" t="str">
        <f>IF(OR(E4212="",E4212="!!!",F4212="NEW"),"",INDEX(J$1:J4211,SUMPRODUCT(MAX(ROW(E$1:E4211)*(E4212=E$1:E4211)))))</f>
        <v> </v>
      </c>
      <c r="L4212" s="27"/>
    </row>
    <row r="4213" spans="1:12">
      <c r="A4213" s="20"/>
    </row>
    <row r="4214" spans="1:12">
      <c r="A4214" s="20" t="s">
        <v>2278</v>
      </c>
    </row>
    <row r="4215" spans="1:12">
      <c r="A4215" s="20" t="s">
        <v>2195</v>
      </c>
      <c r="B4215" s="21" t="s">
        <v>1058</v>
      </c>
      <c r="C4215" s="21" t="s">
        <v>1076</v>
      </c>
      <c r="D4215" s="21" t="s">
        <v>1060</v>
      </c>
      <c r="E4215" s="22">
        <f>IF(D4215="?OLD","!!!","")</f>
        <v/>
      </c>
      <c r="F4215" s="23" t="str">
        <f>IF(OR(E4215="",E4215="!!!"),"",IF(NOT(ISNA(VLOOKUP(E4215,E$1:E4214,1,FALSE()))),"OLD",IF(AND(E4215&lt;&gt;"",E4215&lt;&gt;"!!!"),"NEW","")))</f>
        <v> </v>
      </c>
      <c r="G4215" s="24" t="str">
        <f>IF(OR(E4215="",E4215="!!!"),"",IF(OR(J4215=0,AND(J4215=1,K4215=1),AND(J4215=1,I4215="SBJ"),AND(J4215=1,I4215=0)),"?IN_FOCUS",IF(J4215&lt;=2,"?ACTIVATED",IF(J4215&lt;&gt;"","?FAMILIAR",IF(F4215="NEW",IF(ISNA(VLOOKUP(E4215,#REF!,1,FALSE())),"?TYPE_IDENTIFIABLE","?REFERENTIAL"),"_")))))</f>
        <v> </v>
      </c>
      <c r="H4215" s="25" t="str">
        <f>IF(J4215&lt;&gt;1,"",IF(I4215="SBJ","CB","?"))</f>
        <v> </v>
      </c>
      <c r="I4215" s="26" t="str">
        <f>IF(OR(E4215="",E4215="!!!",F4215="NEW"),"",INDEX(B4214:B$2,-1+SUMPRODUCT(MAX(ROW(E4214:E$2)*(E4215=E4214:E$2)))))</f>
        <v> </v>
      </c>
      <c r="J4215" s="26" t="str">
        <f>IF(OR(E4215="",E4215="!!!",F4215="NEW"),"",COUNTBLANK(OFFSET(A$1,,,SUMPRODUCT(MAX(ROW(E$2:E4215)*(E4215=E$2:E4215)))))-COUNTBLANK(OFFSET(A$1,,,SUMPRODUCT(MAX(ROW(E$1:E4214)*(E2=E$1:E4214))))))</f>
        <v> </v>
      </c>
      <c r="K4215" s="26" t="str">
        <f>IF(OR(E4215="",E4215="!!!",F4215="NEW"),"",INDEX(J$1:J4214,SUMPRODUCT(MAX(ROW(E$1:E4214)*(E4215=E$1:E4214)))))</f>
        <v> </v>
      </c>
      <c r="L4215" s="27"/>
    </row>
    <row r="4216" spans="1:12">
      <c r="A4216" s="20" t="s">
        <v>2279</v>
      </c>
      <c r="E4216" s="22">
        <f>IF(D4216="?OLD","!!!","")</f>
        <v/>
      </c>
      <c r="F4216" s="23" t="str">
        <f>IF(OR(E4216="",E4216="!!!"),"",IF(NOT(ISNA(VLOOKUP(E4216,E$1:E4215,1,FALSE()))),"OLD",IF(AND(E4216&lt;&gt;"",E4216&lt;&gt;"!!!"),"NEW","")))</f>
        <v> </v>
      </c>
      <c r="G4216" s="24" t="str">
        <f>IF(OR(E4216="",E4216="!!!"),"",IF(OR(J4216=0,AND(J4216=1,K4216=1),AND(J4216=1,I4216="SBJ"),AND(J4216=1,I4216=0)),"?IN_FOCUS",IF(J4216&lt;=2,"?ACTIVATED",IF(J4216&lt;&gt;"","?FAMILIAR",IF(F4216="NEW",IF(ISNA(VLOOKUP(E4216,#REF!,1,FALSE())),"?TYPE_IDENTIFIABLE","?REFERENTIAL"),"_")))))</f>
        <v> </v>
      </c>
      <c r="H4216" s="25" t="str">
        <f>IF(J4216&lt;&gt;1,"",IF(I4216="SBJ","CB","?"))</f>
        <v> </v>
      </c>
      <c r="I4216" s="26" t="str">
        <f>IF(OR(E4216="",E4216="!!!",F4216="NEW"),"",INDEX(B4215:B$2,-1+SUMPRODUCT(MAX(ROW(E4215:E$2)*(E4216=E4215:E$2)))))</f>
        <v> </v>
      </c>
      <c r="J4216" s="26" t="str">
        <f>IF(OR(E4216="",E4216="!!!",F4216="NEW"),"",COUNTBLANK(OFFSET(A$1,,,SUMPRODUCT(MAX(ROW(E$2:E4216)*(E4216=E$2:E4216)))))-COUNTBLANK(OFFSET(A$1,,,SUMPRODUCT(MAX(ROW(E$1:E4215)*(E2=E$1:E4215))))))</f>
        <v> </v>
      </c>
      <c r="K4216" s="26" t="str">
        <f>IF(OR(E4216="",E4216="!!!",F4216="NEW"),"",INDEX(J$1:J4215,SUMPRODUCT(MAX(ROW(E$1:E4215)*(E4216=E$1:E4215)))))</f>
        <v> </v>
      </c>
      <c r="L4216" s="27"/>
    </row>
    <row r="4217" spans="1:12">
      <c r="A4217" s="20" t="s">
        <v>1118</v>
      </c>
      <c r="E4217" s="22">
        <f>IF(D4217="?OLD","!!!","")</f>
        <v/>
      </c>
      <c r="F4217" s="23" t="str">
        <f>IF(OR(E4217="",E4217="!!!"),"",IF(NOT(ISNA(VLOOKUP(E4217,E$1:E4216,1,FALSE()))),"OLD",IF(AND(E4217&lt;&gt;"",E4217&lt;&gt;"!!!"),"NEW","")))</f>
        <v> </v>
      </c>
      <c r="G4217" s="24" t="str">
        <f>IF(OR(E4217="",E4217="!!!"),"",IF(OR(J4217=0,AND(J4217=1,K4217=1),AND(J4217=1,I4217="SBJ"),AND(J4217=1,I4217=0)),"?IN_FOCUS",IF(J4217&lt;=2,"?ACTIVATED",IF(J4217&lt;&gt;"","?FAMILIAR",IF(F4217="NEW",IF(ISNA(VLOOKUP(E4217,#REF!,1,FALSE())),"?TYPE_IDENTIFIABLE","?REFERENTIAL"),"_")))))</f>
        <v> </v>
      </c>
      <c r="H4217" s="25" t="str">
        <f>IF(J4217&lt;&gt;1,"",IF(I4217="SBJ","CB","?"))</f>
        <v> </v>
      </c>
      <c r="I4217" s="26" t="str">
        <f>IF(OR(E4217="",E4217="!!!",F4217="NEW"),"",INDEX(B4216:B$2,-1+SUMPRODUCT(MAX(ROW(E4216:E$2)*(E4217=E4216:E$2)))))</f>
        <v> </v>
      </c>
      <c r="J4217" s="26" t="str">
        <f>IF(OR(E4217="",E4217="!!!",F4217="NEW"),"",COUNTBLANK(OFFSET(A$1,,,SUMPRODUCT(MAX(ROW(E$2:E4217)*(E4217=E$2:E4217)))))-COUNTBLANK(OFFSET(A$1,,,SUMPRODUCT(MAX(ROW(E$1:E4216)*(E2=E$1:E4216))))))</f>
        <v> </v>
      </c>
      <c r="K4217" s="26" t="str">
        <f>IF(OR(E4217="",E4217="!!!",F4217="NEW"),"",INDEX(J$1:J4216,SUMPRODUCT(MAX(ROW(E$1:E4216)*(E4217=E$1:E4216)))))</f>
        <v> </v>
      </c>
      <c r="L4217" s="27"/>
    </row>
    <row r="4218" spans="1:12">
      <c r="A4218" s="20" t="s">
        <v>1712</v>
      </c>
      <c r="E4218" s="22">
        <f>IF(D4218="?OLD","!!!","")</f>
        <v/>
      </c>
      <c r="F4218" s="23" t="str">
        <f>IF(OR(E4218="",E4218="!!!"),"",IF(NOT(ISNA(VLOOKUP(E4218,E$1:E4217,1,FALSE()))),"OLD",IF(AND(E4218&lt;&gt;"",E4218&lt;&gt;"!!!"),"NEW","")))</f>
        <v> </v>
      </c>
      <c r="G4218" s="24" t="str">
        <f>IF(OR(E4218="",E4218="!!!"),"",IF(OR(J4218=0,AND(J4218=1,K4218=1),AND(J4218=1,I4218="SBJ"),AND(J4218=1,I4218=0)),"?IN_FOCUS",IF(J4218&lt;=2,"?ACTIVATED",IF(J4218&lt;&gt;"","?FAMILIAR",IF(F4218="NEW",IF(ISNA(VLOOKUP(E4218,#REF!,1,FALSE())),"?TYPE_IDENTIFIABLE","?REFERENTIAL"),"_")))))</f>
        <v> </v>
      </c>
      <c r="H4218" s="25" t="str">
        <f>IF(J4218&lt;&gt;1,"",IF(I4218="SBJ","CB","?"))</f>
        <v> </v>
      </c>
      <c r="I4218" s="26" t="str">
        <f>IF(OR(E4218="",E4218="!!!",F4218="NEW"),"",INDEX(B4217:B$2,-1+SUMPRODUCT(MAX(ROW(E4217:E$2)*(E4218=E4217:E$2)))))</f>
        <v> </v>
      </c>
      <c r="J4218" s="26" t="str">
        <f>IF(OR(E4218="",E4218="!!!",F4218="NEW"),"",COUNTBLANK(OFFSET(A$1,,,SUMPRODUCT(MAX(ROW(E$2:E4218)*(E4218=E$2:E4218)))))-COUNTBLANK(OFFSET(A$1,,,SUMPRODUCT(MAX(ROW(E$1:E4217)*(E2=E$1:E4217))))))</f>
        <v> </v>
      </c>
      <c r="K4218" s="26" t="str">
        <f>IF(OR(E4218="",E4218="!!!",F4218="NEW"),"",INDEX(J$1:J4217,SUMPRODUCT(MAX(ROW(E$1:E4217)*(E4218=E$1:E4217)))))</f>
        <v> </v>
      </c>
      <c r="L4218" s="27"/>
    </row>
    <row r="4219" spans="1:12">
      <c r="A4219" s="20" t="s">
        <v>2179</v>
      </c>
      <c r="B4219" s="21" t="s">
        <v>1064</v>
      </c>
      <c r="C4219" s="21" t="s">
        <v>1092</v>
      </c>
      <c r="D4219" s="21" t="s">
        <v>1060</v>
      </c>
      <c r="E4219" s="22">
        <f>IF(D4219="?OLD","!!!","")</f>
        <v/>
      </c>
      <c r="F4219" s="23" t="str">
        <f>IF(OR(E4219="",E4219="!!!"),"",IF(NOT(ISNA(VLOOKUP(E4219,E$1:E4218,1,FALSE()))),"OLD",IF(AND(E4219&lt;&gt;"",E4219&lt;&gt;"!!!"),"NEW","")))</f>
        <v> </v>
      </c>
      <c r="G4219" s="24" t="str">
        <f>IF(OR(E4219="",E4219="!!!"),"",IF(OR(J4219=0,AND(J4219=1,K4219=1),AND(J4219=1,I4219="SBJ"),AND(J4219=1,I4219=0)),"?IN_FOCUS",IF(J4219&lt;=2,"?ACTIVATED",IF(J4219&lt;&gt;"","?FAMILIAR",IF(F4219="NEW",IF(ISNA(VLOOKUP(E4219,#REF!,1,FALSE())),"?TYPE_IDENTIFIABLE","?REFERENTIAL"),"_")))))</f>
        <v> </v>
      </c>
      <c r="H4219" s="25" t="str">
        <f>IF(J4219&lt;&gt;1,"",IF(I4219="SBJ","CB","?"))</f>
        <v> </v>
      </c>
      <c r="I4219" s="26" t="str">
        <f>IF(OR(E4219="",E4219="!!!",F4219="NEW"),"",INDEX(B4218:B$2,-1+SUMPRODUCT(MAX(ROW(E4218:E$2)*(E4219=E4218:E$2)))))</f>
        <v> </v>
      </c>
      <c r="J4219" s="26" t="str">
        <f>IF(OR(E4219="",E4219="!!!",F4219="NEW"),"",COUNTBLANK(OFFSET(A$1,,,SUMPRODUCT(MAX(ROW(E$2:E4219)*(E4219=E$2:E4219)))))-COUNTBLANK(OFFSET(A$1,,,SUMPRODUCT(MAX(ROW(E$1:E4218)*(E2=E$1:E4218))))))</f>
        <v> </v>
      </c>
      <c r="K4219" s="26" t="str">
        <f>IF(OR(E4219="",E4219="!!!",F4219="NEW"),"",INDEX(J$1:J4218,SUMPRODUCT(MAX(ROW(E$1:E4218)*(E4219=E$1:E4218)))))</f>
        <v> </v>
      </c>
      <c r="L4219" s="27"/>
    </row>
    <row r="4220" spans="1:12">
      <c r="A4220" s="20" t="s">
        <v>1681</v>
      </c>
      <c r="B4220" s="21" t="s">
        <v>1132</v>
      </c>
      <c r="C4220" s="21" t="s">
        <v>1059</v>
      </c>
      <c r="D4220" s="21" t="s">
        <v>1060</v>
      </c>
      <c r="E4220" s="22">
        <f>IF(D4220="?OLD","!!!","")</f>
        <v/>
      </c>
      <c r="F4220" s="23" t="str">
        <f>IF(OR(E4220="",E4220="!!!"),"",IF(NOT(ISNA(VLOOKUP(E4220,E$1:E4219,1,FALSE()))),"OLD",IF(AND(E4220&lt;&gt;"",E4220&lt;&gt;"!!!"),"NEW","")))</f>
        <v> </v>
      </c>
      <c r="G4220" s="24" t="str">
        <f>IF(OR(E4220="",E4220="!!!"),"",IF(OR(J4220=0,AND(J4220=1,K4220=1),AND(J4220=1,I4220="SBJ"),AND(J4220=1,I4220=0)),"?IN_FOCUS",IF(J4220&lt;=2,"?ACTIVATED",IF(J4220&lt;&gt;"","?FAMILIAR",IF(F4220="NEW",IF(ISNA(VLOOKUP(E4220,#REF!,1,FALSE())),"?TYPE_IDENTIFIABLE","?REFERENTIAL"),"_")))))</f>
        <v> </v>
      </c>
      <c r="H4220" s="25" t="str">
        <f>IF(J4220&lt;&gt;1,"",IF(I4220="SBJ","CB","?"))</f>
        <v> </v>
      </c>
      <c r="I4220" s="26" t="str">
        <f>IF(OR(E4220="",E4220="!!!",F4220="NEW"),"",INDEX(B4219:B$2,-1+SUMPRODUCT(MAX(ROW(E4219:E$2)*(E4220=E4219:E$2)))))</f>
        <v> </v>
      </c>
      <c r="J4220" s="26" t="str">
        <f>IF(OR(E4220="",E4220="!!!",F4220="NEW"),"",COUNTBLANK(OFFSET(A$1,,,SUMPRODUCT(MAX(ROW(E$2:E4220)*(E4220=E$2:E4220)))))-COUNTBLANK(OFFSET(A$1,,,SUMPRODUCT(MAX(ROW(E$1:E4219)*(E2=E$1:E4219))))))</f>
        <v> </v>
      </c>
      <c r="K4220" s="26" t="str">
        <f>IF(OR(E4220="",E4220="!!!",F4220="NEW"),"",INDEX(J$1:J4219,SUMPRODUCT(MAX(ROW(E$1:E4219)*(E4220=E$1:E4219)))))</f>
        <v> </v>
      </c>
      <c r="L4220" s="27"/>
    </row>
    <row r="4221" spans="1:12">
      <c r="A4221" s="20" t="s">
        <v>923</v>
      </c>
      <c r="E4221" s="22">
        <f>IF(D4221="?OLD","!!!","")</f>
        <v/>
      </c>
      <c r="F4221" s="23" t="str">
        <f>IF(OR(E4221="",E4221="!!!"),"",IF(NOT(ISNA(VLOOKUP(E4221,E$1:E4220,1,FALSE()))),"OLD",IF(AND(E4221&lt;&gt;"",E4221&lt;&gt;"!!!"),"NEW","")))</f>
        <v> </v>
      </c>
      <c r="G4221" s="24" t="str">
        <f>IF(OR(E4221="",E4221="!!!"),"",IF(OR(J4221=0,AND(J4221=1,K4221=1),AND(J4221=1,I4221="SBJ"),AND(J4221=1,I4221=0)),"?IN_FOCUS",IF(J4221&lt;=2,"?ACTIVATED",IF(J4221&lt;&gt;"","?FAMILIAR",IF(F4221="NEW",IF(ISNA(VLOOKUP(E4221,#REF!,1,FALSE())),"?TYPE_IDENTIFIABLE","?REFERENTIAL"),"_")))))</f>
        <v> </v>
      </c>
      <c r="H4221" s="25" t="str">
        <f>IF(J4221&lt;&gt;1,"",IF(I4221="SBJ","CB","?"))</f>
        <v> </v>
      </c>
      <c r="I4221" s="26" t="str">
        <f>IF(OR(E4221="",E4221="!!!",F4221="NEW"),"",INDEX(B4220:B$2,-1+SUMPRODUCT(MAX(ROW(E4220:E$2)*(E4221=E4220:E$2)))))</f>
        <v> </v>
      </c>
      <c r="J4221" s="26" t="str">
        <f>IF(OR(E4221="",E4221="!!!",F4221="NEW"),"",COUNTBLANK(OFFSET(A$1,,,SUMPRODUCT(MAX(ROW(E$2:E4221)*(E4221=E$2:E4221)))))-COUNTBLANK(OFFSET(A$1,,,SUMPRODUCT(MAX(ROW(E$1:E4220)*(E2=E$1:E4220))))))</f>
        <v> </v>
      </c>
      <c r="K4221" s="26" t="str">
        <f>IF(OR(E4221="",E4221="!!!",F4221="NEW"),"",INDEX(J$1:J4220,SUMPRODUCT(MAX(ROW(E$1:E4220)*(E4221=E$1:E4220)))))</f>
        <v> </v>
      </c>
      <c r="L4221" s="27"/>
    </row>
    <row r="4222" spans="1:12">
      <c r="A4222" s="20"/>
    </row>
    <row r="4223" spans="1:12">
      <c r="A4223" s="20" t="s">
        <v>2280</v>
      </c>
    </row>
    <row r="4224" spans="1:12">
      <c r="A4224" s="20" t="s">
        <v>2281</v>
      </c>
      <c r="B4224" s="21" t="s">
        <v>1097</v>
      </c>
      <c r="C4224" s="21" t="s">
        <v>1092</v>
      </c>
      <c r="D4224" s="21" t="s">
        <v>1060</v>
      </c>
      <c r="E4224" s="22">
        <f>IF(D4224="?OLD","!!!","")</f>
        <v/>
      </c>
      <c r="F4224" s="23" t="str">
        <f>IF(OR(E4224="",E4224="!!!"),"",IF(NOT(ISNA(VLOOKUP(E4224,E$1:E4223,1,FALSE()))),"OLD",IF(AND(E4224&lt;&gt;"",E4224&lt;&gt;"!!!"),"NEW","")))</f>
        <v> </v>
      </c>
      <c r="G4224" s="24" t="str">
        <f>IF(OR(E4224="",E4224="!!!"),"",IF(OR(J4224=0,AND(J4224=1,K4224=1),AND(J4224=1,I4224="SBJ"),AND(J4224=1,I4224=0)),"?IN_FOCUS",IF(J4224&lt;=2,"?ACTIVATED",IF(J4224&lt;&gt;"","?FAMILIAR",IF(F4224="NEW",IF(ISNA(VLOOKUP(E4224,#REF!,1,FALSE())),"?TYPE_IDENTIFIABLE","?REFERENTIAL"),"_")))))</f>
        <v> </v>
      </c>
      <c r="H4224" s="25" t="str">
        <f>IF(J4224&lt;&gt;1,"",IF(I4224="SBJ","CB","?"))</f>
        <v> </v>
      </c>
      <c r="I4224" s="26" t="str">
        <f>IF(OR(E4224="",E4224="!!!",F4224="NEW"),"",INDEX(B4223:B$2,-1+SUMPRODUCT(MAX(ROW(E4223:E$2)*(E4224=E4223:E$2)))))</f>
        <v> </v>
      </c>
      <c r="J4224" s="26" t="str">
        <f>IF(OR(E4224="",E4224="!!!",F4224="NEW"),"",COUNTBLANK(OFFSET(A$1,,,SUMPRODUCT(MAX(ROW(E$2:E4224)*(E4224=E$2:E4224)))))-COUNTBLANK(OFFSET(A$1,,,SUMPRODUCT(MAX(ROW(E$1:E4223)*(E2=E$1:E4223))))))</f>
        <v> </v>
      </c>
      <c r="K4224" s="26" t="str">
        <f>IF(OR(E4224="",E4224="!!!",F4224="NEW"),"",INDEX(J$1:J4223,SUMPRODUCT(MAX(ROW(E$1:E4223)*(E4224=E$1:E4223)))))</f>
        <v> </v>
      </c>
      <c r="L4224" s="27"/>
    </row>
    <row r="4225" spans="1:12">
      <c r="A4225" s="20" t="s">
        <v>1775</v>
      </c>
      <c r="B4225" s="21" t="s">
        <v>1097</v>
      </c>
      <c r="C4225" s="21" t="s">
        <v>1059</v>
      </c>
      <c r="D4225" s="21" t="s">
        <v>1060</v>
      </c>
      <c r="E4225" s="22">
        <f>IF(D4225="?OLD","!!!","")</f>
        <v/>
      </c>
      <c r="F4225" s="23" t="str">
        <f>IF(OR(E4225="",E4225="!!!"),"",IF(NOT(ISNA(VLOOKUP(E4225,E$1:E4224,1,FALSE()))),"OLD",IF(AND(E4225&lt;&gt;"",E4225&lt;&gt;"!!!"),"NEW","")))</f>
        <v> </v>
      </c>
      <c r="G4225" s="24" t="str">
        <f>IF(OR(E4225="",E4225="!!!"),"",IF(OR(J4225=0,AND(J4225=1,K4225=1),AND(J4225=1,I4225="SBJ"),AND(J4225=1,I4225=0)),"?IN_FOCUS",IF(J4225&lt;=2,"?ACTIVATED",IF(J4225&lt;&gt;"","?FAMILIAR",IF(F4225="NEW",IF(ISNA(VLOOKUP(E4225,#REF!,1,FALSE())),"?TYPE_IDENTIFIABLE","?REFERENTIAL"),"_")))))</f>
        <v> </v>
      </c>
      <c r="H4225" s="25" t="str">
        <f>IF(J4225&lt;&gt;1,"",IF(I4225="SBJ","CB","?"))</f>
        <v> </v>
      </c>
      <c r="I4225" s="26" t="str">
        <f>IF(OR(E4225="",E4225="!!!",F4225="NEW"),"",INDEX(B4224:B$2,-1+SUMPRODUCT(MAX(ROW(E4224:E$2)*(E4225=E4224:E$2)))))</f>
        <v> </v>
      </c>
      <c r="J4225" s="26" t="str">
        <f>IF(OR(E4225="",E4225="!!!",F4225="NEW"),"",COUNTBLANK(OFFSET(A$1,,,SUMPRODUCT(MAX(ROW(E$2:E4225)*(E4225=E$2:E4225)))))-COUNTBLANK(OFFSET(A$1,,,SUMPRODUCT(MAX(ROW(E$1:E4224)*(E2=E$1:E4224))))))</f>
        <v> </v>
      </c>
      <c r="K4225" s="26" t="str">
        <f>IF(OR(E4225="",E4225="!!!",F4225="NEW"),"",INDEX(J$1:J4224,SUMPRODUCT(MAX(ROW(E$1:E4224)*(E4225=E$1:E4224)))))</f>
        <v> </v>
      </c>
      <c r="L4225" s="27"/>
    </row>
    <row r="4226" spans="1:12">
      <c r="A4226" s="20" t="s">
        <v>1118</v>
      </c>
      <c r="E4226" s="22">
        <f>IF(D4226="?OLD","!!!","")</f>
        <v/>
      </c>
      <c r="F4226" s="23" t="str">
        <f>IF(OR(E4226="",E4226="!!!"),"",IF(NOT(ISNA(VLOOKUP(E4226,E$1:E4225,1,FALSE()))),"OLD",IF(AND(E4226&lt;&gt;"",E4226&lt;&gt;"!!!"),"NEW","")))</f>
        <v> </v>
      </c>
      <c r="G4226" s="24" t="str">
        <f>IF(OR(E4226="",E4226="!!!"),"",IF(OR(J4226=0,AND(J4226=1,K4226=1),AND(J4226=1,I4226="SBJ"),AND(J4226=1,I4226=0)),"?IN_FOCUS",IF(J4226&lt;=2,"?ACTIVATED",IF(J4226&lt;&gt;"","?FAMILIAR",IF(F4226="NEW",IF(ISNA(VLOOKUP(E4226,#REF!,1,FALSE())),"?TYPE_IDENTIFIABLE","?REFERENTIAL"),"_")))))</f>
        <v> </v>
      </c>
      <c r="H4226" s="25" t="str">
        <f>IF(J4226&lt;&gt;1,"",IF(I4226="SBJ","CB","?"))</f>
        <v> </v>
      </c>
      <c r="I4226" s="26" t="str">
        <f>IF(OR(E4226="",E4226="!!!",F4226="NEW"),"",INDEX(B4225:B$2,-1+SUMPRODUCT(MAX(ROW(E4225:E$2)*(E4226=E4225:E$2)))))</f>
        <v> </v>
      </c>
      <c r="J4226" s="26" t="str">
        <f>IF(OR(E4226="",E4226="!!!",F4226="NEW"),"",COUNTBLANK(OFFSET(A$1,,,SUMPRODUCT(MAX(ROW(E$2:E4226)*(E4226=E$2:E4226)))))-COUNTBLANK(OFFSET(A$1,,,SUMPRODUCT(MAX(ROW(E$1:E4225)*(E2=E$1:E4225))))))</f>
        <v> </v>
      </c>
      <c r="K4226" s="26" t="str">
        <f>IF(OR(E4226="",E4226="!!!",F4226="NEW"),"",INDEX(J$1:J4225,SUMPRODUCT(MAX(ROW(E$1:E4225)*(E4226=E$1:E4225)))))</f>
        <v> </v>
      </c>
      <c r="L4226" s="27"/>
    </row>
    <row r="4227" spans="1:12">
      <c r="A4227" s="20" t="s">
        <v>1941</v>
      </c>
      <c r="B4227" s="21" t="s">
        <v>1097</v>
      </c>
      <c r="C4227" s="21" t="s">
        <v>1149</v>
      </c>
      <c r="E4227" s="22">
        <f>IF(D4227="?OLD","!!!","")</f>
        <v/>
      </c>
      <c r="F4227" s="23" t="str">
        <f>IF(OR(E4227="",E4227="!!!"),"",IF(NOT(ISNA(VLOOKUP(E4227,E$1:E4226,1,FALSE()))),"OLD",IF(AND(E4227&lt;&gt;"",E4227&lt;&gt;"!!!"),"NEW","")))</f>
        <v> </v>
      </c>
      <c r="G4227" s="24" t="str">
        <f>IF(OR(E4227="",E4227="!!!"),"",IF(OR(J4227=0,AND(J4227=1,K4227=1),AND(J4227=1,I4227="SBJ"),AND(J4227=1,I4227=0)),"?IN_FOCUS",IF(J4227&lt;=2,"?ACTIVATED",IF(J4227&lt;&gt;"","?FAMILIAR",IF(F4227="NEW",IF(ISNA(VLOOKUP(E4227,#REF!,1,FALSE())),"?TYPE_IDENTIFIABLE","?REFERENTIAL"),"_")))))</f>
        <v> </v>
      </c>
      <c r="H4227" s="25" t="str">
        <f>IF(J4227&lt;&gt;1,"",IF(I4227="SBJ","CB","?"))</f>
        <v> </v>
      </c>
      <c r="I4227" s="26" t="str">
        <f>IF(OR(E4227="",E4227="!!!",F4227="NEW"),"",INDEX(B4226:B$2,-1+SUMPRODUCT(MAX(ROW(E4226:E$2)*(E4227=E4226:E$2)))))</f>
        <v> </v>
      </c>
      <c r="J4227" s="26" t="str">
        <f>IF(OR(E4227="",E4227="!!!",F4227="NEW"),"",COUNTBLANK(OFFSET(A$1,,,SUMPRODUCT(MAX(ROW(E$2:E4227)*(E4227=E$2:E4227)))))-COUNTBLANK(OFFSET(A$1,,,SUMPRODUCT(MAX(ROW(E$1:E4226)*(E2=E$1:E4226))))))</f>
        <v> </v>
      </c>
      <c r="K4227" s="26" t="str">
        <f>IF(OR(E4227="",E4227="!!!",F4227="NEW"),"",INDEX(J$1:J4226,SUMPRODUCT(MAX(ROW(E$1:E4226)*(E4227=E$1:E4226)))))</f>
        <v> </v>
      </c>
      <c r="L4227" s="27"/>
    </row>
    <row r="4228" spans="1:12">
      <c r="A4228" s="20" t="s">
        <v>1989</v>
      </c>
      <c r="E4228" s="22">
        <f>IF(D4228="?OLD","!!!","")</f>
        <v/>
      </c>
      <c r="F4228" s="23" t="str">
        <f>IF(OR(E4228="",E4228="!!!"),"",IF(NOT(ISNA(VLOOKUP(E4228,E$1:E4227,1,FALSE()))),"OLD",IF(AND(E4228&lt;&gt;"",E4228&lt;&gt;"!!!"),"NEW","")))</f>
        <v> </v>
      </c>
      <c r="G4228" s="24" t="str">
        <f>IF(OR(E4228="",E4228="!!!"),"",IF(OR(J4228=0,AND(J4228=1,K4228=1),AND(J4228=1,I4228="SBJ"),AND(J4228=1,I4228=0)),"?IN_FOCUS",IF(J4228&lt;=2,"?ACTIVATED",IF(J4228&lt;&gt;"","?FAMILIAR",IF(F4228="NEW",IF(ISNA(VLOOKUP(E4228,#REF!,1,FALSE())),"?TYPE_IDENTIFIABLE","?REFERENTIAL"),"_")))))</f>
        <v> </v>
      </c>
      <c r="H4228" s="25" t="str">
        <f>IF(J4228&lt;&gt;1,"",IF(I4228="SBJ","CB","?"))</f>
        <v> </v>
      </c>
      <c r="I4228" s="26" t="str">
        <f>IF(OR(E4228="",E4228="!!!",F4228="NEW"),"",INDEX(B4227:B$2,-1+SUMPRODUCT(MAX(ROW(E4227:E$2)*(E4228=E4227:E$2)))))</f>
        <v> </v>
      </c>
      <c r="J4228" s="26" t="str">
        <f>IF(OR(E4228="",E4228="!!!",F4228="NEW"),"",COUNTBLANK(OFFSET(A$1,,,SUMPRODUCT(MAX(ROW(E$2:E4228)*(E4228=E$2:E4228)))))-COUNTBLANK(OFFSET(A$1,,,SUMPRODUCT(MAX(ROW(E$1:E4227)*(E2=E$1:E4227))))))</f>
        <v> </v>
      </c>
      <c r="K4228" s="26" t="str">
        <f>IF(OR(E4228="",E4228="!!!",F4228="NEW"),"",INDEX(J$1:J4227,SUMPRODUCT(MAX(ROW(E$1:E4227)*(E4228=E$1:E4227)))))</f>
        <v> </v>
      </c>
      <c r="L4228" s="27"/>
    </row>
    <row r="4229" spans="1:12">
      <c r="A4229" s="20" t="s">
        <v>1194</v>
      </c>
      <c r="E4229" s="22">
        <f>IF(D4229="?OLD","!!!","")</f>
        <v/>
      </c>
      <c r="F4229" s="23" t="str">
        <f>IF(OR(E4229="",E4229="!!!"),"",IF(NOT(ISNA(VLOOKUP(E4229,E$1:E4228,1,FALSE()))),"OLD",IF(AND(E4229&lt;&gt;"",E4229&lt;&gt;"!!!"),"NEW","")))</f>
        <v> </v>
      </c>
      <c r="G4229" s="24" t="str">
        <f>IF(OR(E4229="",E4229="!!!"),"",IF(OR(J4229=0,AND(J4229=1,K4229=1),AND(J4229=1,I4229="SBJ"),AND(J4229=1,I4229=0)),"?IN_FOCUS",IF(J4229&lt;=2,"?ACTIVATED",IF(J4229&lt;&gt;"","?FAMILIAR",IF(F4229="NEW",IF(ISNA(VLOOKUP(E4229,#REF!,1,FALSE())),"?TYPE_IDENTIFIABLE","?REFERENTIAL"),"_")))))</f>
        <v> </v>
      </c>
      <c r="H4229" s="25" t="str">
        <f>IF(J4229&lt;&gt;1,"",IF(I4229="SBJ","CB","?"))</f>
        <v> </v>
      </c>
      <c r="I4229" s="26" t="str">
        <f>IF(OR(E4229="",E4229="!!!",F4229="NEW"),"",INDEX(B4228:B$2,-1+SUMPRODUCT(MAX(ROW(E4228:E$2)*(E4229=E4228:E$2)))))</f>
        <v> </v>
      </c>
      <c r="J4229" s="26" t="str">
        <f>IF(OR(E4229="",E4229="!!!",F4229="NEW"),"",COUNTBLANK(OFFSET(A$1,,,SUMPRODUCT(MAX(ROW(E$2:E4229)*(E4229=E$2:E4229)))))-COUNTBLANK(OFFSET(A$1,,,SUMPRODUCT(MAX(ROW(E$1:E4228)*(E2=E$1:E4228))))))</f>
        <v> </v>
      </c>
      <c r="K4229" s="26" t="str">
        <f>IF(OR(E4229="",E4229="!!!",F4229="NEW"),"",INDEX(J$1:J4228,SUMPRODUCT(MAX(ROW(E$1:E4228)*(E4229=E$1:E4228)))))</f>
        <v> </v>
      </c>
      <c r="L4229" s="27"/>
    </row>
    <row r="4230" spans="1:12">
      <c r="A4230" s="20" t="s">
        <v>2282</v>
      </c>
      <c r="E4230" s="22">
        <f>IF(D4230="?OLD","!!!","")</f>
        <v/>
      </c>
      <c r="F4230" s="23" t="str">
        <f>IF(OR(E4230="",E4230="!!!"),"",IF(NOT(ISNA(VLOOKUP(E4230,E$1:E4229,1,FALSE()))),"OLD",IF(AND(E4230&lt;&gt;"",E4230&lt;&gt;"!!!"),"NEW","")))</f>
        <v> </v>
      </c>
      <c r="G4230" s="24" t="str">
        <f>IF(OR(E4230="",E4230="!!!"),"",IF(OR(J4230=0,AND(J4230=1,K4230=1),AND(J4230=1,I4230="SBJ"),AND(J4230=1,I4230=0)),"?IN_FOCUS",IF(J4230&lt;=2,"?ACTIVATED",IF(J4230&lt;&gt;"","?FAMILIAR",IF(F4230="NEW",IF(ISNA(VLOOKUP(E4230,#REF!,1,FALSE())),"?TYPE_IDENTIFIABLE","?REFERENTIAL"),"_")))))</f>
        <v> </v>
      </c>
      <c r="H4230" s="25" t="str">
        <f>IF(J4230&lt;&gt;1,"",IF(I4230="SBJ","CB","?"))</f>
        <v> </v>
      </c>
      <c r="I4230" s="26" t="str">
        <f>IF(OR(E4230="",E4230="!!!",F4230="NEW"),"",INDEX(B4229:B$2,-1+SUMPRODUCT(MAX(ROW(E4229:E$2)*(E4230=E4229:E$2)))))</f>
        <v> </v>
      </c>
      <c r="J4230" s="26" t="str">
        <f>IF(OR(E4230="",E4230="!!!",F4230="NEW"),"",COUNTBLANK(OFFSET(A$1,,,SUMPRODUCT(MAX(ROW(E$2:E4230)*(E4230=E$2:E4230)))))-COUNTBLANK(OFFSET(A$1,,,SUMPRODUCT(MAX(ROW(E$1:E4229)*(E2=E$1:E4229))))))</f>
        <v> </v>
      </c>
      <c r="K4230" s="26" t="str">
        <f>IF(OR(E4230="",E4230="!!!",F4230="NEW"),"",INDEX(J$1:J4229,SUMPRODUCT(MAX(ROW(E$1:E4229)*(E4230=E$1:E4229)))))</f>
        <v> </v>
      </c>
      <c r="L4230" s="27"/>
    </row>
    <row r="4231" spans="1:12">
      <c r="A4231" s="20" t="s">
        <v>2283</v>
      </c>
      <c r="B4231" s="21" t="s">
        <v>1068</v>
      </c>
      <c r="C4231" s="21" t="s">
        <v>1149</v>
      </c>
      <c r="E4231" s="22">
        <f>IF(D4231="?OLD","!!!","")</f>
        <v/>
      </c>
      <c r="F4231" s="23" t="str">
        <f>IF(OR(E4231="",E4231="!!!"),"",IF(NOT(ISNA(VLOOKUP(E4231,E$1:E4230,1,FALSE()))),"OLD",IF(AND(E4231&lt;&gt;"",E4231&lt;&gt;"!!!"),"NEW","")))</f>
        <v> </v>
      </c>
      <c r="G4231" s="24" t="str">
        <f>IF(OR(E4231="",E4231="!!!"),"",IF(OR(J4231=0,AND(J4231=1,K4231=1),AND(J4231=1,I4231="SBJ"),AND(J4231=1,I4231=0)),"?IN_FOCUS",IF(J4231&lt;=2,"?ACTIVATED",IF(J4231&lt;&gt;"","?FAMILIAR",IF(F4231="NEW",IF(ISNA(VLOOKUP(E4231,#REF!,1,FALSE())),"?TYPE_IDENTIFIABLE","?REFERENTIAL"),"_")))))</f>
        <v> </v>
      </c>
      <c r="H4231" s="25" t="str">
        <f>IF(J4231&lt;&gt;1,"",IF(I4231="SBJ","CB","?"))</f>
        <v> </v>
      </c>
      <c r="I4231" s="26" t="str">
        <f>IF(OR(E4231="",E4231="!!!",F4231="NEW"),"",INDEX(B4230:B$2,-1+SUMPRODUCT(MAX(ROW(E4230:E$2)*(E4231=E4230:E$2)))))</f>
        <v> </v>
      </c>
      <c r="J4231" s="26" t="str">
        <f>IF(OR(E4231="",E4231="!!!",F4231="NEW"),"",COUNTBLANK(OFFSET(A$1,,,SUMPRODUCT(MAX(ROW(E$2:E4231)*(E4231=E$2:E4231)))))-COUNTBLANK(OFFSET(A$1,,,SUMPRODUCT(MAX(ROW(E$1:E4230)*(E2=E$1:E4230))))))</f>
        <v> </v>
      </c>
      <c r="K4231" s="26" t="str">
        <f>IF(OR(E4231="",E4231="!!!",F4231="NEW"),"",INDEX(J$1:J4230,SUMPRODUCT(MAX(ROW(E$1:E4230)*(E4231=E$1:E4230)))))</f>
        <v> </v>
      </c>
      <c r="L4231" s="27"/>
    </row>
    <row r="4232" spans="1:12">
      <c r="A4232" s="20" t="s">
        <v>923</v>
      </c>
      <c r="E4232" s="22">
        <f>IF(D4232="?OLD","!!!","")</f>
        <v/>
      </c>
      <c r="F4232" s="23" t="str">
        <f>IF(OR(E4232="",E4232="!!!"),"",IF(NOT(ISNA(VLOOKUP(E4232,E$1:E4231,1,FALSE()))),"OLD",IF(AND(E4232&lt;&gt;"",E4232&lt;&gt;"!!!"),"NEW","")))</f>
        <v> </v>
      </c>
      <c r="G4232" s="24" t="str">
        <f>IF(OR(E4232="",E4232="!!!"),"",IF(OR(J4232=0,AND(J4232=1,K4232=1),AND(J4232=1,I4232="SBJ"),AND(J4232=1,I4232=0)),"?IN_FOCUS",IF(J4232&lt;=2,"?ACTIVATED",IF(J4232&lt;&gt;"","?FAMILIAR",IF(F4232="NEW",IF(ISNA(VLOOKUP(E4232,#REF!,1,FALSE())),"?TYPE_IDENTIFIABLE","?REFERENTIAL"),"_")))))</f>
        <v> </v>
      </c>
      <c r="H4232" s="25" t="str">
        <f>IF(J4232&lt;&gt;1,"",IF(I4232="SBJ","CB","?"))</f>
        <v> </v>
      </c>
      <c r="I4232" s="26" t="str">
        <f>IF(OR(E4232="",E4232="!!!",F4232="NEW"),"",INDEX(B4231:B$2,-1+SUMPRODUCT(MAX(ROW(E4231:E$2)*(E4232=E4231:E$2)))))</f>
        <v> </v>
      </c>
      <c r="J4232" s="26" t="str">
        <f>IF(OR(E4232="",E4232="!!!",F4232="NEW"),"",COUNTBLANK(OFFSET(A$1,,,SUMPRODUCT(MAX(ROW(E$2:E4232)*(E4232=E$2:E4232)))))-COUNTBLANK(OFFSET(A$1,,,SUMPRODUCT(MAX(ROW(E$1:E4231)*(E2=E$1:E4231))))))</f>
        <v> </v>
      </c>
      <c r="K4232" s="26" t="str">
        <f>IF(OR(E4232="",E4232="!!!",F4232="NEW"),"",INDEX(J$1:J4231,SUMPRODUCT(MAX(ROW(E$1:E4231)*(E4232=E$1:E4231)))))</f>
        <v> </v>
      </c>
      <c r="L4232" s="27"/>
    </row>
    <row r="4233" spans="1:12">
      <c r="A4233" s="20"/>
    </row>
    <row r="4234" spans="1:12">
      <c r="A4234" s="20" t="s">
        <v>1276</v>
      </c>
      <c r="E4234" s="22">
        <f>IF(D4234="?OLD","!!!","")</f>
        <v/>
      </c>
      <c r="F4234" s="23" t="str">
        <f>IF(OR(E4234="",E4234="!!!"),"",IF(NOT(ISNA(VLOOKUP(E4234,E$1:E4233,1,FALSE()))),"OLD",IF(AND(E4234&lt;&gt;"",E4234&lt;&gt;"!!!"),"NEW","")))</f>
        <v> </v>
      </c>
      <c r="G4234" s="24" t="str">
        <f>IF(OR(E4234="",E4234="!!!"),"",IF(OR(J4234=0,AND(J4234=1,K4234=1),AND(J4234=1,I4234="SBJ"),AND(J4234=1,I4234=0)),"?IN_FOCUS",IF(J4234&lt;=2,"?ACTIVATED",IF(J4234&lt;&gt;"","?FAMILIAR",IF(F4234="NEW",IF(ISNA(VLOOKUP(E4234,#REF!,1,FALSE())),"?TYPE_IDENTIFIABLE","?REFERENTIAL"),"_")))))</f>
        <v> </v>
      </c>
      <c r="H4234" s="25" t="str">
        <f>IF(J4234&lt;&gt;1,"",IF(I4234="SBJ","CB","?"))</f>
        <v> </v>
      </c>
      <c r="I4234" s="26" t="str">
        <f>IF(OR(E4234="",E4234="!!!",F4234="NEW"),"",INDEX(B4233:B$2,-1+SUMPRODUCT(MAX(ROW(E4233:E$2)*(E4234=E4233:E$2)))))</f>
        <v> </v>
      </c>
      <c r="J4234" s="26" t="str">
        <f>IF(OR(E4234="",E4234="!!!",F4234="NEW"),"",COUNTBLANK(OFFSET(A$1,,,SUMPRODUCT(MAX(ROW(E$2:E4234)*(E4234=E$2:E4234)))))-COUNTBLANK(OFFSET(A$1,,,SUMPRODUCT(MAX(ROW(E$1:E4233)*(E2=E$1:E4233))))))</f>
        <v> </v>
      </c>
      <c r="K4234" s="26" t="str">
        <f>IF(OR(E4234="",E4234="!!!",F4234="NEW"),"",INDEX(J$1:J4233,SUMPRODUCT(MAX(ROW(E$1:E4233)*(E4234=E$1:E4233)))))</f>
        <v> </v>
      </c>
      <c r="L4234" s="27"/>
    </row>
    <row r="4235" spans="1:12">
      <c r="A4235" s="20" t="s">
        <v>2284</v>
      </c>
    </row>
    <row r="4236" spans="1:12">
      <c r="A4236" s="20" t="s">
        <v>607</v>
      </c>
      <c r="E4236" s="22">
        <f>IF(D4236="?OLD","!!!","")</f>
        <v/>
      </c>
      <c r="F4236" s="23" t="str">
        <f>IF(OR(E4236="",E4236="!!!"),"",IF(NOT(ISNA(VLOOKUP(E4236,E$1:E4235,1,FALSE()))),"OLD",IF(AND(E4236&lt;&gt;"",E4236&lt;&gt;"!!!"),"NEW","")))</f>
        <v> </v>
      </c>
      <c r="G4236" s="24" t="str">
        <f>IF(OR(E4236="",E4236="!!!"),"",IF(OR(J4236=0,AND(J4236=1,K4236=1),AND(J4236=1,I4236="SBJ"),AND(J4236=1,I4236=0)),"?IN_FOCUS",IF(J4236&lt;=2,"?ACTIVATED",IF(J4236&lt;&gt;"","?FAMILIAR",IF(F4236="NEW",IF(ISNA(VLOOKUP(E4236,#REF!,1,FALSE())),"?TYPE_IDENTIFIABLE","?REFERENTIAL"),"_")))))</f>
        <v> </v>
      </c>
      <c r="H4236" s="25" t="str">
        <f>IF(J4236&lt;&gt;1,"",IF(I4236="SBJ","CB","?"))</f>
        <v> </v>
      </c>
      <c r="I4236" s="26" t="str">
        <f>IF(OR(E4236="",E4236="!!!",F4236="NEW"),"",INDEX(B4235:B$2,-1+SUMPRODUCT(MAX(ROW(E4235:E$2)*(E4236=E4235:E$2)))))</f>
        <v> </v>
      </c>
      <c r="J4236" s="26" t="str">
        <f>IF(OR(E4236="",E4236="!!!",F4236="NEW"),"",COUNTBLANK(OFFSET(A$1,,,SUMPRODUCT(MAX(ROW(E$2:E4236)*(E4236=E$2:E4236)))))-COUNTBLANK(OFFSET(A$1,,,SUMPRODUCT(MAX(ROW(E$1:E4235)*(E2=E$1:E4235))))))</f>
        <v> </v>
      </c>
      <c r="K4236" s="26" t="str">
        <f>IF(OR(E4236="",E4236="!!!",F4236="NEW"),"",INDEX(J$1:J4235,SUMPRODUCT(MAX(ROW(E$1:E4235)*(E4236=E$1:E4235)))))</f>
        <v> </v>
      </c>
      <c r="L4236" s="27"/>
    </row>
    <row r="4237" spans="1:12">
      <c r="A4237" s="20" t="s">
        <v>1508</v>
      </c>
      <c r="B4237" s="21" t="s">
        <v>1058</v>
      </c>
      <c r="C4237" s="21" t="s">
        <v>1076</v>
      </c>
      <c r="D4237" s="21" t="s">
        <v>1060</v>
      </c>
      <c r="E4237" s="22">
        <f>IF(D4237="?OLD","!!!","")</f>
        <v/>
      </c>
      <c r="F4237" s="23" t="str">
        <f>IF(OR(E4237="",E4237="!!!"),"",IF(NOT(ISNA(VLOOKUP(E4237,E$1:E4236,1,FALSE()))),"OLD",IF(AND(E4237&lt;&gt;"",E4237&lt;&gt;"!!!"),"NEW","")))</f>
        <v> </v>
      </c>
      <c r="G4237" s="24" t="str">
        <f>IF(OR(E4237="",E4237="!!!"),"",IF(OR(J4237=0,AND(J4237=1,K4237=1),AND(J4237=1,I4237="SBJ"),AND(J4237=1,I4237=0)),"?IN_FOCUS",IF(J4237&lt;=2,"?ACTIVATED",IF(J4237&lt;&gt;"","?FAMILIAR",IF(F4237="NEW",IF(ISNA(VLOOKUP(E4237,#REF!,1,FALSE())),"?TYPE_IDENTIFIABLE","?REFERENTIAL"),"_")))))</f>
        <v> </v>
      </c>
      <c r="H4237" s="25" t="str">
        <f>IF(J4237&lt;&gt;1,"",IF(I4237="SBJ","CB","?"))</f>
        <v> </v>
      </c>
      <c r="I4237" s="26" t="str">
        <f>IF(OR(E4237="",E4237="!!!",F4237="NEW"),"",INDEX(B4236:B$2,-1+SUMPRODUCT(MAX(ROW(E4236:E$2)*(E4237=E4236:E$2)))))</f>
        <v> </v>
      </c>
      <c r="J4237" s="26" t="str">
        <f>IF(OR(E4237="",E4237="!!!",F4237="NEW"),"",COUNTBLANK(OFFSET(A$1,,,SUMPRODUCT(MAX(ROW(E$2:E4237)*(E4237=E$2:E4237)))))-COUNTBLANK(OFFSET(A$1,,,SUMPRODUCT(MAX(ROW(E$1:E4236)*(E2=E$1:E4236))))))</f>
        <v> </v>
      </c>
      <c r="K4237" s="26" t="str">
        <f>IF(OR(E4237="",E4237="!!!",F4237="NEW"),"",INDEX(J$1:J4236,SUMPRODUCT(MAX(ROW(E$1:E4236)*(E4237=E$1:E4236)))))</f>
        <v> </v>
      </c>
      <c r="L4237" s="27"/>
    </row>
    <row r="4238" spans="1:12">
      <c r="A4238" s="20" t="s">
        <v>1073</v>
      </c>
      <c r="E4238" s="22">
        <f>IF(D4238="?OLD","!!!","")</f>
        <v/>
      </c>
      <c r="F4238" s="23" t="str">
        <f>IF(OR(E4238="",E4238="!!!"),"",IF(NOT(ISNA(VLOOKUP(E4238,E$1:E4237,1,FALSE()))),"OLD",IF(AND(E4238&lt;&gt;"",E4238&lt;&gt;"!!!"),"NEW","")))</f>
        <v> </v>
      </c>
      <c r="G4238" s="24" t="str">
        <f>IF(OR(E4238="",E4238="!!!"),"",IF(OR(J4238=0,AND(J4238=1,K4238=1),AND(J4238=1,I4238="SBJ"),AND(J4238=1,I4238=0)),"?IN_FOCUS",IF(J4238&lt;=2,"?ACTIVATED",IF(J4238&lt;&gt;"","?FAMILIAR",IF(F4238="NEW",IF(ISNA(VLOOKUP(E4238,#REF!,1,FALSE())),"?TYPE_IDENTIFIABLE","?REFERENTIAL"),"_")))))</f>
        <v> </v>
      </c>
      <c r="H4238" s="25" t="str">
        <f>IF(J4238&lt;&gt;1,"",IF(I4238="SBJ","CB","?"))</f>
        <v> </v>
      </c>
      <c r="I4238" s="26" t="str">
        <f>IF(OR(E4238="",E4238="!!!",F4238="NEW"),"",INDEX(B4237:B$2,-1+SUMPRODUCT(MAX(ROW(E4237:E$2)*(E4238=E4237:E$2)))))</f>
        <v> </v>
      </c>
      <c r="J4238" s="26" t="str">
        <f>IF(OR(E4238="",E4238="!!!",F4238="NEW"),"",COUNTBLANK(OFFSET(A$1,,,SUMPRODUCT(MAX(ROW(E$2:E4238)*(E4238=E$2:E4238)))))-COUNTBLANK(OFFSET(A$1,,,SUMPRODUCT(MAX(ROW(E$1:E4237)*(E2=E$1:E4237))))))</f>
        <v> </v>
      </c>
      <c r="K4238" s="26" t="str">
        <f>IF(OR(E4238="",E4238="!!!",F4238="NEW"),"",INDEX(J$1:J4237,SUMPRODUCT(MAX(ROW(E$1:E4237)*(E4238=E$1:E4237)))))</f>
        <v> </v>
      </c>
      <c r="L4238" s="27"/>
    </row>
    <row r="4239" spans="1:12">
      <c r="A4239" s="20" t="s">
        <v>844</v>
      </c>
      <c r="E4239" s="22">
        <f>IF(D4239="?OLD","!!!","")</f>
        <v/>
      </c>
      <c r="F4239" s="23" t="str">
        <f>IF(OR(E4239="",E4239="!!!"),"",IF(NOT(ISNA(VLOOKUP(E4239,E$1:E4238,1,FALSE()))),"OLD",IF(AND(E4239&lt;&gt;"",E4239&lt;&gt;"!!!"),"NEW","")))</f>
        <v> </v>
      </c>
      <c r="G4239" s="24" t="str">
        <f>IF(OR(E4239="",E4239="!!!"),"",IF(OR(J4239=0,AND(J4239=1,K4239=1),AND(J4239=1,I4239="SBJ"),AND(J4239=1,I4239=0)),"?IN_FOCUS",IF(J4239&lt;=2,"?ACTIVATED",IF(J4239&lt;&gt;"","?FAMILIAR",IF(F4239="NEW",IF(ISNA(VLOOKUP(E4239,#REF!,1,FALSE())),"?TYPE_IDENTIFIABLE","?REFERENTIAL"),"_")))))</f>
        <v> </v>
      </c>
      <c r="H4239" s="25" t="str">
        <f>IF(J4239&lt;&gt;1,"",IF(I4239="SBJ","CB","?"))</f>
        <v> </v>
      </c>
      <c r="I4239" s="26" t="str">
        <f>IF(OR(E4239="",E4239="!!!",F4239="NEW"),"",INDEX(B4238:B$2,-1+SUMPRODUCT(MAX(ROW(E4238:E$2)*(E4239=E4238:E$2)))))</f>
        <v> </v>
      </c>
      <c r="J4239" s="26" t="str">
        <f>IF(OR(E4239="",E4239="!!!",F4239="NEW"),"",COUNTBLANK(OFFSET(A$1,,,SUMPRODUCT(MAX(ROW(E$2:E4239)*(E4239=E$2:E4239)))))-COUNTBLANK(OFFSET(A$1,,,SUMPRODUCT(MAX(ROW(E$1:E4238)*(E2=E$1:E4238))))))</f>
        <v> </v>
      </c>
      <c r="K4239" s="26" t="str">
        <f>IF(OR(E4239="",E4239="!!!",F4239="NEW"),"",INDEX(J$1:J4238,SUMPRODUCT(MAX(ROW(E$1:E4238)*(E4239=E$1:E4238)))))</f>
        <v> </v>
      </c>
      <c r="L4239" s="27"/>
    </row>
    <row r="4240" spans="1:12">
      <c r="A4240" s="20" t="s">
        <v>1090</v>
      </c>
      <c r="B4240" s="21" t="s">
        <v>1068</v>
      </c>
      <c r="C4240" s="21" t="s">
        <v>1092</v>
      </c>
      <c r="D4240" s="21" t="s">
        <v>1060</v>
      </c>
      <c r="E4240" s="22">
        <f>IF(D4240="?OLD","!!!","")</f>
        <v/>
      </c>
      <c r="F4240" s="23" t="str">
        <f>IF(OR(E4240="",E4240="!!!"),"",IF(NOT(ISNA(VLOOKUP(E4240,E$1:E4239,1,FALSE()))),"OLD",IF(AND(E4240&lt;&gt;"",E4240&lt;&gt;"!!!"),"NEW","")))</f>
        <v> </v>
      </c>
      <c r="G4240" s="24" t="str">
        <f>IF(OR(E4240="",E4240="!!!"),"",IF(OR(J4240=0,AND(J4240=1,K4240=1),AND(J4240=1,I4240="SBJ"),AND(J4240=1,I4240=0)),"?IN_FOCUS",IF(J4240&lt;=2,"?ACTIVATED",IF(J4240&lt;&gt;"","?FAMILIAR",IF(F4240="NEW",IF(ISNA(VLOOKUP(E4240,#REF!,1,FALSE())),"?TYPE_IDENTIFIABLE","?REFERENTIAL"),"_")))))</f>
        <v> </v>
      </c>
      <c r="H4240" s="25" t="str">
        <f>IF(J4240&lt;&gt;1,"",IF(I4240="SBJ","CB","?"))</f>
        <v> </v>
      </c>
      <c r="I4240" s="26" t="str">
        <f>IF(OR(E4240="",E4240="!!!",F4240="NEW"),"",INDEX(B4239:B$2,-1+SUMPRODUCT(MAX(ROW(E4239:E$2)*(E4240=E4239:E$2)))))</f>
        <v> </v>
      </c>
      <c r="J4240" s="26" t="str">
        <f>IF(OR(E4240="",E4240="!!!",F4240="NEW"),"",COUNTBLANK(OFFSET(A$1,,,SUMPRODUCT(MAX(ROW(E$2:E4240)*(E4240=E$2:E4240)))))-COUNTBLANK(OFFSET(A$1,,,SUMPRODUCT(MAX(ROW(E$1:E4239)*(E2=E$1:E4239))))))</f>
        <v> </v>
      </c>
      <c r="K4240" s="26" t="str">
        <f>IF(OR(E4240="",E4240="!!!",F4240="NEW"),"",INDEX(J$1:J4239,SUMPRODUCT(MAX(ROW(E$1:E4239)*(E4240=E$1:E4239)))))</f>
        <v> </v>
      </c>
      <c r="L4240" s="27"/>
    </row>
    <row r="4241" spans="1:12">
      <c r="A4241" s="20" t="s">
        <v>2277</v>
      </c>
      <c r="B4241" s="21" t="s">
        <v>1075</v>
      </c>
      <c r="C4241" s="21" t="s">
        <v>1059</v>
      </c>
      <c r="D4241" s="21" t="s">
        <v>1060</v>
      </c>
      <c r="E4241" s="22">
        <f>IF(D4241="?OLD","!!!","")</f>
        <v/>
      </c>
      <c r="F4241" s="23" t="str">
        <f>IF(OR(E4241="",E4241="!!!"),"",IF(NOT(ISNA(VLOOKUP(E4241,E$1:E4240,1,FALSE()))),"OLD",IF(AND(E4241&lt;&gt;"",E4241&lt;&gt;"!!!"),"NEW","")))</f>
        <v> </v>
      </c>
      <c r="G4241" s="24" t="str">
        <f>IF(OR(E4241="",E4241="!!!"),"",IF(OR(J4241=0,AND(J4241=1,K4241=1),AND(J4241=1,I4241="SBJ"),AND(J4241=1,I4241=0)),"?IN_FOCUS",IF(J4241&lt;=2,"?ACTIVATED",IF(J4241&lt;&gt;"","?FAMILIAR",IF(F4241="NEW",IF(ISNA(VLOOKUP(E4241,#REF!,1,FALSE())),"?TYPE_IDENTIFIABLE","?REFERENTIAL"),"_")))))</f>
        <v> </v>
      </c>
      <c r="H4241" s="25" t="str">
        <f>IF(J4241&lt;&gt;1,"",IF(I4241="SBJ","CB","?"))</f>
        <v> </v>
      </c>
      <c r="I4241" s="26" t="str">
        <f>IF(OR(E4241="",E4241="!!!",F4241="NEW"),"",INDEX(B4240:B$2,-1+SUMPRODUCT(MAX(ROW(E4240:E$2)*(E4241=E4240:E$2)))))</f>
        <v> </v>
      </c>
      <c r="J4241" s="26" t="str">
        <f>IF(OR(E4241="",E4241="!!!",F4241="NEW"),"",COUNTBLANK(OFFSET(A$1,,,SUMPRODUCT(MAX(ROW(E$2:E4241)*(E4241=E$2:E4241)))))-COUNTBLANK(OFFSET(A$1,,,SUMPRODUCT(MAX(ROW(E$1:E4240)*(E2=E$1:E4240))))))</f>
        <v> </v>
      </c>
      <c r="K4241" s="26" t="str">
        <f>IF(OR(E4241="",E4241="!!!",F4241="NEW"),"",INDEX(J$1:J4240,SUMPRODUCT(MAX(ROW(E$1:E4240)*(E4241=E$1:E4240)))))</f>
        <v> </v>
      </c>
      <c r="L4241" s="27"/>
    </row>
    <row r="4242" spans="1:12">
      <c r="A4242" s="20" t="s">
        <v>1160</v>
      </c>
      <c r="E4242" s="22">
        <f>IF(D4242="?OLD","!!!","")</f>
        <v/>
      </c>
      <c r="F4242" s="23" t="str">
        <f>IF(OR(E4242="",E4242="!!!"),"",IF(NOT(ISNA(VLOOKUP(E4242,E$1:E4241,1,FALSE()))),"OLD",IF(AND(E4242&lt;&gt;"",E4242&lt;&gt;"!!!"),"NEW","")))</f>
        <v> </v>
      </c>
      <c r="G4242" s="24" t="str">
        <f>IF(OR(E4242="",E4242="!!!"),"",IF(OR(J4242=0,AND(J4242=1,K4242=1),AND(J4242=1,I4242="SBJ"),AND(J4242=1,I4242=0)),"?IN_FOCUS",IF(J4242&lt;=2,"?ACTIVATED",IF(J4242&lt;&gt;"","?FAMILIAR",IF(F4242="NEW",IF(ISNA(VLOOKUP(E4242,#REF!,1,FALSE())),"?TYPE_IDENTIFIABLE","?REFERENTIAL"),"_")))))</f>
        <v> </v>
      </c>
      <c r="H4242" s="25" t="str">
        <f>IF(J4242&lt;&gt;1,"",IF(I4242="SBJ","CB","?"))</f>
        <v> </v>
      </c>
      <c r="I4242" s="26" t="str">
        <f>IF(OR(E4242="",E4242="!!!",F4242="NEW"),"",INDEX(B4241:B$2,-1+SUMPRODUCT(MAX(ROW(E4241:E$2)*(E4242=E4241:E$2)))))</f>
        <v> </v>
      </c>
      <c r="J4242" s="26" t="str">
        <f>IF(OR(E4242="",E4242="!!!",F4242="NEW"),"",COUNTBLANK(OFFSET(A$1,,,SUMPRODUCT(MAX(ROW(E$2:E4242)*(E4242=E$2:E4242)))))-COUNTBLANK(OFFSET(A$1,,,SUMPRODUCT(MAX(ROW(E$1:E4241)*(E2=E$1:E4241))))))</f>
        <v> </v>
      </c>
      <c r="K4242" s="26" t="str">
        <f>IF(OR(E4242="",E4242="!!!",F4242="NEW"),"",INDEX(J$1:J4241,SUMPRODUCT(MAX(ROW(E$1:E4241)*(E4242=E$1:E4241)))))</f>
        <v> </v>
      </c>
      <c r="L4242" s="27"/>
    </row>
    <row r="4243" spans="1:12">
      <c r="A4243" s="20" t="s">
        <v>1070</v>
      </c>
      <c r="E4243" s="22">
        <f>IF(D4243="?OLD","!!!","")</f>
        <v/>
      </c>
      <c r="F4243" s="23" t="str">
        <f>IF(OR(E4243="",E4243="!!!"),"",IF(NOT(ISNA(VLOOKUP(E4243,E$1:E4242,1,FALSE()))),"OLD",IF(AND(E4243&lt;&gt;"",E4243&lt;&gt;"!!!"),"NEW","")))</f>
        <v> </v>
      </c>
      <c r="G4243" s="24" t="str">
        <f>IF(OR(E4243="",E4243="!!!"),"",IF(OR(J4243=0,AND(J4243=1,K4243=1),AND(J4243=1,I4243="SBJ"),AND(J4243=1,I4243=0)),"?IN_FOCUS",IF(J4243&lt;=2,"?ACTIVATED",IF(J4243&lt;&gt;"","?FAMILIAR",IF(F4243="NEW",IF(ISNA(VLOOKUP(E4243,#REF!,1,FALSE())),"?TYPE_IDENTIFIABLE","?REFERENTIAL"),"_")))))</f>
        <v> </v>
      </c>
      <c r="H4243" s="25" t="str">
        <f>IF(J4243&lt;&gt;1,"",IF(I4243="SBJ","CB","?"))</f>
        <v> </v>
      </c>
      <c r="I4243" s="26" t="str">
        <f>IF(OR(E4243="",E4243="!!!",F4243="NEW"),"",INDEX(B4242:B$2,-1+SUMPRODUCT(MAX(ROW(E4242:E$2)*(E4243=E4242:E$2)))))</f>
        <v> </v>
      </c>
      <c r="J4243" s="26" t="str">
        <f>IF(OR(E4243="",E4243="!!!",F4243="NEW"),"",COUNTBLANK(OFFSET(A$1,,,SUMPRODUCT(MAX(ROW(E$2:E4243)*(E4243=E$2:E4243)))))-COUNTBLANK(OFFSET(A$1,,,SUMPRODUCT(MAX(ROW(E$1:E4242)*(E2=E$1:E4242))))))</f>
        <v> </v>
      </c>
      <c r="K4243" s="26" t="str">
        <f>IF(OR(E4243="",E4243="!!!",F4243="NEW"),"",INDEX(J$1:J4242,SUMPRODUCT(MAX(ROW(E$1:E4242)*(E4243=E$1:E4242)))))</f>
        <v> </v>
      </c>
      <c r="L4243" s="27"/>
    </row>
    <row r="4244" spans="1:12">
      <c r="A4244" s="20" t="s">
        <v>1156</v>
      </c>
      <c r="E4244" s="22">
        <f>IF(D4244="?OLD","!!!","")</f>
        <v/>
      </c>
      <c r="F4244" s="23" t="str">
        <f>IF(OR(E4244="",E4244="!!!"),"",IF(NOT(ISNA(VLOOKUP(E4244,E$1:E4243,1,FALSE()))),"OLD",IF(AND(E4244&lt;&gt;"",E4244&lt;&gt;"!!!"),"NEW","")))</f>
        <v> </v>
      </c>
      <c r="G4244" s="24" t="str">
        <f>IF(OR(E4244="",E4244="!!!"),"",IF(OR(J4244=0,AND(J4244=1,K4244=1),AND(J4244=1,I4244="SBJ"),AND(J4244=1,I4244=0)),"?IN_FOCUS",IF(J4244&lt;=2,"?ACTIVATED",IF(J4244&lt;&gt;"","?FAMILIAR",IF(F4244="NEW",IF(ISNA(VLOOKUP(E4244,#REF!,1,FALSE())),"?TYPE_IDENTIFIABLE","?REFERENTIAL"),"_")))))</f>
        <v> </v>
      </c>
      <c r="H4244" s="25" t="str">
        <f>IF(J4244&lt;&gt;1,"",IF(I4244="SBJ","CB","?"))</f>
        <v> </v>
      </c>
      <c r="I4244" s="26" t="str">
        <f>IF(OR(E4244="",E4244="!!!",F4244="NEW"),"",INDEX(B4243:B$2,-1+SUMPRODUCT(MAX(ROW(E4243:E$2)*(E4244=E4243:E$2)))))</f>
        <v> </v>
      </c>
      <c r="J4244" s="26" t="str">
        <f>IF(OR(E4244="",E4244="!!!",F4244="NEW"),"",COUNTBLANK(OFFSET(A$1,,,SUMPRODUCT(MAX(ROW(E$2:E4244)*(E4244=E$2:E4244)))))-COUNTBLANK(OFFSET(A$1,,,SUMPRODUCT(MAX(ROW(E$1:E4243)*(E2=E$1:E4243))))))</f>
        <v> </v>
      </c>
      <c r="K4244" s="26" t="str">
        <f>IF(OR(E4244="",E4244="!!!",F4244="NEW"),"",INDEX(J$1:J4243,SUMPRODUCT(MAX(ROW(E$1:E4243)*(E4244=E$1:E4243)))))</f>
        <v> </v>
      </c>
      <c r="L4244" s="27"/>
    </row>
    <row r="4245" spans="1:12">
      <c r="A4245" s="20" t="s">
        <v>1133</v>
      </c>
      <c r="E4245" s="22">
        <f>IF(D4245="?OLD","!!!","")</f>
        <v/>
      </c>
      <c r="F4245" s="23" t="str">
        <f>IF(OR(E4245="",E4245="!!!"),"",IF(NOT(ISNA(VLOOKUP(E4245,E$1:E4244,1,FALSE()))),"OLD",IF(AND(E4245&lt;&gt;"",E4245&lt;&gt;"!!!"),"NEW","")))</f>
        <v> </v>
      </c>
      <c r="G4245" s="24" t="str">
        <f>IF(OR(E4245="",E4245="!!!"),"",IF(OR(J4245=0,AND(J4245=1,K4245=1),AND(J4245=1,I4245="SBJ"),AND(J4245=1,I4245=0)),"?IN_FOCUS",IF(J4245&lt;=2,"?ACTIVATED",IF(J4245&lt;&gt;"","?FAMILIAR",IF(F4245="NEW",IF(ISNA(VLOOKUP(E4245,#REF!,1,FALSE())),"?TYPE_IDENTIFIABLE","?REFERENTIAL"),"_")))))</f>
        <v> </v>
      </c>
      <c r="H4245" s="25" t="str">
        <f>IF(J4245&lt;&gt;1,"",IF(I4245="SBJ","CB","?"))</f>
        <v> </v>
      </c>
      <c r="I4245" s="26" t="str">
        <f>IF(OR(E4245="",E4245="!!!",F4245="NEW"),"",INDEX(B4244:B$2,-1+SUMPRODUCT(MAX(ROW(E4244:E$2)*(E4245=E4244:E$2)))))</f>
        <v> </v>
      </c>
      <c r="J4245" s="26" t="str">
        <f>IF(OR(E4245="",E4245="!!!",F4245="NEW"),"",COUNTBLANK(OFFSET(A$1,,,SUMPRODUCT(MAX(ROW(E$2:E4245)*(E4245=E$2:E4245)))))-COUNTBLANK(OFFSET(A$1,,,SUMPRODUCT(MAX(ROW(E$1:E4244)*(E2=E$1:E4244))))))</f>
        <v> </v>
      </c>
      <c r="K4245" s="26" t="str">
        <f>IF(OR(E4245="",E4245="!!!",F4245="NEW"),"",INDEX(J$1:J4244,SUMPRODUCT(MAX(ROW(E$1:E4244)*(E4245=E$1:E4244)))))</f>
        <v> </v>
      </c>
      <c r="L4245" s="27"/>
    </row>
    <row r="4246" spans="1:12">
      <c r="A4246" s="20" t="s">
        <v>1497</v>
      </c>
      <c r="E4246" s="22">
        <f>IF(D4246="?OLD","!!!","")</f>
        <v/>
      </c>
      <c r="F4246" s="23" t="str">
        <f>IF(OR(E4246="",E4246="!!!"),"",IF(NOT(ISNA(VLOOKUP(E4246,E$1:E4245,1,FALSE()))),"OLD",IF(AND(E4246&lt;&gt;"",E4246&lt;&gt;"!!!"),"NEW","")))</f>
        <v> </v>
      </c>
      <c r="G4246" s="24" t="str">
        <f>IF(OR(E4246="",E4246="!!!"),"",IF(OR(J4246=0,AND(J4246=1,K4246=1),AND(J4246=1,I4246="SBJ"),AND(J4246=1,I4246=0)),"?IN_FOCUS",IF(J4246&lt;=2,"?ACTIVATED",IF(J4246&lt;&gt;"","?FAMILIAR",IF(F4246="NEW",IF(ISNA(VLOOKUP(E4246,#REF!,1,FALSE())),"?TYPE_IDENTIFIABLE","?REFERENTIAL"),"_")))))</f>
        <v> </v>
      </c>
      <c r="H4246" s="25" t="str">
        <f>IF(J4246&lt;&gt;1,"",IF(I4246="SBJ","CB","?"))</f>
        <v> </v>
      </c>
      <c r="I4246" s="26" t="str">
        <f>IF(OR(E4246="",E4246="!!!",F4246="NEW"),"",INDEX(B4245:B$2,-1+SUMPRODUCT(MAX(ROW(E4245:E$2)*(E4246=E4245:E$2)))))</f>
        <v> </v>
      </c>
      <c r="J4246" s="26" t="str">
        <f>IF(OR(E4246="",E4246="!!!",F4246="NEW"),"",COUNTBLANK(OFFSET(A$1,,,SUMPRODUCT(MAX(ROW(E$2:E4246)*(E4246=E$2:E4246)))))-COUNTBLANK(OFFSET(A$1,,,SUMPRODUCT(MAX(ROW(E$1:E4245)*(E2=E$1:E4245))))))</f>
        <v> </v>
      </c>
      <c r="K4246" s="26" t="str">
        <f>IF(OR(E4246="",E4246="!!!",F4246="NEW"),"",INDEX(J$1:J4245,SUMPRODUCT(MAX(ROW(E$1:E4245)*(E4246=E$1:E4245)))))</f>
        <v> </v>
      </c>
      <c r="L4246" s="27"/>
    </row>
    <row r="4247" spans="1:12">
      <c r="A4247" s="20" t="s">
        <v>1070</v>
      </c>
      <c r="E4247" s="22">
        <f>IF(D4247="?OLD","!!!","")</f>
        <v/>
      </c>
      <c r="F4247" s="23" t="str">
        <f>IF(OR(E4247="",E4247="!!!"),"",IF(NOT(ISNA(VLOOKUP(E4247,E$1:E4246,1,FALSE()))),"OLD",IF(AND(E4247&lt;&gt;"",E4247&lt;&gt;"!!!"),"NEW","")))</f>
        <v> </v>
      </c>
      <c r="G4247" s="24" t="str">
        <f>IF(OR(E4247="",E4247="!!!"),"",IF(OR(J4247=0,AND(J4247=1,K4247=1),AND(J4247=1,I4247="SBJ"),AND(J4247=1,I4247=0)),"?IN_FOCUS",IF(J4247&lt;=2,"?ACTIVATED",IF(J4247&lt;&gt;"","?FAMILIAR",IF(F4247="NEW",IF(ISNA(VLOOKUP(E4247,#REF!,1,FALSE())),"?TYPE_IDENTIFIABLE","?REFERENTIAL"),"_")))))</f>
        <v> </v>
      </c>
      <c r="H4247" s="25" t="str">
        <f>IF(J4247&lt;&gt;1,"",IF(I4247="SBJ","CB","?"))</f>
        <v> </v>
      </c>
      <c r="I4247" s="26" t="str">
        <f>IF(OR(E4247="",E4247="!!!",F4247="NEW"),"",INDEX(B4246:B$2,-1+SUMPRODUCT(MAX(ROW(E4246:E$2)*(E4247=E4246:E$2)))))</f>
        <v> </v>
      </c>
      <c r="J4247" s="26" t="str">
        <f>IF(OR(E4247="",E4247="!!!",F4247="NEW"),"",COUNTBLANK(OFFSET(A$1,,,SUMPRODUCT(MAX(ROW(E$2:E4247)*(E4247=E$2:E4247)))))-COUNTBLANK(OFFSET(A$1,,,SUMPRODUCT(MAX(ROW(E$1:E4246)*(E2=E$1:E4246))))))</f>
        <v> </v>
      </c>
      <c r="K4247" s="26" t="str">
        <f>IF(OR(E4247="",E4247="!!!",F4247="NEW"),"",INDEX(J$1:J4246,SUMPRODUCT(MAX(ROW(E$1:E4246)*(E4247=E$1:E4246)))))</f>
        <v> </v>
      </c>
      <c r="L4247" s="27"/>
    </row>
    <row r="4248" spans="1:12">
      <c r="A4248" s="20" t="s">
        <v>607</v>
      </c>
      <c r="E4248" s="22">
        <f>IF(D4248="?OLD","!!!","")</f>
        <v/>
      </c>
      <c r="F4248" s="23" t="str">
        <f>IF(OR(E4248="",E4248="!!!"),"",IF(NOT(ISNA(VLOOKUP(E4248,E$1:E4247,1,FALSE()))),"OLD",IF(AND(E4248&lt;&gt;"",E4248&lt;&gt;"!!!"),"NEW","")))</f>
        <v> </v>
      </c>
      <c r="G4248" s="24" t="str">
        <f>IF(OR(E4248="",E4248="!!!"),"",IF(OR(J4248=0,AND(J4248=1,K4248=1),AND(J4248=1,I4248="SBJ"),AND(J4248=1,I4248=0)),"?IN_FOCUS",IF(J4248&lt;=2,"?ACTIVATED",IF(J4248&lt;&gt;"","?FAMILIAR",IF(F4248="NEW",IF(ISNA(VLOOKUP(E4248,#REF!,1,FALSE())),"?TYPE_IDENTIFIABLE","?REFERENTIAL"),"_")))))</f>
        <v> </v>
      </c>
      <c r="H4248" s="25" t="str">
        <f>IF(J4248&lt;&gt;1,"",IF(I4248="SBJ","CB","?"))</f>
        <v> </v>
      </c>
      <c r="I4248" s="26" t="str">
        <f>IF(OR(E4248="",E4248="!!!",F4248="NEW"),"",INDEX(B4247:B$2,-1+SUMPRODUCT(MAX(ROW(E4247:E$2)*(E4248=E4247:E$2)))))</f>
        <v> </v>
      </c>
      <c r="J4248" s="26" t="str">
        <f>IF(OR(E4248="",E4248="!!!",F4248="NEW"),"",COUNTBLANK(OFFSET(A$1,,,SUMPRODUCT(MAX(ROW(E$2:E4248)*(E4248=E$2:E4248)))))-COUNTBLANK(OFFSET(A$1,,,SUMPRODUCT(MAX(ROW(E$1:E4247)*(E2=E$1:E4247))))))</f>
        <v> </v>
      </c>
      <c r="K4248" s="26" t="str">
        <f>IF(OR(E4248="",E4248="!!!",F4248="NEW"),"",INDEX(J$1:J4247,SUMPRODUCT(MAX(ROW(E$1:E4247)*(E4248=E$1:E4247)))))</f>
        <v> </v>
      </c>
      <c r="L4248" s="27"/>
    </row>
    <row r="4249" spans="1:12">
      <c r="A4249" s="20" t="s">
        <v>1531</v>
      </c>
      <c r="B4249" s="21" t="s">
        <v>1079</v>
      </c>
      <c r="C4249" s="21" t="s">
        <v>1076</v>
      </c>
      <c r="D4249" s="21" t="s">
        <v>1060</v>
      </c>
      <c r="E4249" s="22">
        <f>IF(D4249="?OLD","!!!","")</f>
        <v/>
      </c>
      <c r="F4249" s="23" t="str">
        <f>IF(OR(E4249="",E4249="!!!"),"",IF(NOT(ISNA(VLOOKUP(E4249,E$1:E4248,1,FALSE()))),"OLD",IF(AND(E4249&lt;&gt;"",E4249&lt;&gt;"!!!"),"NEW","")))</f>
        <v> </v>
      </c>
      <c r="G4249" s="24" t="str">
        <f>IF(OR(E4249="",E4249="!!!"),"",IF(OR(J4249=0,AND(J4249=1,K4249=1),AND(J4249=1,I4249="SBJ"),AND(J4249=1,I4249=0)),"?IN_FOCUS",IF(J4249&lt;=2,"?ACTIVATED",IF(J4249&lt;&gt;"","?FAMILIAR",IF(F4249="NEW",IF(ISNA(VLOOKUP(E4249,#REF!,1,FALSE())),"?TYPE_IDENTIFIABLE","?REFERENTIAL"),"_")))))</f>
        <v> </v>
      </c>
      <c r="H4249" s="25" t="str">
        <f>IF(J4249&lt;&gt;1,"",IF(I4249="SBJ","CB","?"))</f>
        <v> </v>
      </c>
      <c r="I4249" s="26" t="str">
        <f>IF(OR(E4249="",E4249="!!!",F4249="NEW"),"",INDEX(B4248:B$2,-1+SUMPRODUCT(MAX(ROW(E4248:E$2)*(E4249=E4248:E$2)))))</f>
        <v> </v>
      </c>
      <c r="J4249" s="26" t="str">
        <f>IF(OR(E4249="",E4249="!!!",F4249="NEW"),"",COUNTBLANK(OFFSET(A$1,,,SUMPRODUCT(MAX(ROW(E$2:E4249)*(E4249=E$2:E4249)))))-COUNTBLANK(OFFSET(A$1,,,SUMPRODUCT(MAX(ROW(E$1:E4248)*(E2=E$1:E4248))))))</f>
        <v> </v>
      </c>
      <c r="K4249" s="26" t="str">
        <f>IF(OR(E4249="",E4249="!!!",F4249="NEW"),"",INDEX(J$1:J4248,SUMPRODUCT(MAX(ROW(E$1:E4248)*(E4249=E$1:E4248)))))</f>
        <v> </v>
      </c>
      <c r="L4249" s="27"/>
    </row>
    <row r="4250" spans="1:12">
      <c r="A4250" s="20" t="s">
        <v>1752</v>
      </c>
      <c r="E4250" s="22">
        <f>IF(D4250="?OLD","!!!","")</f>
        <v/>
      </c>
      <c r="F4250" s="23" t="str">
        <f>IF(OR(E4250="",E4250="!!!"),"",IF(NOT(ISNA(VLOOKUP(E4250,E$1:E4249,1,FALSE()))),"OLD",IF(AND(E4250&lt;&gt;"",E4250&lt;&gt;"!!!"),"NEW","")))</f>
        <v> </v>
      </c>
      <c r="G4250" s="24" t="str">
        <f>IF(OR(E4250="",E4250="!!!"),"",IF(OR(J4250=0,AND(J4250=1,K4250=1),AND(J4250=1,I4250="SBJ"),AND(J4250=1,I4250=0)),"?IN_FOCUS",IF(J4250&lt;=2,"?ACTIVATED",IF(J4250&lt;&gt;"","?FAMILIAR",IF(F4250="NEW",IF(ISNA(VLOOKUP(E4250,#REF!,1,FALSE())),"?TYPE_IDENTIFIABLE","?REFERENTIAL"),"_")))))</f>
        <v> </v>
      </c>
      <c r="H4250" s="25" t="str">
        <f>IF(J4250&lt;&gt;1,"",IF(I4250="SBJ","CB","?"))</f>
        <v> </v>
      </c>
      <c r="I4250" s="26" t="str">
        <f>IF(OR(E4250="",E4250="!!!",F4250="NEW"),"",INDEX(B4249:B$2,-1+SUMPRODUCT(MAX(ROW(E4249:E$2)*(E4250=E4249:E$2)))))</f>
        <v> </v>
      </c>
      <c r="J4250" s="26" t="str">
        <f>IF(OR(E4250="",E4250="!!!",F4250="NEW"),"",COUNTBLANK(OFFSET(A$1,,,SUMPRODUCT(MAX(ROW(E$2:E4250)*(E4250=E$2:E4250)))))-COUNTBLANK(OFFSET(A$1,,,SUMPRODUCT(MAX(ROW(E$1:E4249)*(E2=E$1:E4249))))))</f>
        <v> </v>
      </c>
      <c r="K4250" s="26" t="str">
        <f>IF(OR(E4250="",E4250="!!!",F4250="NEW"),"",INDEX(J$1:J4249,SUMPRODUCT(MAX(ROW(E$1:E4249)*(E4250=E$1:E4249)))))</f>
        <v> </v>
      </c>
      <c r="L4250" s="27"/>
    </row>
    <row r="4251" spans="1:12">
      <c r="A4251" s="20" t="s">
        <v>923</v>
      </c>
      <c r="E4251" s="22">
        <f>IF(D4251="?OLD","!!!","")</f>
        <v/>
      </c>
      <c r="F4251" s="23" t="str">
        <f>IF(OR(E4251="",E4251="!!!"),"",IF(NOT(ISNA(VLOOKUP(E4251,E$1:E4250,1,FALSE()))),"OLD",IF(AND(E4251&lt;&gt;"",E4251&lt;&gt;"!!!"),"NEW","")))</f>
        <v> </v>
      </c>
      <c r="G4251" s="24" t="str">
        <f>IF(OR(E4251="",E4251="!!!"),"",IF(OR(J4251=0,AND(J4251=1,K4251=1),AND(J4251=1,I4251="SBJ"),AND(J4251=1,I4251=0)),"?IN_FOCUS",IF(J4251&lt;=2,"?ACTIVATED",IF(J4251&lt;&gt;"","?FAMILIAR",IF(F4251="NEW",IF(ISNA(VLOOKUP(E4251,#REF!,1,FALSE())),"?TYPE_IDENTIFIABLE","?REFERENTIAL"),"_")))))</f>
        <v> </v>
      </c>
      <c r="H4251" s="25" t="str">
        <f>IF(J4251&lt;&gt;1,"",IF(I4251="SBJ","CB","?"))</f>
        <v> </v>
      </c>
      <c r="I4251" s="26" t="str">
        <f>IF(OR(E4251="",E4251="!!!",F4251="NEW"),"",INDEX(B4250:B$2,-1+SUMPRODUCT(MAX(ROW(E4250:E$2)*(E4251=E4250:E$2)))))</f>
        <v> </v>
      </c>
      <c r="J4251" s="26" t="str">
        <f>IF(OR(E4251="",E4251="!!!",F4251="NEW"),"",COUNTBLANK(OFFSET(A$1,,,SUMPRODUCT(MAX(ROW(E$2:E4251)*(E4251=E$2:E4251)))))-COUNTBLANK(OFFSET(A$1,,,SUMPRODUCT(MAX(ROW(E$1:E4250)*(E2=E$1:E4250))))))</f>
        <v> </v>
      </c>
      <c r="K4251" s="26" t="str">
        <f>IF(OR(E4251="",E4251="!!!",F4251="NEW"),"",INDEX(J$1:J4250,SUMPRODUCT(MAX(ROW(E$1:E4250)*(E4251=E$1:E4250)))))</f>
        <v> </v>
      </c>
      <c r="L4251" s="27"/>
    </row>
    <row r="4252" spans="1:12">
      <c r="A4252" s="20"/>
    </row>
    <row r="4253" spans="1:12">
      <c r="A4253" s="20" t="s">
        <v>1276</v>
      </c>
      <c r="E4253" s="22">
        <f>IF(D4253="?OLD","!!!","")</f>
        <v/>
      </c>
      <c r="F4253" s="23" t="str">
        <f>IF(OR(E4253="",E4253="!!!"),"",IF(NOT(ISNA(VLOOKUP(E4253,E$1:E4252,1,FALSE()))),"OLD",IF(AND(E4253&lt;&gt;"",E4253&lt;&gt;"!!!"),"NEW","")))</f>
        <v> </v>
      </c>
      <c r="G4253" s="24" t="str">
        <f>IF(OR(E4253="",E4253="!!!"),"",IF(OR(J4253=0,AND(J4253=1,K4253=1),AND(J4253=1,I4253="SBJ"),AND(J4253=1,I4253=0)),"?IN_FOCUS",IF(J4253&lt;=2,"?ACTIVATED",IF(J4253&lt;&gt;"","?FAMILIAR",IF(F4253="NEW",IF(ISNA(VLOOKUP(E4253,#REF!,1,FALSE())),"?TYPE_IDENTIFIABLE","?REFERENTIAL"),"_")))))</f>
        <v> </v>
      </c>
      <c r="H4253" s="25" t="str">
        <f>IF(J4253&lt;&gt;1,"",IF(I4253="SBJ","CB","?"))</f>
        <v> </v>
      </c>
      <c r="I4253" s="26" t="str">
        <f>IF(OR(E4253="",E4253="!!!",F4253="NEW"),"",INDEX(B4252:B$2,-1+SUMPRODUCT(MAX(ROW(E4252:E$2)*(E4253=E4252:E$2)))))</f>
        <v> </v>
      </c>
      <c r="J4253" s="26" t="str">
        <f>IF(OR(E4253="",E4253="!!!",F4253="NEW"),"",COUNTBLANK(OFFSET(A$1,,,SUMPRODUCT(MAX(ROW(E$2:E4253)*(E4253=E$2:E4253)))))-COUNTBLANK(OFFSET(A$1,,,SUMPRODUCT(MAX(ROW(E$1:E4252)*(E2=E$1:E4252))))))</f>
        <v> </v>
      </c>
      <c r="K4253" s="26" t="str">
        <f>IF(OR(E4253="",E4253="!!!",F4253="NEW"),"",INDEX(J$1:J4252,SUMPRODUCT(MAX(ROW(E$1:E4252)*(E4253=E$1:E4252)))))</f>
        <v> </v>
      </c>
      <c r="L4253" s="27"/>
    </row>
    <row r="4254" spans="1:12">
      <c r="A4254" s="20" t="s">
        <v>2285</v>
      </c>
    </row>
    <row r="4255" spans="1:12">
      <c r="A4255" s="20" t="s">
        <v>607</v>
      </c>
      <c r="E4255" s="22">
        <f>IF(D4255="?OLD","!!!","")</f>
        <v/>
      </c>
      <c r="F4255" s="23" t="str">
        <f>IF(OR(E4255="",E4255="!!!"),"",IF(NOT(ISNA(VLOOKUP(E4255,E$1:E4254,1,FALSE()))),"OLD",IF(AND(E4255&lt;&gt;"",E4255&lt;&gt;"!!!"),"NEW","")))</f>
        <v> </v>
      </c>
      <c r="G4255" s="24" t="str">
        <f>IF(OR(E4255="",E4255="!!!"),"",IF(OR(J4255=0,AND(J4255=1,K4255=1),AND(J4255=1,I4255="SBJ"),AND(J4255=1,I4255=0)),"?IN_FOCUS",IF(J4255&lt;=2,"?ACTIVATED",IF(J4255&lt;&gt;"","?FAMILIAR",IF(F4255="NEW",IF(ISNA(VLOOKUP(E4255,#REF!,1,FALSE())),"?TYPE_IDENTIFIABLE","?REFERENTIAL"),"_")))))</f>
        <v> </v>
      </c>
      <c r="H4255" s="25" t="str">
        <f>IF(J4255&lt;&gt;1,"",IF(I4255="SBJ","CB","?"))</f>
        <v> </v>
      </c>
      <c r="I4255" s="26" t="str">
        <f>IF(OR(E4255="",E4255="!!!",F4255="NEW"),"",INDEX(B4254:B$2,-1+SUMPRODUCT(MAX(ROW(E4254:E$2)*(E4255=E4254:E$2)))))</f>
        <v> </v>
      </c>
      <c r="J4255" s="26" t="str">
        <f>IF(OR(E4255="",E4255="!!!",F4255="NEW"),"",COUNTBLANK(OFFSET(A$1,,,SUMPRODUCT(MAX(ROW(E$2:E4255)*(E4255=E$2:E4255)))))-COUNTBLANK(OFFSET(A$1,,,SUMPRODUCT(MAX(ROW(E$1:E4254)*(E2=E$1:E4254))))))</f>
        <v> </v>
      </c>
      <c r="K4255" s="26" t="str">
        <f>IF(OR(E4255="",E4255="!!!",F4255="NEW"),"",INDEX(J$1:J4254,SUMPRODUCT(MAX(ROW(E$1:E4254)*(E4255=E$1:E4254)))))</f>
        <v> </v>
      </c>
      <c r="L4255" s="27"/>
    </row>
    <row r="4256" spans="1:12">
      <c r="A4256" s="20" t="s">
        <v>2286</v>
      </c>
      <c r="E4256" s="22">
        <f>IF(D4256="?OLD","!!!","")</f>
        <v/>
      </c>
      <c r="F4256" s="23" t="str">
        <f>IF(OR(E4256="",E4256="!!!"),"",IF(NOT(ISNA(VLOOKUP(E4256,E$1:E4255,1,FALSE()))),"OLD",IF(AND(E4256&lt;&gt;"",E4256&lt;&gt;"!!!"),"NEW","")))</f>
        <v> </v>
      </c>
      <c r="G4256" s="24" t="str">
        <f>IF(OR(E4256="",E4256="!!!"),"",IF(OR(J4256=0,AND(J4256=1,K4256=1),AND(J4256=1,I4256="SBJ"),AND(J4256=1,I4256=0)),"?IN_FOCUS",IF(J4256&lt;=2,"?ACTIVATED",IF(J4256&lt;&gt;"","?FAMILIAR",IF(F4256="NEW",IF(ISNA(VLOOKUP(E4256,#REF!,1,FALSE())),"?TYPE_IDENTIFIABLE","?REFERENTIAL"),"_")))))</f>
        <v> </v>
      </c>
      <c r="H4256" s="25" t="str">
        <f>IF(J4256&lt;&gt;1,"",IF(I4256="SBJ","CB","?"))</f>
        <v> </v>
      </c>
      <c r="I4256" s="26" t="str">
        <f>IF(OR(E4256="",E4256="!!!",F4256="NEW"),"",INDEX(B4255:B$2,-1+SUMPRODUCT(MAX(ROW(E4255:E$2)*(E4256=E4255:E$2)))))</f>
        <v> </v>
      </c>
      <c r="J4256" s="26" t="str">
        <f>IF(OR(E4256="",E4256="!!!",F4256="NEW"),"",COUNTBLANK(OFFSET(A$1,,,SUMPRODUCT(MAX(ROW(E$2:E4256)*(E4256=E$2:E4256)))))-COUNTBLANK(OFFSET(A$1,,,SUMPRODUCT(MAX(ROW(E$1:E4255)*(E2=E$1:E4255))))))</f>
        <v> </v>
      </c>
      <c r="K4256" s="26" t="str">
        <f>IF(OR(E4256="",E4256="!!!",F4256="NEW"),"",INDEX(J$1:J4255,SUMPRODUCT(MAX(ROW(E$1:E4255)*(E4256=E$1:E4255)))))</f>
        <v> </v>
      </c>
      <c r="L4256" s="27"/>
    </row>
    <row r="4257" spans="1:12">
      <c r="A4257" s="20" t="s">
        <v>1530</v>
      </c>
      <c r="E4257" s="22">
        <f>IF(D4257="?OLD","!!!","")</f>
        <v/>
      </c>
      <c r="F4257" s="23" t="str">
        <f>IF(OR(E4257="",E4257="!!!"),"",IF(NOT(ISNA(VLOOKUP(E4257,E$1:E4256,1,FALSE()))),"OLD",IF(AND(E4257&lt;&gt;"",E4257&lt;&gt;"!!!"),"NEW","")))</f>
        <v> </v>
      </c>
      <c r="G4257" s="24" t="str">
        <f>IF(OR(E4257="",E4257="!!!"),"",IF(OR(J4257=0,AND(J4257=1,K4257=1),AND(J4257=1,I4257="SBJ"),AND(J4257=1,I4257=0)),"?IN_FOCUS",IF(J4257&lt;=2,"?ACTIVATED",IF(J4257&lt;&gt;"","?FAMILIAR",IF(F4257="NEW",IF(ISNA(VLOOKUP(E4257,#REF!,1,FALSE())),"?TYPE_IDENTIFIABLE","?REFERENTIAL"),"_")))))</f>
        <v> </v>
      </c>
      <c r="H4257" s="25" t="str">
        <f>IF(J4257&lt;&gt;1,"",IF(I4257="SBJ","CB","?"))</f>
        <v> </v>
      </c>
      <c r="I4257" s="26" t="str">
        <f>IF(OR(E4257="",E4257="!!!",F4257="NEW"),"",INDEX(B4256:B$2,-1+SUMPRODUCT(MAX(ROW(E4256:E$2)*(E4257=E4256:E$2)))))</f>
        <v> </v>
      </c>
      <c r="J4257" s="26" t="str">
        <f>IF(OR(E4257="",E4257="!!!",F4257="NEW"),"",COUNTBLANK(OFFSET(A$1,,,SUMPRODUCT(MAX(ROW(E$2:E4257)*(E4257=E$2:E4257)))))-COUNTBLANK(OFFSET(A$1,,,SUMPRODUCT(MAX(ROW(E$1:E4256)*(E2=E$1:E4256))))))</f>
        <v> </v>
      </c>
      <c r="K4257" s="26" t="str">
        <f>IF(OR(E4257="",E4257="!!!",F4257="NEW"),"",INDEX(J$1:J4256,SUMPRODUCT(MAX(ROW(E$1:E4256)*(E4257=E$1:E4256)))))</f>
        <v> </v>
      </c>
      <c r="L4257" s="27"/>
    </row>
    <row r="4258" spans="1:12">
      <c r="A4258" s="20" t="s">
        <v>1083</v>
      </c>
      <c r="B4258" s="21" t="s">
        <v>1058</v>
      </c>
      <c r="C4258" s="21" t="s">
        <v>1076</v>
      </c>
      <c r="D4258" s="21" t="s">
        <v>1060</v>
      </c>
      <c r="E4258" s="22">
        <f>IF(D4258="?OLD","!!!","")</f>
        <v/>
      </c>
      <c r="F4258" s="23" t="str">
        <f>IF(OR(E4258="",E4258="!!!"),"",IF(NOT(ISNA(VLOOKUP(E4258,E$1:E4257,1,FALSE()))),"OLD",IF(AND(E4258&lt;&gt;"",E4258&lt;&gt;"!!!"),"NEW","")))</f>
        <v> </v>
      </c>
      <c r="G4258" s="24" t="str">
        <f>IF(OR(E4258="",E4258="!!!"),"",IF(OR(J4258=0,AND(J4258=1,K4258=1),AND(J4258=1,I4258="SBJ"),AND(J4258=1,I4258=0)),"?IN_FOCUS",IF(J4258&lt;=2,"?ACTIVATED",IF(J4258&lt;&gt;"","?FAMILIAR",IF(F4258="NEW",IF(ISNA(VLOOKUP(E4258,#REF!,1,FALSE())),"?TYPE_IDENTIFIABLE","?REFERENTIAL"),"_")))))</f>
        <v> </v>
      </c>
      <c r="H4258" s="25" t="str">
        <f>IF(J4258&lt;&gt;1,"",IF(I4258="SBJ","CB","?"))</f>
        <v> </v>
      </c>
      <c r="I4258" s="26" t="str">
        <f>IF(OR(E4258="",E4258="!!!",F4258="NEW"),"",INDEX(B4257:B$2,-1+SUMPRODUCT(MAX(ROW(E4257:E$2)*(E4258=E4257:E$2)))))</f>
        <v> </v>
      </c>
      <c r="J4258" s="26" t="str">
        <f>IF(OR(E4258="",E4258="!!!",F4258="NEW"),"",COUNTBLANK(OFFSET(A$1,,,SUMPRODUCT(MAX(ROW(E$2:E4258)*(E4258=E$2:E4258)))))-COUNTBLANK(OFFSET(A$1,,,SUMPRODUCT(MAX(ROW(E$1:E4257)*(E2=E$1:E4257))))))</f>
        <v> </v>
      </c>
      <c r="K4258" s="26" t="str">
        <f>IF(OR(E4258="",E4258="!!!",F4258="NEW"),"",INDEX(J$1:J4257,SUMPRODUCT(MAX(ROW(E$1:E4257)*(E4258=E$1:E4257)))))</f>
        <v> </v>
      </c>
      <c r="L4258" s="27"/>
    </row>
    <row r="4259" spans="1:12">
      <c r="A4259" s="20" t="s">
        <v>106</v>
      </c>
      <c r="E4259" s="22">
        <f>IF(D4259="?OLD","!!!","")</f>
        <v/>
      </c>
      <c r="F4259" s="23" t="str">
        <f>IF(OR(E4259="",E4259="!!!"),"",IF(NOT(ISNA(VLOOKUP(E4259,E$1:E4258,1,FALSE()))),"OLD",IF(AND(E4259&lt;&gt;"",E4259&lt;&gt;"!!!"),"NEW","")))</f>
        <v> </v>
      </c>
      <c r="G4259" s="24" t="str">
        <f>IF(OR(E4259="",E4259="!!!"),"",IF(OR(J4259=0,AND(J4259=1,K4259=1),AND(J4259=1,I4259="SBJ"),AND(J4259=1,I4259=0)),"?IN_FOCUS",IF(J4259&lt;=2,"?ACTIVATED",IF(J4259&lt;&gt;"","?FAMILIAR",IF(F4259="NEW",IF(ISNA(VLOOKUP(E4259,#REF!,1,FALSE())),"?TYPE_IDENTIFIABLE","?REFERENTIAL"),"_")))))</f>
        <v> </v>
      </c>
      <c r="H4259" s="25" t="str">
        <f>IF(J4259&lt;&gt;1,"",IF(I4259="SBJ","CB","?"))</f>
        <v> </v>
      </c>
      <c r="I4259" s="26" t="str">
        <f>IF(OR(E4259="",E4259="!!!",F4259="NEW"),"",INDEX(B4258:B$2,-1+SUMPRODUCT(MAX(ROW(E4258:E$2)*(E4259=E4258:E$2)))))</f>
        <v> </v>
      </c>
      <c r="J4259" s="26" t="str">
        <f>IF(OR(E4259="",E4259="!!!",F4259="NEW"),"",COUNTBLANK(OFFSET(A$1,,,SUMPRODUCT(MAX(ROW(E$2:E4259)*(E4259=E$2:E4259)))))-COUNTBLANK(OFFSET(A$1,,,SUMPRODUCT(MAX(ROW(E$1:E4258)*(E2=E$1:E4258))))))</f>
        <v> </v>
      </c>
      <c r="K4259" s="26" t="str">
        <f>IF(OR(E4259="",E4259="!!!",F4259="NEW"),"",INDEX(J$1:J4258,SUMPRODUCT(MAX(ROW(E$1:E4258)*(E4259=E$1:E4258)))))</f>
        <v> </v>
      </c>
      <c r="L4259" s="27"/>
    </row>
    <row r="4260" spans="1:12">
      <c r="A4260" s="20" t="s">
        <v>1101</v>
      </c>
      <c r="E4260" s="22">
        <f>IF(D4260="?OLD","!!!","")</f>
        <v/>
      </c>
      <c r="F4260" s="23" t="str">
        <f>IF(OR(E4260="",E4260="!!!"),"",IF(NOT(ISNA(VLOOKUP(E4260,E$1:E4259,1,FALSE()))),"OLD",IF(AND(E4260&lt;&gt;"",E4260&lt;&gt;"!!!"),"NEW","")))</f>
        <v> </v>
      </c>
      <c r="G4260" s="24" t="str">
        <f>IF(OR(E4260="",E4260="!!!"),"",IF(OR(J4260=0,AND(J4260=1,K4260=1),AND(J4260=1,I4260="SBJ"),AND(J4260=1,I4260=0)),"?IN_FOCUS",IF(J4260&lt;=2,"?ACTIVATED",IF(J4260&lt;&gt;"","?FAMILIAR",IF(F4260="NEW",IF(ISNA(VLOOKUP(E4260,#REF!,1,FALSE())),"?TYPE_IDENTIFIABLE","?REFERENTIAL"),"_")))))</f>
        <v> </v>
      </c>
      <c r="H4260" s="25" t="str">
        <f>IF(J4260&lt;&gt;1,"",IF(I4260="SBJ","CB","?"))</f>
        <v> </v>
      </c>
      <c r="I4260" s="26" t="str">
        <f>IF(OR(E4260="",E4260="!!!",F4260="NEW"),"",INDEX(B4259:B$2,-1+SUMPRODUCT(MAX(ROW(E4259:E$2)*(E4260=E4259:E$2)))))</f>
        <v> </v>
      </c>
      <c r="J4260" s="26" t="str">
        <f>IF(OR(E4260="",E4260="!!!",F4260="NEW"),"",COUNTBLANK(OFFSET(A$1,,,SUMPRODUCT(MAX(ROW(E$2:E4260)*(E4260=E$2:E4260)))))-COUNTBLANK(OFFSET(A$1,,,SUMPRODUCT(MAX(ROW(E$1:E4259)*(E2=E$1:E4259))))))</f>
        <v> </v>
      </c>
      <c r="K4260" s="26" t="str">
        <f>IF(OR(E4260="",E4260="!!!",F4260="NEW"),"",INDEX(J$1:J4259,SUMPRODUCT(MAX(ROW(E$1:E4259)*(E4260=E$1:E4259)))))</f>
        <v> </v>
      </c>
      <c r="L4260" s="27"/>
    </row>
    <row r="4261" spans="1:12">
      <c r="A4261" s="20" t="s">
        <v>2287</v>
      </c>
      <c r="B4261" s="21" t="s">
        <v>1079</v>
      </c>
      <c r="C4261" s="21" t="s">
        <v>1140</v>
      </c>
      <c r="D4261" s="21" t="s">
        <v>1060</v>
      </c>
      <c r="E4261" s="22">
        <f>IF(D4261="?OLD","!!!","")</f>
        <v/>
      </c>
      <c r="F4261" s="23" t="str">
        <f>IF(OR(E4261="",E4261="!!!"),"",IF(NOT(ISNA(VLOOKUP(E4261,E$1:E4260,1,FALSE()))),"OLD",IF(AND(E4261&lt;&gt;"",E4261&lt;&gt;"!!!"),"NEW","")))</f>
        <v> </v>
      </c>
      <c r="G4261" s="24" t="str">
        <f>IF(OR(E4261="",E4261="!!!"),"",IF(OR(J4261=0,AND(J4261=1,K4261=1),AND(J4261=1,I4261="SBJ"),AND(J4261=1,I4261=0)),"?IN_FOCUS",IF(J4261&lt;=2,"?ACTIVATED",IF(J4261&lt;&gt;"","?FAMILIAR",IF(F4261="NEW",IF(ISNA(VLOOKUP(E4261,#REF!,1,FALSE())),"?TYPE_IDENTIFIABLE","?REFERENTIAL"),"_")))))</f>
        <v> </v>
      </c>
      <c r="H4261" s="25" t="str">
        <f>IF(J4261&lt;&gt;1,"",IF(I4261="SBJ","CB","?"))</f>
        <v> </v>
      </c>
      <c r="I4261" s="26" t="str">
        <f>IF(OR(E4261="",E4261="!!!",F4261="NEW"),"",INDEX(B4260:B$2,-1+SUMPRODUCT(MAX(ROW(E4260:E$2)*(E4261=E4260:E$2)))))</f>
        <v> </v>
      </c>
      <c r="J4261" s="26" t="str">
        <f>IF(OR(E4261="",E4261="!!!",F4261="NEW"),"",COUNTBLANK(OFFSET(A$1,,,SUMPRODUCT(MAX(ROW(E$2:E4261)*(E4261=E$2:E4261)))))-COUNTBLANK(OFFSET(A$1,,,SUMPRODUCT(MAX(ROW(E$1:E4260)*(E2=E$1:E4260))))))</f>
        <v> </v>
      </c>
      <c r="K4261" s="26" t="str">
        <f>IF(OR(E4261="",E4261="!!!",F4261="NEW"),"",INDEX(J$1:J4260,SUMPRODUCT(MAX(ROW(E$1:E4260)*(E4261=E$1:E4260)))))</f>
        <v> </v>
      </c>
      <c r="L4261" s="27"/>
    </row>
    <row r="4262" spans="1:12">
      <c r="A4262" s="20" t="s">
        <v>2288</v>
      </c>
      <c r="E4262" s="22">
        <f>IF(D4262="?OLD","!!!","")</f>
        <v/>
      </c>
      <c r="F4262" s="23" t="str">
        <f>IF(OR(E4262="",E4262="!!!"),"",IF(NOT(ISNA(VLOOKUP(E4262,E$1:E4261,1,FALSE()))),"OLD",IF(AND(E4262&lt;&gt;"",E4262&lt;&gt;"!!!"),"NEW","")))</f>
        <v> </v>
      </c>
      <c r="G4262" s="24" t="str">
        <f>IF(OR(E4262="",E4262="!!!"),"",IF(OR(J4262=0,AND(J4262=1,K4262=1),AND(J4262=1,I4262="SBJ"),AND(J4262=1,I4262=0)),"?IN_FOCUS",IF(J4262&lt;=2,"?ACTIVATED",IF(J4262&lt;&gt;"","?FAMILIAR",IF(F4262="NEW",IF(ISNA(VLOOKUP(E4262,#REF!,1,FALSE())),"?TYPE_IDENTIFIABLE","?REFERENTIAL"),"_")))))</f>
        <v> </v>
      </c>
      <c r="H4262" s="25" t="str">
        <f>IF(J4262&lt;&gt;1,"",IF(I4262="SBJ","CB","?"))</f>
        <v> </v>
      </c>
      <c r="I4262" s="26" t="str">
        <f>IF(OR(E4262="",E4262="!!!",F4262="NEW"),"",INDEX(B4261:B$2,-1+SUMPRODUCT(MAX(ROW(E4261:E$2)*(E4262=E4261:E$2)))))</f>
        <v> </v>
      </c>
      <c r="J4262" s="26" t="str">
        <f>IF(OR(E4262="",E4262="!!!",F4262="NEW"),"",COUNTBLANK(OFFSET(A$1,,,SUMPRODUCT(MAX(ROW(E$2:E4262)*(E4262=E$2:E4262)))))-COUNTBLANK(OFFSET(A$1,,,SUMPRODUCT(MAX(ROW(E$1:E4261)*(E2=E$1:E4261))))))</f>
        <v> </v>
      </c>
      <c r="K4262" s="26" t="str">
        <f>IF(OR(E4262="",E4262="!!!",F4262="NEW"),"",INDEX(J$1:J4261,SUMPRODUCT(MAX(ROW(E$1:E4261)*(E4262=E$1:E4261)))))</f>
        <v> </v>
      </c>
      <c r="L4262" s="27"/>
    </row>
    <row r="4263" spans="1:12">
      <c r="A4263" s="20" t="s">
        <v>1088</v>
      </c>
      <c r="E4263" s="22">
        <f>IF(D4263="?OLD","!!!","")</f>
        <v/>
      </c>
      <c r="F4263" s="23" t="str">
        <f>IF(OR(E4263="",E4263="!!!"),"",IF(NOT(ISNA(VLOOKUP(E4263,E$1:E4262,1,FALSE()))),"OLD",IF(AND(E4263&lt;&gt;"",E4263&lt;&gt;"!!!"),"NEW","")))</f>
        <v> </v>
      </c>
      <c r="G4263" s="24" t="str">
        <f>IF(OR(E4263="",E4263="!!!"),"",IF(OR(J4263=0,AND(J4263=1,K4263=1),AND(J4263=1,I4263="SBJ"),AND(J4263=1,I4263=0)),"?IN_FOCUS",IF(J4263&lt;=2,"?ACTIVATED",IF(J4263&lt;&gt;"","?FAMILIAR",IF(F4263="NEW",IF(ISNA(VLOOKUP(E4263,#REF!,1,FALSE())),"?TYPE_IDENTIFIABLE","?REFERENTIAL"),"_")))))</f>
        <v> </v>
      </c>
      <c r="H4263" s="25" t="str">
        <f>IF(J4263&lt;&gt;1,"",IF(I4263="SBJ","CB","?"))</f>
        <v> </v>
      </c>
      <c r="I4263" s="26" t="str">
        <f>IF(OR(E4263="",E4263="!!!",F4263="NEW"),"",INDEX(B4262:B$2,-1+SUMPRODUCT(MAX(ROW(E4262:E$2)*(E4263=E4262:E$2)))))</f>
        <v> </v>
      </c>
      <c r="J4263" s="26" t="str">
        <f>IF(OR(E4263="",E4263="!!!",F4263="NEW"),"",COUNTBLANK(OFFSET(A$1,,,SUMPRODUCT(MAX(ROW(E$2:E4263)*(E4263=E$2:E4263)))))-COUNTBLANK(OFFSET(A$1,,,SUMPRODUCT(MAX(ROW(E$1:E4262)*(E2=E$1:E4262))))))</f>
        <v> </v>
      </c>
      <c r="K4263" s="26" t="str">
        <f>IF(OR(E4263="",E4263="!!!",F4263="NEW"),"",INDEX(J$1:J4262,SUMPRODUCT(MAX(ROW(E$1:E4262)*(E4263=E$1:E4262)))))</f>
        <v> </v>
      </c>
      <c r="L4263" s="27"/>
    </row>
    <row r="4264" spans="1:12">
      <c r="A4264" s="20" t="s">
        <v>16</v>
      </c>
      <c r="E4264" s="22">
        <f>IF(D4264="?OLD","!!!","")</f>
        <v/>
      </c>
      <c r="F4264" s="23" t="str">
        <f>IF(OR(E4264="",E4264="!!!"),"",IF(NOT(ISNA(VLOOKUP(E4264,E$1:E4263,1,FALSE()))),"OLD",IF(AND(E4264&lt;&gt;"",E4264&lt;&gt;"!!!"),"NEW","")))</f>
        <v> </v>
      </c>
      <c r="G4264" s="24" t="str">
        <f>IF(OR(E4264="",E4264="!!!"),"",IF(OR(J4264=0,AND(J4264=1,K4264=1),AND(J4264=1,I4264="SBJ"),AND(J4264=1,I4264=0)),"?IN_FOCUS",IF(J4264&lt;=2,"?ACTIVATED",IF(J4264&lt;&gt;"","?FAMILIAR",IF(F4264="NEW",IF(ISNA(VLOOKUP(E4264,#REF!,1,FALSE())),"?TYPE_IDENTIFIABLE","?REFERENTIAL"),"_")))))</f>
        <v> </v>
      </c>
      <c r="H4264" s="25" t="str">
        <f>IF(J4264&lt;&gt;1,"",IF(I4264="SBJ","CB","?"))</f>
        <v> </v>
      </c>
      <c r="I4264" s="26" t="str">
        <f>IF(OR(E4264="",E4264="!!!",F4264="NEW"),"",INDEX(B4263:B$2,-1+SUMPRODUCT(MAX(ROW(E4263:E$2)*(E4264=E4263:E$2)))))</f>
        <v> </v>
      </c>
      <c r="J4264" s="26" t="str">
        <f>IF(OR(E4264="",E4264="!!!",F4264="NEW"),"",COUNTBLANK(OFFSET(A$1,,,SUMPRODUCT(MAX(ROW(E$2:E4264)*(E4264=E$2:E4264)))))-COUNTBLANK(OFFSET(A$1,,,SUMPRODUCT(MAX(ROW(E$1:E4263)*(E2=E$1:E4263))))))</f>
        <v> </v>
      </c>
      <c r="K4264" s="26" t="str">
        <f>IF(OR(E4264="",E4264="!!!",F4264="NEW"),"",INDEX(J$1:J4263,SUMPRODUCT(MAX(ROW(E$1:E4263)*(E4264=E$1:E4263)))))</f>
        <v> </v>
      </c>
      <c r="L4264" s="27"/>
    </row>
    <row r="4265" spans="1:12">
      <c r="A4265" s="20" t="s">
        <v>1590</v>
      </c>
      <c r="B4265" s="21" t="s">
        <v>1068</v>
      </c>
      <c r="C4265" s="21" t="s">
        <v>1149</v>
      </c>
      <c r="E4265" s="22">
        <f>IF(D4265="?OLD","!!!","")</f>
        <v/>
      </c>
      <c r="F4265" s="23" t="str">
        <f>IF(OR(E4265="",E4265="!!!"),"",IF(NOT(ISNA(VLOOKUP(E4265,E$1:E4264,1,FALSE()))),"OLD",IF(AND(E4265&lt;&gt;"",E4265&lt;&gt;"!!!"),"NEW","")))</f>
        <v> </v>
      </c>
      <c r="G4265" s="24" t="str">
        <f>IF(OR(E4265="",E4265="!!!"),"",IF(OR(J4265=0,AND(J4265=1,K4265=1),AND(J4265=1,I4265="SBJ"),AND(J4265=1,I4265=0)),"?IN_FOCUS",IF(J4265&lt;=2,"?ACTIVATED",IF(J4265&lt;&gt;"","?FAMILIAR",IF(F4265="NEW",IF(ISNA(VLOOKUP(E4265,#REF!,1,FALSE())),"?TYPE_IDENTIFIABLE","?REFERENTIAL"),"_")))))</f>
        <v> </v>
      </c>
      <c r="H4265" s="25" t="str">
        <f>IF(J4265&lt;&gt;1,"",IF(I4265="SBJ","CB","?"))</f>
        <v> </v>
      </c>
      <c r="I4265" s="26" t="str">
        <f>IF(OR(E4265="",E4265="!!!",F4265="NEW"),"",INDEX(B4264:B$2,-1+SUMPRODUCT(MAX(ROW(E4264:E$2)*(E4265=E4264:E$2)))))</f>
        <v> </v>
      </c>
      <c r="J4265" s="26" t="str">
        <f>IF(OR(E4265="",E4265="!!!",F4265="NEW"),"",COUNTBLANK(OFFSET(A$1,,,SUMPRODUCT(MAX(ROW(E$2:E4265)*(E4265=E$2:E4265)))))-COUNTBLANK(OFFSET(A$1,,,SUMPRODUCT(MAX(ROW(E$1:E4264)*(E2=E$1:E4264))))))</f>
        <v> </v>
      </c>
      <c r="K4265" s="26" t="str">
        <f>IF(OR(E4265="",E4265="!!!",F4265="NEW"),"",INDEX(J$1:J4264,SUMPRODUCT(MAX(ROW(E$1:E4264)*(E4265=E$1:E4264)))))</f>
        <v> </v>
      </c>
      <c r="L4265" s="27"/>
    </row>
    <row r="4266" spans="1:12">
      <c r="A4266" s="20" t="s">
        <v>1282</v>
      </c>
      <c r="E4266" s="22">
        <f>IF(D4266="?OLD","!!!","")</f>
        <v/>
      </c>
      <c r="F4266" s="23" t="str">
        <f>IF(OR(E4266="",E4266="!!!"),"",IF(NOT(ISNA(VLOOKUP(E4266,E$1:E4265,1,FALSE()))),"OLD",IF(AND(E4266&lt;&gt;"",E4266&lt;&gt;"!!!"),"NEW","")))</f>
        <v> </v>
      </c>
      <c r="G4266" s="24" t="str">
        <f>IF(OR(E4266="",E4266="!!!"),"",IF(OR(J4266=0,AND(J4266=1,K4266=1),AND(J4266=1,I4266="SBJ"),AND(J4266=1,I4266=0)),"?IN_FOCUS",IF(J4266&lt;=2,"?ACTIVATED",IF(J4266&lt;&gt;"","?FAMILIAR",IF(F4266="NEW",IF(ISNA(VLOOKUP(E4266,#REF!,1,FALSE())),"?TYPE_IDENTIFIABLE","?REFERENTIAL"),"_")))))</f>
        <v> </v>
      </c>
      <c r="H4266" s="25" t="str">
        <f>IF(J4266&lt;&gt;1,"",IF(I4266="SBJ","CB","?"))</f>
        <v> </v>
      </c>
      <c r="I4266" s="26" t="str">
        <f>IF(OR(E4266="",E4266="!!!",F4266="NEW"),"",INDEX(B4265:B$2,-1+SUMPRODUCT(MAX(ROW(E4265:E$2)*(E4266=E4265:E$2)))))</f>
        <v> </v>
      </c>
      <c r="J4266" s="26" t="str">
        <f>IF(OR(E4266="",E4266="!!!",F4266="NEW"),"",COUNTBLANK(OFFSET(A$1,,,SUMPRODUCT(MAX(ROW(E$2:E4266)*(E4266=E$2:E4266)))))-COUNTBLANK(OFFSET(A$1,,,SUMPRODUCT(MAX(ROW(E$1:E4265)*(E2=E$1:E4265))))))</f>
        <v> </v>
      </c>
      <c r="K4266" s="26" t="str">
        <f>IF(OR(E4266="",E4266="!!!",F4266="NEW"),"",INDEX(J$1:J4265,SUMPRODUCT(MAX(ROW(E$1:E4265)*(E4266=E$1:E4265)))))</f>
        <v> </v>
      </c>
      <c r="L4266" s="27"/>
    </row>
    <row r="4267" spans="1:12">
      <c r="A4267" s="20"/>
    </row>
    <row r="4268" spans="1:12">
      <c r="A4268" s="20" t="s">
        <v>2289</v>
      </c>
    </row>
    <row r="4269" spans="1:12">
      <c r="A4269" s="20" t="s">
        <v>1254</v>
      </c>
      <c r="B4269" s="21" t="s">
        <v>1058</v>
      </c>
      <c r="C4269" s="21" t="s">
        <v>1076</v>
      </c>
      <c r="D4269" s="21" t="s">
        <v>1060</v>
      </c>
      <c r="E4269" s="22">
        <f>IF(D4269="?OLD","!!!","")</f>
        <v/>
      </c>
      <c r="F4269" s="23" t="str">
        <f>IF(OR(E4269="",E4269="!!!"),"",IF(NOT(ISNA(VLOOKUP(E4269,E$1:E4268,1,FALSE()))),"OLD",IF(AND(E4269&lt;&gt;"",E4269&lt;&gt;"!!!"),"NEW","")))</f>
        <v> </v>
      </c>
      <c r="G4269" s="24" t="str">
        <f>IF(OR(E4269="",E4269="!!!"),"",IF(OR(J4269=0,AND(J4269=1,K4269=1),AND(J4269=1,I4269="SBJ"),AND(J4269=1,I4269=0)),"?IN_FOCUS",IF(J4269&lt;=2,"?ACTIVATED",IF(J4269&lt;&gt;"","?FAMILIAR",IF(F4269="NEW",IF(ISNA(VLOOKUP(E4269,#REF!,1,FALSE())),"?TYPE_IDENTIFIABLE","?REFERENTIAL"),"_")))))</f>
        <v> </v>
      </c>
      <c r="H4269" s="25" t="str">
        <f>IF(J4269&lt;&gt;1,"",IF(I4269="SBJ","CB","?"))</f>
        <v> </v>
      </c>
      <c r="I4269" s="26" t="str">
        <f>IF(OR(E4269="",E4269="!!!",F4269="NEW"),"",INDEX(B4268:B$2,-1+SUMPRODUCT(MAX(ROW(E4268:E$2)*(E4269=E4268:E$2)))))</f>
        <v> </v>
      </c>
      <c r="J4269" s="26" t="str">
        <f>IF(OR(E4269="",E4269="!!!",F4269="NEW"),"",COUNTBLANK(OFFSET(A$1,,,SUMPRODUCT(MAX(ROW(E$2:E4269)*(E4269=E$2:E4269)))))-COUNTBLANK(OFFSET(A$1,,,SUMPRODUCT(MAX(ROW(E$1:E4268)*(E2=E$1:E4268))))))</f>
        <v> </v>
      </c>
      <c r="K4269" s="26" t="str">
        <f>IF(OR(E4269="",E4269="!!!",F4269="NEW"),"",INDEX(J$1:J4268,SUMPRODUCT(MAX(ROW(E$1:E4268)*(E4269=E$1:E4268)))))</f>
        <v> </v>
      </c>
      <c r="L4269" s="27"/>
    </row>
    <row r="4270" spans="1:12">
      <c r="A4270" s="20" t="s">
        <v>2290</v>
      </c>
      <c r="E4270" s="22">
        <f>IF(D4270="?OLD","!!!","")</f>
        <v/>
      </c>
      <c r="F4270" s="23" t="str">
        <f>IF(OR(E4270="",E4270="!!!"),"",IF(NOT(ISNA(VLOOKUP(E4270,E$1:E4269,1,FALSE()))),"OLD",IF(AND(E4270&lt;&gt;"",E4270&lt;&gt;"!!!"),"NEW","")))</f>
        <v> </v>
      </c>
      <c r="G4270" s="24" t="str">
        <f>IF(OR(E4270="",E4270="!!!"),"",IF(OR(J4270=0,AND(J4270=1,K4270=1),AND(J4270=1,I4270="SBJ"),AND(J4270=1,I4270=0)),"?IN_FOCUS",IF(J4270&lt;=2,"?ACTIVATED",IF(J4270&lt;&gt;"","?FAMILIAR",IF(F4270="NEW",IF(ISNA(VLOOKUP(E4270,#REF!,1,FALSE())),"?TYPE_IDENTIFIABLE","?REFERENTIAL"),"_")))))</f>
        <v> </v>
      </c>
      <c r="H4270" s="25" t="str">
        <f>IF(J4270&lt;&gt;1,"",IF(I4270="SBJ","CB","?"))</f>
        <v> </v>
      </c>
      <c r="I4270" s="26" t="str">
        <f>IF(OR(E4270="",E4270="!!!",F4270="NEW"),"",INDEX(B4269:B$2,-1+SUMPRODUCT(MAX(ROW(E4269:E$2)*(E4270=E4269:E$2)))))</f>
        <v> </v>
      </c>
      <c r="J4270" s="26" t="str">
        <f>IF(OR(E4270="",E4270="!!!",F4270="NEW"),"",COUNTBLANK(OFFSET(A$1,,,SUMPRODUCT(MAX(ROW(E$2:E4270)*(E4270=E$2:E4270)))))-COUNTBLANK(OFFSET(A$1,,,SUMPRODUCT(MAX(ROW(E$1:E4269)*(E2=E$1:E4269))))))</f>
        <v> </v>
      </c>
      <c r="K4270" s="26" t="str">
        <f>IF(OR(E4270="",E4270="!!!",F4270="NEW"),"",INDEX(J$1:J4269,SUMPRODUCT(MAX(ROW(E$1:E4269)*(E4270=E$1:E4269)))))</f>
        <v> </v>
      </c>
      <c r="L4270" s="27"/>
    </row>
    <row r="4271" spans="1:12">
      <c r="A4271" s="20" t="s">
        <v>1416</v>
      </c>
      <c r="B4271" s="21" t="s">
        <v>1075</v>
      </c>
      <c r="C4271" s="21" t="s">
        <v>1076</v>
      </c>
      <c r="D4271" s="21" t="s">
        <v>1060</v>
      </c>
      <c r="E4271" s="22">
        <f>IF(D4271="?OLD","!!!","")</f>
        <v/>
      </c>
      <c r="F4271" s="23" t="str">
        <f>IF(OR(E4271="",E4271="!!!"),"",IF(NOT(ISNA(VLOOKUP(E4271,E$1:E4270,1,FALSE()))),"OLD",IF(AND(E4271&lt;&gt;"",E4271&lt;&gt;"!!!"),"NEW","")))</f>
        <v> </v>
      </c>
      <c r="G4271" s="24" t="str">
        <f>IF(OR(E4271="",E4271="!!!"),"",IF(OR(J4271=0,AND(J4271=1,K4271=1),AND(J4271=1,I4271="SBJ"),AND(J4271=1,I4271=0)),"?IN_FOCUS",IF(J4271&lt;=2,"?ACTIVATED",IF(J4271&lt;&gt;"","?FAMILIAR",IF(F4271="NEW",IF(ISNA(VLOOKUP(E4271,#REF!,1,FALSE())),"?TYPE_IDENTIFIABLE","?REFERENTIAL"),"_")))))</f>
        <v> </v>
      </c>
      <c r="H4271" s="25" t="str">
        <f>IF(J4271&lt;&gt;1,"",IF(I4271="SBJ","CB","?"))</f>
        <v> </v>
      </c>
      <c r="I4271" s="26" t="str">
        <f>IF(OR(E4271="",E4271="!!!",F4271="NEW"),"",INDEX(B4270:B$2,-1+SUMPRODUCT(MAX(ROW(E4270:E$2)*(E4271=E4270:E$2)))))</f>
        <v> </v>
      </c>
      <c r="J4271" s="26" t="str">
        <f>IF(OR(E4271="",E4271="!!!",F4271="NEW"),"",COUNTBLANK(OFFSET(A$1,,,SUMPRODUCT(MAX(ROW(E$2:E4271)*(E4271=E$2:E4271)))))-COUNTBLANK(OFFSET(A$1,,,SUMPRODUCT(MAX(ROW(E$1:E4270)*(E2=E$1:E4270))))))</f>
        <v> </v>
      </c>
      <c r="K4271" s="26" t="str">
        <f>IF(OR(E4271="",E4271="!!!",F4271="NEW"),"",INDEX(J$1:J4270,SUMPRODUCT(MAX(ROW(E$1:E4270)*(E4271=E$1:E4270)))))</f>
        <v> </v>
      </c>
      <c r="L4271" s="27"/>
    </row>
    <row r="4272" spans="1:12">
      <c r="A4272" s="20" t="s">
        <v>1848</v>
      </c>
      <c r="E4272" s="22">
        <f>IF(D4272="?OLD","!!!","")</f>
        <v/>
      </c>
      <c r="F4272" s="23" t="str">
        <f>IF(OR(E4272="",E4272="!!!"),"",IF(NOT(ISNA(VLOOKUP(E4272,E$1:E4271,1,FALSE()))),"OLD",IF(AND(E4272&lt;&gt;"",E4272&lt;&gt;"!!!"),"NEW","")))</f>
        <v> </v>
      </c>
      <c r="G4272" s="24" t="str">
        <f>IF(OR(E4272="",E4272="!!!"),"",IF(OR(J4272=0,AND(J4272=1,K4272=1),AND(J4272=1,I4272="SBJ"),AND(J4272=1,I4272=0)),"?IN_FOCUS",IF(J4272&lt;=2,"?ACTIVATED",IF(J4272&lt;&gt;"","?FAMILIAR",IF(F4272="NEW",IF(ISNA(VLOOKUP(E4272,#REF!,1,FALSE())),"?TYPE_IDENTIFIABLE","?REFERENTIAL"),"_")))))</f>
        <v> </v>
      </c>
      <c r="H4272" s="25" t="str">
        <f>IF(J4272&lt;&gt;1,"",IF(I4272="SBJ","CB","?"))</f>
        <v> </v>
      </c>
      <c r="I4272" s="26" t="str">
        <f>IF(OR(E4272="",E4272="!!!",F4272="NEW"),"",INDEX(B4271:B$2,-1+SUMPRODUCT(MAX(ROW(E4271:E$2)*(E4272=E4271:E$2)))))</f>
        <v> </v>
      </c>
      <c r="J4272" s="26" t="str">
        <f>IF(OR(E4272="",E4272="!!!",F4272="NEW"),"",COUNTBLANK(OFFSET(A$1,,,SUMPRODUCT(MAX(ROW(E$2:E4272)*(E4272=E$2:E4272)))))-COUNTBLANK(OFFSET(A$1,,,SUMPRODUCT(MAX(ROW(E$1:E4271)*(E2=E$1:E4271))))))</f>
        <v> </v>
      </c>
      <c r="K4272" s="26" t="str">
        <f>IF(OR(E4272="",E4272="!!!",F4272="NEW"),"",INDEX(J$1:J4271,SUMPRODUCT(MAX(ROW(E$1:E4271)*(E4272=E$1:E4271)))))</f>
        <v> </v>
      </c>
      <c r="L4272" s="27"/>
    </row>
    <row r="4273" spans="1:12">
      <c r="A4273" s="20" t="s">
        <v>1070</v>
      </c>
      <c r="E4273" s="22">
        <f>IF(D4273="?OLD","!!!","")</f>
        <v/>
      </c>
      <c r="F4273" s="23" t="str">
        <f>IF(OR(E4273="",E4273="!!!"),"",IF(NOT(ISNA(VLOOKUP(E4273,E$1:E4272,1,FALSE()))),"OLD",IF(AND(E4273&lt;&gt;"",E4273&lt;&gt;"!!!"),"NEW","")))</f>
        <v> </v>
      </c>
      <c r="G4273" s="24" t="str">
        <f>IF(OR(E4273="",E4273="!!!"),"",IF(OR(J4273=0,AND(J4273=1,K4273=1),AND(J4273=1,I4273="SBJ"),AND(J4273=1,I4273=0)),"?IN_FOCUS",IF(J4273&lt;=2,"?ACTIVATED",IF(J4273&lt;&gt;"","?FAMILIAR",IF(F4273="NEW",IF(ISNA(VLOOKUP(E4273,#REF!,1,FALSE())),"?TYPE_IDENTIFIABLE","?REFERENTIAL"),"_")))))</f>
        <v> </v>
      </c>
      <c r="H4273" s="25" t="str">
        <f>IF(J4273&lt;&gt;1,"",IF(I4273="SBJ","CB","?"))</f>
        <v> </v>
      </c>
      <c r="I4273" s="26" t="str">
        <f>IF(OR(E4273="",E4273="!!!",F4273="NEW"),"",INDEX(B4272:B$2,-1+SUMPRODUCT(MAX(ROW(E4272:E$2)*(E4273=E4272:E$2)))))</f>
        <v> </v>
      </c>
      <c r="J4273" s="26" t="str">
        <f>IF(OR(E4273="",E4273="!!!",F4273="NEW"),"",COUNTBLANK(OFFSET(A$1,,,SUMPRODUCT(MAX(ROW(E$2:E4273)*(E4273=E$2:E4273)))))-COUNTBLANK(OFFSET(A$1,,,SUMPRODUCT(MAX(ROW(E$1:E4272)*(E2=E$1:E4272))))))</f>
        <v> </v>
      </c>
      <c r="K4273" s="26" t="str">
        <f>IF(OR(E4273="",E4273="!!!",F4273="NEW"),"",INDEX(J$1:J4272,SUMPRODUCT(MAX(ROW(E$1:E4272)*(E4273=E$1:E4272)))))</f>
        <v> </v>
      </c>
      <c r="L4273" s="27"/>
    </row>
    <row r="4274" spans="1:12">
      <c r="A4274" s="20" t="s">
        <v>1083</v>
      </c>
      <c r="B4274" s="21" t="s">
        <v>1097</v>
      </c>
      <c r="C4274" s="21" t="s">
        <v>1076</v>
      </c>
      <c r="D4274" s="21" t="s">
        <v>1060</v>
      </c>
      <c r="E4274" s="22">
        <f>IF(D4274="?OLD","!!!","")</f>
        <v/>
      </c>
      <c r="F4274" s="23" t="str">
        <f>IF(OR(E4274="",E4274="!!!"),"",IF(NOT(ISNA(VLOOKUP(E4274,E$1:E4273,1,FALSE()))),"OLD",IF(AND(E4274&lt;&gt;"",E4274&lt;&gt;"!!!"),"NEW","")))</f>
        <v> </v>
      </c>
      <c r="G4274" s="24" t="str">
        <f>IF(OR(E4274="",E4274="!!!"),"",IF(OR(J4274=0,AND(J4274=1,K4274=1),AND(J4274=1,I4274="SBJ"),AND(J4274=1,I4274=0)),"?IN_FOCUS",IF(J4274&lt;=2,"?ACTIVATED",IF(J4274&lt;&gt;"","?FAMILIAR",IF(F4274="NEW",IF(ISNA(VLOOKUP(E4274,#REF!,1,FALSE())),"?TYPE_IDENTIFIABLE","?REFERENTIAL"),"_")))))</f>
        <v> </v>
      </c>
      <c r="H4274" s="25" t="str">
        <f>IF(J4274&lt;&gt;1,"",IF(I4274="SBJ","CB","?"))</f>
        <v> </v>
      </c>
      <c r="I4274" s="26" t="str">
        <f>IF(OR(E4274="",E4274="!!!",F4274="NEW"),"",INDEX(B4273:B$2,-1+SUMPRODUCT(MAX(ROW(E4273:E$2)*(E4274=E4273:E$2)))))</f>
        <v> </v>
      </c>
      <c r="J4274" s="26" t="str">
        <f>IF(OR(E4274="",E4274="!!!",F4274="NEW"),"",COUNTBLANK(OFFSET(A$1,,,SUMPRODUCT(MAX(ROW(E$2:E4274)*(E4274=E$2:E4274)))))-COUNTBLANK(OFFSET(A$1,,,SUMPRODUCT(MAX(ROW(E$1:E4273)*(E2=E$1:E4273))))))</f>
        <v> </v>
      </c>
      <c r="K4274" s="26" t="str">
        <f>IF(OR(E4274="",E4274="!!!",F4274="NEW"),"",INDEX(J$1:J4273,SUMPRODUCT(MAX(ROW(E$1:E4273)*(E4274=E$1:E4273)))))</f>
        <v> </v>
      </c>
      <c r="L4274" s="27"/>
    </row>
    <row r="4275" spans="1:12">
      <c r="A4275" s="20" t="s">
        <v>1118</v>
      </c>
      <c r="E4275" s="22">
        <f>IF(D4275="?OLD","!!!","")</f>
        <v/>
      </c>
      <c r="F4275" s="23" t="str">
        <f>IF(OR(E4275="",E4275="!!!"),"",IF(NOT(ISNA(VLOOKUP(E4275,E$1:E4274,1,FALSE()))),"OLD",IF(AND(E4275&lt;&gt;"",E4275&lt;&gt;"!!!"),"NEW","")))</f>
        <v> </v>
      </c>
      <c r="G4275" s="24" t="str">
        <f>IF(OR(E4275="",E4275="!!!"),"",IF(OR(J4275=0,AND(J4275=1,K4275=1),AND(J4275=1,I4275="SBJ"),AND(J4275=1,I4275=0)),"?IN_FOCUS",IF(J4275&lt;=2,"?ACTIVATED",IF(J4275&lt;&gt;"","?FAMILIAR",IF(F4275="NEW",IF(ISNA(VLOOKUP(E4275,#REF!,1,FALSE())),"?TYPE_IDENTIFIABLE","?REFERENTIAL"),"_")))))</f>
        <v> </v>
      </c>
      <c r="H4275" s="25" t="str">
        <f>IF(J4275&lt;&gt;1,"",IF(I4275="SBJ","CB","?"))</f>
        <v> </v>
      </c>
      <c r="I4275" s="26" t="str">
        <f>IF(OR(E4275="",E4275="!!!",F4275="NEW"),"",INDEX(B4274:B$2,-1+SUMPRODUCT(MAX(ROW(E4274:E$2)*(E4275=E4274:E$2)))))</f>
        <v> </v>
      </c>
      <c r="J4275" s="26" t="str">
        <f>IF(OR(E4275="",E4275="!!!",F4275="NEW"),"",COUNTBLANK(OFFSET(A$1,,,SUMPRODUCT(MAX(ROW(E$2:E4275)*(E4275=E$2:E4275)))))-COUNTBLANK(OFFSET(A$1,,,SUMPRODUCT(MAX(ROW(E$1:E4274)*(E2=E$1:E4274))))))</f>
        <v> </v>
      </c>
      <c r="K4275" s="26" t="str">
        <f>IF(OR(E4275="",E4275="!!!",F4275="NEW"),"",INDEX(J$1:J4274,SUMPRODUCT(MAX(ROW(E$1:E4274)*(E4275=E$1:E4274)))))</f>
        <v> </v>
      </c>
      <c r="L4275" s="27"/>
    </row>
    <row r="4276" spans="1:12">
      <c r="A4276" s="20" t="s">
        <v>1151</v>
      </c>
      <c r="B4276" s="21" t="s">
        <v>1068</v>
      </c>
      <c r="C4276" s="21" t="s">
        <v>1076</v>
      </c>
      <c r="D4276" s="21" t="s">
        <v>1060</v>
      </c>
      <c r="E4276" s="22">
        <f>IF(D4276="?OLD","!!!","")</f>
        <v/>
      </c>
      <c r="F4276" s="23" t="str">
        <f>IF(OR(E4276="",E4276="!!!"),"",IF(NOT(ISNA(VLOOKUP(E4276,E$1:E4275,1,FALSE()))),"OLD",IF(AND(E4276&lt;&gt;"",E4276&lt;&gt;"!!!"),"NEW","")))</f>
        <v> </v>
      </c>
      <c r="G4276" s="24" t="str">
        <f>IF(OR(E4276="",E4276="!!!"),"",IF(OR(J4276=0,AND(J4276=1,K4276=1),AND(J4276=1,I4276="SBJ"),AND(J4276=1,I4276=0)),"?IN_FOCUS",IF(J4276&lt;=2,"?ACTIVATED",IF(J4276&lt;&gt;"","?FAMILIAR",IF(F4276="NEW",IF(ISNA(VLOOKUP(E4276,#REF!,1,FALSE())),"?TYPE_IDENTIFIABLE","?REFERENTIAL"),"_")))))</f>
        <v> </v>
      </c>
      <c r="H4276" s="25" t="str">
        <f>IF(J4276&lt;&gt;1,"",IF(I4276="SBJ","CB","?"))</f>
        <v> </v>
      </c>
      <c r="I4276" s="26" t="str">
        <f>IF(OR(E4276="",E4276="!!!",F4276="NEW"),"",INDEX(B4275:B$2,-1+SUMPRODUCT(MAX(ROW(E4275:E$2)*(E4276=E4275:E$2)))))</f>
        <v> </v>
      </c>
      <c r="J4276" s="26" t="str">
        <f>IF(OR(E4276="",E4276="!!!",F4276="NEW"),"",COUNTBLANK(OFFSET(A$1,,,SUMPRODUCT(MAX(ROW(E$2:E4276)*(E4276=E$2:E4276)))))-COUNTBLANK(OFFSET(A$1,,,SUMPRODUCT(MAX(ROW(E$1:E4275)*(E2=E$1:E4275))))))</f>
        <v> </v>
      </c>
      <c r="K4276" s="26" t="str">
        <f>IF(OR(E4276="",E4276="!!!",F4276="NEW"),"",INDEX(J$1:J4275,SUMPRODUCT(MAX(ROW(E$1:E4275)*(E4276=E$1:E4275)))))</f>
        <v> </v>
      </c>
      <c r="L4276" s="27"/>
    </row>
    <row r="4277" spans="1:12">
      <c r="A4277" s="20" t="s">
        <v>1070</v>
      </c>
      <c r="E4277" s="22">
        <f>IF(D4277="?OLD","!!!","")</f>
        <v/>
      </c>
      <c r="F4277" s="23" t="str">
        <f>IF(OR(E4277="",E4277="!!!"),"",IF(NOT(ISNA(VLOOKUP(E4277,E$1:E4276,1,FALSE()))),"OLD",IF(AND(E4277&lt;&gt;"",E4277&lt;&gt;"!!!"),"NEW","")))</f>
        <v> </v>
      </c>
      <c r="G4277" s="24" t="str">
        <f>IF(OR(E4277="",E4277="!!!"),"",IF(OR(J4277=0,AND(J4277=1,K4277=1),AND(J4277=1,I4277="SBJ"),AND(J4277=1,I4277=0)),"?IN_FOCUS",IF(J4277&lt;=2,"?ACTIVATED",IF(J4277&lt;&gt;"","?FAMILIAR",IF(F4277="NEW",IF(ISNA(VLOOKUP(E4277,#REF!,1,FALSE())),"?TYPE_IDENTIFIABLE","?REFERENTIAL"),"_")))))</f>
        <v> </v>
      </c>
      <c r="H4277" s="25" t="str">
        <f>IF(J4277&lt;&gt;1,"",IF(I4277="SBJ","CB","?"))</f>
        <v> </v>
      </c>
      <c r="I4277" s="26" t="str">
        <f>IF(OR(E4277="",E4277="!!!",F4277="NEW"),"",INDEX(B4276:B$2,-1+SUMPRODUCT(MAX(ROW(E4276:E$2)*(E4277=E4276:E$2)))))</f>
        <v> </v>
      </c>
      <c r="J4277" s="26" t="str">
        <f>IF(OR(E4277="",E4277="!!!",F4277="NEW"),"",COUNTBLANK(OFFSET(A$1,,,SUMPRODUCT(MAX(ROW(E$2:E4277)*(E4277=E$2:E4277)))))-COUNTBLANK(OFFSET(A$1,,,SUMPRODUCT(MAX(ROW(E$1:E4276)*(E2=E$1:E4276))))))</f>
        <v> </v>
      </c>
      <c r="K4277" s="26" t="str">
        <f>IF(OR(E4277="",E4277="!!!",F4277="NEW"),"",INDEX(J$1:J4276,SUMPRODUCT(MAX(ROW(E$1:E4276)*(E4277=E$1:E4276)))))</f>
        <v> </v>
      </c>
      <c r="L4277" s="27"/>
    </row>
    <row r="4278" spans="1:12">
      <c r="A4278" s="20" t="s">
        <v>1088</v>
      </c>
      <c r="E4278" s="22">
        <f>IF(D4278="?OLD","!!!","")</f>
        <v/>
      </c>
      <c r="F4278" s="23" t="str">
        <f>IF(OR(E4278="",E4278="!!!"),"",IF(NOT(ISNA(VLOOKUP(E4278,E$1:E4277,1,FALSE()))),"OLD",IF(AND(E4278&lt;&gt;"",E4278&lt;&gt;"!!!"),"NEW","")))</f>
        <v> </v>
      </c>
      <c r="G4278" s="24" t="str">
        <f>IF(OR(E4278="",E4278="!!!"),"",IF(OR(J4278=0,AND(J4278=1,K4278=1),AND(J4278=1,I4278="SBJ"),AND(J4278=1,I4278=0)),"?IN_FOCUS",IF(J4278&lt;=2,"?ACTIVATED",IF(J4278&lt;&gt;"","?FAMILIAR",IF(F4278="NEW",IF(ISNA(VLOOKUP(E4278,#REF!,1,FALSE())),"?TYPE_IDENTIFIABLE","?REFERENTIAL"),"_")))))</f>
        <v> </v>
      </c>
      <c r="H4278" s="25" t="str">
        <f>IF(J4278&lt;&gt;1,"",IF(I4278="SBJ","CB","?"))</f>
        <v> </v>
      </c>
      <c r="I4278" s="26" t="str">
        <f>IF(OR(E4278="",E4278="!!!",F4278="NEW"),"",INDEX(B4277:B$2,-1+SUMPRODUCT(MAX(ROW(E4277:E$2)*(E4278=E4277:E$2)))))</f>
        <v> </v>
      </c>
      <c r="J4278" s="26" t="str">
        <f>IF(OR(E4278="",E4278="!!!",F4278="NEW"),"",COUNTBLANK(OFFSET(A$1,,,SUMPRODUCT(MAX(ROW(E$2:E4278)*(E4278=E$2:E4278)))))-COUNTBLANK(OFFSET(A$1,,,SUMPRODUCT(MAX(ROW(E$1:E4277)*(E2=E$1:E4277))))))</f>
        <v> </v>
      </c>
      <c r="K4278" s="26" t="str">
        <f>IF(OR(E4278="",E4278="!!!",F4278="NEW"),"",INDEX(J$1:J4277,SUMPRODUCT(MAX(ROW(E$1:E4277)*(E4278=E$1:E4277)))))</f>
        <v> </v>
      </c>
      <c r="L4278" s="27"/>
    </row>
    <row r="4279" spans="1:12">
      <c r="A4279" s="20" t="s">
        <v>2291</v>
      </c>
      <c r="E4279" s="22">
        <f>IF(D4279="?OLD","!!!","")</f>
        <v/>
      </c>
      <c r="F4279" s="23" t="str">
        <f>IF(OR(E4279="",E4279="!!!"),"",IF(NOT(ISNA(VLOOKUP(E4279,E$1:E4278,1,FALSE()))),"OLD",IF(AND(E4279&lt;&gt;"",E4279&lt;&gt;"!!!"),"NEW","")))</f>
        <v> </v>
      </c>
      <c r="G4279" s="24" t="str">
        <f>IF(OR(E4279="",E4279="!!!"),"",IF(OR(J4279=0,AND(J4279=1,K4279=1),AND(J4279=1,I4279="SBJ"),AND(J4279=1,I4279=0)),"?IN_FOCUS",IF(J4279&lt;=2,"?ACTIVATED",IF(J4279&lt;&gt;"","?FAMILIAR",IF(F4279="NEW",IF(ISNA(VLOOKUP(E4279,#REF!,1,FALSE())),"?TYPE_IDENTIFIABLE","?REFERENTIAL"),"_")))))</f>
        <v> </v>
      </c>
      <c r="H4279" s="25" t="str">
        <f>IF(J4279&lt;&gt;1,"",IF(I4279="SBJ","CB","?"))</f>
        <v> </v>
      </c>
      <c r="I4279" s="26" t="str">
        <f>IF(OR(E4279="",E4279="!!!",F4279="NEW"),"",INDEX(B4278:B$2,-1+SUMPRODUCT(MAX(ROW(E4278:E$2)*(E4279=E4278:E$2)))))</f>
        <v> </v>
      </c>
      <c r="J4279" s="26" t="str">
        <f>IF(OR(E4279="",E4279="!!!",F4279="NEW"),"",COUNTBLANK(OFFSET(A$1,,,SUMPRODUCT(MAX(ROW(E$2:E4279)*(E4279=E$2:E4279)))))-COUNTBLANK(OFFSET(A$1,,,SUMPRODUCT(MAX(ROW(E$1:E4278)*(E2=E$1:E4278))))))</f>
        <v> </v>
      </c>
      <c r="K4279" s="26" t="str">
        <f>IF(OR(E4279="",E4279="!!!",F4279="NEW"),"",INDEX(J$1:J4278,SUMPRODUCT(MAX(ROW(E$1:E4278)*(E4279=E$1:E4278)))))</f>
        <v> </v>
      </c>
      <c r="L4279" s="27"/>
    </row>
    <row r="4280" spans="1:12">
      <c r="A4280" s="20" t="s">
        <v>1101</v>
      </c>
      <c r="E4280" s="22">
        <f>IF(D4280="?OLD","!!!","")</f>
        <v/>
      </c>
      <c r="F4280" s="23" t="str">
        <f>IF(OR(E4280="",E4280="!!!"),"",IF(NOT(ISNA(VLOOKUP(E4280,E$1:E4279,1,FALSE()))),"OLD",IF(AND(E4280&lt;&gt;"",E4280&lt;&gt;"!!!"),"NEW","")))</f>
        <v> </v>
      </c>
      <c r="G4280" s="24" t="str">
        <f>IF(OR(E4280="",E4280="!!!"),"",IF(OR(J4280=0,AND(J4280=1,K4280=1),AND(J4280=1,I4280="SBJ"),AND(J4280=1,I4280=0)),"?IN_FOCUS",IF(J4280&lt;=2,"?ACTIVATED",IF(J4280&lt;&gt;"","?FAMILIAR",IF(F4280="NEW",IF(ISNA(VLOOKUP(E4280,#REF!,1,FALSE())),"?TYPE_IDENTIFIABLE","?REFERENTIAL"),"_")))))</f>
        <v> </v>
      </c>
      <c r="H4280" s="25" t="str">
        <f>IF(J4280&lt;&gt;1,"",IF(I4280="SBJ","CB","?"))</f>
        <v> </v>
      </c>
      <c r="I4280" s="26" t="str">
        <f>IF(OR(E4280="",E4280="!!!",F4280="NEW"),"",INDEX(B4279:B$2,-1+SUMPRODUCT(MAX(ROW(E4279:E$2)*(E4280=E4279:E$2)))))</f>
        <v> </v>
      </c>
      <c r="J4280" s="26" t="str">
        <f>IF(OR(E4280="",E4280="!!!",F4280="NEW"),"",COUNTBLANK(OFFSET(A$1,,,SUMPRODUCT(MAX(ROW(E$2:E4280)*(E4280=E$2:E4280)))))-COUNTBLANK(OFFSET(A$1,,,SUMPRODUCT(MAX(ROW(E$1:E4279)*(E2=E$1:E4279))))))</f>
        <v> </v>
      </c>
      <c r="K4280" s="26" t="str">
        <f>IF(OR(E4280="",E4280="!!!",F4280="NEW"),"",INDEX(J$1:J4279,SUMPRODUCT(MAX(ROW(E$1:E4279)*(E4280=E$1:E4279)))))</f>
        <v> </v>
      </c>
      <c r="L4280" s="27"/>
    </row>
    <row r="4281" spans="1:12">
      <c r="A4281" s="20" t="s">
        <v>2292</v>
      </c>
      <c r="B4281" s="21" t="s">
        <v>1136</v>
      </c>
      <c r="C4281" s="21" t="s">
        <v>1140</v>
      </c>
      <c r="D4281" s="21" t="s">
        <v>1060</v>
      </c>
      <c r="E4281" s="22">
        <f>IF(D4281="?OLD","!!!","")</f>
        <v/>
      </c>
      <c r="F4281" s="23" t="str">
        <f>IF(OR(E4281="",E4281="!!!"),"",IF(NOT(ISNA(VLOOKUP(E4281,E$1:E4280,1,FALSE()))),"OLD",IF(AND(E4281&lt;&gt;"",E4281&lt;&gt;"!!!"),"NEW","")))</f>
        <v> </v>
      </c>
      <c r="G4281" s="24" t="str">
        <f>IF(OR(E4281="",E4281="!!!"),"",IF(OR(J4281=0,AND(J4281=1,K4281=1),AND(J4281=1,I4281="SBJ"),AND(J4281=1,I4281=0)),"?IN_FOCUS",IF(J4281&lt;=2,"?ACTIVATED",IF(J4281&lt;&gt;"","?FAMILIAR",IF(F4281="NEW",IF(ISNA(VLOOKUP(E4281,#REF!,1,FALSE())),"?TYPE_IDENTIFIABLE","?REFERENTIAL"),"_")))))</f>
        <v> </v>
      </c>
      <c r="H4281" s="25" t="str">
        <f>IF(J4281&lt;&gt;1,"",IF(I4281="SBJ","CB","?"))</f>
        <v> </v>
      </c>
      <c r="I4281" s="26" t="str">
        <f>IF(OR(E4281="",E4281="!!!",F4281="NEW"),"",INDEX(B4280:B$2,-1+SUMPRODUCT(MAX(ROW(E4280:E$2)*(E4281=E4280:E$2)))))</f>
        <v> </v>
      </c>
      <c r="J4281" s="26" t="str">
        <f>IF(OR(E4281="",E4281="!!!",F4281="NEW"),"",COUNTBLANK(OFFSET(A$1,,,SUMPRODUCT(MAX(ROW(E$2:E4281)*(E4281=E$2:E4281)))))-COUNTBLANK(OFFSET(A$1,,,SUMPRODUCT(MAX(ROW(E$1:E4280)*(E2=E$1:E4280))))))</f>
        <v> </v>
      </c>
      <c r="K4281" s="26" t="str">
        <f>IF(OR(E4281="",E4281="!!!",F4281="NEW"),"",INDEX(J$1:J4280,SUMPRODUCT(MAX(ROW(E$1:E4280)*(E4281=E$1:E4280)))))</f>
        <v> </v>
      </c>
      <c r="L4281" s="27"/>
    </row>
    <row r="4282" spans="1:12">
      <c r="A4282" s="20" t="s">
        <v>1436</v>
      </c>
      <c r="E4282" s="22">
        <f>IF(D4282="?OLD","!!!","")</f>
        <v/>
      </c>
      <c r="F4282" s="23" t="str">
        <f>IF(OR(E4282="",E4282="!!!"),"",IF(NOT(ISNA(VLOOKUP(E4282,E$1:E4281,1,FALSE()))),"OLD",IF(AND(E4282&lt;&gt;"",E4282&lt;&gt;"!!!"),"NEW","")))</f>
        <v> </v>
      </c>
      <c r="G4282" s="24" t="str">
        <f>IF(OR(E4282="",E4282="!!!"),"",IF(OR(J4282=0,AND(J4282=1,K4282=1),AND(J4282=1,I4282="SBJ"),AND(J4282=1,I4282=0)),"?IN_FOCUS",IF(J4282&lt;=2,"?ACTIVATED",IF(J4282&lt;&gt;"","?FAMILIAR",IF(F4282="NEW",IF(ISNA(VLOOKUP(E4282,#REF!,1,FALSE())),"?TYPE_IDENTIFIABLE","?REFERENTIAL"),"_")))))</f>
        <v> </v>
      </c>
      <c r="H4282" s="25" t="str">
        <f>IF(J4282&lt;&gt;1,"",IF(I4282="SBJ","CB","?"))</f>
        <v> </v>
      </c>
      <c r="I4282" s="26" t="str">
        <f>IF(OR(E4282="",E4282="!!!",F4282="NEW"),"",INDEX(B4281:B$2,-1+SUMPRODUCT(MAX(ROW(E4281:E$2)*(E4282=E4281:E$2)))))</f>
        <v> </v>
      </c>
      <c r="J4282" s="26" t="str">
        <f>IF(OR(E4282="",E4282="!!!",F4282="NEW"),"",COUNTBLANK(OFFSET(A$1,,,SUMPRODUCT(MAX(ROW(E$2:E4282)*(E4282=E$2:E4282)))))-COUNTBLANK(OFFSET(A$1,,,SUMPRODUCT(MAX(ROW(E$1:E4281)*(E2=E$1:E4281))))))</f>
        <v> </v>
      </c>
      <c r="K4282" s="26" t="str">
        <f>IF(OR(E4282="",E4282="!!!",F4282="NEW"),"",INDEX(J$1:J4281,SUMPRODUCT(MAX(ROW(E$1:E4281)*(E4282=E$1:E4281)))))</f>
        <v> </v>
      </c>
      <c r="L4282" s="27"/>
    </row>
    <row r="4283" spans="1:12">
      <c r="A4283" s="20" t="s">
        <v>1101</v>
      </c>
      <c r="E4283" s="22">
        <f>IF(D4283="?OLD","!!!","")</f>
        <v/>
      </c>
      <c r="F4283" s="23" t="str">
        <f>IF(OR(E4283="",E4283="!!!"),"",IF(NOT(ISNA(VLOOKUP(E4283,E$1:E4282,1,FALSE()))),"OLD",IF(AND(E4283&lt;&gt;"",E4283&lt;&gt;"!!!"),"NEW","")))</f>
        <v> </v>
      </c>
      <c r="G4283" s="24" t="str">
        <f>IF(OR(E4283="",E4283="!!!"),"",IF(OR(J4283=0,AND(J4283=1,K4283=1),AND(J4283=1,I4283="SBJ"),AND(J4283=1,I4283=0)),"?IN_FOCUS",IF(J4283&lt;=2,"?ACTIVATED",IF(J4283&lt;&gt;"","?FAMILIAR",IF(F4283="NEW",IF(ISNA(VLOOKUP(E4283,#REF!,1,FALSE())),"?TYPE_IDENTIFIABLE","?REFERENTIAL"),"_")))))</f>
        <v> </v>
      </c>
      <c r="H4283" s="25" t="str">
        <f>IF(J4283&lt;&gt;1,"",IF(I4283="SBJ","CB","?"))</f>
        <v> </v>
      </c>
      <c r="I4283" s="26" t="str">
        <f>IF(OR(E4283="",E4283="!!!",F4283="NEW"),"",INDEX(B4282:B$2,-1+SUMPRODUCT(MAX(ROW(E4282:E$2)*(E4283=E4282:E$2)))))</f>
        <v> </v>
      </c>
      <c r="J4283" s="26" t="str">
        <f>IF(OR(E4283="",E4283="!!!",F4283="NEW"),"",COUNTBLANK(OFFSET(A$1,,,SUMPRODUCT(MAX(ROW(E$2:E4283)*(E4283=E$2:E4283)))))-COUNTBLANK(OFFSET(A$1,,,SUMPRODUCT(MAX(ROW(E$1:E4282)*(E2=E$1:E4282))))))</f>
        <v> </v>
      </c>
      <c r="K4283" s="26" t="str">
        <f>IF(OR(E4283="",E4283="!!!",F4283="NEW"),"",INDEX(J$1:J4282,SUMPRODUCT(MAX(ROW(E$1:E4282)*(E4283=E$1:E4282)))))</f>
        <v> </v>
      </c>
      <c r="L4283" s="27"/>
    </row>
    <row r="4284" spans="1:12">
      <c r="A4284" s="20" t="s">
        <v>2266</v>
      </c>
      <c r="B4284" s="21" t="s">
        <v>1064</v>
      </c>
      <c r="C4284" s="21" t="s">
        <v>1140</v>
      </c>
      <c r="D4284" s="21" t="s">
        <v>1060</v>
      </c>
      <c r="E4284" s="22">
        <f>IF(D4284="?OLD","!!!","")</f>
        <v/>
      </c>
      <c r="F4284" s="23" t="str">
        <f>IF(OR(E4284="",E4284="!!!"),"",IF(NOT(ISNA(VLOOKUP(E4284,E$1:E4283,1,FALSE()))),"OLD",IF(AND(E4284&lt;&gt;"",E4284&lt;&gt;"!!!"),"NEW","")))</f>
        <v> </v>
      </c>
      <c r="G4284" s="24" t="str">
        <f>IF(OR(E4284="",E4284="!!!"),"",IF(OR(J4284=0,AND(J4284=1,K4284=1),AND(J4284=1,I4284="SBJ"),AND(J4284=1,I4284=0)),"?IN_FOCUS",IF(J4284&lt;=2,"?ACTIVATED",IF(J4284&lt;&gt;"","?FAMILIAR",IF(F4284="NEW",IF(ISNA(VLOOKUP(E4284,#REF!,1,FALSE())),"?TYPE_IDENTIFIABLE","?REFERENTIAL"),"_")))))</f>
        <v> </v>
      </c>
      <c r="H4284" s="25" t="str">
        <f>IF(J4284&lt;&gt;1,"",IF(I4284="SBJ","CB","?"))</f>
        <v> </v>
      </c>
      <c r="I4284" s="26" t="str">
        <f>IF(OR(E4284="",E4284="!!!",F4284="NEW"),"",INDEX(B4283:B$2,-1+SUMPRODUCT(MAX(ROW(E4283:E$2)*(E4284=E4283:E$2)))))</f>
        <v> </v>
      </c>
      <c r="J4284" s="26" t="str">
        <f>IF(OR(E4284="",E4284="!!!",F4284="NEW"),"",COUNTBLANK(OFFSET(A$1,,,SUMPRODUCT(MAX(ROW(E$2:E4284)*(E4284=E$2:E4284)))))-COUNTBLANK(OFFSET(A$1,,,SUMPRODUCT(MAX(ROW(E$1:E4283)*(E2=E$1:E4283))))))</f>
        <v> </v>
      </c>
      <c r="K4284" s="26" t="str">
        <f>IF(OR(E4284="",E4284="!!!",F4284="NEW"),"",INDEX(J$1:J4283,SUMPRODUCT(MAX(ROW(E$1:E4283)*(E4284=E$1:E4283)))))</f>
        <v> </v>
      </c>
      <c r="L4284" s="27"/>
    </row>
    <row r="4285" spans="1:12">
      <c r="A4285" s="20" t="s">
        <v>923</v>
      </c>
      <c r="E4285" s="22">
        <f>IF(D4285="?OLD","!!!","")</f>
        <v/>
      </c>
      <c r="F4285" s="23" t="str">
        <f>IF(OR(E4285="",E4285="!!!"),"",IF(NOT(ISNA(VLOOKUP(E4285,E$1:E4284,1,FALSE()))),"OLD",IF(AND(E4285&lt;&gt;"",E4285&lt;&gt;"!!!"),"NEW","")))</f>
        <v> </v>
      </c>
      <c r="G4285" s="24" t="str">
        <f>IF(OR(E4285="",E4285="!!!"),"",IF(OR(J4285=0,AND(J4285=1,K4285=1),AND(J4285=1,I4285="SBJ"),AND(J4285=1,I4285=0)),"?IN_FOCUS",IF(J4285&lt;=2,"?ACTIVATED",IF(J4285&lt;&gt;"","?FAMILIAR",IF(F4285="NEW",IF(ISNA(VLOOKUP(E4285,#REF!,1,FALSE())),"?TYPE_IDENTIFIABLE","?REFERENTIAL"),"_")))))</f>
        <v> </v>
      </c>
      <c r="H4285" s="25" t="str">
        <f>IF(J4285&lt;&gt;1,"",IF(I4285="SBJ","CB","?"))</f>
        <v> </v>
      </c>
      <c r="I4285" s="26" t="str">
        <f>IF(OR(E4285="",E4285="!!!",F4285="NEW"),"",INDEX(B4284:B$2,-1+SUMPRODUCT(MAX(ROW(E4284:E$2)*(E4285=E4284:E$2)))))</f>
        <v> </v>
      </c>
      <c r="J4285" s="26" t="str">
        <f>IF(OR(E4285="",E4285="!!!",F4285="NEW"),"",COUNTBLANK(OFFSET(A$1,,,SUMPRODUCT(MAX(ROW(E$2:E4285)*(E4285=E$2:E4285)))))-COUNTBLANK(OFFSET(A$1,,,SUMPRODUCT(MAX(ROW(E$1:E4284)*(E2=E$1:E4284))))))</f>
        <v> </v>
      </c>
      <c r="K4285" s="26" t="str">
        <f>IF(OR(E4285="",E4285="!!!",F4285="NEW"),"",INDEX(J$1:J4284,SUMPRODUCT(MAX(ROW(E$1:E4284)*(E4285=E$1:E4284)))))</f>
        <v> </v>
      </c>
      <c r="L4285" s="27"/>
    </row>
    <row r="4286" spans="1:12">
      <c r="A4286" s="20"/>
    </row>
    <row r="4287" spans="1:12">
      <c r="A4287" s="20" t="s">
        <v>2293</v>
      </c>
    </row>
    <row r="4288" spans="1:12">
      <c r="A4288" s="20" t="s">
        <v>2222</v>
      </c>
      <c r="E4288" s="22">
        <f>IF(D4288="?OLD","!!!","")</f>
        <v/>
      </c>
      <c r="F4288" s="23" t="str">
        <f>IF(OR(E4288="",E4288="!!!"),"",IF(NOT(ISNA(VLOOKUP(E4288,E$1:E4287,1,FALSE()))),"OLD",IF(AND(E4288&lt;&gt;"",E4288&lt;&gt;"!!!"),"NEW","")))</f>
        <v> </v>
      </c>
      <c r="G4288" s="24" t="str">
        <f>IF(OR(E4288="",E4288="!!!"),"",IF(OR(J4288=0,AND(J4288=1,K4288=1),AND(J4288=1,I4288="SBJ"),AND(J4288=1,I4288=0)),"?IN_FOCUS",IF(J4288&lt;=2,"?ACTIVATED",IF(J4288&lt;&gt;"","?FAMILIAR",IF(F4288="NEW",IF(ISNA(VLOOKUP(E4288,#REF!,1,FALSE())),"?TYPE_IDENTIFIABLE","?REFERENTIAL"),"_")))))</f>
        <v> </v>
      </c>
      <c r="H4288" s="25" t="str">
        <f>IF(J4288&lt;&gt;1,"",IF(I4288="SBJ","CB","?"))</f>
        <v> </v>
      </c>
      <c r="I4288" s="26" t="str">
        <f>IF(OR(E4288="",E4288="!!!",F4288="NEW"),"",INDEX(B4287:B$2,-1+SUMPRODUCT(MAX(ROW(E4287:E$2)*(E4288=E4287:E$2)))))</f>
        <v> </v>
      </c>
      <c r="J4288" s="26" t="str">
        <f>IF(OR(E4288="",E4288="!!!",F4288="NEW"),"",COUNTBLANK(OFFSET(A$1,,,SUMPRODUCT(MAX(ROW(E$2:E4288)*(E4288=E$2:E4288)))))-COUNTBLANK(OFFSET(A$1,,,SUMPRODUCT(MAX(ROW(E$1:E4287)*(E2=E$1:E4287))))))</f>
        <v> </v>
      </c>
      <c r="K4288" s="26" t="str">
        <f>IF(OR(E4288="",E4288="!!!",F4288="NEW"),"",INDEX(J$1:J4287,SUMPRODUCT(MAX(ROW(E$1:E4287)*(E4288=E$1:E4287)))))</f>
        <v> </v>
      </c>
      <c r="L4288" s="27"/>
    </row>
    <row r="4289" spans="1:12">
      <c r="A4289" s="20" t="s">
        <v>1070</v>
      </c>
      <c r="E4289" s="22">
        <f>IF(D4289="?OLD","!!!","")</f>
        <v/>
      </c>
      <c r="F4289" s="23" t="str">
        <f>IF(OR(E4289="",E4289="!!!"),"",IF(NOT(ISNA(VLOOKUP(E4289,E$1:E4288,1,FALSE()))),"OLD",IF(AND(E4289&lt;&gt;"",E4289&lt;&gt;"!!!"),"NEW","")))</f>
        <v> </v>
      </c>
      <c r="G4289" s="24" t="str">
        <f>IF(OR(E4289="",E4289="!!!"),"",IF(OR(J4289=0,AND(J4289=1,K4289=1),AND(J4289=1,I4289="SBJ"),AND(J4289=1,I4289=0)),"?IN_FOCUS",IF(J4289&lt;=2,"?ACTIVATED",IF(J4289&lt;&gt;"","?FAMILIAR",IF(F4289="NEW",IF(ISNA(VLOOKUP(E4289,#REF!,1,FALSE())),"?TYPE_IDENTIFIABLE","?REFERENTIAL"),"_")))))</f>
        <v> </v>
      </c>
      <c r="H4289" s="25" t="str">
        <f>IF(J4289&lt;&gt;1,"",IF(I4289="SBJ","CB","?"))</f>
        <v> </v>
      </c>
      <c r="I4289" s="26" t="str">
        <f>IF(OR(E4289="",E4289="!!!",F4289="NEW"),"",INDEX(B4288:B$2,-1+SUMPRODUCT(MAX(ROW(E4288:E$2)*(E4289=E4288:E$2)))))</f>
        <v> </v>
      </c>
      <c r="J4289" s="26" t="str">
        <f>IF(OR(E4289="",E4289="!!!",F4289="NEW"),"",COUNTBLANK(OFFSET(A$1,,,SUMPRODUCT(MAX(ROW(E$2:E4289)*(E4289=E$2:E4289)))))-COUNTBLANK(OFFSET(A$1,,,SUMPRODUCT(MAX(ROW(E$1:E4288)*(E2=E$1:E4288))))))</f>
        <v> </v>
      </c>
      <c r="K4289" s="26" t="str">
        <f>IF(OR(E4289="",E4289="!!!",F4289="NEW"),"",INDEX(J$1:J4288,SUMPRODUCT(MAX(ROW(E$1:E4288)*(E4289=E$1:E4288)))))</f>
        <v> </v>
      </c>
      <c r="L4289" s="27"/>
    </row>
    <row r="4290" spans="1:12">
      <c r="A4290" s="20" t="s">
        <v>1352</v>
      </c>
      <c r="E4290" s="22">
        <f>IF(D4290="?OLD","!!!","")</f>
        <v/>
      </c>
      <c r="F4290" s="23" t="str">
        <f>IF(OR(E4290="",E4290="!!!"),"",IF(NOT(ISNA(VLOOKUP(E4290,E$1:E4289,1,FALSE()))),"OLD",IF(AND(E4290&lt;&gt;"",E4290&lt;&gt;"!!!"),"NEW","")))</f>
        <v> </v>
      </c>
      <c r="G4290" s="24" t="str">
        <f>IF(OR(E4290="",E4290="!!!"),"",IF(OR(J4290=0,AND(J4290=1,K4290=1),AND(J4290=1,I4290="SBJ"),AND(J4290=1,I4290=0)),"?IN_FOCUS",IF(J4290&lt;=2,"?ACTIVATED",IF(J4290&lt;&gt;"","?FAMILIAR",IF(F4290="NEW",IF(ISNA(VLOOKUP(E4290,#REF!,1,FALSE())),"?TYPE_IDENTIFIABLE","?REFERENTIAL"),"_")))))</f>
        <v> </v>
      </c>
      <c r="H4290" s="25" t="str">
        <f>IF(J4290&lt;&gt;1,"",IF(I4290="SBJ","CB","?"))</f>
        <v> </v>
      </c>
      <c r="I4290" s="26" t="str">
        <f>IF(OR(E4290="",E4290="!!!",F4290="NEW"),"",INDEX(B4289:B$2,-1+SUMPRODUCT(MAX(ROW(E4289:E$2)*(E4290=E4289:E$2)))))</f>
        <v> </v>
      </c>
      <c r="J4290" s="26" t="str">
        <f>IF(OR(E4290="",E4290="!!!",F4290="NEW"),"",COUNTBLANK(OFFSET(A$1,,,SUMPRODUCT(MAX(ROW(E$2:E4290)*(E4290=E$2:E4290)))))-COUNTBLANK(OFFSET(A$1,,,SUMPRODUCT(MAX(ROW(E$1:E4289)*(E2=E$1:E4289))))))</f>
        <v> </v>
      </c>
      <c r="K4290" s="26" t="str">
        <f>IF(OR(E4290="",E4290="!!!",F4290="NEW"),"",INDEX(J$1:J4289,SUMPRODUCT(MAX(ROW(E$1:E4289)*(E4290=E$1:E4289)))))</f>
        <v> </v>
      </c>
      <c r="L4290" s="27"/>
    </row>
    <row r="4291" spans="1:12">
      <c r="A4291" s="20" t="s">
        <v>1151</v>
      </c>
      <c r="B4291" s="21" t="s">
        <v>1058</v>
      </c>
      <c r="C4291" s="21" t="s">
        <v>1076</v>
      </c>
      <c r="D4291" s="21" t="s">
        <v>1060</v>
      </c>
      <c r="E4291" s="22">
        <f>IF(D4291="?OLD","!!!","")</f>
        <v/>
      </c>
      <c r="F4291" s="23" t="str">
        <f>IF(OR(E4291="",E4291="!!!"),"",IF(NOT(ISNA(VLOOKUP(E4291,E$1:E4290,1,FALSE()))),"OLD",IF(AND(E4291&lt;&gt;"",E4291&lt;&gt;"!!!"),"NEW","")))</f>
        <v> </v>
      </c>
      <c r="G4291" s="24" t="str">
        <f>IF(OR(E4291="",E4291="!!!"),"",IF(OR(J4291=0,AND(J4291=1,K4291=1),AND(J4291=1,I4291="SBJ"),AND(J4291=1,I4291=0)),"?IN_FOCUS",IF(J4291&lt;=2,"?ACTIVATED",IF(J4291&lt;&gt;"","?FAMILIAR",IF(F4291="NEW",IF(ISNA(VLOOKUP(E4291,#REF!,1,FALSE())),"?TYPE_IDENTIFIABLE","?REFERENTIAL"),"_")))))</f>
        <v> </v>
      </c>
      <c r="H4291" s="25" t="str">
        <f>IF(J4291&lt;&gt;1,"",IF(I4291="SBJ","CB","?"))</f>
        <v> </v>
      </c>
      <c r="I4291" s="26" t="str">
        <f>IF(OR(E4291="",E4291="!!!",F4291="NEW"),"",INDEX(B4290:B$2,-1+SUMPRODUCT(MAX(ROW(E4290:E$2)*(E4291=E4290:E$2)))))</f>
        <v> </v>
      </c>
      <c r="J4291" s="26" t="str">
        <f>IF(OR(E4291="",E4291="!!!",F4291="NEW"),"",COUNTBLANK(OFFSET(A$1,,,SUMPRODUCT(MAX(ROW(E$2:E4291)*(E4291=E$2:E4291)))))-COUNTBLANK(OFFSET(A$1,,,SUMPRODUCT(MAX(ROW(E$1:E4290)*(E2=E$1:E4290))))))</f>
        <v> </v>
      </c>
      <c r="K4291" s="26" t="str">
        <f>IF(OR(E4291="",E4291="!!!",F4291="NEW"),"",INDEX(J$1:J4290,SUMPRODUCT(MAX(ROW(E$1:E4290)*(E4291=E$1:E4290)))))</f>
        <v> </v>
      </c>
      <c r="L4291" s="27"/>
    </row>
    <row r="4292" spans="1:12">
      <c r="A4292" s="20" t="s">
        <v>1180</v>
      </c>
      <c r="E4292" s="22">
        <f>IF(D4292="?OLD","!!!","")</f>
        <v/>
      </c>
      <c r="F4292" s="23" t="str">
        <f>IF(OR(E4292="",E4292="!!!"),"",IF(NOT(ISNA(VLOOKUP(E4292,E$1:E4291,1,FALSE()))),"OLD",IF(AND(E4292&lt;&gt;"",E4292&lt;&gt;"!!!"),"NEW","")))</f>
        <v> </v>
      </c>
      <c r="G4292" s="24" t="str">
        <f>IF(OR(E4292="",E4292="!!!"),"",IF(OR(J4292=0,AND(J4292=1,K4292=1),AND(J4292=1,I4292="SBJ"),AND(J4292=1,I4292=0)),"?IN_FOCUS",IF(J4292&lt;=2,"?ACTIVATED",IF(J4292&lt;&gt;"","?FAMILIAR",IF(F4292="NEW",IF(ISNA(VLOOKUP(E4292,#REF!,1,FALSE())),"?TYPE_IDENTIFIABLE","?REFERENTIAL"),"_")))))</f>
        <v> </v>
      </c>
      <c r="H4292" s="25" t="str">
        <f>IF(J4292&lt;&gt;1,"",IF(I4292="SBJ","CB","?"))</f>
        <v> </v>
      </c>
      <c r="I4292" s="26" t="str">
        <f>IF(OR(E4292="",E4292="!!!",F4292="NEW"),"",INDEX(B4291:B$2,-1+SUMPRODUCT(MAX(ROW(E4291:E$2)*(E4292=E4291:E$2)))))</f>
        <v> </v>
      </c>
      <c r="J4292" s="26" t="str">
        <f>IF(OR(E4292="",E4292="!!!",F4292="NEW"),"",COUNTBLANK(OFFSET(A$1,,,SUMPRODUCT(MAX(ROW(E$2:E4292)*(E4292=E$2:E4292)))))-COUNTBLANK(OFFSET(A$1,,,SUMPRODUCT(MAX(ROW(E$1:E4291)*(E2=E$1:E4291))))))</f>
        <v> </v>
      </c>
      <c r="K4292" s="26" t="str">
        <f>IF(OR(E4292="",E4292="!!!",F4292="NEW"),"",INDEX(J$1:J4291,SUMPRODUCT(MAX(ROW(E$1:E4291)*(E4292=E$1:E4291)))))</f>
        <v> </v>
      </c>
      <c r="L4292" s="27"/>
    </row>
    <row r="4293" spans="1:12">
      <c r="A4293" s="20" t="s">
        <v>1181</v>
      </c>
      <c r="E4293" s="22">
        <f>IF(D4293="?OLD","!!!","")</f>
        <v/>
      </c>
      <c r="F4293" s="23" t="str">
        <f>IF(OR(E4293="",E4293="!!!"),"",IF(NOT(ISNA(VLOOKUP(E4293,E$1:E4292,1,FALSE()))),"OLD",IF(AND(E4293&lt;&gt;"",E4293&lt;&gt;"!!!"),"NEW","")))</f>
        <v> </v>
      </c>
      <c r="G4293" s="24" t="str">
        <f>IF(OR(E4293="",E4293="!!!"),"",IF(OR(J4293=0,AND(J4293=1,K4293=1),AND(J4293=1,I4293="SBJ"),AND(J4293=1,I4293=0)),"?IN_FOCUS",IF(J4293&lt;=2,"?ACTIVATED",IF(J4293&lt;&gt;"","?FAMILIAR",IF(F4293="NEW",IF(ISNA(VLOOKUP(E4293,#REF!,1,FALSE())),"?TYPE_IDENTIFIABLE","?REFERENTIAL"),"_")))))</f>
        <v> </v>
      </c>
      <c r="H4293" s="25" t="str">
        <f>IF(J4293&lt;&gt;1,"",IF(I4293="SBJ","CB","?"))</f>
        <v> </v>
      </c>
      <c r="I4293" s="26" t="str">
        <f>IF(OR(E4293="",E4293="!!!",F4293="NEW"),"",INDEX(B4292:B$2,-1+SUMPRODUCT(MAX(ROW(E4292:E$2)*(E4293=E4292:E$2)))))</f>
        <v> </v>
      </c>
      <c r="J4293" s="26" t="str">
        <f>IF(OR(E4293="",E4293="!!!",F4293="NEW"),"",COUNTBLANK(OFFSET(A$1,,,SUMPRODUCT(MAX(ROW(E$2:E4293)*(E4293=E$2:E4293)))))-COUNTBLANK(OFFSET(A$1,,,SUMPRODUCT(MAX(ROW(E$1:E4292)*(E2=E$1:E4292))))))</f>
        <v> </v>
      </c>
      <c r="K4293" s="26" t="str">
        <f>IF(OR(E4293="",E4293="!!!",F4293="NEW"),"",INDEX(J$1:J4292,SUMPRODUCT(MAX(ROW(E$1:E4292)*(E4293=E$1:E4292)))))</f>
        <v> </v>
      </c>
      <c r="L4293" s="27"/>
    </row>
    <row r="4294" spans="1:12">
      <c r="A4294" s="20" t="s">
        <v>576</v>
      </c>
      <c r="E4294" s="22">
        <f>IF(D4294="?OLD","!!!","")</f>
        <v/>
      </c>
      <c r="F4294" s="23" t="str">
        <f>IF(OR(E4294="",E4294="!!!"),"",IF(NOT(ISNA(VLOOKUP(E4294,E$1:E4293,1,FALSE()))),"OLD",IF(AND(E4294&lt;&gt;"",E4294&lt;&gt;"!!!"),"NEW","")))</f>
        <v> </v>
      </c>
      <c r="G4294" s="24" t="str">
        <f>IF(OR(E4294="",E4294="!!!"),"",IF(OR(J4294=0,AND(J4294=1,K4294=1),AND(J4294=1,I4294="SBJ"),AND(J4294=1,I4294=0)),"?IN_FOCUS",IF(J4294&lt;=2,"?ACTIVATED",IF(J4294&lt;&gt;"","?FAMILIAR",IF(F4294="NEW",IF(ISNA(VLOOKUP(E4294,#REF!,1,FALSE())),"?TYPE_IDENTIFIABLE","?REFERENTIAL"),"_")))))</f>
        <v> </v>
      </c>
      <c r="H4294" s="25" t="str">
        <f>IF(J4294&lt;&gt;1,"",IF(I4294="SBJ","CB","?"))</f>
        <v> </v>
      </c>
      <c r="I4294" s="26" t="str">
        <f>IF(OR(E4294="",E4294="!!!",F4294="NEW"),"",INDEX(B4293:B$2,-1+SUMPRODUCT(MAX(ROW(E4293:E$2)*(E4294=E4293:E$2)))))</f>
        <v> </v>
      </c>
      <c r="J4294" s="26" t="str">
        <f>IF(OR(E4294="",E4294="!!!",F4294="NEW"),"",COUNTBLANK(OFFSET(A$1,,,SUMPRODUCT(MAX(ROW(E$2:E4294)*(E4294=E$2:E4294)))))-COUNTBLANK(OFFSET(A$1,,,SUMPRODUCT(MAX(ROW(E$1:E4293)*(E2=E$1:E4293))))))</f>
        <v> </v>
      </c>
      <c r="K4294" s="26" t="str">
        <f>IF(OR(E4294="",E4294="!!!",F4294="NEW"),"",INDEX(J$1:J4293,SUMPRODUCT(MAX(ROW(E$1:E4293)*(E4294=E$1:E4293)))))</f>
        <v> </v>
      </c>
      <c r="L4294" s="27"/>
    </row>
    <row r="4295" spans="1:12">
      <c r="A4295" s="20" t="s">
        <v>2294</v>
      </c>
      <c r="E4295" s="22">
        <f>IF(D4295="?OLD","!!!","")</f>
        <v/>
      </c>
      <c r="F4295" s="23" t="str">
        <f>IF(OR(E4295="",E4295="!!!"),"",IF(NOT(ISNA(VLOOKUP(E4295,E$1:E4294,1,FALSE()))),"OLD",IF(AND(E4295&lt;&gt;"",E4295&lt;&gt;"!!!"),"NEW","")))</f>
        <v> </v>
      </c>
      <c r="G4295" s="24" t="str">
        <f>IF(OR(E4295="",E4295="!!!"),"",IF(OR(J4295=0,AND(J4295=1,K4295=1),AND(J4295=1,I4295="SBJ"),AND(J4295=1,I4295=0)),"?IN_FOCUS",IF(J4295&lt;=2,"?ACTIVATED",IF(J4295&lt;&gt;"","?FAMILIAR",IF(F4295="NEW",IF(ISNA(VLOOKUP(E4295,#REF!,1,FALSE())),"?TYPE_IDENTIFIABLE","?REFERENTIAL"),"_")))))</f>
        <v> </v>
      </c>
      <c r="H4295" s="25" t="str">
        <f>IF(J4295&lt;&gt;1,"",IF(I4295="SBJ","CB","?"))</f>
        <v> </v>
      </c>
      <c r="I4295" s="26" t="str">
        <f>IF(OR(E4295="",E4295="!!!",F4295="NEW"),"",INDEX(B4294:B$2,-1+SUMPRODUCT(MAX(ROW(E4294:E$2)*(E4295=E4294:E$2)))))</f>
        <v> </v>
      </c>
      <c r="J4295" s="26" t="str">
        <f>IF(OR(E4295="",E4295="!!!",F4295="NEW"),"",COUNTBLANK(OFFSET(A$1,,,SUMPRODUCT(MAX(ROW(E$2:E4295)*(E4295=E$2:E4295)))))-COUNTBLANK(OFFSET(A$1,,,SUMPRODUCT(MAX(ROW(E$1:E4294)*(E2=E$1:E4294))))))</f>
        <v> </v>
      </c>
      <c r="K4295" s="26" t="str">
        <f>IF(OR(E4295="",E4295="!!!",F4295="NEW"),"",INDEX(J$1:J4294,SUMPRODUCT(MAX(ROW(E$1:E4294)*(E4295=E$1:E4294)))))</f>
        <v> </v>
      </c>
      <c r="L4295" s="27"/>
    </row>
    <row r="4296" spans="1:12">
      <c r="A4296" s="20" t="s">
        <v>1416</v>
      </c>
      <c r="B4296" s="21" t="s">
        <v>1075</v>
      </c>
      <c r="C4296" s="21" t="s">
        <v>1076</v>
      </c>
      <c r="D4296" s="21" t="s">
        <v>1060</v>
      </c>
      <c r="E4296" s="22">
        <f>IF(D4296="?OLD","!!!","")</f>
        <v/>
      </c>
      <c r="F4296" s="23" t="str">
        <f>IF(OR(E4296="",E4296="!!!"),"",IF(NOT(ISNA(VLOOKUP(E4296,E$1:E4295,1,FALSE()))),"OLD",IF(AND(E4296&lt;&gt;"",E4296&lt;&gt;"!!!"),"NEW","")))</f>
        <v> </v>
      </c>
      <c r="G4296" s="24" t="str">
        <f>IF(OR(E4296="",E4296="!!!"),"",IF(OR(J4296=0,AND(J4296=1,K4296=1),AND(J4296=1,I4296="SBJ"),AND(J4296=1,I4296=0)),"?IN_FOCUS",IF(J4296&lt;=2,"?ACTIVATED",IF(J4296&lt;&gt;"","?FAMILIAR",IF(F4296="NEW",IF(ISNA(VLOOKUP(E4296,#REF!,1,FALSE())),"?TYPE_IDENTIFIABLE","?REFERENTIAL"),"_")))))</f>
        <v> </v>
      </c>
      <c r="H4296" s="25" t="str">
        <f>IF(J4296&lt;&gt;1,"",IF(I4296="SBJ","CB","?"))</f>
        <v> </v>
      </c>
      <c r="I4296" s="26" t="str">
        <f>IF(OR(E4296="",E4296="!!!",F4296="NEW"),"",INDEX(B4295:B$2,-1+SUMPRODUCT(MAX(ROW(E4295:E$2)*(E4296=E4295:E$2)))))</f>
        <v> </v>
      </c>
      <c r="J4296" s="26" t="str">
        <f>IF(OR(E4296="",E4296="!!!",F4296="NEW"),"",COUNTBLANK(OFFSET(A$1,,,SUMPRODUCT(MAX(ROW(E$2:E4296)*(E4296=E$2:E4296)))))-COUNTBLANK(OFFSET(A$1,,,SUMPRODUCT(MAX(ROW(E$1:E4295)*(E2=E$1:E4295))))))</f>
        <v> </v>
      </c>
      <c r="K4296" s="26" t="str">
        <f>IF(OR(E4296="",E4296="!!!",F4296="NEW"),"",INDEX(J$1:J4295,SUMPRODUCT(MAX(ROW(E$1:E4295)*(E4296=E$1:E4295)))))</f>
        <v> </v>
      </c>
      <c r="L4296" s="27"/>
    </row>
    <row r="4297" spans="1:12">
      <c r="A4297" s="20" t="s">
        <v>1497</v>
      </c>
      <c r="E4297" s="22">
        <f>IF(D4297="?OLD","!!!","")</f>
        <v/>
      </c>
      <c r="F4297" s="23" t="str">
        <f>IF(OR(E4297="",E4297="!!!"),"",IF(NOT(ISNA(VLOOKUP(E4297,E$1:E4296,1,FALSE()))),"OLD",IF(AND(E4297&lt;&gt;"",E4297&lt;&gt;"!!!"),"NEW","")))</f>
        <v> </v>
      </c>
      <c r="G4297" s="24" t="str">
        <f>IF(OR(E4297="",E4297="!!!"),"",IF(OR(J4297=0,AND(J4297=1,K4297=1),AND(J4297=1,I4297="SBJ"),AND(J4297=1,I4297=0)),"?IN_FOCUS",IF(J4297&lt;=2,"?ACTIVATED",IF(J4297&lt;&gt;"","?FAMILIAR",IF(F4297="NEW",IF(ISNA(VLOOKUP(E4297,#REF!,1,FALSE())),"?TYPE_IDENTIFIABLE","?REFERENTIAL"),"_")))))</f>
        <v> </v>
      </c>
      <c r="H4297" s="25" t="str">
        <f>IF(J4297&lt;&gt;1,"",IF(I4297="SBJ","CB","?"))</f>
        <v> </v>
      </c>
      <c r="I4297" s="26" t="str">
        <f>IF(OR(E4297="",E4297="!!!",F4297="NEW"),"",INDEX(B4296:B$2,-1+SUMPRODUCT(MAX(ROW(E4296:E$2)*(E4297=E4296:E$2)))))</f>
        <v> </v>
      </c>
      <c r="J4297" s="26" t="str">
        <f>IF(OR(E4297="",E4297="!!!",F4297="NEW"),"",COUNTBLANK(OFFSET(A$1,,,SUMPRODUCT(MAX(ROW(E$2:E4297)*(E4297=E$2:E4297)))))-COUNTBLANK(OFFSET(A$1,,,SUMPRODUCT(MAX(ROW(E$1:E4296)*(E2=E$1:E4296))))))</f>
        <v> </v>
      </c>
      <c r="K4297" s="26" t="str">
        <f>IF(OR(E4297="",E4297="!!!",F4297="NEW"),"",INDEX(J$1:J4296,SUMPRODUCT(MAX(ROW(E$1:E4296)*(E4297=E$1:E4296)))))</f>
        <v> </v>
      </c>
      <c r="L4297" s="27"/>
    </row>
    <row r="4298" spans="1:12">
      <c r="A4298" s="20" t="s">
        <v>1088</v>
      </c>
      <c r="E4298" s="22">
        <f>IF(D4298="?OLD","!!!","")</f>
        <v/>
      </c>
      <c r="F4298" s="23" t="str">
        <f>IF(OR(E4298="",E4298="!!!"),"",IF(NOT(ISNA(VLOOKUP(E4298,E$1:E4297,1,FALSE()))),"OLD",IF(AND(E4298&lt;&gt;"",E4298&lt;&gt;"!!!"),"NEW","")))</f>
        <v> </v>
      </c>
      <c r="G4298" s="24" t="str">
        <f>IF(OR(E4298="",E4298="!!!"),"",IF(OR(J4298=0,AND(J4298=1,K4298=1),AND(J4298=1,I4298="SBJ"),AND(J4298=1,I4298=0)),"?IN_FOCUS",IF(J4298&lt;=2,"?ACTIVATED",IF(J4298&lt;&gt;"","?FAMILIAR",IF(F4298="NEW",IF(ISNA(VLOOKUP(E4298,#REF!,1,FALSE())),"?TYPE_IDENTIFIABLE","?REFERENTIAL"),"_")))))</f>
        <v> </v>
      </c>
      <c r="H4298" s="25" t="str">
        <f>IF(J4298&lt;&gt;1,"",IF(I4298="SBJ","CB","?"))</f>
        <v> </v>
      </c>
      <c r="I4298" s="26" t="str">
        <f>IF(OR(E4298="",E4298="!!!",F4298="NEW"),"",INDEX(B4297:B$2,-1+SUMPRODUCT(MAX(ROW(E4297:E$2)*(E4298=E4297:E$2)))))</f>
        <v> </v>
      </c>
      <c r="J4298" s="26" t="str">
        <f>IF(OR(E4298="",E4298="!!!",F4298="NEW"),"",COUNTBLANK(OFFSET(A$1,,,SUMPRODUCT(MAX(ROW(E$2:E4298)*(E4298=E$2:E4298)))))-COUNTBLANK(OFFSET(A$1,,,SUMPRODUCT(MAX(ROW(E$1:E4297)*(E2=E$1:E4297))))))</f>
        <v> </v>
      </c>
      <c r="K4298" s="26" t="str">
        <f>IF(OR(E4298="",E4298="!!!",F4298="NEW"),"",INDEX(J$1:J4297,SUMPRODUCT(MAX(ROW(E$1:E4297)*(E4298=E$1:E4297)))))</f>
        <v> </v>
      </c>
      <c r="L4298" s="27"/>
    </row>
    <row r="4299" spans="1:12">
      <c r="A4299" s="20" t="s">
        <v>16</v>
      </c>
      <c r="E4299" s="22">
        <f>IF(D4299="?OLD","!!!","")</f>
        <v/>
      </c>
      <c r="F4299" s="23" t="str">
        <f>IF(OR(E4299="",E4299="!!!"),"",IF(NOT(ISNA(VLOOKUP(E4299,E$1:E4298,1,FALSE()))),"OLD",IF(AND(E4299&lt;&gt;"",E4299&lt;&gt;"!!!"),"NEW","")))</f>
        <v> </v>
      </c>
      <c r="G4299" s="24" t="str">
        <f>IF(OR(E4299="",E4299="!!!"),"",IF(OR(J4299=0,AND(J4299=1,K4299=1),AND(J4299=1,I4299="SBJ"),AND(J4299=1,I4299=0)),"?IN_FOCUS",IF(J4299&lt;=2,"?ACTIVATED",IF(J4299&lt;&gt;"","?FAMILIAR",IF(F4299="NEW",IF(ISNA(VLOOKUP(E4299,#REF!,1,FALSE())),"?TYPE_IDENTIFIABLE","?REFERENTIAL"),"_")))))</f>
        <v> </v>
      </c>
      <c r="H4299" s="25" t="str">
        <f>IF(J4299&lt;&gt;1,"",IF(I4299="SBJ","CB","?"))</f>
        <v> </v>
      </c>
      <c r="I4299" s="26" t="str">
        <f>IF(OR(E4299="",E4299="!!!",F4299="NEW"),"",INDEX(B4298:B$2,-1+SUMPRODUCT(MAX(ROW(E4298:E$2)*(E4299=E4298:E$2)))))</f>
        <v> </v>
      </c>
      <c r="J4299" s="26" t="str">
        <f>IF(OR(E4299="",E4299="!!!",F4299="NEW"),"",COUNTBLANK(OFFSET(A$1,,,SUMPRODUCT(MAX(ROW(E$2:E4299)*(E4299=E$2:E4299)))))-COUNTBLANK(OFFSET(A$1,,,SUMPRODUCT(MAX(ROW(E$1:E4298)*(E2=E$1:E4298))))))</f>
        <v> </v>
      </c>
      <c r="K4299" s="26" t="str">
        <f>IF(OR(E4299="",E4299="!!!",F4299="NEW"),"",INDEX(J$1:J4298,SUMPRODUCT(MAX(ROW(E$1:E4298)*(E4299=E$1:E4298)))))</f>
        <v> </v>
      </c>
      <c r="L4299" s="27"/>
    </row>
    <row r="4300" spans="1:12">
      <c r="A4300" s="20" t="s">
        <v>2295</v>
      </c>
      <c r="B4300" s="21" t="s">
        <v>1097</v>
      </c>
      <c r="C4300" s="21" t="s">
        <v>1149</v>
      </c>
      <c r="E4300" s="22">
        <f>IF(D4300="?OLD","!!!","")</f>
        <v/>
      </c>
      <c r="F4300" s="23" t="str">
        <f>IF(OR(E4300="",E4300="!!!"),"",IF(NOT(ISNA(VLOOKUP(E4300,E$1:E4299,1,FALSE()))),"OLD",IF(AND(E4300&lt;&gt;"",E4300&lt;&gt;"!!!"),"NEW","")))</f>
        <v> </v>
      </c>
      <c r="G4300" s="24" t="str">
        <f>IF(OR(E4300="",E4300="!!!"),"",IF(OR(J4300=0,AND(J4300=1,K4300=1),AND(J4300=1,I4300="SBJ"),AND(J4300=1,I4300=0)),"?IN_FOCUS",IF(J4300&lt;=2,"?ACTIVATED",IF(J4300&lt;&gt;"","?FAMILIAR",IF(F4300="NEW",IF(ISNA(VLOOKUP(E4300,#REF!,1,FALSE())),"?TYPE_IDENTIFIABLE","?REFERENTIAL"),"_")))))</f>
        <v> </v>
      </c>
      <c r="H4300" s="25" t="str">
        <f>IF(J4300&lt;&gt;1,"",IF(I4300="SBJ","CB","?"))</f>
        <v> </v>
      </c>
      <c r="I4300" s="26" t="str">
        <f>IF(OR(E4300="",E4300="!!!",F4300="NEW"),"",INDEX(B4299:B$2,-1+SUMPRODUCT(MAX(ROW(E4299:E$2)*(E4300=E4299:E$2)))))</f>
        <v> </v>
      </c>
      <c r="J4300" s="26" t="str">
        <f>IF(OR(E4300="",E4300="!!!",F4300="NEW"),"",COUNTBLANK(OFFSET(A$1,,,SUMPRODUCT(MAX(ROW(E$2:E4300)*(E4300=E$2:E4300)))))-COUNTBLANK(OFFSET(A$1,,,SUMPRODUCT(MAX(ROW(E$1:E4299)*(E2=E$1:E4299))))))</f>
        <v> </v>
      </c>
      <c r="K4300" s="26" t="str">
        <f>IF(OR(E4300="",E4300="!!!",F4300="NEW"),"",INDEX(J$1:J4299,SUMPRODUCT(MAX(ROW(E$1:E4299)*(E4300=E$1:E4299)))))</f>
        <v> </v>
      </c>
      <c r="L4300" s="27"/>
    </row>
    <row r="4301" spans="1:12">
      <c r="A4301" s="20" t="s">
        <v>923</v>
      </c>
      <c r="E4301" s="22">
        <f>IF(D4301="?OLD","!!!","")</f>
        <v/>
      </c>
      <c r="F4301" s="23" t="str">
        <f>IF(OR(E4301="",E4301="!!!"),"",IF(NOT(ISNA(VLOOKUP(E4301,E$1:E4300,1,FALSE()))),"OLD",IF(AND(E4301&lt;&gt;"",E4301&lt;&gt;"!!!"),"NEW","")))</f>
        <v> </v>
      </c>
      <c r="G4301" s="24" t="str">
        <f>IF(OR(E4301="",E4301="!!!"),"",IF(OR(J4301=0,AND(J4301=1,K4301=1),AND(J4301=1,I4301="SBJ"),AND(J4301=1,I4301=0)),"?IN_FOCUS",IF(J4301&lt;=2,"?ACTIVATED",IF(J4301&lt;&gt;"","?FAMILIAR",IF(F4301="NEW",IF(ISNA(VLOOKUP(E4301,#REF!,1,FALSE())),"?TYPE_IDENTIFIABLE","?REFERENTIAL"),"_")))))</f>
        <v> </v>
      </c>
      <c r="H4301" s="25" t="str">
        <f>IF(J4301&lt;&gt;1,"",IF(I4301="SBJ","CB","?"))</f>
        <v> </v>
      </c>
      <c r="I4301" s="26" t="str">
        <f>IF(OR(E4301="",E4301="!!!",F4301="NEW"),"",INDEX(B4300:B$2,-1+SUMPRODUCT(MAX(ROW(E4300:E$2)*(E4301=E4300:E$2)))))</f>
        <v> </v>
      </c>
      <c r="J4301" s="26" t="str">
        <f>IF(OR(E4301="",E4301="!!!",F4301="NEW"),"",COUNTBLANK(OFFSET(A$1,,,SUMPRODUCT(MAX(ROW(E$2:E4301)*(E4301=E$2:E4301)))))-COUNTBLANK(OFFSET(A$1,,,SUMPRODUCT(MAX(ROW(E$1:E4300)*(E2=E$1:E4300))))))</f>
        <v> </v>
      </c>
      <c r="K4301" s="26" t="str">
        <f>IF(OR(E4301="",E4301="!!!",F4301="NEW"),"",INDEX(J$1:J4300,SUMPRODUCT(MAX(ROW(E$1:E4300)*(E4301=E$1:E4300)))))</f>
        <v> </v>
      </c>
      <c r="L4301" s="27"/>
    </row>
    <row r="4302" spans="1:12">
      <c r="A4302" s="20"/>
    </row>
    <row r="4303" spans="1:12">
      <c r="A4303" s="20" t="s">
        <v>1276</v>
      </c>
      <c r="E4303" s="22">
        <f>IF(D4303="?OLD","!!!","")</f>
        <v/>
      </c>
      <c r="F4303" s="23" t="str">
        <f>IF(OR(E4303="",E4303="!!!"),"",IF(NOT(ISNA(VLOOKUP(E4303,E$1:E4302,1,FALSE()))),"OLD",IF(AND(E4303&lt;&gt;"",E4303&lt;&gt;"!!!"),"NEW","")))</f>
        <v> </v>
      </c>
      <c r="G4303" s="24" t="str">
        <f>IF(OR(E4303="",E4303="!!!"),"",IF(OR(J4303=0,AND(J4303=1,K4303=1),AND(J4303=1,I4303="SBJ"),AND(J4303=1,I4303=0)),"?IN_FOCUS",IF(J4303&lt;=2,"?ACTIVATED",IF(J4303&lt;&gt;"","?FAMILIAR",IF(F4303="NEW",IF(ISNA(VLOOKUP(E4303,#REF!,1,FALSE())),"?TYPE_IDENTIFIABLE","?REFERENTIAL"),"_")))))</f>
        <v> </v>
      </c>
      <c r="H4303" s="25" t="str">
        <f>IF(J4303&lt;&gt;1,"",IF(I4303="SBJ","CB","?"))</f>
        <v> </v>
      </c>
      <c r="I4303" s="26" t="str">
        <f>IF(OR(E4303="",E4303="!!!",F4303="NEW"),"",INDEX(B4302:B$2,-1+SUMPRODUCT(MAX(ROW(E4302:E$2)*(E4303=E4302:E$2)))))</f>
        <v> </v>
      </c>
      <c r="J4303" s="26" t="str">
        <f>IF(OR(E4303="",E4303="!!!",F4303="NEW"),"",COUNTBLANK(OFFSET(A$1,,,SUMPRODUCT(MAX(ROW(E$2:E4303)*(E4303=E$2:E4303)))))-COUNTBLANK(OFFSET(A$1,,,SUMPRODUCT(MAX(ROW(E$1:E4302)*(E2=E$1:E4302))))))</f>
        <v> </v>
      </c>
      <c r="K4303" s="26" t="str">
        <f>IF(OR(E4303="",E4303="!!!",F4303="NEW"),"",INDEX(J$1:J4302,SUMPRODUCT(MAX(ROW(E$1:E4302)*(E4303=E$1:E4302)))))</f>
        <v> </v>
      </c>
      <c r="L4303" s="27"/>
    </row>
    <row r="4304" spans="1:12">
      <c r="A4304" s="20" t="s">
        <v>2296</v>
      </c>
    </row>
    <row r="4305" spans="1:12">
      <c r="A4305" s="20" t="s">
        <v>1740</v>
      </c>
      <c r="E4305" s="22">
        <f>IF(D4305="?OLD","!!!","")</f>
        <v/>
      </c>
      <c r="F4305" s="23" t="str">
        <f>IF(OR(E4305="",E4305="!!!"),"",IF(NOT(ISNA(VLOOKUP(E4305,E$1:E4304,1,FALSE()))),"OLD",IF(AND(E4305&lt;&gt;"",E4305&lt;&gt;"!!!"),"NEW","")))</f>
        <v> </v>
      </c>
      <c r="G4305" s="24" t="str">
        <f>IF(OR(E4305="",E4305="!!!"),"",IF(OR(J4305=0,AND(J4305=1,K4305=1),AND(J4305=1,I4305="SBJ"),AND(J4305=1,I4305=0)),"?IN_FOCUS",IF(J4305&lt;=2,"?ACTIVATED",IF(J4305&lt;&gt;"","?FAMILIAR",IF(F4305="NEW",IF(ISNA(VLOOKUP(E4305,#REF!,1,FALSE())),"?TYPE_IDENTIFIABLE","?REFERENTIAL"),"_")))))</f>
        <v> </v>
      </c>
      <c r="H4305" s="25" t="str">
        <f>IF(J4305&lt;&gt;1,"",IF(I4305="SBJ","CB","?"))</f>
        <v> </v>
      </c>
      <c r="I4305" s="26" t="str">
        <f>IF(OR(E4305="",E4305="!!!",F4305="NEW"),"",INDEX(B4304:B$2,-1+SUMPRODUCT(MAX(ROW(E4304:E$2)*(E4305=E4304:E$2)))))</f>
        <v> </v>
      </c>
      <c r="J4305" s="26" t="str">
        <f>IF(OR(E4305="",E4305="!!!",F4305="NEW"),"",COUNTBLANK(OFFSET(A$1,,,SUMPRODUCT(MAX(ROW(E$2:E4305)*(E4305=E$2:E4305)))))-COUNTBLANK(OFFSET(A$1,,,SUMPRODUCT(MAX(ROW(E$1:E4304)*(E2=E$1:E4304))))))</f>
        <v> </v>
      </c>
      <c r="K4305" s="26" t="str">
        <f>IF(OR(E4305="",E4305="!!!",F4305="NEW"),"",INDEX(J$1:J4304,SUMPRODUCT(MAX(ROW(E$1:E4304)*(E4305=E$1:E4304)))))</f>
        <v> </v>
      </c>
      <c r="L4305" s="27"/>
    </row>
    <row r="4306" spans="1:12">
      <c r="A4306" s="20" t="s">
        <v>1071</v>
      </c>
      <c r="E4306" s="22">
        <f>IF(D4306="?OLD","!!!","")</f>
        <v/>
      </c>
      <c r="F4306" s="23" t="str">
        <f>IF(OR(E4306="",E4306="!!!"),"",IF(NOT(ISNA(VLOOKUP(E4306,E$1:E4305,1,FALSE()))),"OLD",IF(AND(E4306&lt;&gt;"",E4306&lt;&gt;"!!!"),"NEW","")))</f>
        <v> </v>
      </c>
      <c r="G4306" s="24" t="str">
        <f>IF(OR(E4306="",E4306="!!!"),"",IF(OR(J4306=0,AND(J4306=1,K4306=1),AND(J4306=1,I4306="SBJ"),AND(J4306=1,I4306=0)),"?IN_FOCUS",IF(J4306&lt;=2,"?ACTIVATED",IF(J4306&lt;&gt;"","?FAMILIAR",IF(F4306="NEW",IF(ISNA(VLOOKUP(E4306,#REF!,1,FALSE())),"?TYPE_IDENTIFIABLE","?REFERENTIAL"),"_")))))</f>
        <v> </v>
      </c>
      <c r="H4306" s="25" t="str">
        <f>IF(J4306&lt;&gt;1,"",IF(I4306="SBJ","CB","?"))</f>
        <v> </v>
      </c>
      <c r="I4306" s="26" t="str">
        <f>IF(OR(E4306="",E4306="!!!",F4306="NEW"),"",INDEX(B4305:B$2,-1+SUMPRODUCT(MAX(ROW(E4305:E$2)*(E4306=E4305:E$2)))))</f>
        <v> </v>
      </c>
      <c r="J4306" s="26" t="str">
        <f>IF(OR(E4306="",E4306="!!!",F4306="NEW"),"",COUNTBLANK(OFFSET(A$1,,,SUMPRODUCT(MAX(ROW(E$2:E4306)*(E4306=E$2:E4306)))))-COUNTBLANK(OFFSET(A$1,,,SUMPRODUCT(MAX(ROW(E$1:E4305)*(E2=E$1:E4305))))))</f>
        <v> </v>
      </c>
      <c r="K4306" s="26" t="str">
        <f>IF(OR(E4306="",E4306="!!!",F4306="NEW"),"",INDEX(J$1:J4305,SUMPRODUCT(MAX(ROW(E$1:E4305)*(E4306=E$1:E4305)))))</f>
        <v> </v>
      </c>
      <c r="L4306" s="27"/>
    </row>
    <row r="4307" spans="1:12">
      <c r="A4307" s="20" t="s">
        <v>1279</v>
      </c>
      <c r="B4307" s="21" t="s">
        <v>1058</v>
      </c>
      <c r="C4307" s="21" t="s">
        <v>1076</v>
      </c>
      <c r="D4307" s="21" t="s">
        <v>1060</v>
      </c>
      <c r="E4307" s="22">
        <f>IF(D4307="?OLD","!!!","")</f>
        <v/>
      </c>
      <c r="F4307" s="23" t="str">
        <f>IF(OR(E4307="",E4307="!!!"),"",IF(NOT(ISNA(VLOOKUP(E4307,E$1:E4306,1,FALSE()))),"OLD",IF(AND(E4307&lt;&gt;"",E4307&lt;&gt;"!!!"),"NEW","")))</f>
        <v> </v>
      </c>
      <c r="G4307" s="24" t="str">
        <f>IF(OR(E4307="",E4307="!!!"),"",IF(OR(J4307=0,AND(J4307=1,K4307=1),AND(J4307=1,I4307="SBJ"),AND(J4307=1,I4307=0)),"?IN_FOCUS",IF(J4307&lt;=2,"?ACTIVATED",IF(J4307&lt;&gt;"","?FAMILIAR",IF(F4307="NEW",IF(ISNA(VLOOKUP(E4307,#REF!,1,FALSE())),"?TYPE_IDENTIFIABLE","?REFERENTIAL"),"_")))))</f>
        <v> </v>
      </c>
      <c r="H4307" s="25" t="str">
        <f>IF(J4307&lt;&gt;1,"",IF(I4307="SBJ","CB","?"))</f>
        <v> </v>
      </c>
      <c r="I4307" s="26" t="str">
        <f>IF(OR(E4307="",E4307="!!!",F4307="NEW"),"",INDEX(B4306:B$2,-1+SUMPRODUCT(MAX(ROW(E4306:E$2)*(E4307=E4306:E$2)))))</f>
        <v> </v>
      </c>
      <c r="J4307" s="26" t="str">
        <f>IF(OR(E4307="",E4307="!!!",F4307="NEW"),"",COUNTBLANK(OFFSET(A$1,,,SUMPRODUCT(MAX(ROW(E$2:E4307)*(E4307=E$2:E4307)))))-COUNTBLANK(OFFSET(A$1,,,SUMPRODUCT(MAX(ROW(E$1:E4306)*(E2=E$1:E4306))))))</f>
        <v> </v>
      </c>
      <c r="K4307" s="26" t="str">
        <f>IF(OR(E4307="",E4307="!!!",F4307="NEW"),"",INDEX(J$1:J4306,SUMPRODUCT(MAX(ROW(E$1:E4306)*(E4307=E$1:E4306)))))</f>
        <v> </v>
      </c>
      <c r="L4307" s="27"/>
    </row>
    <row r="4308" spans="1:12">
      <c r="A4308" s="20" t="s">
        <v>1189</v>
      </c>
      <c r="E4308" s="22">
        <f>IF(D4308="?OLD","!!!","")</f>
        <v/>
      </c>
      <c r="F4308" s="23" t="str">
        <f>IF(OR(E4308="",E4308="!!!"),"",IF(NOT(ISNA(VLOOKUP(E4308,E$1:E4307,1,FALSE()))),"OLD",IF(AND(E4308&lt;&gt;"",E4308&lt;&gt;"!!!"),"NEW","")))</f>
        <v> </v>
      </c>
      <c r="G4308" s="24" t="str">
        <f>IF(OR(E4308="",E4308="!!!"),"",IF(OR(J4308=0,AND(J4308=1,K4308=1),AND(J4308=1,I4308="SBJ"),AND(J4308=1,I4308=0)),"?IN_FOCUS",IF(J4308&lt;=2,"?ACTIVATED",IF(J4308&lt;&gt;"","?FAMILIAR",IF(F4308="NEW",IF(ISNA(VLOOKUP(E4308,#REF!,1,FALSE())),"?TYPE_IDENTIFIABLE","?REFERENTIAL"),"_")))))</f>
        <v> </v>
      </c>
      <c r="H4308" s="25" t="str">
        <f>IF(J4308&lt;&gt;1,"",IF(I4308="SBJ","CB","?"))</f>
        <v> </v>
      </c>
      <c r="I4308" s="26" t="str">
        <f>IF(OR(E4308="",E4308="!!!",F4308="NEW"),"",INDEX(B4307:B$2,-1+SUMPRODUCT(MAX(ROW(E4307:E$2)*(E4308=E4307:E$2)))))</f>
        <v> </v>
      </c>
      <c r="J4308" s="26" t="str">
        <f>IF(OR(E4308="",E4308="!!!",F4308="NEW"),"",COUNTBLANK(OFFSET(A$1,,,SUMPRODUCT(MAX(ROW(E$2:E4308)*(E4308=E$2:E4308)))))-COUNTBLANK(OFFSET(A$1,,,SUMPRODUCT(MAX(ROW(E$1:E4307)*(E2=E$1:E4307))))))</f>
        <v> </v>
      </c>
      <c r="K4308" s="26" t="str">
        <f>IF(OR(E4308="",E4308="!!!",F4308="NEW"),"",INDEX(J$1:J4307,SUMPRODUCT(MAX(ROW(E$1:E4307)*(E4308=E$1:E4307)))))</f>
        <v> </v>
      </c>
      <c r="L4308" s="27"/>
    </row>
    <row r="4309" spans="1:12">
      <c r="A4309" s="20" t="s">
        <v>576</v>
      </c>
      <c r="E4309" s="22">
        <f>IF(D4309="?OLD","!!!","")</f>
        <v/>
      </c>
      <c r="F4309" s="23" t="str">
        <f>IF(OR(E4309="",E4309="!!!"),"",IF(NOT(ISNA(VLOOKUP(E4309,E$1:E4308,1,FALSE()))),"OLD",IF(AND(E4309&lt;&gt;"",E4309&lt;&gt;"!!!"),"NEW","")))</f>
        <v> </v>
      </c>
      <c r="G4309" s="24" t="str">
        <f>IF(OR(E4309="",E4309="!!!"),"",IF(OR(J4309=0,AND(J4309=1,K4309=1),AND(J4309=1,I4309="SBJ"),AND(J4309=1,I4309=0)),"?IN_FOCUS",IF(J4309&lt;=2,"?ACTIVATED",IF(J4309&lt;&gt;"","?FAMILIAR",IF(F4309="NEW",IF(ISNA(VLOOKUP(E4309,#REF!,1,FALSE())),"?TYPE_IDENTIFIABLE","?REFERENTIAL"),"_")))))</f>
        <v> </v>
      </c>
      <c r="H4309" s="25" t="str">
        <f>IF(J4309&lt;&gt;1,"",IF(I4309="SBJ","CB","?"))</f>
        <v> </v>
      </c>
      <c r="I4309" s="26" t="str">
        <f>IF(OR(E4309="",E4309="!!!",F4309="NEW"),"",INDEX(B4308:B$2,-1+SUMPRODUCT(MAX(ROW(E4308:E$2)*(E4309=E4308:E$2)))))</f>
        <v> </v>
      </c>
      <c r="J4309" s="26" t="str">
        <f>IF(OR(E4309="",E4309="!!!",F4309="NEW"),"",COUNTBLANK(OFFSET(A$1,,,SUMPRODUCT(MAX(ROW(E$2:E4309)*(E4309=E$2:E4309)))))-COUNTBLANK(OFFSET(A$1,,,SUMPRODUCT(MAX(ROW(E$1:E4308)*(E2=E$1:E4308))))))</f>
        <v> </v>
      </c>
      <c r="K4309" s="26" t="str">
        <f>IF(OR(E4309="",E4309="!!!",F4309="NEW"),"",INDEX(J$1:J4308,SUMPRODUCT(MAX(ROW(E$1:E4308)*(E4309=E$1:E4308)))))</f>
        <v> </v>
      </c>
      <c r="L4309" s="27"/>
    </row>
    <row r="4310" spans="1:12">
      <c r="A4310" s="20" t="s">
        <v>1152</v>
      </c>
      <c r="E4310" s="22">
        <f>IF(D4310="?OLD","!!!","")</f>
        <v/>
      </c>
      <c r="F4310" s="23" t="str">
        <f>IF(OR(E4310="",E4310="!!!"),"",IF(NOT(ISNA(VLOOKUP(E4310,E$1:E4309,1,FALSE()))),"OLD",IF(AND(E4310&lt;&gt;"",E4310&lt;&gt;"!!!"),"NEW","")))</f>
        <v> </v>
      </c>
      <c r="G4310" s="24" t="str">
        <f>IF(OR(E4310="",E4310="!!!"),"",IF(OR(J4310=0,AND(J4310=1,K4310=1),AND(J4310=1,I4310="SBJ"),AND(J4310=1,I4310=0)),"?IN_FOCUS",IF(J4310&lt;=2,"?ACTIVATED",IF(J4310&lt;&gt;"","?FAMILIAR",IF(F4310="NEW",IF(ISNA(VLOOKUP(E4310,#REF!,1,FALSE())),"?TYPE_IDENTIFIABLE","?REFERENTIAL"),"_")))))</f>
        <v> </v>
      </c>
      <c r="H4310" s="25" t="str">
        <f>IF(J4310&lt;&gt;1,"",IF(I4310="SBJ","CB","?"))</f>
        <v> </v>
      </c>
      <c r="I4310" s="26" t="str">
        <f>IF(OR(E4310="",E4310="!!!",F4310="NEW"),"",INDEX(B4309:B$2,-1+SUMPRODUCT(MAX(ROW(E4309:E$2)*(E4310=E4309:E$2)))))</f>
        <v> </v>
      </c>
      <c r="J4310" s="26" t="str">
        <f>IF(OR(E4310="",E4310="!!!",F4310="NEW"),"",COUNTBLANK(OFFSET(A$1,,,SUMPRODUCT(MAX(ROW(E$2:E4310)*(E4310=E$2:E4310)))))-COUNTBLANK(OFFSET(A$1,,,SUMPRODUCT(MAX(ROW(E$1:E4309)*(E2=E$1:E4309))))))</f>
        <v> </v>
      </c>
      <c r="K4310" s="26" t="str">
        <f>IF(OR(E4310="",E4310="!!!",F4310="NEW"),"",INDEX(J$1:J4309,SUMPRODUCT(MAX(ROW(E$1:E4309)*(E4310=E$1:E4309)))))</f>
        <v> </v>
      </c>
      <c r="L4310" s="27"/>
    </row>
    <row r="4311" spans="1:12">
      <c r="A4311" s="20" t="s">
        <v>1127</v>
      </c>
      <c r="B4311" s="21" t="s">
        <v>1075</v>
      </c>
      <c r="C4311" s="21" t="s">
        <v>1076</v>
      </c>
      <c r="D4311" s="21" t="s">
        <v>1060</v>
      </c>
      <c r="E4311" s="22">
        <f>IF(D4311="?OLD","!!!","")</f>
        <v/>
      </c>
      <c r="F4311" s="23" t="str">
        <f>IF(OR(E4311="",E4311="!!!"),"",IF(NOT(ISNA(VLOOKUP(E4311,E$1:E4310,1,FALSE()))),"OLD",IF(AND(E4311&lt;&gt;"",E4311&lt;&gt;"!!!"),"NEW","")))</f>
        <v> </v>
      </c>
      <c r="G4311" s="24" t="str">
        <f>IF(OR(E4311="",E4311="!!!"),"",IF(OR(J4311=0,AND(J4311=1,K4311=1),AND(J4311=1,I4311="SBJ"),AND(J4311=1,I4311=0)),"?IN_FOCUS",IF(J4311&lt;=2,"?ACTIVATED",IF(J4311&lt;&gt;"","?FAMILIAR",IF(F4311="NEW",IF(ISNA(VLOOKUP(E4311,#REF!,1,FALSE())),"?TYPE_IDENTIFIABLE","?REFERENTIAL"),"_")))))</f>
        <v> </v>
      </c>
      <c r="H4311" s="25" t="str">
        <f>IF(J4311&lt;&gt;1,"",IF(I4311="SBJ","CB","?"))</f>
        <v> </v>
      </c>
      <c r="I4311" s="26" t="str">
        <f>IF(OR(E4311="",E4311="!!!",F4311="NEW"),"",INDEX(B4310:B$2,-1+SUMPRODUCT(MAX(ROW(E4310:E$2)*(E4311=E4310:E$2)))))</f>
        <v> </v>
      </c>
      <c r="J4311" s="26" t="str">
        <f>IF(OR(E4311="",E4311="!!!",F4311="NEW"),"",COUNTBLANK(OFFSET(A$1,,,SUMPRODUCT(MAX(ROW(E$2:E4311)*(E4311=E$2:E4311)))))-COUNTBLANK(OFFSET(A$1,,,SUMPRODUCT(MAX(ROW(E$1:E4310)*(E2=E$1:E4310))))))</f>
        <v> </v>
      </c>
      <c r="K4311" s="26" t="str">
        <f>IF(OR(E4311="",E4311="!!!",F4311="NEW"),"",INDEX(J$1:J4310,SUMPRODUCT(MAX(ROW(E$1:E4310)*(E4311=E$1:E4310)))))</f>
        <v> </v>
      </c>
      <c r="L4311" s="27"/>
    </row>
    <row r="4312" spans="1:12">
      <c r="A4312" s="20" t="s">
        <v>1168</v>
      </c>
      <c r="E4312" s="22">
        <f>IF(D4312="?OLD","!!!","")</f>
        <v/>
      </c>
      <c r="F4312" s="23" t="str">
        <f>IF(OR(E4312="",E4312="!!!"),"",IF(NOT(ISNA(VLOOKUP(E4312,E$1:E4311,1,FALSE()))),"OLD",IF(AND(E4312&lt;&gt;"",E4312&lt;&gt;"!!!"),"NEW","")))</f>
        <v> </v>
      </c>
      <c r="G4312" s="24" t="str">
        <f>IF(OR(E4312="",E4312="!!!"),"",IF(OR(J4312=0,AND(J4312=1,K4312=1),AND(J4312=1,I4312="SBJ"),AND(J4312=1,I4312=0)),"?IN_FOCUS",IF(J4312&lt;=2,"?ACTIVATED",IF(J4312&lt;&gt;"","?FAMILIAR",IF(F4312="NEW",IF(ISNA(VLOOKUP(E4312,#REF!,1,FALSE())),"?TYPE_IDENTIFIABLE","?REFERENTIAL"),"_")))))</f>
        <v> </v>
      </c>
      <c r="H4312" s="25" t="str">
        <f>IF(J4312&lt;&gt;1,"",IF(I4312="SBJ","CB","?"))</f>
        <v> </v>
      </c>
      <c r="I4312" s="26" t="str">
        <f>IF(OR(E4312="",E4312="!!!",F4312="NEW"),"",INDEX(B4311:B$2,-1+SUMPRODUCT(MAX(ROW(E4311:E$2)*(E4312=E4311:E$2)))))</f>
        <v> </v>
      </c>
      <c r="J4312" s="26" t="str">
        <f>IF(OR(E4312="",E4312="!!!",F4312="NEW"),"",COUNTBLANK(OFFSET(A$1,,,SUMPRODUCT(MAX(ROW(E$2:E4312)*(E4312=E$2:E4312)))))-COUNTBLANK(OFFSET(A$1,,,SUMPRODUCT(MAX(ROW(E$1:E4311)*(E2=E$1:E4311))))))</f>
        <v> </v>
      </c>
      <c r="K4312" s="26" t="str">
        <f>IF(OR(E4312="",E4312="!!!",F4312="NEW"),"",INDEX(J$1:J4311,SUMPRODUCT(MAX(ROW(E$1:E4311)*(E4312=E$1:E4311)))))</f>
        <v> </v>
      </c>
      <c r="L4312" s="27"/>
    </row>
    <row r="4313" spans="1:12">
      <c r="A4313" s="20" t="s">
        <v>2190</v>
      </c>
      <c r="B4313" s="21" t="s">
        <v>1068</v>
      </c>
      <c r="C4313" s="21" t="s">
        <v>1092</v>
      </c>
      <c r="D4313" s="21" t="s">
        <v>1060</v>
      </c>
      <c r="E4313" s="22">
        <f>IF(D4313="?OLD","!!!","")</f>
        <v/>
      </c>
      <c r="F4313" s="23" t="str">
        <f>IF(OR(E4313="",E4313="!!!"),"",IF(NOT(ISNA(VLOOKUP(E4313,E$1:E4312,1,FALSE()))),"OLD",IF(AND(E4313&lt;&gt;"",E4313&lt;&gt;"!!!"),"NEW","")))</f>
        <v> </v>
      </c>
      <c r="G4313" s="24" t="str">
        <f>IF(OR(E4313="",E4313="!!!"),"",IF(OR(J4313=0,AND(J4313=1,K4313=1),AND(J4313=1,I4313="SBJ"),AND(J4313=1,I4313=0)),"?IN_FOCUS",IF(J4313&lt;=2,"?ACTIVATED",IF(J4313&lt;&gt;"","?FAMILIAR",IF(F4313="NEW",IF(ISNA(VLOOKUP(E4313,#REF!,1,FALSE())),"?TYPE_IDENTIFIABLE","?REFERENTIAL"),"_")))))</f>
        <v> </v>
      </c>
      <c r="H4313" s="25" t="str">
        <f>IF(J4313&lt;&gt;1,"",IF(I4313="SBJ","CB","?"))</f>
        <v> </v>
      </c>
      <c r="I4313" s="26" t="str">
        <f>IF(OR(E4313="",E4313="!!!",F4313="NEW"),"",INDEX(B4312:B$2,-1+SUMPRODUCT(MAX(ROW(E4312:E$2)*(E4313=E4312:E$2)))))</f>
        <v> </v>
      </c>
      <c r="J4313" s="26" t="str">
        <f>IF(OR(E4313="",E4313="!!!",F4313="NEW"),"",COUNTBLANK(OFFSET(A$1,,,SUMPRODUCT(MAX(ROW(E$2:E4313)*(E4313=E$2:E4313)))))-COUNTBLANK(OFFSET(A$1,,,SUMPRODUCT(MAX(ROW(E$1:E4312)*(E2=E$1:E4312))))))</f>
        <v> </v>
      </c>
      <c r="K4313" s="26" t="str">
        <f>IF(OR(E4313="",E4313="!!!",F4313="NEW"),"",INDEX(J$1:J4312,SUMPRODUCT(MAX(ROW(E$1:E4312)*(E4313=E$1:E4312)))))</f>
        <v> </v>
      </c>
      <c r="L4313" s="27"/>
    </row>
    <row r="4314" spans="1:12">
      <c r="A4314" s="20" t="s">
        <v>2297</v>
      </c>
      <c r="B4314" s="21" t="s">
        <v>1097</v>
      </c>
      <c r="C4314" s="21" t="s">
        <v>1059</v>
      </c>
      <c r="D4314" s="21" t="s">
        <v>1060</v>
      </c>
      <c r="E4314" s="22">
        <f>IF(D4314="?OLD","!!!","")</f>
        <v/>
      </c>
      <c r="F4314" s="23" t="str">
        <f>IF(OR(E4314="",E4314="!!!"),"",IF(NOT(ISNA(VLOOKUP(E4314,E$1:E4313,1,FALSE()))),"OLD",IF(AND(E4314&lt;&gt;"",E4314&lt;&gt;"!!!"),"NEW","")))</f>
        <v> </v>
      </c>
      <c r="G4314" s="24" t="str">
        <f>IF(OR(E4314="",E4314="!!!"),"",IF(OR(J4314=0,AND(J4314=1,K4314=1),AND(J4314=1,I4314="SBJ"),AND(J4314=1,I4314=0)),"?IN_FOCUS",IF(J4314&lt;=2,"?ACTIVATED",IF(J4314&lt;&gt;"","?FAMILIAR",IF(F4314="NEW",IF(ISNA(VLOOKUP(E4314,#REF!,1,FALSE())),"?TYPE_IDENTIFIABLE","?REFERENTIAL"),"_")))))</f>
        <v> </v>
      </c>
      <c r="H4314" s="25" t="str">
        <f>IF(J4314&lt;&gt;1,"",IF(I4314="SBJ","CB","?"))</f>
        <v> </v>
      </c>
      <c r="I4314" s="26" t="str">
        <f>IF(OR(E4314="",E4314="!!!",F4314="NEW"),"",INDEX(B4313:B$2,-1+SUMPRODUCT(MAX(ROW(E4313:E$2)*(E4314=E4313:E$2)))))</f>
        <v> </v>
      </c>
      <c r="J4314" s="26" t="str">
        <f>IF(OR(E4314="",E4314="!!!",F4314="NEW"),"",COUNTBLANK(OFFSET(A$1,,,SUMPRODUCT(MAX(ROW(E$2:E4314)*(E4314=E$2:E4314)))))-COUNTBLANK(OFFSET(A$1,,,SUMPRODUCT(MAX(ROW(E$1:E4313)*(E2=E$1:E4313))))))</f>
        <v> </v>
      </c>
      <c r="K4314" s="26" t="str">
        <f>IF(OR(E4314="",E4314="!!!",F4314="NEW"),"",INDEX(J$1:J4313,SUMPRODUCT(MAX(ROW(E$1:E4313)*(E4314=E$1:E4313)))))</f>
        <v> </v>
      </c>
      <c r="L4314" s="27"/>
    </row>
    <row r="4315" spans="1:12">
      <c r="A4315" s="20" t="s">
        <v>1300</v>
      </c>
      <c r="E4315" s="22">
        <f>IF(D4315="?OLD","!!!","")</f>
        <v/>
      </c>
      <c r="F4315" s="23" t="str">
        <f>IF(OR(E4315="",E4315="!!!"),"",IF(NOT(ISNA(VLOOKUP(E4315,E$1:E4314,1,FALSE()))),"OLD",IF(AND(E4315&lt;&gt;"",E4315&lt;&gt;"!!!"),"NEW","")))</f>
        <v> </v>
      </c>
      <c r="G4315" s="24" t="str">
        <f>IF(OR(E4315="",E4315="!!!"),"",IF(OR(J4315=0,AND(J4315=1,K4315=1),AND(J4315=1,I4315="SBJ"),AND(J4315=1,I4315=0)),"?IN_FOCUS",IF(J4315&lt;=2,"?ACTIVATED",IF(J4315&lt;&gt;"","?FAMILIAR",IF(F4315="NEW",IF(ISNA(VLOOKUP(E4315,#REF!,1,FALSE())),"?TYPE_IDENTIFIABLE","?REFERENTIAL"),"_")))))</f>
        <v> </v>
      </c>
      <c r="H4315" s="25" t="str">
        <f>IF(J4315&lt;&gt;1,"",IF(I4315="SBJ","CB","?"))</f>
        <v> </v>
      </c>
      <c r="I4315" s="26" t="str">
        <f>IF(OR(E4315="",E4315="!!!",F4315="NEW"),"",INDEX(B4314:B$2,-1+SUMPRODUCT(MAX(ROW(E4314:E$2)*(E4315=E4314:E$2)))))</f>
        <v> </v>
      </c>
      <c r="J4315" s="26" t="str">
        <f>IF(OR(E4315="",E4315="!!!",F4315="NEW"),"",COUNTBLANK(OFFSET(A$1,,,SUMPRODUCT(MAX(ROW(E$2:E4315)*(E4315=E$2:E4315)))))-COUNTBLANK(OFFSET(A$1,,,SUMPRODUCT(MAX(ROW(E$1:E4314)*(E2=E$1:E4314))))))</f>
        <v> </v>
      </c>
      <c r="K4315" s="26" t="str">
        <f>IF(OR(E4315="",E4315="!!!",F4315="NEW"),"",INDEX(J$1:J4314,SUMPRODUCT(MAX(ROW(E$1:E4314)*(E4315=E$1:E4314)))))</f>
        <v> </v>
      </c>
      <c r="L4315" s="27"/>
    </row>
    <row r="4316" spans="1:12">
      <c r="A4316" s="20" t="s">
        <v>607</v>
      </c>
      <c r="E4316" s="22">
        <f>IF(D4316="?OLD","!!!","")</f>
        <v/>
      </c>
      <c r="F4316" s="23" t="str">
        <f>IF(OR(E4316="",E4316="!!!"),"",IF(NOT(ISNA(VLOOKUP(E4316,E$1:E4315,1,FALSE()))),"OLD",IF(AND(E4316&lt;&gt;"",E4316&lt;&gt;"!!!"),"NEW","")))</f>
        <v> </v>
      </c>
      <c r="G4316" s="24" t="str">
        <f>IF(OR(E4316="",E4316="!!!"),"",IF(OR(J4316=0,AND(J4316=1,K4316=1),AND(J4316=1,I4316="SBJ"),AND(J4316=1,I4316=0)),"?IN_FOCUS",IF(J4316&lt;=2,"?ACTIVATED",IF(J4316&lt;&gt;"","?FAMILIAR",IF(F4316="NEW",IF(ISNA(VLOOKUP(E4316,#REF!,1,FALSE())),"?TYPE_IDENTIFIABLE","?REFERENTIAL"),"_")))))</f>
        <v> </v>
      </c>
      <c r="H4316" s="25" t="str">
        <f>IF(J4316&lt;&gt;1,"",IF(I4316="SBJ","CB","?"))</f>
        <v> </v>
      </c>
      <c r="I4316" s="26" t="str">
        <f>IF(OR(E4316="",E4316="!!!",F4316="NEW"),"",INDEX(B4315:B$2,-1+SUMPRODUCT(MAX(ROW(E4315:E$2)*(E4316=E4315:E$2)))))</f>
        <v> </v>
      </c>
      <c r="J4316" s="26" t="str">
        <f>IF(OR(E4316="",E4316="!!!",F4316="NEW"),"",COUNTBLANK(OFFSET(A$1,,,SUMPRODUCT(MAX(ROW(E$2:E4316)*(E4316=E$2:E4316)))))-COUNTBLANK(OFFSET(A$1,,,SUMPRODUCT(MAX(ROW(E$1:E4315)*(E2=E$1:E4315))))))</f>
        <v> </v>
      </c>
      <c r="K4316" s="26" t="str">
        <f>IF(OR(E4316="",E4316="!!!",F4316="NEW"),"",INDEX(J$1:J4315,SUMPRODUCT(MAX(ROW(E$1:E4315)*(E4316=E$1:E4315)))))</f>
        <v> </v>
      </c>
      <c r="L4316" s="27"/>
    </row>
    <row r="4317" spans="1:12">
      <c r="A4317" s="20"/>
    </row>
    <row r="4318" spans="1:12">
      <c r="A4318" s="20" t="s">
        <v>2298</v>
      </c>
    </row>
    <row r="4319" spans="1:12">
      <c r="A4319" s="20" t="s">
        <v>1240</v>
      </c>
      <c r="E4319" s="22">
        <f>IF(D4319="?OLD","!!!","")</f>
        <v/>
      </c>
      <c r="F4319" s="23" t="str">
        <f>IF(OR(E4319="",E4319="!!!"),"",IF(NOT(ISNA(VLOOKUP(E4319,E$1:E4318,1,FALSE()))),"OLD",IF(AND(E4319&lt;&gt;"",E4319&lt;&gt;"!!!"),"NEW","")))</f>
        <v> </v>
      </c>
      <c r="G4319" s="24" t="str">
        <f>IF(OR(E4319="",E4319="!!!"),"",IF(OR(J4319=0,AND(J4319=1,K4319=1),AND(J4319=1,I4319="SBJ"),AND(J4319=1,I4319=0)),"?IN_FOCUS",IF(J4319&lt;=2,"?ACTIVATED",IF(J4319&lt;&gt;"","?FAMILIAR",IF(F4319="NEW",IF(ISNA(VLOOKUP(E4319,#REF!,1,FALSE())),"?TYPE_IDENTIFIABLE","?REFERENTIAL"),"_")))))</f>
        <v> </v>
      </c>
      <c r="H4319" s="25" t="str">
        <f>IF(J4319&lt;&gt;1,"",IF(I4319="SBJ","CB","?"))</f>
        <v> </v>
      </c>
      <c r="I4319" s="26" t="str">
        <f>IF(OR(E4319="",E4319="!!!",F4319="NEW"),"",INDEX(B4318:B$2,-1+SUMPRODUCT(MAX(ROW(E4318:E$2)*(E4319=E4318:E$2)))))</f>
        <v> </v>
      </c>
      <c r="J4319" s="26" t="str">
        <f>IF(OR(E4319="",E4319="!!!",F4319="NEW"),"",COUNTBLANK(OFFSET(A$1,,,SUMPRODUCT(MAX(ROW(E$2:E4319)*(E4319=E$2:E4319)))))-COUNTBLANK(OFFSET(A$1,,,SUMPRODUCT(MAX(ROW(E$1:E4318)*(E2=E$1:E4318))))))</f>
        <v> </v>
      </c>
      <c r="K4319" s="26" t="str">
        <f>IF(OR(E4319="",E4319="!!!",F4319="NEW"),"",INDEX(J$1:J4318,SUMPRODUCT(MAX(ROW(E$1:E4318)*(E4319=E$1:E4318)))))</f>
        <v> </v>
      </c>
      <c r="L4319" s="27"/>
    </row>
    <row r="4320" spans="1:12">
      <c r="A4320" s="20" t="s">
        <v>1085</v>
      </c>
      <c r="E4320" s="22">
        <f>IF(D4320="?OLD","!!!","")</f>
        <v/>
      </c>
      <c r="F4320" s="23" t="str">
        <f>IF(OR(E4320="",E4320="!!!"),"",IF(NOT(ISNA(VLOOKUP(E4320,E$1:E4319,1,FALSE()))),"OLD",IF(AND(E4320&lt;&gt;"",E4320&lt;&gt;"!!!"),"NEW","")))</f>
        <v> </v>
      </c>
      <c r="G4320" s="24" t="str">
        <f>IF(OR(E4320="",E4320="!!!"),"",IF(OR(J4320=0,AND(J4320=1,K4320=1),AND(J4320=1,I4320="SBJ"),AND(J4320=1,I4320=0)),"?IN_FOCUS",IF(J4320&lt;=2,"?ACTIVATED",IF(J4320&lt;&gt;"","?FAMILIAR",IF(F4320="NEW",IF(ISNA(VLOOKUP(E4320,#REF!,1,FALSE())),"?TYPE_IDENTIFIABLE","?REFERENTIAL"),"_")))))</f>
        <v> </v>
      </c>
      <c r="H4320" s="25" t="str">
        <f>IF(J4320&lt;&gt;1,"",IF(I4320="SBJ","CB","?"))</f>
        <v> </v>
      </c>
      <c r="I4320" s="26" t="str">
        <f>IF(OR(E4320="",E4320="!!!",F4320="NEW"),"",INDEX(B4319:B$2,-1+SUMPRODUCT(MAX(ROW(E4319:E$2)*(E4320=E4319:E$2)))))</f>
        <v> </v>
      </c>
      <c r="J4320" s="26" t="str">
        <f>IF(OR(E4320="",E4320="!!!",F4320="NEW"),"",COUNTBLANK(OFFSET(A$1,,,SUMPRODUCT(MAX(ROW(E$2:E4320)*(E4320=E$2:E4320)))))-COUNTBLANK(OFFSET(A$1,,,SUMPRODUCT(MAX(ROW(E$1:E4319)*(E2=E$1:E4319))))))</f>
        <v> </v>
      </c>
      <c r="K4320" s="26" t="str">
        <f>IF(OR(E4320="",E4320="!!!",F4320="NEW"),"",INDEX(J$1:J4319,SUMPRODUCT(MAX(ROW(E$1:E4319)*(E4320=E$1:E4319)))))</f>
        <v> </v>
      </c>
      <c r="L4320" s="27"/>
    </row>
    <row r="4321" spans="1:12">
      <c r="A4321" s="20" t="s">
        <v>2299</v>
      </c>
      <c r="E4321" s="22">
        <f>IF(D4321="?OLD","!!!","")</f>
        <v/>
      </c>
      <c r="F4321" s="23" t="str">
        <f>IF(OR(E4321="",E4321="!!!"),"",IF(NOT(ISNA(VLOOKUP(E4321,E$1:E4320,1,FALSE()))),"OLD",IF(AND(E4321&lt;&gt;"",E4321&lt;&gt;"!!!"),"NEW","")))</f>
        <v> </v>
      </c>
      <c r="G4321" s="24" t="str">
        <f>IF(OR(E4321="",E4321="!!!"),"",IF(OR(J4321=0,AND(J4321=1,K4321=1),AND(J4321=1,I4321="SBJ"),AND(J4321=1,I4321=0)),"?IN_FOCUS",IF(J4321&lt;=2,"?ACTIVATED",IF(J4321&lt;&gt;"","?FAMILIAR",IF(F4321="NEW",IF(ISNA(VLOOKUP(E4321,#REF!,1,FALSE())),"?TYPE_IDENTIFIABLE","?REFERENTIAL"),"_")))))</f>
        <v> </v>
      </c>
      <c r="H4321" s="25" t="str">
        <f>IF(J4321&lt;&gt;1,"",IF(I4321="SBJ","CB","?"))</f>
        <v> </v>
      </c>
      <c r="I4321" s="26" t="str">
        <f>IF(OR(E4321="",E4321="!!!",F4321="NEW"),"",INDEX(B4320:B$2,-1+SUMPRODUCT(MAX(ROW(E4320:E$2)*(E4321=E4320:E$2)))))</f>
        <v> </v>
      </c>
      <c r="J4321" s="26" t="str">
        <f>IF(OR(E4321="",E4321="!!!",F4321="NEW"),"",COUNTBLANK(OFFSET(A$1,,,SUMPRODUCT(MAX(ROW(E$2:E4321)*(E4321=E$2:E4321)))))-COUNTBLANK(OFFSET(A$1,,,SUMPRODUCT(MAX(ROW(E$1:E4320)*(E2=E$1:E4320))))))</f>
        <v> </v>
      </c>
      <c r="K4321" s="26" t="str">
        <f>IF(OR(E4321="",E4321="!!!",F4321="NEW"),"",INDEX(J$1:J4320,SUMPRODUCT(MAX(ROW(E$1:E4320)*(E4321=E$1:E4320)))))</f>
        <v> </v>
      </c>
      <c r="L4321" s="27"/>
    </row>
    <row r="4322" spans="1:12">
      <c r="A4322" s="20" t="s">
        <v>1088</v>
      </c>
      <c r="E4322" s="22">
        <f>IF(D4322="?OLD","!!!","")</f>
        <v/>
      </c>
      <c r="F4322" s="23" t="str">
        <f>IF(OR(E4322="",E4322="!!!"),"",IF(NOT(ISNA(VLOOKUP(E4322,E$1:E4321,1,FALSE()))),"OLD",IF(AND(E4322&lt;&gt;"",E4322&lt;&gt;"!!!"),"NEW","")))</f>
        <v> </v>
      </c>
      <c r="G4322" s="24" t="str">
        <f>IF(OR(E4322="",E4322="!!!"),"",IF(OR(J4322=0,AND(J4322=1,K4322=1),AND(J4322=1,I4322="SBJ"),AND(J4322=1,I4322=0)),"?IN_FOCUS",IF(J4322&lt;=2,"?ACTIVATED",IF(J4322&lt;&gt;"","?FAMILIAR",IF(F4322="NEW",IF(ISNA(VLOOKUP(E4322,#REF!,1,FALSE())),"?TYPE_IDENTIFIABLE","?REFERENTIAL"),"_")))))</f>
        <v> </v>
      </c>
      <c r="H4322" s="25" t="str">
        <f>IF(J4322&lt;&gt;1,"",IF(I4322="SBJ","CB","?"))</f>
        <v> </v>
      </c>
      <c r="I4322" s="26" t="str">
        <f>IF(OR(E4322="",E4322="!!!",F4322="NEW"),"",INDEX(B4321:B$2,-1+SUMPRODUCT(MAX(ROW(E4321:E$2)*(E4322=E4321:E$2)))))</f>
        <v> </v>
      </c>
      <c r="J4322" s="26" t="str">
        <f>IF(OR(E4322="",E4322="!!!",F4322="NEW"),"",COUNTBLANK(OFFSET(A$1,,,SUMPRODUCT(MAX(ROW(E$2:E4322)*(E4322=E$2:E4322)))))-COUNTBLANK(OFFSET(A$1,,,SUMPRODUCT(MAX(ROW(E$1:E4321)*(E2=E$1:E4321))))))</f>
        <v> </v>
      </c>
      <c r="K4322" s="26" t="str">
        <f>IF(OR(E4322="",E4322="!!!",F4322="NEW"),"",INDEX(J$1:J4321,SUMPRODUCT(MAX(ROW(E$1:E4321)*(E4322=E$1:E4321)))))</f>
        <v> </v>
      </c>
      <c r="L4322" s="27"/>
    </row>
    <row r="4323" spans="1:12">
      <c r="A4323" s="20" t="s">
        <v>1166</v>
      </c>
      <c r="B4323" s="21" t="s">
        <v>1097</v>
      </c>
      <c r="C4323" s="21" t="s">
        <v>1076</v>
      </c>
      <c r="D4323" s="21" t="s">
        <v>1060</v>
      </c>
      <c r="E4323" s="22">
        <f>IF(D4323="?OLD","!!!","")</f>
        <v/>
      </c>
      <c r="F4323" s="23" t="str">
        <f>IF(OR(E4323="",E4323="!!!"),"",IF(NOT(ISNA(VLOOKUP(E4323,E$1:E4322,1,FALSE()))),"OLD",IF(AND(E4323&lt;&gt;"",E4323&lt;&gt;"!!!"),"NEW","")))</f>
        <v> </v>
      </c>
      <c r="G4323" s="24" t="str">
        <f>IF(OR(E4323="",E4323="!!!"),"",IF(OR(J4323=0,AND(J4323=1,K4323=1),AND(J4323=1,I4323="SBJ"),AND(J4323=1,I4323=0)),"?IN_FOCUS",IF(J4323&lt;=2,"?ACTIVATED",IF(J4323&lt;&gt;"","?FAMILIAR",IF(F4323="NEW",IF(ISNA(VLOOKUP(E4323,#REF!,1,FALSE())),"?TYPE_IDENTIFIABLE","?REFERENTIAL"),"_")))))</f>
        <v> </v>
      </c>
      <c r="H4323" s="25" t="str">
        <f>IF(J4323&lt;&gt;1,"",IF(I4323="SBJ","CB","?"))</f>
        <v> </v>
      </c>
      <c r="I4323" s="26" t="str">
        <f>IF(OR(E4323="",E4323="!!!",F4323="NEW"),"",INDEX(B4322:B$2,-1+SUMPRODUCT(MAX(ROW(E4322:E$2)*(E4323=E4322:E$2)))))</f>
        <v> </v>
      </c>
      <c r="J4323" s="26" t="str">
        <f>IF(OR(E4323="",E4323="!!!",F4323="NEW"),"",COUNTBLANK(OFFSET(A$1,,,SUMPRODUCT(MAX(ROW(E$2:E4323)*(E4323=E$2:E4323)))))-COUNTBLANK(OFFSET(A$1,,,SUMPRODUCT(MAX(ROW(E$1:E4322)*(E2=E$1:E4322))))))</f>
        <v> </v>
      </c>
      <c r="K4323" s="26" t="str">
        <f>IF(OR(E4323="",E4323="!!!",F4323="NEW"),"",INDEX(J$1:J4322,SUMPRODUCT(MAX(ROW(E$1:E4322)*(E4323=E$1:E4322)))))</f>
        <v> </v>
      </c>
      <c r="L4323" s="27"/>
    </row>
    <row r="4324" spans="1:12">
      <c r="A4324" s="20" t="s">
        <v>1082</v>
      </c>
      <c r="E4324" s="22">
        <f>IF(D4324="?OLD","!!!","")</f>
        <v/>
      </c>
      <c r="F4324" s="23" t="str">
        <f>IF(OR(E4324="",E4324="!!!"),"",IF(NOT(ISNA(VLOOKUP(E4324,E$1:E4323,1,FALSE()))),"OLD",IF(AND(E4324&lt;&gt;"",E4324&lt;&gt;"!!!"),"NEW","")))</f>
        <v> </v>
      </c>
      <c r="G4324" s="24" t="str">
        <f>IF(OR(E4324="",E4324="!!!"),"",IF(OR(J4324=0,AND(J4324=1,K4324=1),AND(J4324=1,I4324="SBJ"),AND(J4324=1,I4324=0)),"?IN_FOCUS",IF(J4324&lt;=2,"?ACTIVATED",IF(J4324&lt;&gt;"","?FAMILIAR",IF(F4324="NEW",IF(ISNA(VLOOKUP(E4324,#REF!,1,FALSE())),"?TYPE_IDENTIFIABLE","?REFERENTIAL"),"_")))))</f>
        <v> </v>
      </c>
      <c r="H4324" s="25" t="str">
        <f>IF(J4324&lt;&gt;1,"",IF(I4324="SBJ","CB","?"))</f>
        <v> </v>
      </c>
      <c r="I4324" s="26" t="str">
        <f>IF(OR(E4324="",E4324="!!!",F4324="NEW"),"",INDEX(B4323:B$2,-1+SUMPRODUCT(MAX(ROW(E4323:E$2)*(E4324=E4323:E$2)))))</f>
        <v> </v>
      </c>
      <c r="J4324" s="26" t="str">
        <f>IF(OR(E4324="",E4324="!!!",F4324="NEW"),"",COUNTBLANK(OFFSET(A$1,,,SUMPRODUCT(MAX(ROW(E$2:E4324)*(E4324=E$2:E4324)))))-COUNTBLANK(OFFSET(A$1,,,SUMPRODUCT(MAX(ROW(E$1:E4323)*(E2=E$1:E4323))))))</f>
        <v> </v>
      </c>
      <c r="K4324" s="26" t="str">
        <f>IF(OR(E4324="",E4324="!!!",F4324="NEW"),"",INDEX(J$1:J4323,SUMPRODUCT(MAX(ROW(E$1:E4323)*(E4324=E$1:E4323)))))</f>
        <v> </v>
      </c>
      <c r="L4324" s="27"/>
    </row>
    <row r="4325" spans="1:12">
      <c r="A4325" s="20" t="s">
        <v>1707</v>
      </c>
      <c r="E4325" s="22">
        <f>IF(D4325="?OLD","!!!","")</f>
        <v/>
      </c>
      <c r="F4325" s="23" t="str">
        <f>IF(OR(E4325="",E4325="!!!"),"",IF(NOT(ISNA(VLOOKUP(E4325,E$1:E4324,1,FALSE()))),"OLD",IF(AND(E4325&lt;&gt;"",E4325&lt;&gt;"!!!"),"NEW","")))</f>
        <v> </v>
      </c>
      <c r="G4325" s="24" t="str">
        <f>IF(OR(E4325="",E4325="!!!"),"",IF(OR(J4325=0,AND(J4325=1,K4325=1),AND(J4325=1,I4325="SBJ"),AND(J4325=1,I4325=0)),"?IN_FOCUS",IF(J4325&lt;=2,"?ACTIVATED",IF(J4325&lt;&gt;"","?FAMILIAR",IF(F4325="NEW",IF(ISNA(VLOOKUP(E4325,#REF!,1,FALSE())),"?TYPE_IDENTIFIABLE","?REFERENTIAL"),"_")))))</f>
        <v> </v>
      </c>
      <c r="H4325" s="25" t="str">
        <f>IF(J4325&lt;&gt;1,"",IF(I4325="SBJ","CB","?"))</f>
        <v> </v>
      </c>
      <c r="I4325" s="26" t="str">
        <f>IF(OR(E4325="",E4325="!!!",F4325="NEW"),"",INDEX(B4324:B$2,-1+SUMPRODUCT(MAX(ROW(E4324:E$2)*(E4325=E4324:E$2)))))</f>
        <v> </v>
      </c>
      <c r="J4325" s="26" t="str">
        <f>IF(OR(E4325="",E4325="!!!",F4325="NEW"),"",COUNTBLANK(OFFSET(A$1,,,SUMPRODUCT(MAX(ROW(E$2:E4325)*(E4325=E$2:E4325)))))-COUNTBLANK(OFFSET(A$1,,,SUMPRODUCT(MAX(ROW(E$1:E4324)*(E2=E$1:E4324))))))</f>
        <v> </v>
      </c>
      <c r="K4325" s="26" t="str">
        <f>IF(OR(E4325="",E4325="!!!",F4325="NEW"),"",INDEX(J$1:J4324,SUMPRODUCT(MAX(ROW(E$1:E4324)*(E4325=E$1:E4324)))))</f>
        <v> </v>
      </c>
      <c r="L4325" s="27"/>
    </row>
    <row r="4326" spans="1:12">
      <c r="A4326" s="20" t="s">
        <v>2300</v>
      </c>
      <c r="B4326" s="21" t="s">
        <v>1079</v>
      </c>
      <c r="C4326" s="21" t="s">
        <v>1080</v>
      </c>
      <c r="E4326" s="22">
        <f>IF(D4326="?OLD","!!!","")</f>
        <v/>
      </c>
      <c r="F4326" s="23" t="str">
        <f>IF(OR(E4326="",E4326="!!!"),"",IF(NOT(ISNA(VLOOKUP(E4326,E$1:E4325,1,FALSE()))),"OLD",IF(AND(E4326&lt;&gt;"",E4326&lt;&gt;"!!!"),"NEW","")))</f>
        <v> </v>
      </c>
      <c r="G4326" s="24" t="str">
        <f>IF(OR(E4326="",E4326="!!!"),"",IF(OR(J4326=0,AND(J4326=1,K4326=1),AND(J4326=1,I4326="SBJ"),AND(J4326=1,I4326=0)),"?IN_FOCUS",IF(J4326&lt;=2,"?ACTIVATED",IF(J4326&lt;&gt;"","?FAMILIAR",IF(F4326="NEW",IF(ISNA(VLOOKUP(E4326,#REF!,1,FALSE())),"?TYPE_IDENTIFIABLE","?REFERENTIAL"),"_")))))</f>
        <v> </v>
      </c>
      <c r="H4326" s="25" t="str">
        <f>IF(J4326&lt;&gt;1,"",IF(I4326="SBJ","CB","?"))</f>
        <v> </v>
      </c>
      <c r="I4326" s="26" t="str">
        <f>IF(OR(E4326="",E4326="!!!",F4326="NEW"),"",INDEX(B4325:B$2,-1+SUMPRODUCT(MAX(ROW(E4325:E$2)*(E4326=E4325:E$2)))))</f>
        <v> </v>
      </c>
      <c r="J4326" s="26" t="str">
        <f>IF(OR(E4326="",E4326="!!!",F4326="NEW"),"",COUNTBLANK(OFFSET(A$1,,,SUMPRODUCT(MAX(ROW(E$2:E4326)*(E4326=E$2:E4326)))))-COUNTBLANK(OFFSET(A$1,,,SUMPRODUCT(MAX(ROW(E$1:E4325)*(E2=E$1:E4325))))))</f>
        <v> </v>
      </c>
      <c r="K4326" s="26" t="str">
        <f>IF(OR(E4326="",E4326="!!!",F4326="NEW"),"",INDEX(J$1:J4325,SUMPRODUCT(MAX(ROW(E$1:E4325)*(E4326=E$1:E4325)))))</f>
        <v> </v>
      </c>
      <c r="L4326" s="27"/>
    </row>
    <row r="4327" spans="1:12">
      <c r="A4327" s="20" t="s">
        <v>1085</v>
      </c>
      <c r="E4327" s="22">
        <f>IF(D4327="?OLD","!!!","")</f>
        <v/>
      </c>
      <c r="F4327" s="23" t="str">
        <f>IF(OR(E4327="",E4327="!!!"),"",IF(NOT(ISNA(VLOOKUP(E4327,E$1:E4326,1,FALSE()))),"OLD",IF(AND(E4327&lt;&gt;"",E4327&lt;&gt;"!!!"),"NEW","")))</f>
        <v> </v>
      </c>
      <c r="G4327" s="24" t="str">
        <f>IF(OR(E4327="",E4327="!!!"),"",IF(OR(J4327=0,AND(J4327=1,K4327=1),AND(J4327=1,I4327="SBJ"),AND(J4327=1,I4327=0)),"?IN_FOCUS",IF(J4327&lt;=2,"?ACTIVATED",IF(J4327&lt;&gt;"","?FAMILIAR",IF(F4327="NEW",IF(ISNA(VLOOKUP(E4327,#REF!,1,FALSE())),"?TYPE_IDENTIFIABLE","?REFERENTIAL"),"_")))))</f>
        <v> </v>
      </c>
      <c r="H4327" s="25" t="str">
        <f>IF(J4327&lt;&gt;1,"",IF(I4327="SBJ","CB","?"))</f>
        <v> </v>
      </c>
      <c r="I4327" s="26" t="str">
        <f>IF(OR(E4327="",E4327="!!!",F4327="NEW"),"",INDEX(B4326:B$2,-1+SUMPRODUCT(MAX(ROW(E4326:E$2)*(E4327=E4326:E$2)))))</f>
        <v> </v>
      </c>
      <c r="J4327" s="26" t="str">
        <f>IF(OR(E4327="",E4327="!!!",F4327="NEW"),"",COUNTBLANK(OFFSET(A$1,,,SUMPRODUCT(MAX(ROW(E$2:E4327)*(E4327=E$2:E4327)))))-COUNTBLANK(OFFSET(A$1,,,SUMPRODUCT(MAX(ROW(E$1:E4326)*(E2=E$1:E4326))))))</f>
        <v> </v>
      </c>
      <c r="K4327" s="26" t="str">
        <f>IF(OR(E4327="",E4327="!!!",F4327="NEW"),"",INDEX(J$1:J4326,SUMPRODUCT(MAX(ROW(E$1:E4326)*(E4327=E$1:E4326)))))</f>
        <v> </v>
      </c>
      <c r="L4327" s="27"/>
    </row>
    <row r="4328" spans="1:12">
      <c r="A4328" s="20" t="s">
        <v>1160</v>
      </c>
      <c r="E4328" s="22">
        <f>IF(D4328="?OLD","!!!","")</f>
        <v/>
      </c>
      <c r="F4328" s="23" t="str">
        <f>IF(OR(E4328="",E4328="!!!"),"",IF(NOT(ISNA(VLOOKUP(E4328,E$1:E4327,1,FALSE()))),"OLD",IF(AND(E4328&lt;&gt;"",E4328&lt;&gt;"!!!"),"NEW","")))</f>
        <v> </v>
      </c>
      <c r="G4328" s="24" t="str">
        <f>IF(OR(E4328="",E4328="!!!"),"",IF(OR(J4328=0,AND(J4328=1,K4328=1),AND(J4328=1,I4328="SBJ"),AND(J4328=1,I4328=0)),"?IN_FOCUS",IF(J4328&lt;=2,"?ACTIVATED",IF(J4328&lt;&gt;"","?FAMILIAR",IF(F4328="NEW",IF(ISNA(VLOOKUP(E4328,#REF!,1,FALSE())),"?TYPE_IDENTIFIABLE","?REFERENTIAL"),"_")))))</f>
        <v> </v>
      </c>
      <c r="H4328" s="25" t="str">
        <f>IF(J4328&lt;&gt;1,"",IF(I4328="SBJ","CB","?"))</f>
        <v> </v>
      </c>
      <c r="I4328" s="26" t="str">
        <f>IF(OR(E4328="",E4328="!!!",F4328="NEW"),"",INDEX(B4327:B$2,-1+SUMPRODUCT(MAX(ROW(E4327:E$2)*(E4328=E4327:E$2)))))</f>
        <v> </v>
      </c>
      <c r="J4328" s="26" t="str">
        <f>IF(OR(E4328="",E4328="!!!",F4328="NEW"),"",COUNTBLANK(OFFSET(A$1,,,SUMPRODUCT(MAX(ROW(E$2:E4328)*(E4328=E$2:E4328)))))-COUNTBLANK(OFFSET(A$1,,,SUMPRODUCT(MAX(ROW(E$1:E4327)*(E2=E$1:E4327))))))</f>
        <v> </v>
      </c>
      <c r="K4328" s="26" t="str">
        <f>IF(OR(E4328="",E4328="!!!",F4328="NEW"),"",INDEX(J$1:J4327,SUMPRODUCT(MAX(ROW(E$1:E4327)*(E4328=E$1:E4327)))))</f>
        <v> </v>
      </c>
      <c r="L4328" s="27"/>
    </row>
    <row r="4329" spans="1:12">
      <c r="A4329" s="20" t="s">
        <v>2301</v>
      </c>
      <c r="E4329" s="22">
        <f>IF(D4329="?OLD","!!!","")</f>
        <v/>
      </c>
      <c r="F4329" s="23" t="str">
        <f>IF(OR(E4329="",E4329="!!!"),"",IF(NOT(ISNA(VLOOKUP(E4329,E$1:E4328,1,FALSE()))),"OLD",IF(AND(E4329&lt;&gt;"",E4329&lt;&gt;"!!!"),"NEW","")))</f>
        <v> </v>
      </c>
      <c r="G4329" s="24" t="str">
        <f>IF(OR(E4329="",E4329="!!!"),"",IF(OR(J4329=0,AND(J4329=1,K4329=1),AND(J4329=1,I4329="SBJ"),AND(J4329=1,I4329=0)),"?IN_FOCUS",IF(J4329&lt;=2,"?ACTIVATED",IF(J4329&lt;&gt;"","?FAMILIAR",IF(F4329="NEW",IF(ISNA(VLOOKUP(E4329,#REF!,1,FALSE())),"?TYPE_IDENTIFIABLE","?REFERENTIAL"),"_")))))</f>
        <v> </v>
      </c>
      <c r="H4329" s="25" t="str">
        <f>IF(J4329&lt;&gt;1,"",IF(I4329="SBJ","CB","?"))</f>
        <v> </v>
      </c>
      <c r="I4329" s="26" t="str">
        <f>IF(OR(E4329="",E4329="!!!",F4329="NEW"),"",INDEX(B4328:B$2,-1+SUMPRODUCT(MAX(ROW(E4328:E$2)*(E4329=E4328:E$2)))))</f>
        <v> </v>
      </c>
      <c r="J4329" s="26" t="str">
        <f>IF(OR(E4329="",E4329="!!!",F4329="NEW"),"",COUNTBLANK(OFFSET(A$1,,,SUMPRODUCT(MAX(ROW(E$2:E4329)*(E4329=E$2:E4329)))))-COUNTBLANK(OFFSET(A$1,,,SUMPRODUCT(MAX(ROW(E$1:E4328)*(E2=E$1:E4328))))))</f>
        <v> </v>
      </c>
      <c r="K4329" s="26" t="str">
        <f>IF(OR(E4329="",E4329="!!!",F4329="NEW"),"",INDEX(J$1:J4328,SUMPRODUCT(MAX(ROW(E$1:E4328)*(E4329=E$1:E4328)))))</f>
        <v> </v>
      </c>
      <c r="L4329" s="27"/>
    </row>
    <row r="4330" spans="1:12">
      <c r="A4330" s="20" t="s">
        <v>1100</v>
      </c>
      <c r="E4330" s="22">
        <f>IF(D4330="?OLD","!!!","")</f>
        <v/>
      </c>
      <c r="F4330" s="23" t="str">
        <f>IF(OR(E4330="",E4330="!!!"),"",IF(NOT(ISNA(VLOOKUP(E4330,E$1:E4329,1,FALSE()))),"OLD",IF(AND(E4330&lt;&gt;"",E4330&lt;&gt;"!!!"),"NEW","")))</f>
        <v> </v>
      </c>
      <c r="G4330" s="24" t="str">
        <f>IF(OR(E4330="",E4330="!!!"),"",IF(OR(J4330=0,AND(J4330=1,K4330=1),AND(J4330=1,I4330="SBJ"),AND(J4330=1,I4330=0)),"?IN_FOCUS",IF(J4330&lt;=2,"?ACTIVATED",IF(J4330&lt;&gt;"","?FAMILIAR",IF(F4330="NEW",IF(ISNA(VLOOKUP(E4330,#REF!,1,FALSE())),"?TYPE_IDENTIFIABLE","?REFERENTIAL"),"_")))))</f>
        <v> </v>
      </c>
      <c r="H4330" s="25" t="str">
        <f>IF(J4330&lt;&gt;1,"",IF(I4330="SBJ","CB","?"))</f>
        <v> </v>
      </c>
      <c r="I4330" s="26" t="str">
        <f>IF(OR(E4330="",E4330="!!!",F4330="NEW"),"",INDEX(B4329:B$2,-1+SUMPRODUCT(MAX(ROW(E4329:E$2)*(E4330=E4329:E$2)))))</f>
        <v> </v>
      </c>
      <c r="J4330" s="26" t="str">
        <f>IF(OR(E4330="",E4330="!!!",F4330="NEW"),"",COUNTBLANK(OFFSET(A$1,,,SUMPRODUCT(MAX(ROW(E$2:E4330)*(E4330=E$2:E4330)))))-COUNTBLANK(OFFSET(A$1,,,SUMPRODUCT(MAX(ROW(E$1:E4329)*(E2=E$1:E4329))))))</f>
        <v> </v>
      </c>
      <c r="K4330" s="26" t="str">
        <f>IF(OR(E4330="",E4330="!!!",F4330="NEW"),"",INDEX(J$1:J4329,SUMPRODUCT(MAX(ROW(E$1:E4329)*(E4330=E$1:E4329)))))</f>
        <v> </v>
      </c>
      <c r="L4330" s="27"/>
    </row>
    <row r="4331" spans="1:12">
      <c r="A4331" s="20" t="s">
        <v>1101</v>
      </c>
      <c r="E4331" s="22">
        <f>IF(D4331="?OLD","!!!","")</f>
        <v/>
      </c>
      <c r="F4331" s="23" t="str">
        <f>IF(OR(E4331="",E4331="!!!"),"",IF(NOT(ISNA(VLOOKUP(E4331,E$1:E4330,1,FALSE()))),"OLD",IF(AND(E4331&lt;&gt;"",E4331&lt;&gt;"!!!"),"NEW","")))</f>
        <v> </v>
      </c>
      <c r="G4331" s="24" t="str">
        <f>IF(OR(E4331="",E4331="!!!"),"",IF(OR(J4331=0,AND(J4331=1,K4331=1),AND(J4331=1,I4331="SBJ"),AND(J4331=1,I4331=0)),"?IN_FOCUS",IF(J4331&lt;=2,"?ACTIVATED",IF(J4331&lt;&gt;"","?FAMILIAR",IF(F4331="NEW",IF(ISNA(VLOOKUP(E4331,#REF!,1,FALSE())),"?TYPE_IDENTIFIABLE","?REFERENTIAL"),"_")))))</f>
        <v> </v>
      </c>
      <c r="H4331" s="25" t="str">
        <f>IF(J4331&lt;&gt;1,"",IF(I4331="SBJ","CB","?"))</f>
        <v> </v>
      </c>
      <c r="I4331" s="26" t="str">
        <f>IF(OR(E4331="",E4331="!!!",F4331="NEW"),"",INDEX(B4330:B$2,-1+SUMPRODUCT(MAX(ROW(E4330:E$2)*(E4331=E4330:E$2)))))</f>
        <v> </v>
      </c>
      <c r="J4331" s="26" t="str">
        <f>IF(OR(E4331="",E4331="!!!",F4331="NEW"),"",COUNTBLANK(OFFSET(A$1,,,SUMPRODUCT(MAX(ROW(E$2:E4331)*(E4331=E$2:E4331)))))-COUNTBLANK(OFFSET(A$1,,,SUMPRODUCT(MAX(ROW(E$1:E4330)*(E2=E$1:E4330))))))</f>
        <v> </v>
      </c>
      <c r="K4331" s="26" t="str">
        <f>IF(OR(E4331="",E4331="!!!",F4331="NEW"),"",INDEX(J$1:J4330,SUMPRODUCT(MAX(ROW(E$1:E4330)*(E4331=E$1:E4330)))))</f>
        <v> </v>
      </c>
      <c r="L4331" s="27"/>
    </row>
    <row r="4332" spans="1:12">
      <c r="A4332" s="20" t="s">
        <v>1330</v>
      </c>
      <c r="B4332" s="21" t="s">
        <v>1068</v>
      </c>
      <c r="C4332" s="21" t="s">
        <v>1140</v>
      </c>
      <c r="D4332" s="21" t="s">
        <v>1060</v>
      </c>
      <c r="E4332" s="22">
        <f>IF(D4332="?OLD","!!!","")</f>
        <v/>
      </c>
      <c r="F4332" s="23" t="str">
        <f>IF(OR(E4332="",E4332="!!!"),"",IF(NOT(ISNA(VLOOKUP(E4332,E$1:E4331,1,FALSE()))),"OLD",IF(AND(E4332&lt;&gt;"",E4332&lt;&gt;"!!!"),"NEW","")))</f>
        <v> </v>
      </c>
      <c r="G4332" s="24" t="str">
        <f>IF(OR(E4332="",E4332="!!!"),"",IF(OR(J4332=0,AND(J4332=1,K4332=1),AND(J4332=1,I4332="SBJ"),AND(J4332=1,I4332=0)),"?IN_FOCUS",IF(J4332&lt;=2,"?ACTIVATED",IF(J4332&lt;&gt;"","?FAMILIAR",IF(F4332="NEW",IF(ISNA(VLOOKUP(E4332,#REF!,1,FALSE())),"?TYPE_IDENTIFIABLE","?REFERENTIAL"),"_")))))</f>
        <v> </v>
      </c>
      <c r="H4332" s="25" t="str">
        <f>IF(J4332&lt;&gt;1,"",IF(I4332="SBJ","CB","?"))</f>
        <v> </v>
      </c>
      <c r="I4332" s="26" t="str">
        <f>IF(OR(E4332="",E4332="!!!",F4332="NEW"),"",INDEX(B4331:B$2,-1+SUMPRODUCT(MAX(ROW(E4331:E$2)*(E4332=E4331:E$2)))))</f>
        <v> </v>
      </c>
      <c r="J4332" s="26" t="str">
        <f>IF(OR(E4332="",E4332="!!!",F4332="NEW"),"",COUNTBLANK(OFFSET(A$1,,,SUMPRODUCT(MAX(ROW(E$2:E4332)*(E4332=E$2:E4332)))))-COUNTBLANK(OFFSET(A$1,,,SUMPRODUCT(MAX(ROW(E$1:E4331)*(E2=E$1:E4331))))))</f>
        <v> </v>
      </c>
      <c r="K4332" s="26" t="str">
        <f>IF(OR(E4332="",E4332="!!!",F4332="NEW"),"",INDEX(J$1:J4331,SUMPRODUCT(MAX(ROW(E$1:E4331)*(E4332=E$1:E4331)))))</f>
        <v> </v>
      </c>
      <c r="L4332" s="27"/>
    </row>
    <row r="4333" spans="1:12">
      <c r="A4333" s="20" t="s">
        <v>1152</v>
      </c>
      <c r="E4333" s="22">
        <f>IF(D4333="?OLD","!!!","")</f>
        <v/>
      </c>
      <c r="F4333" s="23" t="str">
        <f>IF(OR(E4333="",E4333="!!!"),"",IF(NOT(ISNA(VLOOKUP(E4333,E$1:E4332,1,FALSE()))),"OLD",IF(AND(E4333&lt;&gt;"",E4333&lt;&gt;"!!!"),"NEW","")))</f>
        <v> </v>
      </c>
      <c r="G4333" s="24" t="str">
        <f>IF(OR(E4333="",E4333="!!!"),"",IF(OR(J4333=0,AND(J4333=1,K4333=1),AND(J4333=1,I4333="SBJ"),AND(J4333=1,I4333=0)),"?IN_FOCUS",IF(J4333&lt;=2,"?ACTIVATED",IF(J4333&lt;&gt;"","?FAMILIAR",IF(F4333="NEW",IF(ISNA(VLOOKUP(E4333,#REF!,1,FALSE())),"?TYPE_IDENTIFIABLE","?REFERENTIAL"),"_")))))</f>
        <v> </v>
      </c>
      <c r="H4333" s="25" t="str">
        <f>IF(J4333&lt;&gt;1,"",IF(I4333="SBJ","CB","?"))</f>
        <v> </v>
      </c>
      <c r="I4333" s="26" t="str">
        <f>IF(OR(E4333="",E4333="!!!",F4333="NEW"),"",INDEX(B4332:B$2,-1+SUMPRODUCT(MAX(ROW(E4332:E$2)*(E4333=E4332:E$2)))))</f>
        <v> </v>
      </c>
      <c r="J4333" s="26" t="str">
        <f>IF(OR(E4333="",E4333="!!!",F4333="NEW"),"",COUNTBLANK(OFFSET(A$1,,,SUMPRODUCT(MAX(ROW(E$2:E4333)*(E4333=E$2:E4333)))))-COUNTBLANK(OFFSET(A$1,,,SUMPRODUCT(MAX(ROW(E$1:E4332)*(E2=E$1:E4332))))))</f>
        <v> </v>
      </c>
      <c r="K4333" s="26" t="str">
        <f>IF(OR(E4333="",E4333="!!!",F4333="NEW"),"",INDEX(J$1:J4332,SUMPRODUCT(MAX(ROW(E$1:E4332)*(E4333=E$1:E4332)))))</f>
        <v> </v>
      </c>
      <c r="L4333" s="27"/>
    </row>
    <row r="4334" spans="1:12">
      <c r="A4334" s="20" t="s">
        <v>2302</v>
      </c>
      <c r="E4334" s="22">
        <f>IF(D4334="?OLD","!!!","")</f>
        <v/>
      </c>
      <c r="F4334" s="23" t="str">
        <f>IF(OR(E4334="",E4334="!!!"),"",IF(NOT(ISNA(VLOOKUP(E4334,E$1:E4333,1,FALSE()))),"OLD",IF(AND(E4334&lt;&gt;"",E4334&lt;&gt;"!!!"),"NEW","")))</f>
        <v> </v>
      </c>
      <c r="G4334" s="24" t="str">
        <f>IF(OR(E4334="",E4334="!!!"),"",IF(OR(J4334=0,AND(J4334=1,K4334=1),AND(J4334=1,I4334="SBJ"),AND(J4334=1,I4334=0)),"?IN_FOCUS",IF(J4334&lt;=2,"?ACTIVATED",IF(J4334&lt;&gt;"","?FAMILIAR",IF(F4334="NEW",IF(ISNA(VLOOKUP(E4334,#REF!,1,FALSE())),"?TYPE_IDENTIFIABLE","?REFERENTIAL"),"_")))))</f>
        <v> </v>
      </c>
      <c r="H4334" s="25" t="str">
        <f>IF(J4334&lt;&gt;1,"",IF(I4334="SBJ","CB","?"))</f>
        <v> </v>
      </c>
      <c r="I4334" s="26" t="str">
        <f>IF(OR(E4334="",E4334="!!!",F4334="NEW"),"",INDEX(B4333:B$2,-1+SUMPRODUCT(MAX(ROW(E4333:E$2)*(E4334=E4333:E$2)))))</f>
        <v> </v>
      </c>
      <c r="J4334" s="26" t="str">
        <f>IF(OR(E4334="",E4334="!!!",F4334="NEW"),"",COUNTBLANK(OFFSET(A$1,,,SUMPRODUCT(MAX(ROW(E$2:E4334)*(E4334=E$2:E4334)))))-COUNTBLANK(OFFSET(A$1,,,SUMPRODUCT(MAX(ROW(E$1:E4333)*(E2=E$1:E4333))))))</f>
        <v> </v>
      </c>
      <c r="K4334" s="26" t="str">
        <f>IF(OR(E4334="",E4334="!!!",F4334="NEW"),"",INDEX(J$1:J4333,SUMPRODUCT(MAX(ROW(E$1:E4333)*(E4334=E$1:E4333)))))</f>
        <v> </v>
      </c>
      <c r="L4334" s="27"/>
    </row>
    <row r="4335" spans="1:12">
      <c r="A4335" s="20" t="s">
        <v>923</v>
      </c>
      <c r="E4335" s="22">
        <f>IF(D4335="?OLD","!!!","")</f>
        <v/>
      </c>
      <c r="F4335" s="23" t="str">
        <f>IF(OR(E4335="",E4335="!!!"),"",IF(NOT(ISNA(VLOOKUP(E4335,E$1:E4334,1,FALSE()))),"OLD",IF(AND(E4335&lt;&gt;"",E4335&lt;&gt;"!!!"),"NEW","")))</f>
        <v> </v>
      </c>
      <c r="G4335" s="24" t="str">
        <f>IF(OR(E4335="",E4335="!!!"),"",IF(OR(J4335=0,AND(J4335=1,K4335=1),AND(J4335=1,I4335="SBJ"),AND(J4335=1,I4335=0)),"?IN_FOCUS",IF(J4335&lt;=2,"?ACTIVATED",IF(J4335&lt;&gt;"","?FAMILIAR",IF(F4335="NEW",IF(ISNA(VLOOKUP(E4335,#REF!,1,FALSE())),"?TYPE_IDENTIFIABLE","?REFERENTIAL"),"_")))))</f>
        <v> </v>
      </c>
      <c r="H4335" s="25" t="str">
        <f>IF(J4335&lt;&gt;1,"",IF(I4335="SBJ","CB","?"))</f>
        <v> </v>
      </c>
      <c r="I4335" s="26" t="str">
        <f>IF(OR(E4335="",E4335="!!!",F4335="NEW"),"",INDEX(B4334:B$2,-1+SUMPRODUCT(MAX(ROW(E4334:E$2)*(E4335=E4334:E$2)))))</f>
        <v> </v>
      </c>
      <c r="J4335" s="26" t="str">
        <f>IF(OR(E4335="",E4335="!!!",F4335="NEW"),"",COUNTBLANK(OFFSET(A$1,,,SUMPRODUCT(MAX(ROW(E$2:E4335)*(E4335=E$2:E4335)))))-COUNTBLANK(OFFSET(A$1,,,SUMPRODUCT(MAX(ROW(E$1:E4334)*(E2=E$1:E4334))))))</f>
        <v> </v>
      </c>
      <c r="K4335" s="26" t="str">
        <f>IF(OR(E4335="",E4335="!!!",F4335="NEW"),"",INDEX(J$1:J4334,SUMPRODUCT(MAX(ROW(E$1:E4334)*(E4335=E$1:E4334)))))</f>
        <v> </v>
      </c>
      <c r="L4335" s="27"/>
    </row>
    <row r="4336" spans="1:12">
      <c r="A4336" s="20"/>
    </row>
    <row r="4337" spans="1:12">
      <c r="A4337" s="20" t="s">
        <v>2303</v>
      </c>
    </row>
    <row r="4338" spans="1:12">
      <c r="A4338" s="20" t="s">
        <v>2304</v>
      </c>
      <c r="E4338" s="22">
        <f>IF(D4338="?OLD","!!!","")</f>
        <v/>
      </c>
      <c r="F4338" s="23" t="str">
        <f>IF(OR(E4338="",E4338="!!!"),"",IF(NOT(ISNA(VLOOKUP(E4338,E$1:E4337,1,FALSE()))),"OLD",IF(AND(E4338&lt;&gt;"",E4338&lt;&gt;"!!!"),"NEW","")))</f>
        <v> </v>
      </c>
      <c r="G4338" s="24" t="str">
        <f>IF(OR(E4338="",E4338="!!!"),"",IF(OR(J4338=0,AND(J4338=1,K4338=1),AND(J4338=1,I4338="SBJ"),AND(J4338=1,I4338=0)),"?IN_FOCUS",IF(J4338&lt;=2,"?ACTIVATED",IF(J4338&lt;&gt;"","?FAMILIAR",IF(F4338="NEW",IF(ISNA(VLOOKUP(E4338,#REF!,1,FALSE())),"?TYPE_IDENTIFIABLE","?REFERENTIAL"),"_")))))</f>
        <v> </v>
      </c>
      <c r="H4338" s="25" t="str">
        <f>IF(J4338&lt;&gt;1,"",IF(I4338="SBJ","CB","?"))</f>
        <v> </v>
      </c>
      <c r="I4338" s="26" t="str">
        <f>IF(OR(E4338="",E4338="!!!",F4338="NEW"),"",INDEX(B4337:B$2,-1+SUMPRODUCT(MAX(ROW(E4337:E$2)*(E4338=E4337:E$2)))))</f>
        <v> </v>
      </c>
      <c r="J4338" s="26" t="str">
        <f>IF(OR(E4338="",E4338="!!!",F4338="NEW"),"",COUNTBLANK(OFFSET(A$1,,,SUMPRODUCT(MAX(ROW(E$2:E4338)*(E4338=E$2:E4338)))))-COUNTBLANK(OFFSET(A$1,,,SUMPRODUCT(MAX(ROW(E$1:E4337)*(E2=E$1:E4337))))))</f>
        <v> </v>
      </c>
      <c r="K4338" s="26" t="str">
        <f>IF(OR(E4338="",E4338="!!!",F4338="NEW"),"",INDEX(J$1:J4337,SUMPRODUCT(MAX(ROW(E$1:E4337)*(E4338=E$1:E4337)))))</f>
        <v> </v>
      </c>
      <c r="L4338" s="27"/>
    </row>
    <row r="4339" spans="1:12">
      <c r="A4339" s="20" t="s">
        <v>1170</v>
      </c>
      <c r="B4339" s="21" t="s">
        <v>1058</v>
      </c>
      <c r="C4339" s="21" t="s">
        <v>1076</v>
      </c>
      <c r="D4339" s="21" t="s">
        <v>1060</v>
      </c>
      <c r="E4339" s="22">
        <f>IF(D4339="?OLD","!!!","")</f>
        <v/>
      </c>
      <c r="F4339" s="23" t="str">
        <f>IF(OR(E4339="",E4339="!!!"),"",IF(NOT(ISNA(VLOOKUP(E4339,E$1:E4338,1,FALSE()))),"OLD",IF(AND(E4339&lt;&gt;"",E4339&lt;&gt;"!!!"),"NEW","")))</f>
        <v> </v>
      </c>
      <c r="G4339" s="24" t="str">
        <f>IF(OR(E4339="",E4339="!!!"),"",IF(OR(J4339=0,AND(J4339=1,K4339=1),AND(J4339=1,I4339="SBJ"),AND(J4339=1,I4339=0)),"?IN_FOCUS",IF(J4339&lt;=2,"?ACTIVATED",IF(J4339&lt;&gt;"","?FAMILIAR",IF(F4339="NEW",IF(ISNA(VLOOKUP(E4339,#REF!,1,FALSE())),"?TYPE_IDENTIFIABLE","?REFERENTIAL"),"_")))))</f>
        <v> </v>
      </c>
      <c r="H4339" s="25" t="str">
        <f>IF(J4339&lt;&gt;1,"",IF(I4339="SBJ","CB","?"))</f>
        <v> </v>
      </c>
      <c r="I4339" s="26" t="str">
        <f>IF(OR(E4339="",E4339="!!!",F4339="NEW"),"",INDEX(B4338:B$2,-1+SUMPRODUCT(MAX(ROW(E4338:E$2)*(E4339=E4338:E$2)))))</f>
        <v> </v>
      </c>
      <c r="J4339" s="26" t="str">
        <f>IF(OR(E4339="",E4339="!!!",F4339="NEW"),"",COUNTBLANK(OFFSET(A$1,,,SUMPRODUCT(MAX(ROW(E$2:E4339)*(E4339=E$2:E4339)))))-COUNTBLANK(OFFSET(A$1,,,SUMPRODUCT(MAX(ROW(E$1:E4338)*(E2=E$1:E4338))))))</f>
        <v> </v>
      </c>
      <c r="K4339" s="26" t="str">
        <f>IF(OR(E4339="",E4339="!!!",F4339="NEW"),"",INDEX(J$1:J4338,SUMPRODUCT(MAX(ROW(E$1:E4338)*(E4339=E$1:E4338)))))</f>
        <v> </v>
      </c>
      <c r="L4339" s="27"/>
    </row>
    <row r="4340" spans="1:12">
      <c r="A4340" s="20" t="s">
        <v>1475</v>
      </c>
      <c r="E4340" s="22">
        <f>IF(D4340="?OLD","!!!","")</f>
        <v/>
      </c>
      <c r="F4340" s="23" t="str">
        <f>IF(OR(E4340="",E4340="!!!"),"",IF(NOT(ISNA(VLOOKUP(E4340,E$1:E4339,1,FALSE()))),"OLD",IF(AND(E4340&lt;&gt;"",E4340&lt;&gt;"!!!"),"NEW","")))</f>
        <v> </v>
      </c>
      <c r="G4340" s="24" t="str">
        <f>IF(OR(E4340="",E4340="!!!"),"",IF(OR(J4340=0,AND(J4340=1,K4340=1),AND(J4340=1,I4340="SBJ"),AND(J4340=1,I4340=0)),"?IN_FOCUS",IF(J4340&lt;=2,"?ACTIVATED",IF(J4340&lt;&gt;"","?FAMILIAR",IF(F4340="NEW",IF(ISNA(VLOOKUP(E4340,#REF!,1,FALSE())),"?TYPE_IDENTIFIABLE","?REFERENTIAL"),"_")))))</f>
        <v> </v>
      </c>
      <c r="H4340" s="25" t="str">
        <f>IF(J4340&lt;&gt;1,"",IF(I4340="SBJ","CB","?"))</f>
        <v> </v>
      </c>
      <c r="I4340" s="26" t="str">
        <f>IF(OR(E4340="",E4340="!!!",F4340="NEW"),"",INDEX(B4339:B$2,-1+SUMPRODUCT(MAX(ROW(E4339:E$2)*(E4340=E4339:E$2)))))</f>
        <v> </v>
      </c>
      <c r="J4340" s="26" t="str">
        <f>IF(OR(E4340="",E4340="!!!",F4340="NEW"),"",COUNTBLANK(OFFSET(A$1,,,SUMPRODUCT(MAX(ROW(E$2:E4340)*(E4340=E$2:E4340)))))-COUNTBLANK(OFFSET(A$1,,,SUMPRODUCT(MAX(ROW(E$1:E4339)*(E2=E$1:E4339))))))</f>
        <v> </v>
      </c>
      <c r="K4340" s="26" t="str">
        <f>IF(OR(E4340="",E4340="!!!",F4340="NEW"),"",INDEX(J$1:J4339,SUMPRODUCT(MAX(ROW(E$1:E4339)*(E4340=E$1:E4339)))))</f>
        <v> </v>
      </c>
      <c r="L4340" s="27"/>
    </row>
    <row r="4341" spans="1:12">
      <c r="A4341" s="20" t="s">
        <v>1281</v>
      </c>
      <c r="B4341" s="21" t="s">
        <v>1075</v>
      </c>
      <c r="C4341" s="21" t="s">
        <v>1065</v>
      </c>
      <c r="D4341" s="21" t="s">
        <v>1060</v>
      </c>
      <c r="E4341" s="22">
        <f>IF(D4341="?OLD","!!!","")</f>
        <v/>
      </c>
      <c r="F4341" s="23" t="str">
        <f>IF(OR(E4341="",E4341="!!!"),"",IF(NOT(ISNA(VLOOKUP(E4341,E$1:E4340,1,FALSE()))),"OLD",IF(AND(E4341&lt;&gt;"",E4341&lt;&gt;"!!!"),"NEW","")))</f>
        <v> </v>
      </c>
      <c r="G4341" s="24" t="str">
        <f>IF(OR(E4341="",E4341="!!!"),"",IF(OR(J4341=0,AND(J4341=1,K4341=1),AND(J4341=1,I4341="SBJ"),AND(J4341=1,I4341=0)),"?IN_FOCUS",IF(J4341&lt;=2,"?ACTIVATED",IF(J4341&lt;&gt;"","?FAMILIAR",IF(F4341="NEW",IF(ISNA(VLOOKUP(E4341,#REF!,1,FALSE())),"?TYPE_IDENTIFIABLE","?REFERENTIAL"),"_")))))</f>
        <v> </v>
      </c>
      <c r="H4341" s="25" t="str">
        <f>IF(J4341&lt;&gt;1,"",IF(I4341="SBJ","CB","?"))</f>
        <v> </v>
      </c>
      <c r="I4341" s="26" t="str">
        <f>IF(OR(E4341="",E4341="!!!",F4341="NEW"),"",INDEX(B4340:B$2,-1+SUMPRODUCT(MAX(ROW(E4340:E$2)*(E4341=E4340:E$2)))))</f>
        <v> </v>
      </c>
      <c r="J4341" s="26" t="str">
        <f>IF(OR(E4341="",E4341="!!!",F4341="NEW"),"",COUNTBLANK(OFFSET(A$1,,,SUMPRODUCT(MAX(ROW(E$2:E4341)*(E4341=E$2:E4341)))))-COUNTBLANK(OFFSET(A$1,,,SUMPRODUCT(MAX(ROW(E$1:E4340)*(E2=E$1:E4340))))))</f>
        <v> </v>
      </c>
      <c r="K4341" s="26" t="str">
        <f>IF(OR(E4341="",E4341="!!!",F4341="NEW"),"",INDEX(J$1:J4340,SUMPRODUCT(MAX(ROW(E$1:E4340)*(E4341=E$1:E4340)))))</f>
        <v> </v>
      </c>
      <c r="L4341" s="27"/>
    </row>
    <row r="4342" spans="1:12">
      <c r="A4342" s="20" t="s">
        <v>1160</v>
      </c>
      <c r="E4342" s="22">
        <f>IF(D4342="?OLD","!!!","")</f>
        <v/>
      </c>
      <c r="F4342" s="23" t="str">
        <f>IF(OR(E4342="",E4342="!!!"),"",IF(NOT(ISNA(VLOOKUP(E4342,E$1:E4341,1,FALSE()))),"OLD",IF(AND(E4342&lt;&gt;"",E4342&lt;&gt;"!!!"),"NEW","")))</f>
        <v> </v>
      </c>
      <c r="G4342" s="24" t="str">
        <f>IF(OR(E4342="",E4342="!!!"),"",IF(OR(J4342=0,AND(J4342=1,K4342=1),AND(J4342=1,I4342="SBJ"),AND(J4342=1,I4342=0)),"?IN_FOCUS",IF(J4342&lt;=2,"?ACTIVATED",IF(J4342&lt;&gt;"","?FAMILIAR",IF(F4342="NEW",IF(ISNA(VLOOKUP(E4342,#REF!,1,FALSE())),"?TYPE_IDENTIFIABLE","?REFERENTIAL"),"_")))))</f>
        <v> </v>
      </c>
      <c r="H4342" s="25" t="str">
        <f>IF(J4342&lt;&gt;1,"",IF(I4342="SBJ","CB","?"))</f>
        <v> </v>
      </c>
      <c r="I4342" s="26" t="str">
        <f>IF(OR(E4342="",E4342="!!!",F4342="NEW"),"",INDEX(B4341:B$2,-1+SUMPRODUCT(MAX(ROW(E4341:E$2)*(E4342=E4341:E$2)))))</f>
        <v> </v>
      </c>
      <c r="J4342" s="26" t="str">
        <f>IF(OR(E4342="",E4342="!!!",F4342="NEW"),"",COUNTBLANK(OFFSET(A$1,,,SUMPRODUCT(MAX(ROW(E$2:E4342)*(E4342=E$2:E4342)))))-COUNTBLANK(OFFSET(A$1,,,SUMPRODUCT(MAX(ROW(E$1:E4341)*(E2=E$1:E4341))))))</f>
        <v> </v>
      </c>
      <c r="K4342" s="26" t="str">
        <f>IF(OR(E4342="",E4342="!!!",F4342="NEW"),"",INDEX(J$1:J4341,SUMPRODUCT(MAX(ROW(E$1:E4341)*(E4342=E$1:E4341)))))</f>
        <v> </v>
      </c>
      <c r="L4342" s="27"/>
    </row>
    <row r="4343" spans="1:12">
      <c r="A4343" s="20" t="s">
        <v>2305</v>
      </c>
      <c r="B4343" s="21" t="s">
        <v>1097</v>
      </c>
      <c r="C4343" s="21" t="s">
        <v>1149</v>
      </c>
      <c r="E4343" s="22">
        <f>IF(D4343="?OLD","!!!","")</f>
        <v/>
      </c>
      <c r="F4343" s="23" t="str">
        <f>IF(OR(E4343="",E4343="!!!"),"",IF(NOT(ISNA(VLOOKUP(E4343,E$1:E4342,1,FALSE()))),"OLD",IF(AND(E4343&lt;&gt;"",E4343&lt;&gt;"!!!"),"NEW","")))</f>
        <v> </v>
      </c>
      <c r="G4343" s="24" t="str">
        <f>IF(OR(E4343="",E4343="!!!"),"",IF(OR(J4343=0,AND(J4343=1,K4343=1),AND(J4343=1,I4343="SBJ"),AND(J4343=1,I4343=0)),"?IN_FOCUS",IF(J4343&lt;=2,"?ACTIVATED",IF(J4343&lt;&gt;"","?FAMILIAR",IF(F4343="NEW",IF(ISNA(VLOOKUP(E4343,#REF!,1,FALSE())),"?TYPE_IDENTIFIABLE","?REFERENTIAL"),"_")))))</f>
        <v> </v>
      </c>
      <c r="H4343" s="25" t="str">
        <f>IF(J4343&lt;&gt;1,"",IF(I4343="SBJ","CB","?"))</f>
        <v> </v>
      </c>
      <c r="I4343" s="26" t="str">
        <f>IF(OR(E4343="",E4343="!!!",F4343="NEW"),"",INDEX(B4342:B$2,-1+SUMPRODUCT(MAX(ROW(E4342:E$2)*(E4343=E4342:E$2)))))</f>
        <v> </v>
      </c>
      <c r="J4343" s="26" t="str">
        <f>IF(OR(E4343="",E4343="!!!",F4343="NEW"),"",COUNTBLANK(OFFSET(A$1,,,SUMPRODUCT(MAX(ROW(E$2:E4343)*(E4343=E$2:E4343)))))-COUNTBLANK(OFFSET(A$1,,,SUMPRODUCT(MAX(ROW(E$1:E4342)*(E2=E$1:E4342))))))</f>
        <v> </v>
      </c>
      <c r="K4343" s="26" t="str">
        <f>IF(OR(E4343="",E4343="!!!",F4343="NEW"),"",INDEX(J$1:J4342,SUMPRODUCT(MAX(ROW(E$1:E4342)*(E4343=E$1:E4342)))))</f>
        <v> </v>
      </c>
      <c r="L4343" s="27"/>
    </row>
    <row r="4344" spans="1:12">
      <c r="A4344" s="20" t="s">
        <v>1061</v>
      </c>
      <c r="E4344" s="22">
        <f>IF(D4344="?OLD","!!!","")</f>
        <v/>
      </c>
      <c r="F4344" s="23" t="str">
        <f>IF(OR(E4344="",E4344="!!!"),"",IF(NOT(ISNA(VLOOKUP(E4344,E$1:E4343,1,FALSE()))),"OLD",IF(AND(E4344&lt;&gt;"",E4344&lt;&gt;"!!!"),"NEW","")))</f>
        <v> </v>
      </c>
      <c r="G4344" s="24" t="str">
        <f>IF(OR(E4344="",E4344="!!!"),"",IF(OR(J4344=0,AND(J4344=1,K4344=1),AND(J4344=1,I4344="SBJ"),AND(J4344=1,I4344=0)),"?IN_FOCUS",IF(J4344&lt;=2,"?ACTIVATED",IF(J4344&lt;&gt;"","?FAMILIAR",IF(F4344="NEW",IF(ISNA(VLOOKUP(E4344,#REF!,1,FALSE())),"?TYPE_IDENTIFIABLE","?REFERENTIAL"),"_")))))</f>
        <v> </v>
      </c>
      <c r="H4344" s="25" t="str">
        <f>IF(J4344&lt;&gt;1,"",IF(I4344="SBJ","CB","?"))</f>
        <v> </v>
      </c>
      <c r="I4344" s="26" t="str">
        <f>IF(OR(E4344="",E4344="!!!",F4344="NEW"),"",INDEX(B4343:B$2,-1+SUMPRODUCT(MAX(ROW(E4343:E$2)*(E4344=E4343:E$2)))))</f>
        <v> </v>
      </c>
      <c r="J4344" s="26" t="str">
        <f>IF(OR(E4344="",E4344="!!!",F4344="NEW"),"",COUNTBLANK(OFFSET(A$1,,,SUMPRODUCT(MAX(ROW(E$2:E4344)*(E4344=E$2:E4344)))))-COUNTBLANK(OFFSET(A$1,,,SUMPRODUCT(MAX(ROW(E$1:E4343)*(E2=E$1:E4343))))))</f>
        <v> </v>
      </c>
      <c r="K4344" s="26" t="str">
        <f>IF(OR(E4344="",E4344="!!!",F4344="NEW"),"",INDEX(J$1:J4343,SUMPRODUCT(MAX(ROW(E$1:E4343)*(E4344=E$1:E4343)))))</f>
        <v> </v>
      </c>
      <c r="L4344" s="27"/>
    </row>
    <row r="4345" spans="1:12">
      <c r="A4345" s="20" t="s">
        <v>1101</v>
      </c>
      <c r="E4345" s="22">
        <f>IF(D4345="?OLD","!!!","")</f>
        <v/>
      </c>
      <c r="F4345" s="23" t="str">
        <f>IF(OR(E4345="",E4345="!!!"),"",IF(NOT(ISNA(VLOOKUP(E4345,E$1:E4344,1,FALSE()))),"OLD",IF(AND(E4345&lt;&gt;"",E4345&lt;&gt;"!!!"),"NEW","")))</f>
        <v> </v>
      </c>
      <c r="G4345" s="24" t="str">
        <f>IF(OR(E4345="",E4345="!!!"),"",IF(OR(J4345=0,AND(J4345=1,K4345=1),AND(J4345=1,I4345="SBJ"),AND(J4345=1,I4345=0)),"?IN_FOCUS",IF(J4345&lt;=2,"?ACTIVATED",IF(J4345&lt;&gt;"","?FAMILIAR",IF(F4345="NEW",IF(ISNA(VLOOKUP(E4345,#REF!,1,FALSE())),"?TYPE_IDENTIFIABLE","?REFERENTIAL"),"_")))))</f>
        <v> </v>
      </c>
      <c r="H4345" s="25" t="str">
        <f>IF(J4345&lt;&gt;1,"",IF(I4345="SBJ","CB","?"))</f>
        <v> </v>
      </c>
      <c r="I4345" s="26" t="str">
        <f>IF(OR(E4345="",E4345="!!!",F4345="NEW"),"",INDEX(B4344:B$2,-1+SUMPRODUCT(MAX(ROW(E4344:E$2)*(E4345=E4344:E$2)))))</f>
        <v> </v>
      </c>
      <c r="J4345" s="26" t="str">
        <f>IF(OR(E4345="",E4345="!!!",F4345="NEW"),"",COUNTBLANK(OFFSET(A$1,,,SUMPRODUCT(MAX(ROW(E$2:E4345)*(E4345=E$2:E4345)))))-COUNTBLANK(OFFSET(A$1,,,SUMPRODUCT(MAX(ROW(E$1:E4344)*(E2=E$1:E4344))))))</f>
        <v> </v>
      </c>
      <c r="K4345" s="26" t="str">
        <f>IF(OR(E4345="",E4345="!!!",F4345="NEW"),"",INDEX(J$1:J4344,SUMPRODUCT(MAX(ROW(E$1:E4344)*(E4345=E$1:E4344)))))</f>
        <v> </v>
      </c>
      <c r="L4345" s="27"/>
    </row>
    <row r="4346" spans="1:12">
      <c r="A4346" s="20" t="s">
        <v>1247</v>
      </c>
      <c r="B4346" s="21" t="s">
        <v>1068</v>
      </c>
      <c r="C4346" s="21" t="s">
        <v>1140</v>
      </c>
      <c r="D4346" s="21" t="s">
        <v>1060</v>
      </c>
      <c r="E4346" s="22">
        <f>IF(D4346="?OLD","!!!","")</f>
        <v/>
      </c>
      <c r="F4346" s="23" t="str">
        <f>IF(OR(E4346="",E4346="!!!"),"",IF(NOT(ISNA(VLOOKUP(E4346,E$1:E4345,1,FALSE()))),"OLD",IF(AND(E4346&lt;&gt;"",E4346&lt;&gt;"!!!"),"NEW","")))</f>
        <v> </v>
      </c>
      <c r="G4346" s="24" t="str">
        <f>IF(OR(E4346="",E4346="!!!"),"",IF(OR(J4346=0,AND(J4346=1,K4346=1),AND(J4346=1,I4346="SBJ"),AND(J4346=1,I4346=0)),"?IN_FOCUS",IF(J4346&lt;=2,"?ACTIVATED",IF(J4346&lt;&gt;"","?FAMILIAR",IF(F4346="NEW",IF(ISNA(VLOOKUP(E4346,#REF!,1,FALSE())),"?TYPE_IDENTIFIABLE","?REFERENTIAL"),"_")))))</f>
        <v> </v>
      </c>
      <c r="H4346" s="25" t="str">
        <f>IF(J4346&lt;&gt;1,"",IF(I4346="SBJ","CB","?"))</f>
        <v> </v>
      </c>
      <c r="I4346" s="26" t="str">
        <f>IF(OR(E4346="",E4346="!!!",F4346="NEW"),"",INDEX(B4345:B$2,-1+SUMPRODUCT(MAX(ROW(E4345:E$2)*(E4346=E4345:E$2)))))</f>
        <v> </v>
      </c>
      <c r="J4346" s="26" t="str">
        <f>IF(OR(E4346="",E4346="!!!",F4346="NEW"),"",COUNTBLANK(OFFSET(A$1,,,SUMPRODUCT(MAX(ROW(E$2:E4346)*(E4346=E$2:E4346)))))-COUNTBLANK(OFFSET(A$1,,,SUMPRODUCT(MAX(ROW(E$1:E4345)*(E2=E$1:E4345))))))</f>
        <v> </v>
      </c>
      <c r="K4346" s="26" t="str">
        <f>IF(OR(E4346="",E4346="!!!",F4346="NEW"),"",INDEX(J$1:J4345,SUMPRODUCT(MAX(ROW(E$1:E4345)*(E4346=E$1:E4345)))))</f>
        <v> </v>
      </c>
      <c r="L4346" s="27"/>
    </row>
    <row r="4347" spans="1:12">
      <c r="A4347" s="20" t="s">
        <v>1271</v>
      </c>
      <c r="E4347" s="22">
        <f>IF(D4347="?OLD","!!!","")</f>
        <v/>
      </c>
      <c r="F4347" s="23" t="str">
        <f>IF(OR(E4347="",E4347="!!!"),"",IF(NOT(ISNA(VLOOKUP(E4347,E$1:E4346,1,FALSE()))),"OLD",IF(AND(E4347&lt;&gt;"",E4347&lt;&gt;"!!!"),"NEW","")))</f>
        <v> </v>
      </c>
      <c r="G4347" s="24" t="str">
        <f>IF(OR(E4347="",E4347="!!!"),"",IF(OR(J4347=0,AND(J4347=1,K4347=1),AND(J4347=1,I4347="SBJ"),AND(J4347=1,I4347=0)),"?IN_FOCUS",IF(J4347&lt;=2,"?ACTIVATED",IF(J4347&lt;&gt;"","?FAMILIAR",IF(F4347="NEW",IF(ISNA(VLOOKUP(E4347,#REF!,1,FALSE())),"?TYPE_IDENTIFIABLE","?REFERENTIAL"),"_")))))</f>
        <v> </v>
      </c>
      <c r="H4347" s="25" t="str">
        <f>IF(J4347&lt;&gt;1,"",IF(I4347="SBJ","CB","?"))</f>
        <v> </v>
      </c>
      <c r="I4347" s="26" t="str">
        <f>IF(OR(E4347="",E4347="!!!",F4347="NEW"),"",INDEX(B4346:B$2,-1+SUMPRODUCT(MAX(ROW(E4346:E$2)*(E4347=E4346:E$2)))))</f>
        <v> </v>
      </c>
      <c r="J4347" s="26" t="str">
        <f>IF(OR(E4347="",E4347="!!!",F4347="NEW"),"",COUNTBLANK(OFFSET(A$1,,,SUMPRODUCT(MAX(ROW(E$2:E4347)*(E4347=E$2:E4347)))))-COUNTBLANK(OFFSET(A$1,,,SUMPRODUCT(MAX(ROW(E$1:E4346)*(E2=E$1:E4346))))))</f>
        <v> </v>
      </c>
      <c r="K4347" s="26" t="str">
        <f>IF(OR(E4347="",E4347="!!!",F4347="NEW"),"",INDEX(J$1:J4346,SUMPRODUCT(MAX(ROW(E$1:E4346)*(E4347=E$1:E4346)))))</f>
        <v> </v>
      </c>
      <c r="L4347" s="27"/>
    </row>
    <row r="4348" spans="1:12">
      <c r="A4348" s="20" t="s">
        <v>1063</v>
      </c>
      <c r="B4348" s="21" t="s">
        <v>1079</v>
      </c>
      <c r="C4348" s="21" t="s">
        <v>1065</v>
      </c>
      <c r="D4348" s="21" t="s">
        <v>1060</v>
      </c>
      <c r="E4348" s="22">
        <f>IF(D4348="?OLD","!!!","")</f>
        <v/>
      </c>
      <c r="F4348" s="23" t="str">
        <f>IF(OR(E4348="",E4348="!!!"),"",IF(NOT(ISNA(VLOOKUP(E4348,E$1:E4347,1,FALSE()))),"OLD",IF(AND(E4348&lt;&gt;"",E4348&lt;&gt;"!!!"),"NEW","")))</f>
        <v> </v>
      </c>
      <c r="G4348" s="24" t="str">
        <f>IF(OR(E4348="",E4348="!!!"),"",IF(OR(J4348=0,AND(J4348=1,K4348=1),AND(J4348=1,I4348="SBJ"),AND(J4348=1,I4348=0)),"?IN_FOCUS",IF(J4348&lt;=2,"?ACTIVATED",IF(J4348&lt;&gt;"","?FAMILIAR",IF(F4348="NEW",IF(ISNA(VLOOKUP(E4348,#REF!,1,FALSE())),"?TYPE_IDENTIFIABLE","?REFERENTIAL"),"_")))))</f>
        <v> </v>
      </c>
      <c r="H4348" s="25" t="str">
        <f>IF(J4348&lt;&gt;1,"",IF(I4348="SBJ","CB","?"))</f>
        <v> </v>
      </c>
      <c r="I4348" s="26" t="str">
        <f>IF(OR(E4348="",E4348="!!!",F4348="NEW"),"",INDEX(B4347:B$2,-1+SUMPRODUCT(MAX(ROW(E4347:E$2)*(E4348=E4347:E$2)))))</f>
        <v> </v>
      </c>
      <c r="J4348" s="26" t="str">
        <f>IF(OR(E4348="",E4348="!!!",F4348="NEW"),"",COUNTBLANK(OFFSET(A$1,,,SUMPRODUCT(MAX(ROW(E$2:E4348)*(E4348=E$2:E4348)))))-COUNTBLANK(OFFSET(A$1,,,SUMPRODUCT(MAX(ROW(E$1:E4347)*(E2=E$1:E4347))))))</f>
        <v> </v>
      </c>
      <c r="K4348" s="26" t="str">
        <f>IF(OR(E4348="",E4348="!!!",F4348="NEW"),"",INDEX(J$1:J4347,SUMPRODUCT(MAX(ROW(E$1:E4347)*(E4348=E$1:E4347)))))</f>
        <v> </v>
      </c>
      <c r="L4348" s="27"/>
    </row>
    <row r="4349" spans="1:12">
      <c r="A4349" s="20" t="s">
        <v>1118</v>
      </c>
      <c r="E4349" s="22">
        <f>IF(D4349="?OLD","!!!","")</f>
        <v/>
      </c>
      <c r="F4349" s="23" t="str">
        <f>IF(OR(E4349="",E4349="!!!"),"",IF(NOT(ISNA(VLOOKUP(E4349,E$1:E4348,1,FALSE()))),"OLD",IF(AND(E4349&lt;&gt;"",E4349&lt;&gt;"!!!"),"NEW","")))</f>
        <v> </v>
      </c>
      <c r="G4349" s="24" t="str">
        <f>IF(OR(E4349="",E4349="!!!"),"",IF(OR(J4349=0,AND(J4349=1,K4349=1),AND(J4349=1,I4349="SBJ"),AND(J4349=1,I4349=0)),"?IN_FOCUS",IF(J4349&lt;=2,"?ACTIVATED",IF(J4349&lt;&gt;"","?FAMILIAR",IF(F4349="NEW",IF(ISNA(VLOOKUP(E4349,#REF!,1,FALSE())),"?TYPE_IDENTIFIABLE","?REFERENTIAL"),"_")))))</f>
        <v> </v>
      </c>
      <c r="H4349" s="25" t="str">
        <f>IF(J4349&lt;&gt;1,"",IF(I4349="SBJ","CB","?"))</f>
        <v> </v>
      </c>
      <c r="I4349" s="26" t="str">
        <f>IF(OR(E4349="",E4349="!!!",F4349="NEW"),"",INDEX(B4348:B$2,-1+SUMPRODUCT(MAX(ROW(E4348:E$2)*(E4349=E4348:E$2)))))</f>
        <v> </v>
      </c>
      <c r="J4349" s="26" t="str">
        <f>IF(OR(E4349="",E4349="!!!",F4349="NEW"),"",COUNTBLANK(OFFSET(A$1,,,SUMPRODUCT(MAX(ROW(E$2:E4349)*(E4349=E$2:E4349)))))-COUNTBLANK(OFFSET(A$1,,,SUMPRODUCT(MAX(ROW(E$1:E4348)*(E2=E$1:E4348))))))</f>
        <v> </v>
      </c>
      <c r="K4349" s="26" t="str">
        <f>IF(OR(E4349="",E4349="!!!",F4349="NEW"),"",INDEX(J$1:J4348,SUMPRODUCT(MAX(ROW(E$1:E4348)*(E4349=E$1:E4348)))))</f>
        <v> </v>
      </c>
      <c r="L4349" s="27"/>
    </row>
    <row r="4350" spans="1:12">
      <c r="A4350" s="20" t="s">
        <v>1151</v>
      </c>
      <c r="B4350" s="21" t="s">
        <v>1064</v>
      </c>
      <c r="C4350" s="21" t="s">
        <v>1076</v>
      </c>
      <c r="D4350" s="21" t="s">
        <v>1060</v>
      </c>
      <c r="E4350" s="22">
        <f>IF(D4350="?OLD","!!!","")</f>
        <v/>
      </c>
      <c r="F4350" s="23" t="str">
        <f>IF(OR(E4350="",E4350="!!!"),"",IF(NOT(ISNA(VLOOKUP(E4350,E$1:E4349,1,FALSE()))),"OLD",IF(AND(E4350&lt;&gt;"",E4350&lt;&gt;"!!!"),"NEW","")))</f>
        <v> </v>
      </c>
      <c r="G4350" s="24" t="str">
        <f>IF(OR(E4350="",E4350="!!!"),"",IF(OR(J4350=0,AND(J4350=1,K4350=1),AND(J4350=1,I4350="SBJ"),AND(J4350=1,I4350=0)),"?IN_FOCUS",IF(J4350&lt;=2,"?ACTIVATED",IF(J4350&lt;&gt;"","?FAMILIAR",IF(F4350="NEW",IF(ISNA(VLOOKUP(E4350,#REF!,1,FALSE())),"?TYPE_IDENTIFIABLE","?REFERENTIAL"),"_")))))</f>
        <v> </v>
      </c>
      <c r="H4350" s="25" t="str">
        <f>IF(J4350&lt;&gt;1,"",IF(I4350="SBJ","CB","?"))</f>
        <v> </v>
      </c>
      <c r="I4350" s="26" t="str">
        <f>IF(OR(E4350="",E4350="!!!",F4350="NEW"),"",INDEX(B4349:B$2,-1+SUMPRODUCT(MAX(ROW(E4349:E$2)*(E4350=E4349:E$2)))))</f>
        <v> </v>
      </c>
      <c r="J4350" s="26" t="str">
        <f>IF(OR(E4350="",E4350="!!!",F4350="NEW"),"",COUNTBLANK(OFFSET(A$1,,,SUMPRODUCT(MAX(ROW(E$2:E4350)*(E4350=E$2:E4350)))))-COUNTBLANK(OFFSET(A$1,,,SUMPRODUCT(MAX(ROW(E$1:E4349)*(E2=E$1:E4349))))))</f>
        <v> </v>
      </c>
      <c r="K4350" s="26" t="str">
        <f>IF(OR(E4350="",E4350="!!!",F4350="NEW"),"",INDEX(J$1:J4349,SUMPRODUCT(MAX(ROW(E$1:E4349)*(E4350=E$1:E4349)))))</f>
        <v> </v>
      </c>
      <c r="L4350" s="27"/>
    </row>
    <row r="4351" spans="1:12">
      <c r="A4351" s="20" t="s">
        <v>1742</v>
      </c>
      <c r="E4351" s="22">
        <f>IF(D4351="?OLD","!!!","")</f>
        <v/>
      </c>
      <c r="F4351" s="23" t="str">
        <f>IF(OR(E4351="",E4351="!!!"),"",IF(NOT(ISNA(VLOOKUP(E4351,E$1:E4350,1,FALSE()))),"OLD",IF(AND(E4351&lt;&gt;"",E4351&lt;&gt;"!!!"),"NEW","")))</f>
        <v> </v>
      </c>
      <c r="G4351" s="24" t="str">
        <f>IF(OR(E4351="",E4351="!!!"),"",IF(OR(J4351=0,AND(J4351=1,K4351=1),AND(J4351=1,I4351="SBJ"),AND(J4351=1,I4351=0)),"?IN_FOCUS",IF(J4351&lt;=2,"?ACTIVATED",IF(J4351&lt;&gt;"","?FAMILIAR",IF(F4351="NEW",IF(ISNA(VLOOKUP(E4351,#REF!,1,FALSE())),"?TYPE_IDENTIFIABLE","?REFERENTIAL"),"_")))))</f>
        <v> </v>
      </c>
      <c r="H4351" s="25" t="str">
        <f>IF(J4351&lt;&gt;1,"",IF(I4351="SBJ","CB","?"))</f>
        <v> </v>
      </c>
      <c r="I4351" s="26" t="str">
        <f>IF(OR(E4351="",E4351="!!!",F4351="NEW"),"",INDEX(B4350:B$2,-1+SUMPRODUCT(MAX(ROW(E4350:E$2)*(E4351=E4350:E$2)))))</f>
        <v> </v>
      </c>
      <c r="J4351" s="26" t="str">
        <f>IF(OR(E4351="",E4351="!!!",F4351="NEW"),"",COUNTBLANK(OFFSET(A$1,,,SUMPRODUCT(MAX(ROW(E$2:E4351)*(E4351=E$2:E4351)))))-COUNTBLANK(OFFSET(A$1,,,SUMPRODUCT(MAX(ROW(E$1:E4350)*(E2=E$1:E4350))))))</f>
        <v> </v>
      </c>
      <c r="K4351" s="26" t="str">
        <f>IF(OR(E4351="",E4351="!!!",F4351="NEW"),"",INDEX(J$1:J4350,SUMPRODUCT(MAX(ROW(E$1:E4350)*(E4351=E$1:E4350)))))</f>
        <v> </v>
      </c>
      <c r="L4351" s="27"/>
    </row>
    <row r="4352" spans="1:12">
      <c r="A4352" s="20" t="s">
        <v>1212</v>
      </c>
      <c r="E4352" s="22">
        <f>IF(D4352="?OLD","!!!","")</f>
        <v/>
      </c>
      <c r="F4352" s="23" t="str">
        <f>IF(OR(E4352="",E4352="!!!"),"",IF(NOT(ISNA(VLOOKUP(E4352,E$1:E4351,1,FALSE()))),"OLD",IF(AND(E4352&lt;&gt;"",E4352&lt;&gt;"!!!"),"NEW","")))</f>
        <v> </v>
      </c>
      <c r="G4352" s="24" t="str">
        <f>IF(OR(E4352="",E4352="!!!"),"",IF(OR(J4352=0,AND(J4352=1,K4352=1),AND(J4352=1,I4352="SBJ"),AND(J4352=1,I4352=0)),"?IN_FOCUS",IF(J4352&lt;=2,"?ACTIVATED",IF(J4352&lt;&gt;"","?FAMILIAR",IF(F4352="NEW",IF(ISNA(VLOOKUP(E4352,#REF!,1,FALSE())),"?TYPE_IDENTIFIABLE","?REFERENTIAL"),"_")))))</f>
        <v> </v>
      </c>
      <c r="H4352" s="25" t="str">
        <f>IF(J4352&lt;&gt;1,"",IF(I4352="SBJ","CB","?"))</f>
        <v> </v>
      </c>
      <c r="I4352" s="26" t="str">
        <f>IF(OR(E4352="",E4352="!!!",F4352="NEW"),"",INDEX(B4351:B$2,-1+SUMPRODUCT(MAX(ROW(E4351:E$2)*(E4352=E4351:E$2)))))</f>
        <v> </v>
      </c>
      <c r="J4352" s="26" t="str">
        <f>IF(OR(E4352="",E4352="!!!",F4352="NEW"),"",COUNTBLANK(OFFSET(A$1,,,SUMPRODUCT(MAX(ROW(E$2:E4352)*(E4352=E$2:E4352)))))-COUNTBLANK(OFFSET(A$1,,,SUMPRODUCT(MAX(ROW(E$1:E4351)*(E2=E$1:E4351))))))</f>
        <v> </v>
      </c>
      <c r="K4352" s="26" t="str">
        <f>IF(OR(E4352="",E4352="!!!",F4352="NEW"),"",INDEX(J$1:J4351,SUMPRODUCT(MAX(ROW(E$1:E4351)*(E4352=E$1:E4351)))))</f>
        <v> </v>
      </c>
      <c r="L4352" s="27"/>
    </row>
    <row r="4353" spans="1:12">
      <c r="A4353" s="20" t="s">
        <v>1194</v>
      </c>
      <c r="E4353" s="22">
        <f>IF(D4353="?OLD","!!!","")</f>
        <v/>
      </c>
      <c r="F4353" s="23" t="str">
        <f>IF(OR(E4353="",E4353="!!!"),"",IF(NOT(ISNA(VLOOKUP(E4353,E$1:E4352,1,FALSE()))),"OLD",IF(AND(E4353&lt;&gt;"",E4353&lt;&gt;"!!!"),"NEW","")))</f>
        <v> </v>
      </c>
      <c r="G4353" s="24" t="str">
        <f>IF(OR(E4353="",E4353="!!!"),"",IF(OR(J4353=0,AND(J4353=1,K4353=1),AND(J4353=1,I4353="SBJ"),AND(J4353=1,I4353=0)),"?IN_FOCUS",IF(J4353&lt;=2,"?ACTIVATED",IF(J4353&lt;&gt;"","?FAMILIAR",IF(F4353="NEW",IF(ISNA(VLOOKUP(E4353,#REF!,1,FALSE())),"?TYPE_IDENTIFIABLE","?REFERENTIAL"),"_")))))</f>
        <v> </v>
      </c>
      <c r="H4353" s="25" t="str">
        <f>IF(J4353&lt;&gt;1,"",IF(I4353="SBJ","CB","?"))</f>
        <v> </v>
      </c>
      <c r="I4353" s="26" t="str">
        <f>IF(OR(E4353="",E4353="!!!",F4353="NEW"),"",INDEX(B4352:B$2,-1+SUMPRODUCT(MAX(ROW(E4352:E$2)*(E4353=E4352:E$2)))))</f>
        <v> </v>
      </c>
      <c r="J4353" s="26" t="str">
        <f>IF(OR(E4353="",E4353="!!!",F4353="NEW"),"",COUNTBLANK(OFFSET(A$1,,,SUMPRODUCT(MAX(ROW(E$2:E4353)*(E4353=E$2:E4353)))))-COUNTBLANK(OFFSET(A$1,,,SUMPRODUCT(MAX(ROW(E$1:E4352)*(E2=E$1:E4352))))))</f>
        <v> </v>
      </c>
      <c r="K4353" s="26" t="str">
        <f>IF(OR(E4353="",E4353="!!!",F4353="NEW"),"",INDEX(J$1:J4352,SUMPRODUCT(MAX(ROW(E$1:E4352)*(E4353=E$1:E4352)))))</f>
        <v> </v>
      </c>
      <c r="L4353" s="27"/>
    </row>
    <row r="4354" spans="1:12">
      <c r="A4354" s="20" t="s">
        <v>1101</v>
      </c>
      <c r="E4354" s="22">
        <f>IF(D4354="?OLD","!!!","")</f>
        <v/>
      </c>
      <c r="F4354" s="23" t="str">
        <f>IF(OR(E4354="",E4354="!!!"),"",IF(NOT(ISNA(VLOOKUP(E4354,E$1:E4353,1,FALSE()))),"OLD",IF(AND(E4354&lt;&gt;"",E4354&lt;&gt;"!!!"),"NEW","")))</f>
        <v> </v>
      </c>
      <c r="G4354" s="24" t="str">
        <f>IF(OR(E4354="",E4354="!!!"),"",IF(OR(J4354=0,AND(J4354=1,K4354=1),AND(J4354=1,I4354="SBJ"),AND(J4354=1,I4354=0)),"?IN_FOCUS",IF(J4354&lt;=2,"?ACTIVATED",IF(J4354&lt;&gt;"","?FAMILIAR",IF(F4354="NEW",IF(ISNA(VLOOKUP(E4354,#REF!,1,FALSE())),"?TYPE_IDENTIFIABLE","?REFERENTIAL"),"_")))))</f>
        <v> </v>
      </c>
      <c r="H4354" s="25" t="str">
        <f>IF(J4354&lt;&gt;1,"",IF(I4354="SBJ","CB","?"))</f>
        <v> </v>
      </c>
      <c r="I4354" s="26" t="str">
        <f>IF(OR(E4354="",E4354="!!!",F4354="NEW"),"",INDEX(B4353:B$2,-1+SUMPRODUCT(MAX(ROW(E4353:E$2)*(E4354=E4353:E$2)))))</f>
        <v> </v>
      </c>
      <c r="J4354" s="26" t="str">
        <f>IF(OR(E4354="",E4354="!!!",F4354="NEW"),"",COUNTBLANK(OFFSET(A$1,,,SUMPRODUCT(MAX(ROW(E$2:E4354)*(E4354=E$2:E4354)))))-COUNTBLANK(OFFSET(A$1,,,SUMPRODUCT(MAX(ROW(E$1:E4353)*(E2=E$1:E4353))))))</f>
        <v> </v>
      </c>
      <c r="K4354" s="26" t="str">
        <f>IF(OR(E4354="",E4354="!!!",F4354="NEW"),"",INDEX(J$1:J4353,SUMPRODUCT(MAX(ROW(E$1:E4353)*(E4354=E$1:E4353)))))</f>
        <v> </v>
      </c>
      <c r="L4354" s="27"/>
    </row>
    <row r="4355" spans="1:12">
      <c r="A4355" s="20" t="s">
        <v>1459</v>
      </c>
      <c r="B4355" s="21" t="s">
        <v>1068</v>
      </c>
      <c r="C4355" s="21" t="s">
        <v>1140</v>
      </c>
      <c r="D4355" s="21" t="s">
        <v>1060</v>
      </c>
      <c r="E4355" s="22">
        <f>IF(D4355="?OLD","!!!","")</f>
        <v/>
      </c>
      <c r="F4355" s="23" t="str">
        <f>IF(OR(E4355="",E4355="!!!"),"",IF(NOT(ISNA(VLOOKUP(E4355,E$1:E4354,1,FALSE()))),"OLD",IF(AND(E4355&lt;&gt;"",E4355&lt;&gt;"!!!"),"NEW","")))</f>
        <v> </v>
      </c>
      <c r="G4355" s="24" t="str">
        <f>IF(OR(E4355="",E4355="!!!"),"",IF(OR(J4355=0,AND(J4355=1,K4355=1),AND(J4355=1,I4355="SBJ"),AND(J4355=1,I4355=0)),"?IN_FOCUS",IF(J4355&lt;=2,"?ACTIVATED",IF(J4355&lt;&gt;"","?FAMILIAR",IF(F4355="NEW",IF(ISNA(VLOOKUP(E4355,#REF!,1,FALSE())),"?TYPE_IDENTIFIABLE","?REFERENTIAL"),"_")))))</f>
        <v> </v>
      </c>
      <c r="H4355" s="25" t="str">
        <f>IF(J4355&lt;&gt;1,"",IF(I4355="SBJ","CB","?"))</f>
        <v> </v>
      </c>
      <c r="I4355" s="26" t="str">
        <f>IF(OR(E4355="",E4355="!!!",F4355="NEW"),"",INDEX(B4354:B$2,-1+SUMPRODUCT(MAX(ROW(E4354:E$2)*(E4355=E4354:E$2)))))</f>
        <v> </v>
      </c>
      <c r="J4355" s="26" t="str">
        <f>IF(OR(E4355="",E4355="!!!",F4355="NEW"),"",COUNTBLANK(OFFSET(A$1,,,SUMPRODUCT(MAX(ROW(E$2:E4355)*(E4355=E$2:E4355)))))-COUNTBLANK(OFFSET(A$1,,,SUMPRODUCT(MAX(ROW(E$1:E4354)*(E2=E$1:E4354))))))</f>
        <v> </v>
      </c>
      <c r="K4355" s="26" t="str">
        <f>IF(OR(E4355="",E4355="!!!",F4355="NEW"),"",INDEX(J$1:J4354,SUMPRODUCT(MAX(ROW(E$1:E4354)*(E4355=E$1:E4354)))))</f>
        <v> </v>
      </c>
      <c r="L4355" s="27"/>
    </row>
    <row r="4356" spans="1:12">
      <c r="A4356" s="20" t="s">
        <v>1088</v>
      </c>
      <c r="E4356" s="22">
        <f>IF(D4356="?OLD","!!!","")</f>
        <v/>
      </c>
      <c r="F4356" s="23" t="str">
        <f>IF(OR(E4356="",E4356="!!!"),"",IF(NOT(ISNA(VLOOKUP(E4356,E$1:E4355,1,FALSE()))),"OLD",IF(AND(E4356&lt;&gt;"",E4356&lt;&gt;"!!!"),"NEW","")))</f>
        <v> </v>
      </c>
      <c r="G4356" s="24" t="str">
        <f>IF(OR(E4356="",E4356="!!!"),"",IF(OR(J4356=0,AND(J4356=1,K4356=1),AND(J4356=1,I4356="SBJ"),AND(J4356=1,I4356=0)),"?IN_FOCUS",IF(J4356&lt;=2,"?ACTIVATED",IF(J4356&lt;&gt;"","?FAMILIAR",IF(F4356="NEW",IF(ISNA(VLOOKUP(E4356,#REF!,1,FALSE())),"?TYPE_IDENTIFIABLE","?REFERENTIAL"),"_")))))</f>
        <v> </v>
      </c>
      <c r="H4356" s="25" t="str">
        <f>IF(J4356&lt;&gt;1,"",IF(I4356="SBJ","CB","?"))</f>
        <v> </v>
      </c>
      <c r="I4356" s="26" t="str">
        <f>IF(OR(E4356="",E4356="!!!",F4356="NEW"),"",INDEX(B4355:B$2,-1+SUMPRODUCT(MAX(ROW(E4355:E$2)*(E4356=E4355:E$2)))))</f>
        <v> </v>
      </c>
      <c r="J4356" s="26" t="str">
        <f>IF(OR(E4356="",E4356="!!!",F4356="NEW"),"",COUNTBLANK(OFFSET(A$1,,,SUMPRODUCT(MAX(ROW(E$2:E4356)*(E4356=E$2:E4356)))))-COUNTBLANK(OFFSET(A$1,,,SUMPRODUCT(MAX(ROW(E$1:E4355)*(E2=E$1:E4355))))))</f>
        <v> </v>
      </c>
      <c r="K4356" s="26" t="str">
        <f>IF(OR(E4356="",E4356="!!!",F4356="NEW"),"",INDEX(J$1:J4355,SUMPRODUCT(MAX(ROW(E$1:E4355)*(E4356=E$1:E4355)))))</f>
        <v> </v>
      </c>
      <c r="L4356" s="27"/>
    </row>
    <row r="4357" spans="1:12">
      <c r="A4357" s="20" t="s">
        <v>2306</v>
      </c>
      <c r="E4357" s="22">
        <f>IF(D4357="?OLD","!!!","")</f>
        <v/>
      </c>
      <c r="F4357" s="23" t="str">
        <f>IF(OR(E4357="",E4357="!!!"),"",IF(NOT(ISNA(VLOOKUP(E4357,E$1:E4356,1,FALSE()))),"OLD",IF(AND(E4357&lt;&gt;"",E4357&lt;&gt;"!!!"),"NEW","")))</f>
        <v> </v>
      </c>
      <c r="G4357" s="24" t="str">
        <f>IF(OR(E4357="",E4357="!!!"),"",IF(OR(J4357=0,AND(J4357=1,K4357=1),AND(J4357=1,I4357="SBJ"),AND(J4357=1,I4357=0)),"?IN_FOCUS",IF(J4357&lt;=2,"?ACTIVATED",IF(J4357&lt;&gt;"","?FAMILIAR",IF(F4357="NEW",IF(ISNA(VLOOKUP(E4357,#REF!,1,FALSE())),"?TYPE_IDENTIFIABLE","?REFERENTIAL"),"_")))))</f>
        <v> </v>
      </c>
      <c r="H4357" s="25" t="str">
        <f>IF(J4357&lt;&gt;1,"",IF(I4357="SBJ","CB","?"))</f>
        <v> </v>
      </c>
      <c r="I4357" s="26" t="str">
        <f>IF(OR(E4357="",E4357="!!!",F4357="NEW"),"",INDEX(B4356:B$2,-1+SUMPRODUCT(MAX(ROW(E4356:E$2)*(E4357=E4356:E$2)))))</f>
        <v> </v>
      </c>
      <c r="J4357" s="26" t="str">
        <f>IF(OR(E4357="",E4357="!!!",F4357="NEW"),"",COUNTBLANK(OFFSET(A$1,,,SUMPRODUCT(MAX(ROW(E$2:E4357)*(E4357=E$2:E4357)))))-COUNTBLANK(OFFSET(A$1,,,SUMPRODUCT(MAX(ROW(E$1:E4356)*(E2=E$1:E4356))))))</f>
        <v> </v>
      </c>
      <c r="K4357" s="26" t="str">
        <f>IF(OR(E4357="",E4357="!!!",F4357="NEW"),"",INDEX(J$1:J4356,SUMPRODUCT(MAX(ROW(E$1:E4356)*(E4357=E$1:E4356)))))</f>
        <v> </v>
      </c>
      <c r="L4357" s="27"/>
    </row>
    <row r="4358" spans="1:12">
      <c r="A4358" s="20" t="s">
        <v>1251</v>
      </c>
      <c r="B4358" s="21" t="s">
        <v>1064</v>
      </c>
      <c r="C4358" s="21" t="s">
        <v>1065</v>
      </c>
      <c r="D4358" s="21" t="s">
        <v>1060</v>
      </c>
      <c r="E4358" s="22">
        <f>IF(D4358="?OLD","!!!","")</f>
        <v/>
      </c>
      <c r="F4358" s="23" t="str">
        <f>IF(OR(E4358="",E4358="!!!"),"",IF(NOT(ISNA(VLOOKUP(E4358,E$1:E4357,1,FALSE()))),"OLD",IF(AND(E4358&lt;&gt;"",E4358&lt;&gt;"!!!"),"NEW","")))</f>
        <v> </v>
      </c>
      <c r="G4358" s="24" t="str">
        <f>IF(OR(E4358="",E4358="!!!"),"",IF(OR(J4358=0,AND(J4358=1,K4358=1),AND(J4358=1,I4358="SBJ"),AND(J4358=1,I4358=0)),"?IN_FOCUS",IF(J4358&lt;=2,"?ACTIVATED",IF(J4358&lt;&gt;"","?FAMILIAR",IF(F4358="NEW",IF(ISNA(VLOOKUP(E4358,#REF!,1,FALSE())),"?TYPE_IDENTIFIABLE","?REFERENTIAL"),"_")))))</f>
        <v> </v>
      </c>
      <c r="H4358" s="25" t="str">
        <f>IF(J4358&lt;&gt;1,"",IF(I4358="SBJ","CB","?"))</f>
        <v> </v>
      </c>
      <c r="I4358" s="26" t="str">
        <f>IF(OR(E4358="",E4358="!!!",F4358="NEW"),"",INDEX(B4357:B$2,-1+SUMPRODUCT(MAX(ROW(E4357:E$2)*(E4358=E4357:E$2)))))</f>
        <v> </v>
      </c>
      <c r="J4358" s="26" t="str">
        <f>IF(OR(E4358="",E4358="!!!",F4358="NEW"),"",COUNTBLANK(OFFSET(A$1,,,SUMPRODUCT(MAX(ROW(E$2:E4358)*(E4358=E$2:E4358)))))-COUNTBLANK(OFFSET(A$1,,,SUMPRODUCT(MAX(ROW(E$1:E4357)*(E2=E$1:E4357))))))</f>
        <v> </v>
      </c>
      <c r="K4358" s="26" t="str">
        <f>IF(OR(E4358="",E4358="!!!",F4358="NEW"),"",INDEX(J$1:J4357,SUMPRODUCT(MAX(ROW(E$1:E4357)*(E4358=E$1:E4357)))))</f>
        <v> </v>
      </c>
      <c r="L4358" s="27"/>
    </row>
    <row r="4359" spans="1:12">
      <c r="A4359" s="20" t="s">
        <v>923</v>
      </c>
      <c r="E4359" s="22">
        <f>IF(D4359="?OLD","!!!","")</f>
        <v/>
      </c>
      <c r="F4359" s="23" t="str">
        <f>IF(OR(E4359="",E4359="!!!"),"",IF(NOT(ISNA(VLOOKUP(E4359,E$1:E4358,1,FALSE()))),"OLD",IF(AND(E4359&lt;&gt;"",E4359&lt;&gt;"!!!"),"NEW","")))</f>
        <v> </v>
      </c>
      <c r="G4359" s="24" t="str">
        <f>IF(OR(E4359="",E4359="!!!"),"",IF(OR(J4359=0,AND(J4359=1,K4359=1),AND(J4359=1,I4359="SBJ"),AND(J4359=1,I4359=0)),"?IN_FOCUS",IF(J4359&lt;=2,"?ACTIVATED",IF(J4359&lt;&gt;"","?FAMILIAR",IF(F4359="NEW",IF(ISNA(VLOOKUP(E4359,#REF!,1,FALSE())),"?TYPE_IDENTIFIABLE","?REFERENTIAL"),"_")))))</f>
        <v> </v>
      </c>
      <c r="H4359" s="25" t="str">
        <f>IF(J4359&lt;&gt;1,"",IF(I4359="SBJ","CB","?"))</f>
        <v> </v>
      </c>
      <c r="I4359" s="26" t="str">
        <f>IF(OR(E4359="",E4359="!!!",F4359="NEW"),"",INDEX(B4358:B$2,-1+SUMPRODUCT(MAX(ROW(E4358:E$2)*(E4359=E4358:E$2)))))</f>
        <v> </v>
      </c>
      <c r="J4359" s="26" t="str">
        <f>IF(OR(E4359="",E4359="!!!",F4359="NEW"),"",COUNTBLANK(OFFSET(A$1,,,SUMPRODUCT(MAX(ROW(E$2:E4359)*(E4359=E$2:E4359)))))-COUNTBLANK(OFFSET(A$1,,,SUMPRODUCT(MAX(ROW(E$1:E4358)*(E2=E$1:E4358))))))</f>
        <v> </v>
      </c>
      <c r="K4359" s="26" t="str">
        <f>IF(OR(E4359="",E4359="!!!",F4359="NEW"),"",INDEX(J$1:J4358,SUMPRODUCT(MAX(ROW(E$1:E4358)*(E4359=E$1:E4358)))))</f>
        <v> </v>
      </c>
      <c r="L4359" s="27"/>
    </row>
    <row r="4360" spans="1:12">
      <c r="A4360" s="20"/>
    </row>
    <row r="4361" spans="1:12">
      <c r="A4361" s="20" t="s">
        <v>2307</v>
      </c>
    </row>
    <row r="4362" spans="1:12">
      <c r="A4362" s="20" t="s">
        <v>1138</v>
      </c>
      <c r="E4362" s="22">
        <f>IF(D4362="?OLD","!!!","")</f>
        <v/>
      </c>
      <c r="F4362" s="23" t="str">
        <f>IF(OR(E4362="",E4362="!!!"),"",IF(NOT(ISNA(VLOOKUP(E4362,E$1:E4361,1,FALSE()))),"OLD",IF(AND(E4362&lt;&gt;"",E4362&lt;&gt;"!!!"),"NEW","")))</f>
        <v> </v>
      </c>
      <c r="G4362" s="24" t="str">
        <f>IF(OR(E4362="",E4362="!!!"),"",IF(OR(J4362=0,AND(J4362=1,K4362=1),AND(J4362=1,I4362="SBJ"),AND(J4362=1,I4362=0)),"?IN_FOCUS",IF(J4362&lt;=2,"?ACTIVATED",IF(J4362&lt;&gt;"","?FAMILIAR",IF(F4362="NEW",IF(ISNA(VLOOKUP(E4362,#REF!,1,FALSE())),"?TYPE_IDENTIFIABLE","?REFERENTIAL"),"_")))))</f>
        <v> </v>
      </c>
      <c r="H4362" s="25" t="str">
        <f>IF(J4362&lt;&gt;1,"",IF(I4362="SBJ","CB","?"))</f>
        <v> </v>
      </c>
      <c r="I4362" s="26" t="str">
        <f>IF(OR(E4362="",E4362="!!!",F4362="NEW"),"",INDEX(B4361:B$2,-1+SUMPRODUCT(MAX(ROW(E4361:E$2)*(E4362=E4361:E$2)))))</f>
        <v> </v>
      </c>
      <c r="J4362" s="26" t="str">
        <f>IF(OR(E4362="",E4362="!!!",F4362="NEW"),"",COUNTBLANK(OFFSET(A$1,,,SUMPRODUCT(MAX(ROW(E$2:E4362)*(E4362=E$2:E4362)))))-COUNTBLANK(OFFSET(A$1,,,SUMPRODUCT(MAX(ROW(E$1:E4361)*(E2=E$1:E4361))))))</f>
        <v> </v>
      </c>
      <c r="K4362" s="26" t="str">
        <f>IF(OR(E4362="",E4362="!!!",F4362="NEW"),"",INDEX(J$1:J4361,SUMPRODUCT(MAX(ROW(E$1:E4361)*(E4362=E$1:E4361)))))</f>
        <v> </v>
      </c>
      <c r="L4362" s="27"/>
    </row>
    <row r="4363" spans="1:12">
      <c r="A4363" s="20" t="s">
        <v>2308</v>
      </c>
      <c r="B4363" s="21" t="s">
        <v>1058</v>
      </c>
      <c r="C4363" s="21" t="s">
        <v>1059</v>
      </c>
      <c r="D4363" s="21" t="s">
        <v>1060</v>
      </c>
      <c r="E4363" s="22">
        <f>IF(D4363="?OLD","!!!","")</f>
        <v/>
      </c>
      <c r="F4363" s="23" t="str">
        <f>IF(OR(E4363="",E4363="!!!"),"",IF(NOT(ISNA(VLOOKUP(E4363,E$1:E4362,1,FALSE()))),"OLD",IF(AND(E4363&lt;&gt;"",E4363&lt;&gt;"!!!"),"NEW","")))</f>
        <v> </v>
      </c>
      <c r="G4363" s="24" t="str">
        <f>IF(OR(E4363="",E4363="!!!"),"",IF(OR(J4363=0,AND(J4363=1,K4363=1),AND(J4363=1,I4363="SBJ"),AND(J4363=1,I4363=0)),"?IN_FOCUS",IF(J4363&lt;=2,"?ACTIVATED",IF(J4363&lt;&gt;"","?FAMILIAR",IF(F4363="NEW",IF(ISNA(VLOOKUP(E4363,#REF!,1,FALSE())),"?TYPE_IDENTIFIABLE","?REFERENTIAL"),"_")))))</f>
        <v> </v>
      </c>
      <c r="H4363" s="25" t="str">
        <f>IF(J4363&lt;&gt;1,"",IF(I4363="SBJ","CB","?"))</f>
        <v> </v>
      </c>
      <c r="I4363" s="26" t="str">
        <f>IF(OR(E4363="",E4363="!!!",F4363="NEW"),"",INDEX(B4362:B$2,-1+SUMPRODUCT(MAX(ROW(E4362:E$2)*(E4363=E4362:E$2)))))</f>
        <v> </v>
      </c>
      <c r="J4363" s="26" t="str">
        <f>IF(OR(E4363="",E4363="!!!",F4363="NEW"),"",COUNTBLANK(OFFSET(A$1,,,SUMPRODUCT(MAX(ROW(E$2:E4363)*(E4363=E$2:E4363)))))-COUNTBLANK(OFFSET(A$1,,,SUMPRODUCT(MAX(ROW(E$1:E4362)*(E2=E$1:E4362))))))</f>
        <v> </v>
      </c>
      <c r="K4363" s="26" t="str">
        <f>IF(OR(E4363="",E4363="!!!",F4363="NEW"),"",INDEX(J$1:J4362,SUMPRODUCT(MAX(ROW(E$1:E4362)*(E4363=E$1:E4362)))))</f>
        <v> </v>
      </c>
      <c r="L4363" s="27"/>
    </row>
    <row r="4364" spans="1:12">
      <c r="A4364" s="20" t="s">
        <v>1061</v>
      </c>
      <c r="E4364" s="22">
        <f>IF(D4364="?OLD","!!!","")</f>
        <v/>
      </c>
      <c r="F4364" s="23" t="str">
        <f>IF(OR(E4364="",E4364="!!!"),"",IF(NOT(ISNA(VLOOKUP(E4364,E$1:E4363,1,FALSE()))),"OLD",IF(AND(E4364&lt;&gt;"",E4364&lt;&gt;"!!!"),"NEW","")))</f>
        <v> </v>
      </c>
      <c r="G4364" s="24" t="str">
        <f>IF(OR(E4364="",E4364="!!!"),"",IF(OR(J4364=0,AND(J4364=1,K4364=1),AND(J4364=1,I4364="SBJ"),AND(J4364=1,I4364=0)),"?IN_FOCUS",IF(J4364&lt;=2,"?ACTIVATED",IF(J4364&lt;&gt;"","?FAMILIAR",IF(F4364="NEW",IF(ISNA(VLOOKUP(E4364,#REF!,1,FALSE())),"?TYPE_IDENTIFIABLE","?REFERENTIAL"),"_")))))</f>
        <v> </v>
      </c>
      <c r="H4364" s="25" t="str">
        <f>IF(J4364&lt;&gt;1,"",IF(I4364="SBJ","CB","?"))</f>
        <v> </v>
      </c>
      <c r="I4364" s="26" t="str">
        <f>IF(OR(E4364="",E4364="!!!",F4364="NEW"),"",INDEX(B4363:B$2,-1+SUMPRODUCT(MAX(ROW(E4363:E$2)*(E4364=E4363:E$2)))))</f>
        <v> </v>
      </c>
      <c r="J4364" s="26" t="str">
        <f>IF(OR(E4364="",E4364="!!!",F4364="NEW"),"",COUNTBLANK(OFFSET(A$1,,,SUMPRODUCT(MAX(ROW(E$2:E4364)*(E4364=E$2:E4364)))))-COUNTBLANK(OFFSET(A$1,,,SUMPRODUCT(MAX(ROW(E$1:E4363)*(E2=E$1:E4363))))))</f>
        <v> </v>
      </c>
      <c r="K4364" s="26" t="str">
        <f>IF(OR(E4364="",E4364="!!!",F4364="NEW"),"",INDEX(J$1:J4363,SUMPRODUCT(MAX(ROW(E$1:E4363)*(E4364=E$1:E4363)))))</f>
        <v> </v>
      </c>
      <c r="L4364" s="27"/>
    </row>
    <row r="4365" spans="1:12">
      <c r="A4365" s="20" t="s">
        <v>1101</v>
      </c>
      <c r="E4365" s="22">
        <f>IF(D4365="?OLD","!!!","")</f>
        <v/>
      </c>
      <c r="F4365" s="23" t="str">
        <f>IF(OR(E4365="",E4365="!!!"),"",IF(NOT(ISNA(VLOOKUP(E4365,E$1:E4364,1,FALSE()))),"OLD",IF(AND(E4365&lt;&gt;"",E4365&lt;&gt;"!!!"),"NEW","")))</f>
        <v> </v>
      </c>
      <c r="G4365" s="24" t="str">
        <f>IF(OR(E4365="",E4365="!!!"),"",IF(OR(J4365=0,AND(J4365=1,K4365=1),AND(J4365=1,I4365="SBJ"),AND(J4365=1,I4365=0)),"?IN_FOCUS",IF(J4365&lt;=2,"?ACTIVATED",IF(J4365&lt;&gt;"","?FAMILIAR",IF(F4365="NEW",IF(ISNA(VLOOKUP(E4365,#REF!,1,FALSE())),"?TYPE_IDENTIFIABLE","?REFERENTIAL"),"_")))))</f>
        <v> </v>
      </c>
      <c r="H4365" s="25" t="str">
        <f>IF(J4365&lt;&gt;1,"",IF(I4365="SBJ","CB","?"))</f>
        <v> </v>
      </c>
      <c r="I4365" s="26" t="str">
        <f>IF(OR(E4365="",E4365="!!!",F4365="NEW"),"",INDEX(B4364:B$2,-1+SUMPRODUCT(MAX(ROW(E4364:E$2)*(E4365=E4364:E$2)))))</f>
        <v> </v>
      </c>
      <c r="J4365" s="26" t="str">
        <f>IF(OR(E4365="",E4365="!!!",F4365="NEW"),"",COUNTBLANK(OFFSET(A$1,,,SUMPRODUCT(MAX(ROW(E$2:E4365)*(E4365=E$2:E4365)))))-COUNTBLANK(OFFSET(A$1,,,SUMPRODUCT(MAX(ROW(E$1:E4364)*(E2=E$1:E4364))))))</f>
        <v> </v>
      </c>
      <c r="K4365" s="26" t="str">
        <f>IF(OR(E4365="",E4365="!!!",F4365="NEW"),"",INDEX(J$1:J4364,SUMPRODUCT(MAX(ROW(E$1:E4364)*(E4365=E$1:E4364)))))</f>
        <v> </v>
      </c>
      <c r="L4365" s="27"/>
    </row>
    <row r="4366" spans="1:12">
      <c r="A4366" s="20" t="s">
        <v>2309</v>
      </c>
      <c r="B4366" s="21" t="s">
        <v>1068</v>
      </c>
      <c r="C4366" s="21" t="s">
        <v>1065</v>
      </c>
      <c r="D4366" s="21" t="s">
        <v>1060</v>
      </c>
      <c r="E4366" s="22">
        <f>IF(D4366="?OLD","!!!","")</f>
        <v/>
      </c>
      <c r="F4366" s="23" t="str">
        <f>IF(OR(E4366="",E4366="!!!"),"",IF(NOT(ISNA(VLOOKUP(E4366,E$1:E4365,1,FALSE()))),"OLD",IF(AND(E4366&lt;&gt;"",E4366&lt;&gt;"!!!"),"NEW","")))</f>
        <v> </v>
      </c>
      <c r="G4366" s="24" t="str">
        <f>IF(OR(E4366="",E4366="!!!"),"",IF(OR(J4366=0,AND(J4366=1,K4366=1),AND(J4366=1,I4366="SBJ"),AND(J4366=1,I4366=0)),"?IN_FOCUS",IF(J4366&lt;=2,"?ACTIVATED",IF(J4366&lt;&gt;"","?FAMILIAR",IF(F4366="NEW",IF(ISNA(VLOOKUP(E4366,#REF!,1,FALSE())),"?TYPE_IDENTIFIABLE","?REFERENTIAL"),"_")))))</f>
        <v> </v>
      </c>
      <c r="H4366" s="25" t="str">
        <f>IF(J4366&lt;&gt;1,"",IF(I4366="SBJ","CB","?"))</f>
        <v> </v>
      </c>
      <c r="I4366" s="26" t="str">
        <f>IF(OR(E4366="",E4366="!!!",F4366="NEW"),"",INDEX(B4365:B$2,-1+SUMPRODUCT(MAX(ROW(E4365:E$2)*(E4366=E4365:E$2)))))</f>
        <v> </v>
      </c>
      <c r="J4366" s="26" t="str">
        <f>IF(OR(E4366="",E4366="!!!",F4366="NEW"),"",COUNTBLANK(OFFSET(A$1,,,SUMPRODUCT(MAX(ROW(E$2:E4366)*(E4366=E$2:E4366)))))-COUNTBLANK(OFFSET(A$1,,,SUMPRODUCT(MAX(ROW(E$1:E4365)*(E2=E$1:E4365))))))</f>
        <v> </v>
      </c>
      <c r="K4366" s="26" t="str">
        <f>IF(OR(E4366="",E4366="!!!",F4366="NEW"),"",INDEX(J$1:J4365,SUMPRODUCT(MAX(ROW(E$1:E4365)*(E4366=E$1:E4365)))))</f>
        <v> </v>
      </c>
      <c r="L4366" s="27"/>
    </row>
    <row r="4367" spans="1:12">
      <c r="A4367" s="20" t="s">
        <v>1180</v>
      </c>
      <c r="E4367" s="22">
        <f>IF(D4367="?OLD","!!!","")</f>
        <v/>
      </c>
      <c r="F4367" s="23" t="str">
        <f>IF(OR(E4367="",E4367="!!!"),"",IF(NOT(ISNA(VLOOKUP(E4367,E$1:E4366,1,FALSE()))),"OLD",IF(AND(E4367&lt;&gt;"",E4367&lt;&gt;"!!!"),"NEW","")))</f>
        <v> </v>
      </c>
      <c r="G4367" s="24" t="str">
        <f>IF(OR(E4367="",E4367="!!!"),"",IF(OR(J4367=0,AND(J4367=1,K4367=1),AND(J4367=1,I4367="SBJ"),AND(J4367=1,I4367=0)),"?IN_FOCUS",IF(J4367&lt;=2,"?ACTIVATED",IF(J4367&lt;&gt;"","?FAMILIAR",IF(F4367="NEW",IF(ISNA(VLOOKUP(E4367,#REF!,1,FALSE())),"?TYPE_IDENTIFIABLE","?REFERENTIAL"),"_")))))</f>
        <v> </v>
      </c>
      <c r="H4367" s="25" t="str">
        <f>IF(J4367&lt;&gt;1,"",IF(I4367="SBJ","CB","?"))</f>
        <v> </v>
      </c>
      <c r="I4367" s="26" t="str">
        <f>IF(OR(E4367="",E4367="!!!",F4367="NEW"),"",INDEX(B4366:B$2,-1+SUMPRODUCT(MAX(ROW(E4366:E$2)*(E4367=E4366:E$2)))))</f>
        <v> </v>
      </c>
      <c r="J4367" s="26" t="str">
        <f>IF(OR(E4367="",E4367="!!!",F4367="NEW"),"",COUNTBLANK(OFFSET(A$1,,,SUMPRODUCT(MAX(ROW(E$2:E4367)*(E4367=E$2:E4367)))))-COUNTBLANK(OFFSET(A$1,,,SUMPRODUCT(MAX(ROW(E$1:E4366)*(E2=E$1:E4366))))))</f>
        <v> </v>
      </c>
      <c r="K4367" s="26" t="str">
        <f>IF(OR(E4367="",E4367="!!!",F4367="NEW"),"",INDEX(J$1:J4366,SUMPRODUCT(MAX(ROW(E$1:E4366)*(E4367=E$1:E4366)))))</f>
        <v> </v>
      </c>
      <c r="L4367" s="27"/>
    </row>
    <row r="4368" spans="1:12">
      <c r="A4368" s="20" t="s">
        <v>1109</v>
      </c>
      <c r="E4368" s="22">
        <f>IF(D4368="?OLD","!!!","")</f>
        <v/>
      </c>
      <c r="F4368" s="23" t="str">
        <f>IF(OR(E4368="",E4368="!!!"),"",IF(NOT(ISNA(VLOOKUP(E4368,E$1:E4367,1,FALSE()))),"OLD",IF(AND(E4368&lt;&gt;"",E4368&lt;&gt;"!!!"),"NEW","")))</f>
        <v> </v>
      </c>
      <c r="G4368" s="24" t="str">
        <f>IF(OR(E4368="",E4368="!!!"),"",IF(OR(J4368=0,AND(J4368=1,K4368=1),AND(J4368=1,I4368="SBJ"),AND(J4368=1,I4368=0)),"?IN_FOCUS",IF(J4368&lt;=2,"?ACTIVATED",IF(J4368&lt;&gt;"","?FAMILIAR",IF(F4368="NEW",IF(ISNA(VLOOKUP(E4368,#REF!,1,FALSE())),"?TYPE_IDENTIFIABLE","?REFERENTIAL"),"_")))))</f>
        <v> </v>
      </c>
      <c r="H4368" s="25" t="str">
        <f>IF(J4368&lt;&gt;1,"",IF(I4368="SBJ","CB","?"))</f>
        <v> </v>
      </c>
      <c r="I4368" s="26" t="str">
        <f>IF(OR(E4368="",E4368="!!!",F4368="NEW"),"",INDEX(B4367:B$2,-1+SUMPRODUCT(MAX(ROW(E4367:E$2)*(E4368=E4367:E$2)))))</f>
        <v> </v>
      </c>
      <c r="J4368" s="26" t="str">
        <f>IF(OR(E4368="",E4368="!!!",F4368="NEW"),"",COUNTBLANK(OFFSET(A$1,,,SUMPRODUCT(MAX(ROW(E$2:E4368)*(E4368=E$2:E4368)))))-COUNTBLANK(OFFSET(A$1,,,SUMPRODUCT(MAX(ROW(E$1:E4367)*(E2=E$1:E4367))))))</f>
        <v> </v>
      </c>
      <c r="K4368" s="26" t="str">
        <f>IF(OR(E4368="",E4368="!!!",F4368="NEW"),"",INDEX(J$1:J4367,SUMPRODUCT(MAX(ROW(E$1:E4367)*(E4368=E$1:E4367)))))</f>
        <v> </v>
      </c>
      <c r="L4368" s="27"/>
    </row>
    <row r="4369" spans="1:12">
      <c r="A4369" s="20" t="s">
        <v>2310</v>
      </c>
      <c r="E4369" s="22">
        <f>IF(D4369="?OLD","!!!","")</f>
        <v/>
      </c>
      <c r="F4369" s="23" t="str">
        <f>IF(OR(E4369="",E4369="!!!"),"",IF(NOT(ISNA(VLOOKUP(E4369,E$1:E4368,1,FALSE()))),"OLD",IF(AND(E4369&lt;&gt;"",E4369&lt;&gt;"!!!"),"NEW","")))</f>
        <v> </v>
      </c>
      <c r="G4369" s="24" t="str">
        <f>IF(OR(E4369="",E4369="!!!"),"",IF(OR(J4369=0,AND(J4369=1,K4369=1),AND(J4369=1,I4369="SBJ"),AND(J4369=1,I4369=0)),"?IN_FOCUS",IF(J4369&lt;=2,"?ACTIVATED",IF(J4369&lt;&gt;"","?FAMILIAR",IF(F4369="NEW",IF(ISNA(VLOOKUP(E4369,#REF!,1,FALSE())),"?TYPE_IDENTIFIABLE","?REFERENTIAL"),"_")))))</f>
        <v> </v>
      </c>
      <c r="H4369" s="25" t="str">
        <f>IF(J4369&lt;&gt;1,"",IF(I4369="SBJ","CB","?"))</f>
        <v> </v>
      </c>
      <c r="I4369" s="26" t="str">
        <f>IF(OR(E4369="",E4369="!!!",F4369="NEW"),"",INDEX(B4368:B$2,-1+SUMPRODUCT(MAX(ROW(E4368:E$2)*(E4369=E4368:E$2)))))</f>
        <v> </v>
      </c>
      <c r="J4369" s="26" t="str">
        <f>IF(OR(E4369="",E4369="!!!",F4369="NEW"),"",COUNTBLANK(OFFSET(A$1,,,SUMPRODUCT(MAX(ROW(E$2:E4369)*(E4369=E$2:E4369)))))-COUNTBLANK(OFFSET(A$1,,,SUMPRODUCT(MAX(ROW(E$1:E4368)*(E2=E$1:E4368))))))</f>
        <v> </v>
      </c>
      <c r="K4369" s="26" t="str">
        <f>IF(OR(E4369="",E4369="!!!",F4369="NEW"),"",INDEX(J$1:J4368,SUMPRODUCT(MAX(ROW(E$1:E4368)*(E4369=E$1:E4368)))))</f>
        <v> </v>
      </c>
      <c r="L4369" s="27"/>
    </row>
    <row r="4370" spans="1:12">
      <c r="A4370" s="20" t="s">
        <v>185</v>
      </c>
      <c r="E4370" s="22">
        <f>IF(D4370="?OLD","!!!","")</f>
        <v/>
      </c>
      <c r="F4370" s="23" t="str">
        <f>IF(OR(E4370="",E4370="!!!"),"",IF(NOT(ISNA(VLOOKUP(E4370,E$1:E4369,1,FALSE()))),"OLD",IF(AND(E4370&lt;&gt;"",E4370&lt;&gt;"!!!"),"NEW","")))</f>
        <v> </v>
      </c>
      <c r="G4370" s="24" t="str">
        <f>IF(OR(E4370="",E4370="!!!"),"",IF(OR(J4370=0,AND(J4370=1,K4370=1),AND(J4370=1,I4370="SBJ"),AND(J4370=1,I4370=0)),"?IN_FOCUS",IF(J4370&lt;=2,"?ACTIVATED",IF(J4370&lt;&gt;"","?FAMILIAR",IF(F4370="NEW",IF(ISNA(VLOOKUP(E4370,#REF!,1,FALSE())),"?TYPE_IDENTIFIABLE","?REFERENTIAL"),"_")))))</f>
        <v> </v>
      </c>
      <c r="H4370" s="25" t="str">
        <f>IF(J4370&lt;&gt;1,"",IF(I4370="SBJ","CB","?"))</f>
        <v> </v>
      </c>
      <c r="I4370" s="26" t="str">
        <f>IF(OR(E4370="",E4370="!!!",F4370="NEW"),"",INDEX(B4369:B$2,-1+SUMPRODUCT(MAX(ROW(E4369:E$2)*(E4370=E4369:E$2)))))</f>
        <v> </v>
      </c>
      <c r="J4370" s="26" t="str">
        <f>IF(OR(E4370="",E4370="!!!",F4370="NEW"),"",COUNTBLANK(OFFSET(A$1,,,SUMPRODUCT(MAX(ROW(E$2:E4370)*(E4370=E$2:E4370)))))-COUNTBLANK(OFFSET(A$1,,,SUMPRODUCT(MAX(ROW(E$1:E4369)*(E2=E$1:E4369))))))</f>
        <v> </v>
      </c>
      <c r="K4370" s="26" t="str">
        <f>IF(OR(E4370="",E4370="!!!",F4370="NEW"),"",INDEX(J$1:J4369,SUMPRODUCT(MAX(ROW(E$1:E4369)*(E4370=E$1:E4369)))))</f>
        <v> </v>
      </c>
      <c r="L4370" s="27"/>
    </row>
    <row r="4371" spans="1:12">
      <c r="A4371" s="20" t="s">
        <v>882</v>
      </c>
      <c r="E4371" s="22">
        <f>IF(D4371="?OLD","!!!","")</f>
        <v/>
      </c>
      <c r="F4371" s="23" t="str">
        <f>IF(OR(E4371="",E4371="!!!"),"",IF(NOT(ISNA(VLOOKUP(E4371,E$1:E4370,1,FALSE()))),"OLD",IF(AND(E4371&lt;&gt;"",E4371&lt;&gt;"!!!"),"NEW","")))</f>
        <v> </v>
      </c>
      <c r="G4371" s="24" t="str">
        <f>IF(OR(E4371="",E4371="!!!"),"",IF(OR(J4371=0,AND(J4371=1,K4371=1),AND(J4371=1,I4371="SBJ"),AND(J4371=1,I4371=0)),"?IN_FOCUS",IF(J4371&lt;=2,"?ACTIVATED",IF(J4371&lt;&gt;"","?FAMILIAR",IF(F4371="NEW",IF(ISNA(VLOOKUP(E4371,#REF!,1,FALSE())),"?TYPE_IDENTIFIABLE","?REFERENTIAL"),"_")))))</f>
        <v> </v>
      </c>
      <c r="H4371" s="25" t="str">
        <f>IF(J4371&lt;&gt;1,"",IF(I4371="SBJ","CB","?"))</f>
        <v> </v>
      </c>
      <c r="I4371" s="26" t="str">
        <f>IF(OR(E4371="",E4371="!!!",F4371="NEW"),"",INDEX(B4370:B$2,-1+SUMPRODUCT(MAX(ROW(E4370:E$2)*(E4371=E4370:E$2)))))</f>
        <v> </v>
      </c>
      <c r="J4371" s="26" t="str">
        <f>IF(OR(E4371="",E4371="!!!",F4371="NEW"),"",COUNTBLANK(OFFSET(A$1,,,SUMPRODUCT(MAX(ROW(E$2:E4371)*(E4371=E$2:E4371)))))-COUNTBLANK(OFFSET(A$1,,,SUMPRODUCT(MAX(ROW(E$1:E4370)*(E2=E$1:E4370))))))</f>
        <v> </v>
      </c>
      <c r="K4371" s="26" t="str">
        <f>IF(OR(E4371="",E4371="!!!",F4371="NEW"),"",INDEX(J$1:J4370,SUMPRODUCT(MAX(ROW(E$1:E4370)*(E4371=E$1:E4370)))))</f>
        <v> </v>
      </c>
      <c r="L4371" s="27"/>
    </row>
    <row r="4372" spans="1:12">
      <c r="A4372" s="20" t="s">
        <v>1111</v>
      </c>
      <c r="E4372" s="22">
        <f>IF(D4372="?OLD","!!!","")</f>
        <v/>
      </c>
      <c r="F4372" s="23" t="str">
        <f>IF(OR(E4372="",E4372="!!!"),"",IF(NOT(ISNA(VLOOKUP(E4372,E$1:E4371,1,FALSE()))),"OLD",IF(AND(E4372&lt;&gt;"",E4372&lt;&gt;"!!!"),"NEW","")))</f>
        <v> </v>
      </c>
      <c r="G4372" s="24" t="str">
        <f>IF(OR(E4372="",E4372="!!!"),"",IF(OR(J4372=0,AND(J4372=1,K4372=1),AND(J4372=1,I4372="SBJ"),AND(J4372=1,I4372=0)),"?IN_FOCUS",IF(J4372&lt;=2,"?ACTIVATED",IF(J4372&lt;&gt;"","?FAMILIAR",IF(F4372="NEW",IF(ISNA(VLOOKUP(E4372,#REF!,1,FALSE())),"?TYPE_IDENTIFIABLE","?REFERENTIAL"),"_")))))</f>
        <v> </v>
      </c>
      <c r="H4372" s="25" t="str">
        <f>IF(J4372&lt;&gt;1,"",IF(I4372="SBJ","CB","?"))</f>
        <v> </v>
      </c>
      <c r="I4372" s="26" t="str">
        <f>IF(OR(E4372="",E4372="!!!",F4372="NEW"),"",INDEX(B4371:B$2,-1+SUMPRODUCT(MAX(ROW(E4371:E$2)*(E4372=E4371:E$2)))))</f>
        <v> </v>
      </c>
      <c r="J4372" s="26" t="str">
        <f>IF(OR(E4372="",E4372="!!!",F4372="NEW"),"",COUNTBLANK(OFFSET(A$1,,,SUMPRODUCT(MAX(ROW(E$2:E4372)*(E4372=E$2:E4372)))))-COUNTBLANK(OFFSET(A$1,,,SUMPRODUCT(MAX(ROW(E$1:E4371)*(E2=E$1:E4371))))))</f>
        <v> </v>
      </c>
      <c r="K4372" s="26" t="str">
        <f>IF(OR(E4372="",E4372="!!!",F4372="NEW"),"",INDEX(J$1:J4371,SUMPRODUCT(MAX(ROW(E$1:E4371)*(E4372=E$1:E4371)))))</f>
        <v> </v>
      </c>
      <c r="L4372" s="27"/>
    </row>
    <row r="4373" spans="1:12">
      <c r="A4373" s="20" t="s">
        <v>1127</v>
      </c>
      <c r="B4373" s="21" t="s">
        <v>1097</v>
      </c>
      <c r="C4373" s="21" t="s">
        <v>1076</v>
      </c>
      <c r="D4373" s="21" t="s">
        <v>1060</v>
      </c>
      <c r="E4373" s="22">
        <f>IF(D4373="?OLD","!!!","")</f>
        <v/>
      </c>
      <c r="F4373" s="23" t="str">
        <f>IF(OR(E4373="",E4373="!!!"),"",IF(NOT(ISNA(VLOOKUP(E4373,E$1:E4372,1,FALSE()))),"OLD",IF(AND(E4373&lt;&gt;"",E4373&lt;&gt;"!!!"),"NEW","")))</f>
        <v> </v>
      </c>
      <c r="G4373" s="24" t="str">
        <f>IF(OR(E4373="",E4373="!!!"),"",IF(OR(J4373=0,AND(J4373=1,K4373=1),AND(J4373=1,I4373="SBJ"),AND(J4373=1,I4373=0)),"?IN_FOCUS",IF(J4373&lt;=2,"?ACTIVATED",IF(J4373&lt;&gt;"","?FAMILIAR",IF(F4373="NEW",IF(ISNA(VLOOKUP(E4373,#REF!,1,FALSE())),"?TYPE_IDENTIFIABLE","?REFERENTIAL"),"_")))))</f>
        <v> </v>
      </c>
      <c r="H4373" s="25" t="str">
        <f>IF(J4373&lt;&gt;1,"",IF(I4373="SBJ","CB","?"))</f>
        <v> </v>
      </c>
      <c r="I4373" s="26" t="str">
        <f>IF(OR(E4373="",E4373="!!!",F4373="NEW"),"",INDEX(B4372:B$2,-1+SUMPRODUCT(MAX(ROW(E4372:E$2)*(E4373=E4372:E$2)))))</f>
        <v> </v>
      </c>
      <c r="J4373" s="26" t="str">
        <f>IF(OR(E4373="",E4373="!!!",F4373="NEW"),"",COUNTBLANK(OFFSET(A$1,,,SUMPRODUCT(MAX(ROW(E$2:E4373)*(E4373=E$2:E4373)))))-COUNTBLANK(OFFSET(A$1,,,SUMPRODUCT(MAX(ROW(E$1:E4372)*(E2=E$1:E4372))))))</f>
        <v> </v>
      </c>
      <c r="K4373" s="26" t="str">
        <f>IF(OR(E4373="",E4373="!!!",F4373="NEW"),"",INDEX(J$1:J4372,SUMPRODUCT(MAX(ROW(E$1:E4372)*(E4373=E$1:E4372)))))</f>
        <v> </v>
      </c>
      <c r="L4373" s="27"/>
    </row>
    <row r="4374" spans="1:12">
      <c r="A4374" s="20" t="s">
        <v>1070</v>
      </c>
      <c r="E4374" s="22">
        <f>IF(D4374="?OLD","!!!","")</f>
        <v/>
      </c>
      <c r="F4374" s="23" t="str">
        <f>IF(OR(E4374="",E4374="!!!"),"",IF(NOT(ISNA(VLOOKUP(E4374,E$1:E4373,1,FALSE()))),"OLD",IF(AND(E4374&lt;&gt;"",E4374&lt;&gt;"!!!"),"NEW","")))</f>
        <v> </v>
      </c>
      <c r="G4374" s="24" t="str">
        <f>IF(OR(E4374="",E4374="!!!"),"",IF(OR(J4374=0,AND(J4374=1,K4374=1),AND(J4374=1,I4374="SBJ"),AND(J4374=1,I4374=0)),"?IN_FOCUS",IF(J4374&lt;=2,"?ACTIVATED",IF(J4374&lt;&gt;"","?FAMILIAR",IF(F4374="NEW",IF(ISNA(VLOOKUP(E4374,#REF!,1,FALSE())),"?TYPE_IDENTIFIABLE","?REFERENTIAL"),"_")))))</f>
        <v> </v>
      </c>
      <c r="H4374" s="25" t="str">
        <f>IF(J4374&lt;&gt;1,"",IF(I4374="SBJ","CB","?"))</f>
        <v> </v>
      </c>
      <c r="I4374" s="26" t="str">
        <f>IF(OR(E4374="",E4374="!!!",F4374="NEW"),"",INDEX(B4373:B$2,-1+SUMPRODUCT(MAX(ROW(E4373:E$2)*(E4374=E4373:E$2)))))</f>
        <v> </v>
      </c>
      <c r="J4374" s="26" t="str">
        <f>IF(OR(E4374="",E4374="!!!",F4374="NEW"),"",COUNTBLANK(OFFSET(A$1,,,SUMPRODUCT(MAX(ROW(E$2:E4374)*(E4374=E$2:E4374)))))-COUNTBLANK(OFFSET(A$1,,,SUMPRODUCT(MAX(ROW(E$1:E4373)*(E2=E$1:E4373))))))</f>
        <v> </v>
      </c>
      <c r="K4374" s="26" t="str">
        <f>IF(OR(E4374="",E4374="!!!",F4374="NEW"),"",INDEX(J$1:J4373,SUMPRODUCT(MAX(ROW(E$1:E4373)*(E4374=E$1:E4373)))))</f>
        <v> </v>
      </c>
      <c r="L4374" s="27"/>
    </row>
    <row r="4375" spans="1:12">
      <c r="A4375" s="20" t="s">
        <v>1156</v>
      </c>
      <c r="E4375" s="22">
        <f>IF(D4375="?OLD","!!!","")</f>
        <v/>
      </c>
      <c r="F4375" s="23" t="str">
        <f>IF(OR(E4375="",E4375="!!!"),"",IF(NOT(ISNA(VLOOKUP(E4375,E$1:E4374,1,FALSE()))),"OLD",IF(AND(E4375&lt;&gt;"",E4375&lt;&gt;"!!!"),"NEW","")))</f>
        <v> </v>
      </c>
      <c r="G4375" s="24" t="str">
        <f>IF(OR(E4375="",E4375="!!!"),"",IF(OR(J4375=0,AND(J4375=1,K4375=1),AND(J4375=1,I4375="SBJ"),AND(J4375=1,I4375=0)),"?IN_FOCUS",IF(J4375&lt;=2,"?ACTIVATED",IF(J4375&lt;&gt;"","?FAMILIAR",IF(F4375="NEW",IF(ISNA(VLOOKUP(E4375,#REF!,1,FALSE())),"?TYPE_IDENTIFIABLE","?REFERENTIAL"),"_")))))</f>
        <v> </v>
      </c>
      <c r="H4375" s="25" t="str">
        <f>IF(J4375&lt;&gt;1,"",IF(I4375="SBJ","CB","?"))</f>
        <v> </v>
      </c>
      <c r="I4375" s="26" t="str">
        <f>IF(OR(E4375="",E4375="!!!",F4375="NEW"),"",INDEX(B4374:B$2,-1+SUMPRODUCT(MAX(ROW(E4374:E$2)*(E4375=E4374:E$2)))))</f>
        <v> </v>
      </c>
      <c r="J4375" s="26" t="str">
        <f>IF(OR(E4375="",E4375="!!!",F4375="NEW"),"",COUNTBLANK(OFFSET(A$1,,,SUMPRODUCT(MAX(ROW(E$2:E4375)*(E4375=E$2:E4375)))))-COUNTBLANK(OFFSET(A$1,,,SUMPRODUCT(MAX(ROW(E$1:E4374)*(E2=E$1:E4374))))))</f>
        <v> </v>
      </c>
      <c r="K4375" s="26" t="str">
        <f>IF(OR(E4375="",E4375="!!!",F4375="NEW"),"",INDEX(J$1:J4374,SUMPRODUCT(MAX(ROW(E$1:E4374)*(E4375=E$1:E4374)))))</f>
        <v> </v>
      </c>
      <c r="L4375" s="27"/>
    </row>
    <row r="4376" spans="1:12">
      <c r="A4376" s="20" t="s">
        <v>1083</v>
      </c>
      <c r="B4376" s="21" t="s">
        <v>1079</v>
      </c>
      <c r="C4376" s="21" t="s">
        <v>1076</v>
      </c>
      <c r="D4376" s="21" t="s">
        <v>1060</v>
      </c>
      <c r="E4376" s="22">
        <f>IF(D4376="?OLD","!!!","")</f>
        <v/>
      </c>
      <c r="F4376" s="23" t="str">
        <f>IF(OR(E4376="",E4376="!!!"),"",IF(NOT(ISNA(VLOOKUP(E4376,E$1:E4375,1,FALSE()))),"OLD",IF(AND(E4376&lt;&gt;"",E4376&lt;&gt;"!!!"),"NEW","")))</f>
        <v> </v>
      </c>
      <c r="G4376" s="24" t="str">
        <f>IF(OR(E4376="",E4376="!!!"),"",IF(OR(J4376=0,AND(J4376=1,K4376=1),AND(J4376=1,I4376="SBJ"),AND(J4376=1,I4376=0)),"?IN_FOCUS",IF(J4376&lt;=2,"?ACTIVATED",IF(J4376&lt;&gt;"","?FAMILIAR",IF(F4376="NEW",IF(ISNA(VLOOKUP(E4376,#REF!,1,FALSE())),"?TYPE_IDENTIFIABLE","?REFERENTIAL"),"_")))))</f>
        <v> </v>
      </c>
      <c r="H4376" s="25" t="str">
        <f>IF(J4376&lt;&gt;1,"",IF(I4376="SBJ","CB","?"))</f>
        <v> </v>
      </c>
      <c r="I4376" s="26" t="str">
        <f>IF(OR(E4376="",E4376="!!!",F4376="NEW"),"",INDEX(B4375:B$2,-1+SUMPRODUCT(MAX(ROW(E4375:E$2)*(E4376=E4375:E$2)))))</f>
        <v> </v>
      </c>
      <c r="J4376" s="26" t="str">
        <f>IF(OR(E4376="",E4376="!!!",F4376="NEW"),"",COUNTBLANK(OFFSET(A$1,,,SUMPRODUCT(MAX(ROW(E$2:E4376)*(E4376=E$2:E4376)))))-COUNTBLANK(OFFSET(A$1,,,SUMPRODUCT(MAX(ROW(E$1:E4375)*(E2=E$1:E4375))))))</f>
        <v> </v>
      </c>
      <c r="K4376" s="26" t="str">
        <f>IF(OR(E4376="",E4376="!!!",F4376="NEW"),"",INDEX(J$1:J4375,SUMPRODUCT(MAX(ROW(E$1:E4375)*(E4376=E$1:E4375)))))</f>
        <v> </v>
      </c>
      <c r="L4376" s="27"/>
    </row>
    <row r="4377" spans="1:12">
      <c r="A4377" s="20" t="s">
        <v>2311</v>
      </c>
      <c r="E4377" s="22">
        <f>IF(D4377="?OLD","!!!","")</f>
        <v/>
      </c>
      <c r="F4377" s="23" t="str">
        <f>IF(OR(E4377="",E4377="!!!"),"",IF(NOT(ISNA(VLOOKUP(E4377,E$1:E4376,1,FALSE()))),"OLD",IF(AND(E4377&lt;&gt;"",E4377&lt;&gt;"!!!"),"NEW","")))</f>
        <v> </v>
      </c>
      <c r="G4377" s="24" t="str">
        <f>IF(OR(E4377="",E4377="!!!"),"",IF(OR(J4377=0,AND(J4377=1,K4377=1),AND(J4377=1,I4377="SBJ"),AND(J4377=1,I4377=0)),"?IN_FOCUS",IF(J4377&lt;=2,"?ACTIVATED",IF(J4377&lt;&gt;"","?FAMILIAR",IF(F4377="NEW",IF(ISNA(VLOOKUP(E4377,#REF!,1,FALSE())),"?TYPE_IDENTIFIABLE","?REFERENTIAL"),"_")))))</f>
        <v> </v>
      </c>
      <c r="H4377" s="25" t="str">
        <f>IF(J4377&lt;&gt;1,"",IF(I4377="SBJ","CB","?"))</f>
        <v> </v>
      </c>
      <c r="I4377" s="26" t="str">
        <f>IF(OR(E4377="",E4377="!!!",F4377="NEW"),"",INDEX(B4376:B$2,-1+SUMPRODUCT(MAX(ROW(E4376:E$2)*(E4377=E4376:E$2)))))</f>
        <v> </v>
      </c>
      <c r="J4377" s="26" t="str">
        <f>IF(OR(E4377="",E4377="!!!",F4377="NEW"),"",COUNTBLANK(OFFSET(A$1,,,SUMPRODUCT(MAX(ROW(E$2:E4377)*(E4377=E$2:E4377)))))-COUNTBLANK(OFFSET(A$1,,,SUMPRODUCT(MAX(ROW(E$1:E4376)*(E2=E$1:E4376))))))</f>
        <v> </v>
      </c>
      <c r="K4377" s="26" t="str">
        <f>IF(OR(E4377="",E4377="!!!",F4377="NEW"),"",INDEX(J$1:J4376,SUMPRODUCT(MAX(ROW(E$1:E4376)*(E4377=E$1:E4376)))))</f>
        <v> </v>
      </c>
      <c r="L4377" s="27"/>
    </row>
    <row r="4378" spans="1:12">
      <c r="A4378" s="20" t="s">
        <v>1101</v>
      </c>
      <c r="E4378" s="22">
        <f>IF(D4378="?OLD","!!!","")</f>
        <v/>
      </c>
      <c r="F4378" s="23" t="str">
        <f>IF(OR(E4378="",E4378="!!!"),"",IF(NOT(ISNA(VLOOKUP(E4378,E$1:E4377,1,FALSE()))),"OLD",IF(AND(E4378&lt;&gt;"",E4378&lt;&gt;"!!!"),"NEW","")))</f>
        <v> </v>
      </c>
      <c r="G4378" s="24" t="str">
        <f>IF(OR(E4378="",E4378="!!!"),"",IF(OR(J4378=0,AND(J4378=1,K4378=1),AND(J4378=1,I4378="SBJ"),AND(J4378=1,I4378=0)),"?IN_FOCUS",IF(J4378&lt;=2,"?ACTIVATED",IF(J4378&lt;&gt;"","?FAMILIAR",IF(F4378="NEW",IF(ISNA(VLOOKUP(E4378,#REF!,1,FALSE())),"?TYPE_IDENTIFIABLE","?REFERENTIAL"),"_")))))</f>
        <v> </v>
      </c>
      <c r="H4378" s="25" t="str">
        <f>IF(J4378&lt;&gt;1,"",IF(I4378="SBJ","CB","?"))</f>
        <v> </v>
      </c>
      <c r="I4378" s="26" t="str">
        <f>IF(OR(E4378="",E4378="!!!",F4378="NEW"),"",INDEX(B4377:B$2,-1+SUMPRODUCT(MAX(ROW(E4377:E$2)*(E4378=E4377:E$2)))))</f>
        <v> </v>
      </c>
      <c r="J4378" s="26" t="str">
        <f>IF(OR(E4378="",E4378="!!!",F4378="NEW"),"",COUNTBLANK(OFFSET(A$1,,,SUMPRODUCT(MAX(ROW(E$2:E4378)*(E4378=E$2:E4378)))))-COUNTBLANK(OFFSET(A$1,,,SUMPRODUCT(MAX(ROW(E$1:E4377)*(E2=E$1:E4377))))))</f>
        <v> </v>
      </c>
      <c r="K4378" s="26" t="str">
        <f>IF(OR(E4378="",E4378="!!!",F4378="NEW"),"",INDEX(J$1:J4377,SUMPRODUCT(MAX(ROW(E$1:E4377)*(E4378=E$1:E4377)))))</f>
        <v> </v>
      </c>
      <c r="L4378" s="27"/>
    </row>
    <row r="4379" spans="1:12">
      <c r="A4379" s="20" t="s">
        <v>459</v>
      </c>
      <c r="B4379" s="21" t="s">
        <v>1132</v>
      </c>
      <c r="C4379" s="21" t="s">
        <v>1140</v>
      </c>
      <c r="D4379" s="21" t="s">
        <v>1060</v>
      </c>
      <c r="E4379" s="22">
        <f>IF(D4379="?OLD","!!!","")</f>
        <v/>
      </c>
      <c r="F4379" s="23" t="str">
        <f>IF(OR(E4379="",E4379="!!!"),"",IF(NOT(ISNA(VLOOKUP(E4379,E$1:E4378,1,FALSE()))),"OLD",IF(AND(E4379&lt;&gt;"",E4379&lt;&gt;"!!!"),"NEW","")))</f>
        <v> </v>
      </c>
      <c r="G4379" s="24" t="str">
        <f>IF(OR(E4379="",E4379="!!!"),"",IF(OR(J4379=0,AND(J4379=1,K4379=1),AND(J4379=1,I4379="SBJ"),AND(J4379=1,I4379=0)),"?IN_FOCUS",IF(J4379&lt;=2,"?ACTIVATED",IF(J4379&lt;&gt;"","?FAMILIAR",IF(F4379="NEW",IF(ISNA(VLOOKUP(E4379,#REF!,1,FALSE())),"?TYPE_IDENTIFIABLE","?REFERENTIAL"),"_")))))</f>
        <v> </v>
      </c>
      <c r="H4379" s="25" t="str">
        <f>IF(J4379&lt;&gt;1,"",IF(I4379="SBJ","CB","?"))</f>
        <v> </v>
      </c>
      <c r="I4379" s="26" t="str">
        <f>IF(OR(E4379="",E4379="!!!",F4379="NEW"),"",INDEX(B4378:B$2,-1+SUMPRODUCT(MAX(ROW(E4378:E$2)*(E4379=E4378:E$2)))))</f>
        <v> </v>
      </c>
      <c r="J4379" s="26" t="str">
        <f>IF(OR(E4379="",E4379="!!!",F4379="NEW"),"",COUNTBLANK(OFFSET(A$1,,,SUMPRODUCT(MAX(ROW(E$2:E4379)*(E4379=E$2:E4379)))))-COUNTBLANK(OFFSET(A$1,,,SUMPRODUCT(MAX(ROW(E$1:E4378)*(E2=E$1:E4378))))))</f>
        <v> </v>
      </c>
      <c r="K4379" s="26" t="str">
        <f>IF(OR(E4379="",E4379="!!!",F4379="NEW"),"",INDEX(J$1:J4378,SUMPRODUCT(MAX(ROW(E$1:E4378)*(E4379=E$1:E4378)))))</f>
        <v> </v>
      </c>
      <c r="L4379" s="27"/>
    </row>
    <row r="4380" spans="1:12">
      <c r="A4380" s="20" t="s">
        <v>2312</v>
      </c>
      <c r="E4380" s="22">
        <f>IF(D4380="?OLD","!!!","")</f>
        <v/>
      </c>
      <c r="F4380" s="23" t="str">
        <f>IF(OR(E4380="",E4380="!!!"),"",IF(NOT(ISNA(VLOOKUP(E4380,E$1:E4379,1,FALSE()))),"OLD",IF(AND(E4380&lt;&gt;"",E4380&lt;&gt;"!!!"),"NEW","")))</f>
        <v> </v>
      </c>
      <c r="G4380" s="24" t="str">
        <f>IF(OR(E4380="",E4380="!!!"),"",IF(OR(J4380=0,AND(J4380=1,K4380=1),AND(J4380=1,I4380="SBJ"),AND(J4380=1,I4380=0)),"?IN_FOCUS",IF(J4380&lt;=2,"?ACTIVATED",IF(J4380&lt;&gt;"","?FAMILIAR",IF(F4380="NEW",IF(ISNA(VLOOKUP(E4380,#REF!,1,FALSE())),"?TYPE_IDENTIFIABLE","?REFERENTIAL"),"_")))))</f>
        <v> </v>
      </c>
      <c r="H4380" s="25" t="str">
        <f>IF(J4380&lt;&gt;1,"",IF(I4380="SBJ","CB","?"))</f>
        <v> </v>
      </c>
      <c r="I4380" s="26" t="str">
        <f>IF(OR(E4380="",E4380="!!!",F4380="NEW"),"",INDEX(B4379:B$2,-1+SUMPRODUCT(MAX(ROW(E4379:E$2)*(E4380=E4379:E$2)))))</f>
        <v> </v>
      </c>
      <c r="J4380" s="26" t="str">
        <f>IF(OR(E4380="",E4380="!!!",F4380="NEW"),"",COUNTBLANK(OFFSET(A$1,,,SUMPRODUCT(MAX(ROW(E$2:E4380)*(E4380=E$2:E4380)))))-COUNTBLANK(OFFSET(A$1,,,SUMPRODUCT(MAX(ROW(E$1:E4379)*(E2=E$1:E4379))))))</f>
        <v> </v>
      </c>
      <c r="K4380" s="26" t="str">
        <f>IF(OR(E4380="",E4380="!!!",F4380="NEW"),"",INDEX(J$1:J4379,SUMPRODUCT(MAX(ROW(E$1:E4379)*(E4380=E$1:E4379)))))</f>
        <v> </v>
      </c>
      <c r="L4380" s="27"/>
    </row>
    <row r="4381" spans="1:12">
      <c r="A4381" s="20" t="s">
        <v>1196</v>
      </c>
      <c r="E4381" s="22">
        <f>IF(D4381="?OLD","!!!","")</f>
        <v/>
      </c>
      <c r="F4381" s="23" t="str">
        <f>IF(OR(E4381="",E4381="!!!"),"",IF(NOT(ISNA(VLOOKUP(E4381,E$1:E4380,1,FALSE()))),"OLD",IF(AND(E4381&lt;&gt;"",E4381&lt;&gt;"!!!"),"NEW","")))</f>
        <v> </v>
      </c>
      <c r="G4381" s="24" t="str">
        <f>IF(OR(E4381="",E4381="!!!"),"",IF(OR(J4381=0,AND(J4381=1,K4381=1),AND(J4381=1,I4381="SBJ"),AND(J4381=1,I4381=0)),"?IN_FOCUS",IF(J4381&lt;=2,"?ACTIVATED",IF(J4381&lt;&gt;"","?FAMILIAR",IF(F4381="NEW",IF(ISNA(VLOOKUP(E4381,#REF!,1,FALSE())),"?TYPE_IDENTIFIABLE","?REFERENTIAL"),"_")))))</f>
        <v> </v>
      </c>
      <c r="H4381" s="25" t="str">
        <f>IF(J4381&lt;&gt;1,"",IF(I4381="SBJ","CB","?"))</f>
        <v> </v>
      </c>
      <c r="I4381" s="26" t="str">
        <f>IF(OR(E4381="",E4381="!!!",F4381="NEW"),"",INDEX(B4380:B$2,-1+SUMPRODUCT(MAX(ROW(E4380:E$2)*(E4381=E4380:E$2)))))</f>
        <v> </v>
      </c>
      <c r="J4381" s="26" t="str">
        <f>IF(OR(E4381="",E4381="!!!",F4381="NEW"),"",COUNTBLANK(OFFSET(A$1,,,SUMPRODUCT(MAX(ROW(E$2:E4381)*(E4381=E$2:E4381)))))-COUNTBLANK(OFFSET(A$1,,,SUMPRODUCT(MAX(ROW(E$1:E4380)*(E2=E$1:E4380))))))</f>
        <v> </v>
      </c>
      <c r="K4381" s="26" t="str">
        <f>IF(OR(E4381="",E4381="!!!",F4381="NEW"),"",INDEX(J$1:J4380,SUMPRODUCT(MAX(ROW(E$1:E4380)*(E4381=E$1:E4380)))))</f>
        <v> </v>
      </c>
      <c r="L4381" s="27"/>
    </row>
    <row r="4382" spans="1:12">
      <c r="A4382" s="20" t="s">
        <v>1083</v>
      </c>
      <c r="B4382" s="21" t="s">
        <v>1084</v>
      </c>
      <c r="C4382" s="21" t="s">
        <v>1076</v>
      </c>
      <c r="D4382" s="21" t="s">
        <v>1060</v>
      </c>
      <c r="E4382" s="22">
        <f>IF(D4382="?OLD","!!!","")</f>
        <v/>
      </c>
      <c r="F4382" s="23" t="str">
        <f>IF(OR(E4382="",E4382="!!!"),"",IF(NOT(ISNA(VLOOKUP(E4382,E$1:E4381,1,FALSE()))),"OLD",IF(AND(E4382&lt;&gt;"",E4382&lt;&gt;"!!!"),"NEW","")))</f>
        <v> </v>
      </c>
      <c r="G4382" s="24" t="str">
        <f>IF(OR(E4382="",E4382="!!!"),"",IF(OR(J4382=0,AND(J4382=1,K4382=1),AND(J4382=1,I4382="SBJ"),AND(J4382=1,I4382=0)),"?IN_FOCUS",IF(J4382&lt;=2,"?ACTIVATED",IF(J4382&lt;&gt;"","?FAMILIAR",IF(F4382="NEW",IF(ISNA(VLOOKUP(E4382,#REF!,1,FALSE())),"?TYPE_IDENTIFIABLE","?REFERENTIAL"),"_")))))</f>
        <v> </v>
      </c>
      <c r="H4382" s="25" t="str">
        <f>IF(J4382&lt;&gt;1,"",IF(I4382="SBJ","CB","?"))</f>
        <v> </v>
      </c>
      <c r="I4382" s="26" t="str">
        <f>IF(OR(E4382="",E4382="!!!",F4382="NEW"),"",INDEX(B4381:B$2,-1+SUMPRODUCT(MAX(ROW(E4381:E$2)*(E4382=E4381:E$2)))))</f>
        <v> </v>
      </c>
      <c r="J4382" s="26" t="str">
        <f>IF(OR(E4382="",E4382="!!!",F4382="NEW"),"",COUNTBLANK(OFFSET(A$1,,,SUMPRODUCT(MAX(ROW(E$2:E4382)*(E4382=E$2:E4382)))))-COUNTBLANK(OFFSET(A$1,,,SUMPRODUCT(MAX(ROW(E$1:E4381)*(E2=E$1:E4381))))))</f>
        <v> </v>
      </c>
      <c r="K4382" s="26" t="str">
        <f>IF(OR(E4382="",E4382="!!!",F4382="NEW"),"",INDEX(J$1:J4381,SUMPRODUCT(MAX(ROW(E$1:E4381)*(E4382=E$1:E4381)))))</f>
        <v> </v>
      </c>
      <c r="L4382" s="27"/>
    </row>
    <row r="4383" spans="1:12">
      <c r="A4383" s="20" t="s">
        <v>2313</v>
      </c>
      <c r="E4383" s="22">
        <f>IF(D4383="?OLD","!!!","")</f>
        <v/>
      </c>
      <c r="F4383" s="23" t="str">
        <f>IF(OR(E4383="",E4383="!!!"),"",IF(NOT(ISNA(VLOOKUP(E4383,E$1:E4382,1,FALSE()))),"OLD",IF(AND(E4383&lt;&gt;"",E4383&lt;&gt;"!!!"),"NEW","")))</f>
        <v> </v>
      </c>
      <c r="G4383" s="24" t="str">
        <f>IF(OR(E4383="",E4383="!!!"),"",IF(OR(J4383=0,AND(J4383=1,K4383=1),AND(J4383=1,I4383="SBJ"),AND(J4383=1,I4383=0)),"?IN_FOCUS",IF(J4383&lt;=2,"?ACTIVATED",IF(J4383&lt;&gt;"","?FAMILIAR",IF(F4383="NEW",IF(ISNA(VLOOKUP(E4383,#REF!,1,FALSE())),"?TYPE_IDENTIFIABLE","?REFERENTIAL"),"_")))))</f>
        <v> </v>
      </c>
      <c r="H4383" s="25" t="str">
        <f>IF(J4383&lt;&gt;1,"",IF(I4383="SBJ","CB","?"))</f>
        <v> </v>
      </c>
      <c r="I4383" s="26" t="str">
        <f>IF(OR(E4383="",E4383="!!!",F4383="NEW"),"",INDEX(B4382:B$2,-1+SUMPRODUCT(MAX(ROW(E4382:E$2)*(E4383=E4382:E$2)))))</f>
        <v> </v>
      </c>
      <c r="J4383" s="26" t="str">
        <f>IF(OR(E4383="",E4383="!!!",F4383="NEW"),"",COUNTBLANK(OFFSET(A$1,,,SUMPRODUCT(MAX(ROW(E$2:E4383)*(E4383=E$2:E4383)))))-COUNTBLANK(OFFSET(A$1,,,SUMPRODUCT(MAX(ROW(E$1:E4382)*(E2=E$1:E4382))))))</f>
        <v> </v>
      </c>
      <c r="K4383" s="26" t="str">
        <f>IF(OR(E4383="",E4383="!!!",F4383="NEW"),"",INDEX(J$1:J4382,SUMPRODUCT(MAX(ROW(E$1:E4382)*(E4383=E$1:E4382)))))</f>
        <v> </v>
      </c>
      <c r="L4383" s="27"/>
    </row>
    <row r="4384" spans="1:12">
      <c r="A4384" s="20" t="s">
        <v>1101</v>
      </c>
      <c r="E4384" s="22">
        <f>IF(D4384="?OLD","!!!","")</f>
        <v/>
      </c>
      <c r="F4384" s="23" t="str">
        <f>IF(OR(E4384="",E4384="!!!"),"",IF(NOT(ISNA(VLOOKUP(E4384,E$1:E4383,1,FALSE()))),"OLD",IF(AND(E4384&lt;&gt;"",E4384&lt;&gt;"!!!"),"NEW","")))</f>
        <v> </v>
      </c>
      <c r="G4384" s="24" t="str">
        <f>IF(OR(E4384="",E4384="!!!"),"",IF(OR(J4384=0,AND(J4384=1,K4384=1),AND(J4384=1,I4384="SBJ"),AND(J4384=1,I4384=0)),"?IN_FOCUS",IF(J4384&lt;=2,"?ACTIVATED",IF(J4384&lt;&gt;"","?FAMILIAR",IF(F4384="NEW",IF(ISNA(VLOOKUP(E4384,#REF!,1,FALSE())),"?TYPE_IDENTIFIABLE","?REFERENTIAL"),"_")))))</f>
        <v> </v>
      </c>
      <c r="H4384" s="25" t="str">
        <f>IF(J4384&lt;&gt;1,"",IF(I4384="SBJ","CB","?"))</f>
        <v> </v>
      </c>
      <c r="I4384" s="26" t="str">
        <f>IF(OR(E4384="",E4384="!!!",F4384="NEW"),"",INDEX(B4383:B$2,-1+SUMPRODUCT(MAX(ROW(E4383:E$2)*(E4384=E4383:E$2)))))</f>
        <v> </v>
      </c>
      <c r="J4384" s="26" t="str">
        <f>IF(OR(E4384="",E4384="!!!",F4384="NEW"),"",COUNTBLANK(OFFSET(A$1,,,SUMPRODUCT(MAX(ROW(E$2:E4384)*(E4384=E$2:E4384)))))-COUNTBLANK(OFFSET(A$1,,,SUMPRODUCT(MAX(ROW(E$1:E4383)*(E2=E$1:E4383))))))</f>
        <v> </v>
      </c>
      <c r="K4384" s="26" t="str">
        <f>IF(OR(E4384="",E4384="!!!",F4384="NEW"),"",INDEX(J$1:J4383,SUMPRODUCT(MAX(ROW(E$1:E4383)*(E4384=E$1:E4383)))))</f>
        <v> </v>
      </c>
      <c r="L4384" s="27"/>
    </row>
    <row r="4385" spans="1:12">
      <c r="A4385" s="20" t="s">
        <v>2314</v>
      </c>
      <c r="B4385" s="21" t="s">
        <v>1136</v>
      </c>
      <c r="C4385" s="21" t="s">
        <v>1140</v>
      </c>
      <c r="D4385" s="21" t="s">
        <v>1060</v>
      </c>
      <c r="E4385" s="22">
        <f>IF(D4385="?OLD","!!!","")</f>
        <v/>
      </c>
      <c r="F4385" s="23" t="str">
        <f>IF(OR(E4385="",E4385="!!!"),"",IF(NOT(ISNA(VLOOKUP(E4385,E$1:E4384,1,FALSE()))),"OLD",IF(AND(E4385&lt;&gt;"",E4385&lt;&gt;"!!!"),"NEW","")))</f>
        <v> </v>
      </c>
      <c r="G4385" s="24" t="str">
        <f>IF(OR(E4385="",E4385="!!!"),"",IF(OR(J4385=0,AND(J4385=1,K4385=1),AND(J4385=1,I4385="SBJ"),AND(J4385=1,I4385=0)),"?IN_FOCUS",IF(J4385&lt;=2,"?ACTIVATED",IF(J4385&lt;&gt;"","?FAMILIAR",IF(F4385="NEW",IF(ISNA(VLOOKUP(E4385,#REF!,1,FALSE())),"?TYPE_IDENTIFIABLE","?REFERENTIAL"),"_")))))</f>
        <v> </v>
      </c>
      <c r="H4385" s="25" t="str">
        <f>IF(J4385&lt;&gt;1,"",IF(I4385="SBJ","CB","?"))</f>
        <v> </v>
      </c>
      <c r="I4385" s="26" t="str">
        <f>IF(OR(E4385="",E4385="!!!",F4385="NEW"),"",INDEX(B4384:B$2,-1+SUMPRODUCT(MAX(ROW(E4384:E$2)*(E4385=E4384:E$2)))))</f>
        <v> </v>
      </c>
      <c r="J4385" s="26" t="str">
        <f>IF(OR(E4385="",E4385="!!!",F4385="NEW"),"",COUNTBLANK(OFFSET(A$1,,,SUMPRODUCT(MAX(ROW(E$2:E4385)*(E4385=E$2:E4385)))))-COUNTBLANK(OFFSET(A$1,,,SUMPRODUCT(MAX(ROW(E$1:E4384)*(E2=E$1:E4384))))))</f>
        <v> </v>
      </c>
      <c r="K4385" s="26" t="str">
        <f>IF(OR(E4385="",E4385="!!!",F4385="NEW"),"",INDEX(J$1:J4384,SUMPRODUCT(MAX(ROW(E$1:E4384)*(E4385=E$1:E4384)))))</f>
        <v> </v>
      </c>
      <c r="L4385" s="27"/>
    </row>
    <row r="4386" spans="1:12">
      <c r="A4386" s="20" t="s">
        <v>1171</v>
      </c>
      <c r="E4386" s="22">
        <f>IF(D4386="?OLD","!!!","")</f>
        <v/>
      </c>
      <c r="F4386" s="23" t="str">
        <f>IF(OR(E4386="",E4386="!!!"),"",IF(NOT(ISNA(VLOOKUP(E4386,E$1:E4385,1,FALSE()))),"OLD",IF(AND(E4386&lt;&gt;"",E4386&lt;&gt;"!!!"),"NEW","")))</f>
        <v> </v>
      </c>
      <c r="G4386" s="24" t="str">
        <f>IF(OR(E4386="",E4386="!!!"),"",IF(OR(J4386=0,AND(J4386=1,K4386=1),AND(J4386=1,I4386="SBJ"),AND(J4386=1,I4386=0)),"?IN_FOCUS",IF(J4386&lt;=2,"?ACTIVATED",IF(J4386&lt;&gt;"","?FAMILIAR",IF(F4386="NEW",IF(ISNA(VLOOKUP(E4386,#REF!,1,FALSE())),"?TYPE_IDENTIFIABLE","?REFERENTIAL"),"_")))))</f>
        <v> </v>
      </c>
      <c r="H4386" s="25" t="str">
        <f>IF(J4386&lt;&gt;1,"",IF(I4386="SBJ","CB","?"))</f>
        <v> </v>
      </c>
      <c r="I4386" s="26" t="str">
        <f>IF(OR(E4386="",E4386="!!!",F4386="NEW"),"",INDEX(B4385:B$2,-1+SUMPRODUCT(MAX(ROW(E4385:E$2)*(E4386=E4385:E$2)))))</f>
        <v> </v>
      </c>
      <c r="J4386" s="26" t="str">
        <f>IF(OR(E4386="",E4386="!!!",F4386="NEW"),"",COUNTBLANK(OFFSET(A$1,,,SUMPRODUCT(MAX(ROW(E$2:E4386)*(E4386=E$2:E4386)))))-COUNTBLANK(OFFSET(A$1,,,SUMPRODUCT(MAX(ROW(E$1:E4385)*(E2=E$1:E4385))))))</f>
        <v> </v>
      </c>
      <c r="K4386" s="26" t="str">
        <f>IF(OR(E4386="",E4386="!!!",F4386="NEW"),"",INDEX(J$1:J4385,SUMPRODUCT(MAX(ROW(E$1:E4385)*(E4386=E$1:E4385)))))</f>
        <v> </v>
      </c>
      <c r="L4386" s="27"/>
    </row>
    <row r="4387" spans="1:12">
      <c r="A4387" s="20" t="s">
        <v>1101</v>
      </c>
      <c r="E4387" s="22">
        <f>IF(D4387="?OLD","!!!","")</f>
        <v/>
      </c>
      <c r="F4387" s="23" t="str">
        <f>IF(OR(E4387="",E4387="!!!"),"",IF(NOT(ISNA(VLOOKUP(E4387,E$1:E4386,1,FALSE()))),"OLD",IF(AND(E4387&lt;&gt;"",E4387&lt;&gt;"!!!"),"NEW","")))</f>
        <v> </v>
      </c>
      <c r="G4387" s="24" t="str">
        <f>IF(OR(E4387="",E4387="!!!"),"",IF(OR(J4387=0,AND(J4387=1,K4387=1),AND(J4387=1,I4387="SBJ"),AND(J4387=1,I4387=0)),"?IN_FOCUS",IF(J4387&lt;=2,"?ACTIVATED",IF(J4387&lt;&gt;"","?FAMILIAR",IF(F4387="NEW",IF(ISNA(VLOOKUP(E4387,#REF!,1,FALSE())),"?TYPE_IDENTIFIABLE","?REFERENTIAL"),"_")))))</f>
        <v> </v>
      </c>
      <c r="H4387" s="25" t="str">
        <f>IF(J4387&lt;&gt;1,"",IF(I4387="SBJ","CB","?"))</f>
        <v> </v>
      </c>
      <c r="I4387" s="26" t="str">
        <f>IF(OR(E4387="",E4387="!!!",F4387="NEW"),"",INDEX(B4386:B$2,-1+SUMPRODUCT(MAX(ROW(E4386:E$2)*(E4387=E4386:E$2)))))</f>
        <v> </v>
      </c>
      <c r="J4387" s="26" t="str">
        <f>IF(OR(E4387="",E4387="!!!",F4387="NEW"),"",COUNTBLANK(OFFSET(A$1,,,SUMPRODUCT(MAX(ROW(E$2:E4387)*(E4387=E$2:E4387)))))-COUNTBLANK(OFFSET(A$1,,,SUMPRODUCT(MAX(ROW(E$1:E4386)*(E2=E$1:E4386))))))</f>
        <v> </v>
      </c>
      <c r="K4387" s="26" t="str">
        <f>IF(OR(E4387="",E4387="!!!",F4387="NEW"),"",INDEX(J$1:J4386,SUMPRODUCT(MAX(ROW(E$1:E4386)*(E4387=E$1:E4386)))))</f>
        <v> </v>
      </c>
      <c r="L4387" s="27"/>
    </row>
    <row r="4388" spans="1:12">
      <c r="A4388" s="20" t="s">
        <v>2159</v>
      </c>
      <c r="B4388" s="21" t="s">
        <v>1099</v>
      </c>
      <c r="C4388" s="21" t="s">
        <v>1140</v>
      </c>
      <c r="D4388" s="21" t="s">
        <v>1060</v>
      </c>
      <c r="E4388" s="22">
        <f>IF(D4388="?OLD","!!!","")</f>
        <v/>
      </c>
      <c r="F4388" s="23" t="str">
        <f>IF(OR(E4388="",E4388="!!!"),"",IF(NOT(ISNA(VLOOKUP(E4388,E$1:E4387,1,FALSE()))),"OLD",IF(AND(E4388&lt;&gt;"",E4388&lt;&gt;"!!!"),"NEW","")))</f>
        <v> </v>
      </c>
      <c r="G4388" s="24" t="str">
        <f>IF(OR(E4388="",E4388="!!!"),"",IF(OR(J4388=0,AND(J4388=1,K4388=1),AND(J4388=1,I4388="SBJ"),AND(J4388=1,I4388=0)),"?IN_FOCUS",IF(J4388&lt;=2,"?ACTIVATED",IF(J4388&lt;&gt;"","?FAMILIAR",IF(F4388="NEW",IF(ISNA(VLOOKUP(E4388,#REF!,1,FALSE())),"?TYPE_IDENTIFIABLE","?REFERENTIAL"),"_")))))</f>
        <v> </v>
      </c>
      <c r="H4388" s="25" t="str">
        <f>IF(J4388&lt;&gt;1,"",IF(I4388="SBJ","CB","?"))</f>
        <v> </v>
      </c>
      <c r="I4388" s="26" t="str">
        <f>IF(OR(E4388="",E4388="!!!",F4388="NEW"),"",INDEX(B4387:B$2,-1+SUMPRODUCT(MAX(ROW(E4387:E$2)*(E4388=E4387:E$2)))))</f>
        <v> </v>
      </c>
      <c r="J4388" s="26" t="str">
        <f>IF(OR(E4388="",E4388="!!!",F4388="NEW"),"",COUNTBLANK(OFFSET(A$1,,,SUMPRODUCT(MAX(ROW(E$2:E4388)*(E4388=E$2:E4388)))))-COUNTBLANK(OFFSET(A$1,,,SUMPRODUCT(MAX(ROW(E$1:E4387)*(E2=E$1:E4387))))))</f>
        <v> </v>
      </c>
      <c r="K4388" s="26" t="str">
        <f>IF(OR(E4388="",E4388="!!!",F4388="NEW"),"",INDEX(J$1:J4387,SUMPRODUCT(MAX(ROW(E$1:E4387)*(E4388=E$1:E4387)))))</f>
        <v> </v>
      </c>
      <c r="L4388" s="27"/>
    </row>
    <row r="4389" spans="1:12">
      <c r="A4389" s="20" t="s">
        <v>1734</v>
      </c>
      <c r="B4389" s="21" t="s">
        <v>1518</v>
      </c>
      <c r="E4389" s="22">
        <f>IF(D4389="?OLD","!!!","")</f>
        <v/>
      </c>
      <c r="F4389" s="23" t="str">
        <f>IF(OR(E4389="",E4389="!!!"),"",IF(NOT(ISNA(VLOOKUP(E4389,E$1:E4388,1,FALSE()))),"OLD",IF(AND(E4389&lt;&gt;"",E4389&lt;&gt;"!!!"),"NEW","")))</f>
        <v> </v>
      </c>
      <c r="G4389" s="24" t="str">
        <f>IF(OR(E4389="",E4389="!!!"),"",IF(OR(J4389=0,AND(J4389=1,K4389=1),AND(J4389=1,I4389="SBJ"),AND(J4389=1,I4389=0)),"?IN_FOCUS",IF(J4389&lt;=2,"?ACTIVATED",IF(J4389&lt;&gt;"","?FAMILIAR",IF(F4389="NEW",IF(ISNA(VLOOKUP(E4389,#REF!,1,FALSE())),"?TYPE_IDENTIFIABLE","?REFERENTIAL"),"_")))))</f>
        <v> </v>
      </c>
      <c r="H4389" s="25" t="str">
        <f>IF(J4389&lt;&gt;1,"",IF(I4389="SBJ","CB","?"))</f>
        <v> </v>
      </c>
      <c r="I4389" s="26" t="str">
        <f>IF(OR(E4389="",E4389="!!!",F4389="NEW"),"",INDEX(B4388:B$2,-1+SUMPRODUCT(MAX(ROW(E4388:E$2)*(E4389=E4388:E$2)))))</f>
        <v> </v>
      </c>
      <c r="J4389" s="26" t="str">
        <f>IF(OR(E4389="",E4389="!!!",F4389="NEW"),"",COUNTBLANK(OFFSET(A$1,,,SUMPRODUCT(MAX(ROW(E$2:E4389)*(E4389=E$2:E4389)))))-COUNTBLANK(OFFSET(A$1,,,SUMPRODUCT(MAX(ROW(E$1:E4388)*(E2=E$1:E4388))))))</f>
        <v> </v>
      </c>
      <c r="K4389" s="26" t="str">
        <f>IF(OR(E4389="",E4389="!!!",F4389="NEW"),"",INDEX(J$1:J4388,SUMPRODUCT(MAX(ROW(E$1:E4388)*(E4389=E$1:E4388)))))</f>
        <v> </v>
      </c>
      <c r="L4389" s="27"/>
    </row>
    <row r="4390" spans="1:12">
      <c r="A4390" s="20" t="s">
        <v>1083</v>
      </c>
      <c r="B4390" s="21" t="s">
        <v>1187</v>
      </c>
      <c r="C4390" s="21" t="s">
        <v>1076</v>
      </c>
      <c r="D4390" s="21" t="s">
        <v>1060</v>
      </c>
      <c r="E4390" s="22">
        <f>IF(D4390="?OLD","!!!","")</f>
        <v/>
      </c>
      <c r="F4390" s="23" t="str">
        <f>IF(OR(E4390="",E4390="!!!"),"",IF(NOT(ISNA(VLOOKUP(E4390,E$1:E4389,1,FALSE()))),"OLD",IF(AND(E4390&lt;&gt;"",E4390&lt;&gt;"!!!"),"NEW","")))</f>
        <v> </v>
      </c>
      <c r="G4390" s="24" t="str">
        <f>IF(OR(E4390="",E4390="!!!"),"",IF(OR(J4390=0,AND(J4390=1,K4390=1),AND(J4390=1,I4390="SBJ"),AND(J4390=1,I4390=0)),"?IN_FOCUS",IF(J4390&lt;=2,"?ACTIVATED",IF(J4390&lt;&gt;"","?FAMILIAR",IF(F4390="NEW",IF(ISNA(VLOOKUP(E4390,#REF!,1,FALSE())),"?TYPE_IDENTIFIABLE","?REFERENTIAL"),"_")))))</f>
        <v> </v>
      </c>
      <c r="H4390" s="25" t="str">
        <f>IF(J4390&lt;&gt;1,"",IF(I4390="SBJ","CB","?"))</f>
        <v> </v>
      </c>
      <c r="I4390" s="26" t="str">
        <f>IF(OR(E4390="",E4390="!!!",F4390="NEW"),"",INDEX(B4389:B$2,-1+SUMPRODUCT(MAX(ROW(E4389:E$2)*(E4390=E4389:E$2)))))</f>
        <v> </v>
      </c>
      <c r="J4390" s="26" t="str">
        <f>IF(OR(E4390="",E4390="!!!",F4390="NEW"),"",COUNTBLANK(OFFSET(A$1,,,SUMPRODUCT(MAX(ROW(E$2:E4390)*(E4390=E$2:E4390)))))-COUNTBLANK(OFFSET(A$1,,,SUMPRODUCT(MAX(ROW(E$1:E4389)*(E2=E$1:E4389))))))</f>
        <v> </v>
      </c>
      <c r="K4390" s="26" t="str">
        <f>IF(OR(E4390="",E4390="!!!",F4390="NEW"),"",INDEX(J$1:J4389,SUMPRODUCT(MAX(ROW(E$1:E4389)*(E4390=E$1:E4389)))))</f>
        <v> </v>
      </c>
      <c r="L4390" s="27"/>
    </row>
    <row r="4391" spans="1:12">
      <c r="A4391" s="20" t="s">
        <v>1152</v>
      </c>
      <c r="E4391" s="22">
        <f>IF(D4391="?OLD","!!!","")</f>
        <v/>
      </c>
      <c r="F4391" s="23" t="str">
        <f>IF(OR(E4391="",E4391="!!!"),"",IF(NOT(ISNA(VLOOKUP(E4391,E$1:E4390,1,FALSE()))),"OLD",IF(AND(E4391&lt;&gt;"",E4391&lt;&gt;"!!!"),"NEW","")))</f>
        <v> </v>
      </c>
      <c r="G4391" s="24" t="str">
        <f>IF(OR(E4391="",E4391="!!!"),"",IF(OR(J4391=0,AND(J4391=1,K4391=1),AND(J4391=1,I4391="SBJ"),AND(J4391=1,I4391=0)),"?IN_FOCUS",IF(J4391&lt;=2,"?ACTIVATED",IF(J4391&lt;&gt;"","?FAMILIAR",IF(F4391="NEW",IF(ISNA(VLOOKUP(E4391,#REF!,1,FALSE())),"?TYPE_IDENTIFIABLE","?REFERENTIAL"),"_")))))</f>
        <v> </v>
      </c>
      <c r="H4391" s="25" t="str">
        <f>IF(J4391&lt;&gt;1,"",IF(I4391="SBJ","CB","?"))</f>
        <v> </v>
      </c>
      <c r="I4391" s="26" t="str">
        <f>IF(OR(E4391="",E4391="!!!",F4391="NEW"),"",INDEX(B4390:B$2,-1+SUMPRODUCT(MAX(ROW(E4390:E$2)*(E4391=E4390:E$2)))))</f>
        <v> </v>
      </c>
      <c r="J4391" s="26" t="str">
        <f>IF(OR(E4391="",E4391="!!!",F4391="NEW"),"",COUNTBLANK(OFFSET(A$1,,,SUMPRODUCT(MAX(ROW(E$2:E4391)*(E4391=E$2:E4391)))))-COUNTBLANK(OFFSET(A$1,,,SUMPRODUCT(MAX(ROW(E$1:E4390)*(E2=E$1:E4390))))))</f>
        <v> </v>
      </c>
      <c r="K4391" s="26" t="str">
        <f>IF(OR(E4391="",E4391="!!!",F4391="NEW"),"",INDEX(J$1:J4390,SUMPRODUCT(MAX(ROW(E$1:E4390)*(E4391=E$1:E4390)))))</f>
        <v> </v>
      </c>
      <c r="L4391" s="27"/>
    </row>
    <row r="4392" spans="1:12">
      <c r="A4392" s="20" t="s">
        <v>1116</v>
      </c>
      <c r="E4392" s="22">
        <f>IF(D4392="?OLD","!!!","")</f>
        <v/>
      </c>
      <c r="F4392" s="23" t="str">
        <f>IF(OR(E4392="",E4392="!!!"),"",IF(NOT(ISNA(VLOOKUP(E4392,E$1:E4391,1,FALSE()))),"OLD",IF(AND(E4392&lt;&gt;"",E4392&lt;&gt;"!!!"),"NEW","")))</f>
        <v> </v>
      </c>
      <c r="G4392" s="24" t="str">
        <f>IF(OR(E4392="",E4392="!!!"),"",IF(OR(J4392=0,AND(J4392=1,K4392=1),AND(J4392=1,I4392="SBJ"),AND(J4392=1,I4392=0)),"?IN_FOCUS",IF(J4392&lt;=2,"?ACTIVATED",IF(J4392&lt;&gt;"","?FAMILIAR",IF(F4392="NEW",IF(ISNA(VLOOKUP(E4392,#REF!,1,FALSE())),"?TYPE_IDENTIFIABLE","?REFERENTIAL"),"_")))))</f>
        <v> </v>
      </c>
      <c r="H4392" s="25" t="str">
        <f>IF(J4392&lt;&gt;1,"",IF(I4392="SBJ","CB","?"))</f>
        <v> </v>
      </c>
      <c r="I4392" s="26" t="str">
        <f>IF(OR(E4392="",E4392="!!!",F4392="NEW"),"",INDEX(B4391:B$2,-1+SUMPRODUCT(MAX(ROW(E4391:E$2)*(E4392=E4391:E$2)))))</f>
        <v> </v>
      </c>
      <c r="J4392" s="26" t="str">
        <f>IF(OR(E4392="",E4392="!!!",F4392="NEW"),"",COUNTBLANK(OFFSET(A$1,,,SUMPRODUCT(MAX(ROW(E$2:E4392)*(E4392=E$2:E4392)))))-COUNTBLANK(OFFSET(A$1,,,SUMPRODUCT(MAX(ROW(E$1:E4391)*(E2=E$1:E4391))))))</f>
        <v> </v>
      </c>
      <c r="K4392" s="26" t="str">
        <f>IF(OR(E4392="",E4392="!!!",F4392="NEW"),"",INDEX(J$1:J4391,SUMPRODUCT(MAX(ROW(E$1:E4391)*(E4392=E$1:E4391)))))</f>
        <v> </v>
      </c>
      <c r="L4392" s="27"/>
    </row>
    <row r="4393" spans="1:12">
      <c r="A4393" s="20" t="s">
        <v>923</v>
      </c>
      <c r="E4393" s="22">
        <f>IF(D4393="?OLD","!!!","")</f>
        <v/>
      </c>
      <c r="F4393" s="23" t="str">
        <f>IF(OR(E4393="",E4393="!!!"),"",IF(NOT(ISNA(VLOOKUP(E4393,E$1:E4392,1,FALSE()))),"OLD",IF(AND(E4393&lt;&gt;"",E4393&lt;&gt;"!!!"),"NEW","")))</f>
        <v> </v>
      </c>
      <c r="G4393" s="24" t="str">
        <f>IF(OR(E4393="",E4393="!!!"),"",IF(OR(J4393=0,AND(J4393=1,K4393=1),AND(J4393=1,I4393="SBJ"),AND(J4393=1,I4393=0)),"?IN_FOCUS",IF(J4393&lt;=2,"?ACTIVATED",IF(J4393&lt;&gt;"","?FAMILIAR",IF(F4393="NEW",IF(ISNA(VLOOKUP(E4393,#REF!,1,FALSE())),"?TYPE_IDENTIFIABLE","?REFERENTIAL"),"_")))))</f>
        <v> </v>
      </c>
      <c r="H4393" s="25" t="str">
        <f>IF(J4393&lt;&gt;1,"",IF(I4393="SBJ","CB","?"))</f>
        <v> </v>
      </c>
      <c r="I4393" s="26" t="str">
        <f>IF(OR(E4393="",E4393="!!!",F4393="NEW"),"",INDEX(B4392:B$2,-1+SUMPRODUCT(MAX(ROW(E4392:E$2)*(E4393=E4392:E$2)))))</f>
        <v> </v>
      </c>
      <c r="J4393" s="26" t="str">
        <f>IF(OR(E4393="",E4393="!!!",F4393="NEW"),"",COUNTBLANK(OFFSET(A$1,,,SUMPRODUCT(MAX(ROW(E$2:E4393)*(E4393=E$2:E4393)))))-COUNTBLANK(OFFSET(A$1,,,SUMPRODUCT(MAX(ROW(E$1:E4392)*(E2=E$1:E4392))))))</f>
        <v> </v>
      </c>
      <c r="K4393" s="26" t="str">
        <f>IF(OR(E4393="",E4393="!!!",F4393="NEW"),"",INDEX(J$1:J4392,SUMPRODUCT(MAX(ROW(E$1:E4392)*(E4393=E$1:E4392)))))</f>
        <v> </v>
      </c>
      <c r="L4393" s="27"/>
    </row>
    <row r="4394" spans="1:12">
      <c r="A4394" s="20"/>
    </row>
    <row r="4395" spans="1:12">
      <c r="A4395" s="20" t="s">
        <v>2315</v>
      </c>
    </row>
    <row r="4396" spans="1:12">
      <c r="A4396" s="20" t="s">
        <v>1779</v>
      </c>
      <c r="E4396" s="22">
        <f>IF(D4396="?OLD","!!!","")</f>
        <v/>
      </c>
      <c r="F4396" s="23" t="str">
        <f>IF(OR(E4396="",E4396="!!!"),"",IF(NOT(ISNA(VLOOKUP(E4396,E$1:E4395,1,FALSE()))),"OLD",IF(AND(E4396&lt;&gt;"",E4396&lt;&gt;"!!!"),"NEW","")))</f>
        <v> </v>
      </c>
      <c r="G4396" s="24" t="str">
        <f>IF(OR(E4396="",E4396="!!!"),"",IF(OR(J4396=0,AND(J4396=1,K4396=1),AND(J4396=1,I4396="SBJ"),AND(J4396=1,I4396=0)),"?IN_FOCUS",IF(J4396&lt;=2,"?ACTIVATED",IF(J4396&lt;&gt;"","?FAMILIAR",IF(F4396="NEW",IF(ISNA(VLOOKUP(E4396,#REF!,1,FALSE())),"?TYPE_IDENTIFIABLE","?REFERENTIAL"),"_")))))</f>
        <v> </v>
      </c>
      <c r="H4396" s="25" t="str">
        <f>IF(J4396&lt;&gt;1,"",IF(I4396="SBJ","CB","?"))</f>
        <v> </v>
      </c>
      <c r="I4396" s="26" t="str">
        <f>IF(OR(E4396="",E4396="!!!",F4396="NEW"),"",INDEX(B4395:B$2,-1+SUMPRODUCT(MAX(ROW(E4395:E$2)*(E4396=E4395:E$2)))))</f>
        <v> </v>
      </c>
      <c r="J4396" s="26" t="str">
        <f>IF(OR(E4396="",E4396="!!!",F4396="NEW"),"",COUNTBLANK(OFFSET(A$1,,,SUMPRODUCT(MAX(ROW(E$2:E4396)*(E4396=E$2:E4396)))))-COUNTBLANK(OFFSET(A$1,,,SUMPRODUCT(MAX(ROW(E$1:E4395)*(E2=E$1:E4395))))))</f>
        <v> </v>
      </c>
      <c r="K4396" s="26" t="str">
        <f>IF(OR(E4396="",E4396="!!!",F4396="NEW"),"",INDEX(J$1:J4395,SUMPRODUCT(MAX(ROW(E$1:E4395)*(E4396=E$1:E4395)))))</f>
        <v> </v>
      </c>
      <c r="L4396" s="27"/>
    </row>
    <row r="4397" spans="1:12">
      <c r="A4397" s="20" t="s">
        <v>1101</v>
      </c>
      <c r="E4397" s="22">
        <f>IF(D4397="?OLD","!!!","")</f>
        <v/>
      </c>
      <c r="F4397" s="23" t="str">
        <f>IF(OR(E4397="",E4397="!!!"),"",IF(NOT(ISNA(VLOOKUP(E4397,E$1:E4396,1,FALSE()))),"OLD",IF(AND(E4397&lt;&gt;"",E4397&lt;&gt;"!!!"),"NEW","")))</f>
        <v> </v>
      </c>
      <c r="G4397" s="24" t="str">
        <f>IF(OR(E4397="",E4397="!!!"),"",IF(OR(J4397=0,AND(J4397=1,K4397=1),AND(J4397=1,I4397="SBJ"),AND(J4397=1,I4397=0)),"?IN_FOCUS",IF(J4397&lt;=2,"?ACTIVATED",IF(J4397&lt;&gt;"","?FAMILIAR",IF(F4397="NEW",IF(ISNA(VLOOKUP(E4397,#REF!,1,FALSE())),"?TYPE_IDENTIFIABLE","?REFERENTIAL"),"_")))))</f>
        <v> </v>
      </c>
      <c r="H4397" s="25" t="str">
        <f>IF(J4397&lt;&gt;1,"",IF(I4397="SBJ","CB","?"))</f>
        <v> </v>
      </c>
      <c r="I4397" s="26" t="str">
        <f>IF(OR(E4397="",E4397="!!!",F4397="NEW"),"",INDEX(B4396:B$2,-1+SUMPRODUCT(MAX(ROW(E4396:E$2)*(E4397=E4396:E$2)))))</f>
        <v> </v>
      </c>
      <c r="J4397" s="26" t="str">
        <f>IF(OR(E4397="",E4397="!!!",F4397="NEW"),"",COUNTBLANK(OFFSET(A$1,,,SUMPRODUCT(MAX(ROW(E$2:E4397)*(E4397=E$2:E4397)))))-COUNTBLANK(OFFSET(A$1,,,SUMPRODUCT(MAX(ROW(E$1:E4396)*(E2=E$1:E4396))))))</f>
        <v> </v>
      </c>
      <c r="K4397" s="26" t="str">
        <f>IF(OR(E4397="",E4397="!!!",F4397="NEW"),"",INDEX(J$1:J4396,SUMPRODUCT(MAX(ROW(E$1:E4396)*(E4397=E$1:E4396)))))</f>
        <v> </v>
      </c>
      <c r="L4397" s="27"/>
    </row>
    <row r="4398" spans="1:12">
      <c r="A4398" s="20" t="s">
        <v>2316</v>
      </c>
      <c r="B4398" s="21" t="s">
        <v>1058</v>
      </c>
      <c r="C4398" s="21" t="s">
        <v>1059</v>
      </c>
      <c r="D4398" s="21" t="s">
        <v>1060</v>
      </c>
      <c r="E4398" s="22">
        <f>IF(D4398="?OLD","!!!","")</f>
        <v/>
      </c>
      <c r="F4398" s="23" t="str">
        <f>IF(OR(E4398="",E4398="!!!"),"",IF(NOT(ISNA(VLOOKUP(E4398,E$1:E4397,1,FALSE()))),"OLD",IF(AND(E4398&lt;&gt;"",E4398&lt;&gt;"!!!"),"NEW","")))</f>
        <v> </v>
      </c>
      <c r="G4398" s="24" t="str">
        <f>IF(OR(E4398="",E4398="!!!"),"",IF(OR(J4398=0,AND(J4398=1,K4398=1),AND(J4398=1,I4398="SBJ"),AND(J4398=1,I4398=0)),"?IN_FOCUS",IF(J4398&lt;=2,"?ACTIVATED",IF(J4398&lt;&gt;"","?FAMILIAR",IF(F4398="NEW",IF(ISNA(VLOOKUP(E4398,#REF!,1,FALSE())),"?TYPE_IDENTIFIABLE","?REFERENTIAL"),"_")))))</f>
        <v> </v>
      </c>
      <c r="H4398" s="25" t="str">
        <f>IF(J4398&lt;&gt;1,"",IF(I4398="SBJ","CB","?"))</f>
        <v> </v>
      </c>
      <c r="I4398" s="26" t="str">
        <f>IF(OR(E4398="",E4398="!!!",F4398="NEW"),"",INDEX(B4397:B$2,-1+SUMPRODUCT(MAX(ROW(E4397:E$2)*(E4398=E4397:E$2)))))</f>
        <v> </v>
      </c>
      <c r="J4398" s="26" t="str">
        <f>IF(OR(E4398="",E4398="!!!",F4398="NEW"),"",COUNTBLANK(OFFSET(A$1,,,SUMPRODUCT(MAX(ROW(E$2:E4398)*(E4398=E$2:E4398)))))-COUNTBLANK(OFFSET(A$1,,,SUMPRODUCT(MAX(ROW(E$1:E4397)*(E2=E$1:E4397))))))</f>
        <v> </v>
      </c>
      <c r="K4398" s="26" t="str">
        <f>IF(OR(E4398="",E4398="!!!",F4398="NEW"),"",INDEX(J$1:J4397,SUMPRODUCT(MAX(ROW(E$1:E4397)*(E4398=E$1:E4397)))))</f>
        <v> </v>
      </c>
      <c r="L4398" s="27"/>
    </row>
    <row r="4399" spans="1:12">
      <c r="A4399" s="20" t="s">
        <v>1061</v>
      </c>
      <c r="E4399" s="22">
        <f>IF(D4399="?OLD","!!!","")</f>
        <v/>
      </c>
      <c r="F4399" s="23" t="str">
        <f>IF(OR(E4399="",E4399="!!!"),"",IF(NOT(ISNA(VLOOKUP(E4399,E$1:E4398,1,FALSE()))),"OLD",IF(AND(E4399&lt;&gt;"",E4399&lt;&gt;"!!!"),"NEW","")))</f>
        <v> </v>
      </c>
      <c r="G4399" s="24" t="str">
        <f>IF(OR(E4399="",E4399="!!!"),"",IF(OR(J4399=0,AND(J4399=1,K4399=1),AND(J4399=1,I4399="SBJ"),AND(J4399=1,I4399=0)),"?IN_FOCUS",IF(J4399&lt;=2,"?ACTIVATED",IF(J4399&lt;&gt;"","?FAMILIAR",IF(F4399="NEW",IF(ISNA(VLOOKUP(E4399,#REF!,1,FALSE())),"?TYPE_IDENTIFIABLE","?REFERENTIAL"),"_")))))</f>
        <v> </v>
      </c>
      <c r="H4399" s="25" t="str">
        <f>IF(J4399&lt;&gt;1,"",IF(I4399="SBJ","CB","?"))</f>
        <v> </v>
      </c>
      <c r="I4399" s="26" t="str">
        <f>IF(OR(E4399="",E4399="!!!",F4399="NEW"),"",INDEX(B4398:B$2,-1+SUMPRODUCT(MAX(ROW(E4398:E$2)*(E4399=E4398:E$2)))))</f>
        <v> </v>
      </c>
      <c r="J4399" s="26" t="str">
        <f>IF(OR(E4399="",E4399="!!!",F4399="NEW"),"",COUNTBLANK(OFFSET(A$1,,,SUMPRODUCT(MAX(ROW(E$2:E4399)*(E4399=E$2:E4399)))))-COUNTBLANK(OFFSET(A$1,,,SUMPRODUCT(MAX(ROW(E$1:E4398)*(E2=E$1:E4398))))))</f>
        <v> </v>
      </c>
      <c r="K4399" s="26" t="str">
        <f>IF(OR(E4399="",E4399="!!!",F4399="NEW"),"",INDEX(J$1:J4398,SUMPRODUCT(MAX(ROW(E$1:E4398)*(E4399=E$1:E4398)))))</f>
        <v> </v>
      </c>
      <c r="L4399" s="27"/>
    </row>
    <row r="4400" spans="1:12">
      <c r="A4400" s="20" t="s">
        <v>1101</v>
      </c>
      <c r="E4400" s="22">
        <f>IF(D4400="?OLD","!!!","")</f>
        <v/>
      </c>
      <c r="F4400" s="23" t="str">
        <f>IF(OR(E4400="",E4400="!!!"),"",IF(NOT(ISNA(VLOOKUP(E4400,E$1:E4399,1,FALSE()))),"OLD",IF(AND(E4400&lt;&gt;"",E4400&lt;&gt;"!!!"),"NEW","")))</f>
        <v> </v>
      </c>
      <c r="G4400" s="24" t="str">
        <f>IF(OR(E4400="",E4400="!!!"),"",IF(OR(J4400=0,AND(J4400=1,K4400=1),AND(J4400=1,I4400="SBJ"),AND(J4400=1,I4400=0)),"?IN_FOCUS",IF(J4400&lt;=2,"?ACTIVATED",IF(J4400&lt;&gt;"","?FAMILIAR",IF(F4400="NEW",IF(ISNA(VLOOKUP(E4400,#REF!,1,FALSE())),"?TYPE_IDENTIFIABLE","?REFERENTIAL"),"_")))))</f>
        <v> </v>
      </c>
      <c r="H4400" s="25" t="str">
        <f>IF(J4400&lt;&gt;1,"",IF(I4400="SBJ","CB","?"))</f>
        <v> </v>
      </c>
      <c r="I4400" s="26" t="str">
        <f>IF(OR(E4400="",E4400="!!!",F4400="NEW"),"",INDEX(B4399:B$2,-1+SUMPRODUCT(MAX(ROW(E4399:E$2)*(E4400=E4399:E$2)))))</f>
        <v> </v>
      </c>
      <c r="J4400" s="26" t="str">
        <f>IF(OR(E4400="",E4400="!!!",F4400="NEW"),"",COUNTBLANK(OFFSET(A$1,,,SUMPRODUCT(MAX(ROW(E$2:E4400)*(E4400=E$2:E4400)))))-COUNTBLANK(OFFSET(A$1,,,SUMPRODUCT(MAX(ROW(E$1:E4399)*(E2=E$1:E4399))))))</f>
        <v> </v>
      </c>
      <c r="K4400" s="26" t="str">
        <f>IF(OR(E4400="",E4400="!!!",F4400="NEW"),"",INDEX(J$1:J4399,SUMPRODUCT(MAX(ROW(E$1:E4399)*(E4400=E$1:E4399)))))</f>
        <v> </v>
      </c>
      <c r="L4400" s="27"/>
    </row>
    <row r="4401" spans="1:12">
      <c r="A4401" s="20" t="s">
        <v>1590</v>
      </c>
      <c r="B4401" s="21" t="s">
        <v>1064</v>
      </c>
      <c r="C4401" s="21" t="s">
        <v>1140</v>
      </c>
      <c r="D4401" s="21" t="s">
        <v>1060</v>
      </c>
      <c r="E4401" s="22">
        <f>IF(D4401="?OLD","!!!","")</f>
        <v/>
      </c>
      <c r="F4401" s="23" t="str">
        <f>IF(OR(E4401="",E4401="!!!"),"",IF(NOT(ISNA(VLOOKUP(E4401,E$1:E4400,1,FALSE()))),"OLD",IF(AND(E4401&lt;&gt;"",E4401&lt;&gt;"!!!"),"NEW","")))</f>
        <v> </v>
      </c>
      <c r="G4401" s="24" t="str">
        <f>IF(OR(E4401="",E4401="!!!"),"",IF(OR(J4401=0,AND(J4401=1,K4401=1),AND(J4401=1,I4401="SBJ"),AND(J4401=1,I4401=0)),"?IN_FOCUS",IF(J4401&lt;=2,"?ACTIVATED",IF(J4401&lt;&gt;"","?FAMILIAR",IF(F4401="NEW",IF(ISNA(VLOOKUP(E4401,#REF!,1,FALSE())),"?TYPE_IDENTIFIABLE","?REFERENTIAL"),"_")))))</f>
        <v> </v>
      </c>
      <c r="H4401" s="25" t="str">
        <f>IF(J4401&lt;&gt;1,"",IF(I4401="SBJ","CB","?"))</f>
        <v> </v>
      </c>
      <c r="I4401" s="26" t="str">
        <f>IF(OR(E4401="",E4401="!!!",F4401="NEW"),"",INDEX(B4400:B$2,-1+SUMPRODUCT(MAX(ROW(E4400:E$2)*(E4401=E4400:E$2)))))</f>
        <v> </v>
      </c>
      <c r="J4401" s="26" t="str">
        <f>IF(OR(E4401="",E4401="!!!",F4401="NEW"),"",COUNTBLANK(OFFSET(A$1,,,SUMPRODUCT(MAX(ROW(E$2:E4401)*(E4401=E$2:E4401)))))-COUNTBLANK(OFFSET(A$1,,,SUMPRODUCT(MAX(ROW(E$1:E4400)*(E2=E$1:E4400))))))</f>
        <v> </v>
      </c>
      <c r="K4401" s="26" t="str">
        <f>IF(OR(E4401="",E4401="!!!",F4401="NEW"),"",INDEX(J$1:J4400,SUMPRODUCT(MAX(ROW(E$1:E4400)*(E4401=E$1:E4400)))))</f>
        <v> </v>
      </c>
      <c r="L4401" s="27"/>
    </row>
    <row r="4402" spans="1:12">
      <c r="A4402" s="20" t="s">
        <v>1066</v>
      </c>
      <c r="E4402" s="22">
        <f>IF(D4402="?OLD","!!!","")</f>
        <v/>
      </c>
      <c r="F4402" s="23" t="str">
        <f>IF(OR(E4402="",E4402="!!!"),"",IF(NOT(ISNA(VLOOKUP(E4402,E$1:E4401,1,FALSE()))),"OLD",IF(AND(E4402&lt;&gt;"",E4402&lt;&gt;"!!!"),"NEW","")))</f>
        <v> </v>
      </c>
      <c r="G4402" s="24" t="str">
        <f>IF(OR(E4402="",E4402="!!!"),"",IF(OR(J4402=0,AND(J4402=1,K4402=1),AND(J4402=1,I4402="SBJ"),AND(J4402=1,I4402=0)),"?IN_FOCUS",IF(J4402&lt;=2,"?ACTIVATED",IF(J4402&lt;&gt;"","?FAMILIAR",IF(F4402="NEW",IF(ISNA(VLOOKUP(E4402,#REF!,1,FALSE())),"?TYPE_IDENTIFIABLE","?REFERENTIAL"),"_")))))</f>
        <v> </v>
      </c>
      <c r="H4402" s="25" t="str">
        <f>IF(J4402&lt;&gt;1,"",IF(I4402="SBJ","CB","?"))</f>
        <v> </v>
      </c>
      <c r="I4402" s="26" t="str">
        <f>IF(OR(E4402="",E4402="!!!",F4402="NEW"),"",INDEX(B4401:B$2,-1+SUMPRODUCT(MAX(ROW(E4401:E$2)*(E4402=E4401:E$2)))))</f>
        <v> </v>
      </c>
      <c r="J4402" s="26" t="str">
        <f>IF(OR(E4402="",E4402="!!!",F4402="NEW"),"",COUNTBLANK(OFFSET(A$1,,,SUMPRODUCT(MAX(ROW(E$2:E4402)*(E4402=E$2:E4402)))))-COUNTBLANK(OFFSET(A$1,,,SUMPRODUCT(MAX(ROW(E$1:E4401)*(E2=E$1:E4401))))))</f>
        <v> </v>
      </c>
      <c r="K4402" s="26" t="str">
        <f>IF(OR(E4402="",E4402="!!!",F4402="NEW"),"",INDEX(J$1:J4401,SUMPRODUCT(MAX(ROW(E$1:E4401)*(E4402=E$1:E4401)))))</f>
        <v> </v>
      </c>
      <c r="L4402" s="27"/>
    </row>
    <row r="4403" spans="1:12">
      <c r="A4403" s="20" t="s">
        <v>2033</v>
      </c>
      <c r="B4403" s="21" t="s">
        <v>1068</v>
      </c>
      <c r="C4403" s="21" t="s">
        <v>1059</v>
      </c>
      <c r="D4403" s="21" t="s">
        <v>1060</v>
      </c>
      <c r="E4403" s="22">
        <f>IF(D4403="?OLD","!!!","")</f>
        <v/>
      </c>
      <c r="F4403" s="23" t="str">
        <f>IF(OR(E4403="",E4403="!!!"),"",IF(NOT(ISNA(VLOOKUP(E4403,E$1:E4402,1,FALSE()))),"OLD",IF(AND(E4403&lt;&gt;"",E4403&lt;&gt;"!!!"),"NEW","")))</f>
        <v> </v>
      </c>
      <c r="G4403" s="24" t="str">
        <f>IF(OR(E4403="",E4403="!!!"),"",IF(OR(J4403=0,AND(J4403=1,K4403=1),AND(J4403=1,I4403="SBJ"),AND(J4403=1,I4403=0)),"?IN_FOCUS",IF(J4403&lt;=2,"?ACTIVATED",IF(J4403&lt;&gt;"","?FAMILIAR",IF(F4403="NEW",IF(ISNA(VLOOKUP(E4403,#REF!,1,FALSE())),"?TYPE_IDENTIFIABLE","?REFERENTIAL"),"_")))))</f>
        <v> </v>
      </c>
      <c r="H4403" s="25" t="str">
        <f>IF(J4403&lt;&gt;1,"",IF(I4403="SBJ","CB","?"))</f>
        <v> </v>
      </c>
      <c r="I4403" s="26" t="str">
        <f>IF(OR(E4403="",E4403="!!!",F4403="NEW"),"",INDEX(B4402:B$2,-1+SUMPRODUCT(MAX(ROW(E4402:E$2)*(E4403=E4402:E$2)))))</f>
        <v> </v>
      </c>
      <c r="J4403" s="26" t="str">
        <f>IF(OR(E4403="",E4403="!!!",F4403="NEW"),"",COUNTBLANK(OFFSET(A$1,,,SUMPRODUCT(MAX(ROW(E$2:E4403)*(E4403=E$2:E4403)))))-COUNTBLANK(OFFSET(A$1,,,SUMPRODUCT(MAX(ROW(E$1:E4402)*(E2=E$1:E4402))))))</f>
        <v> </v>
      </c>
      <c r="K4403" s="26" t="str">
        <f>IF(OR(E4403="",E4403="!!!",F4403="NEW"),"",INDEX(J$1:J4402,SUMPRODUCT(MAX(ROW(E$1:E4402)*(E4403=E$1:E4402)))))</f>
        <v> </v>
      </c>
      <c r="L4403" s="27"/>
    </row>
    <row r="4404" spans="1:12">
      <c r="A4404" s="20" t="s">
        <v>1152</v>
      </c>
      <c r="E4404" s="22">
        <f>IF(D4404="?OLD","!!!","")</f>
        <v/>
      </c>
      <c r="F4404" s="23" t="str">
        <f>IF(OR(E4404="",E4404="!!!"),"",IF(NOT(ISNA(VLOOKUP(E4404,E$1:E4403,1,FALSE()))),"OLD",IF(AND(E4404&lt;&gt;"",E4404&lt;&gt;"!!!"),"NEW","")))</f>
        <v> </v>
      </c>
      <c r="G4404" s="24" t="str">
        <f>IF(OR(E4404="",E4404="!!!"),"",IF(OR(J4404=0,AND(J4404=1,K4404=1),AND(J4404=1,I4404="SBJ"),AND(J4404=1,I4404=0)),"?IN_FOCUS",IF(J4404&lt;=2,"?ACTIVATED",IF(J4404&lt;&gt;"","?FAMILIAR",IF(F4404="NEW",IF(ISNA(VLOOKUP(E4404,#REF!,1,FALSE())),"?TYPE_IDENTIFIABLE","?REFERENTIAL"),"_")))))</f>
        <v> </v>
      </c>
      <c r="H4404" s="25" t="str">
        <f>IF(J4404&lt;&gt;1,"",IF(I4404="SBJ","CB","?"))</f>
        <v> </v>
      </c>
      <c r="I4404" s="26" t="str">
        <f>IF(OR(E4404="",E4404="!!!",F4404="NEW"),"",INDEX(B4403:B$2,-1+SUMPRODUCT(MAX(ROW(E4403:E$2)*(E4404=E4403:E$2)))))</f>
        <v> </v>
      </c>
      <c r="J4404" s="26" t="str">
        <f>IF(OR(E4404="",E4404="!!!",F4404="NEW"),"",COUNTBLANK(OFFSET(A$1,,,SUMPRODUCT(MAX(ROW(E$2:E4404)*(E4404=E$2:E4404)))))-COUNTBLANK(OFFSET(A$1,,,SUMPRODUCT(MAX(ROW(E$1:E4403)*(E2=E$1:E4403))))))</f>
        <v> </v>
      </c>
      <c r="K4404" s="26" t="str">
        <f>IF(OR(E4404="",E4404="!!!",F4404="NEW"),"",INDEX(J$1:J4403,SUMPRODUCT(MAX(ROW(E$1:E4403)*(E4404=E$1:E4403)))))</f>
        <v> </v>
      </c>
      <c r="L4404" s="27"/>
    </row>
    <row r="4405" spans="1:12">
      <c r="A4405" s="20" t="s">
        <v>2317</v>
      </c>
      <c r="E4405" s="22">
        <f>IF(D4405="?OLD","!!!","")</f>
        <v/>
      </c>
      <c r="F4405" s="23" t="str">
        <f>IF(OR(E4405="",E4405="!!!"),"",IF(NOT(ISNA(VLOOKUP(E4405,E$1:E4404,1,FALSE()))),"OLD",IF(AND(E4405&lt;&gt;"",E4405&lt;&gt;"!!!"),"NEW","")))</f>
        <v> </v>
      </c>
      <c r="G4405" s="24" t="str">
        <f>IF(OR(E4405="",E4405="!!!"),"",IF(OR(J4405=0,AND(J4405=1,K4405=1),AND(J4405=1,I4405="SBJ"),AND(J4405=1,I4405=0)),"?IN_FOCUS",IF(J4405&lt;=2,"?ACTIVATED",IF(J4405&lt;&gt;"","?FAMILIAR",IF(F4405="NEW",IF(ISNA(VLOOKUP(E4405,#REF!,1,FALSE())),"?TYPE_IDENTIFIABLE","?REFERENTIAL"),"_")))))</f>
        <v> </v>
      </c>
      <c r="H4405" s="25" t="str">
        <f>IF(J4405&lt;&gt;1,"",IF(I4405="SBJ","CB","?"))</f>
        <v> </v>
      </c>
      <c r="I4405" s="26" t="str">
        <f>IF(OR(E4405="",E4405="!!!",F4405="NEW"),"",INDEX(B4404:B$2,-1+SUMPRODUCT(MAX(ROW(E4404:E$2)*(E4405=E4404:E$2)))))</f>
        <v> </v>
      </c>
      <c r="J4405" s="26" t="str">
        <f>IF(OR(E4405="",E4405="!!!",F4405="NEW"),"",COUNTBLANK(OFFSET(A$1,,,SUMPRODUCT(MAX(ROW(E$2:E4405)*(E4405=E$2:E4405)))))-COUNTBLANK(OFFSET(A$1,,,SUMPRODUCT(MAX(ROW(E$1:E4404)*(E2=E$1:E4404))))))</f>
        <v> </v>
      </c>
      <c r="K4405" s="26" t="str">
        <f>IF(OR(E4405="",E4405="!!!",F4405="NEW"),"",INDEX(J$1:J4404,SUMPRODUCT(MAX(ROW(E$1:E4404)*(E4405=E$1:E4404)))))</f>
        <v> </v>
      </c>
      <c r="L4405" s="27"/>
    </row>
    <row r="4406" spans="1:12">
      <c r="A4406" s="20" t="s">
        <v>1090</v>
      </c>
      <c r="B4406" s="21" t="s">
        <v>1068</v>
      </c>
      <c r="C4406" s="21" t="s">
        <v>1092</v>
      </c>
      <c r="D4406" s="21" t="s">
        <v>1060</v>
      </c>
      <c r="E4406" s="22">
        <f>IF(D4406="?OLD","!!!","")</f>
        <v/>
      </c>
      <c r="F4406" s="23" t="str">
        <f>IF(OR(E4406="",E4406="!!!"),"",IF(NOT(ISNA(VLOOKUP(E4406,E$1:E4405,1,FALSE()))),"OLD",IF(AND(E4406&lt;&gt;"",E4406&lt;&gt;"!!!"),"NEW","")))</f>
        <v> </v>
      </c>
      <c r="G4406" s="24" t="str">
        <f>IF(OR(E4406="",E4406="!!!"),"",IF(OR(J4406=0,AND(J4406=1,K4406=1),AND(J4406=1,I4406="SBJ"),AND(J4406=1,I4406=0)),"?IN_FOCUS",IF(J4406&lt;=2,"?ACTIVATED",IF(J4406&lt;&gt;"","?FAMILIAR",IF(F4406="NEW",IF(ISNA(VLOOKUP(E4406,#REF!,1,FALSE())),"?TYPE_IDENTIFIABLE","?REFERENTIAL"),"_")))))</f>
        <v> </v>
      </c>
      <c r="H4406" s="25" t="str">
        <f>IF(J4406&lt;&gt;1,"",IF(I4406="SBJ","CB","?"))</f>
        <v> </v>
      </c>
      <c r="I4406" s="26" t="str">
        <f>IF(OR(E4406="",E4406="!!!",F4406="NEW"),"",INDEX(B4405:B$2,-1+SUMPRODUCT(MAX(ROW(E4405:E$2)*(E4406=E4405:E$2)))))</f>
        <v> </v>
      </c>
      <c r="J4406" s="26" t="str">
        <f>IF(OR(E4406="",E4406="!!!",F4406="NEW"),"",COUNTBLANK(OFFSET(A$1,,,SUMPRODUCT(MAX(ROW(E$2:E4406)*(E4406=E$2:E4406)))))-COUNTBLANK(OFFSET(A$1,,,SUMPRODUCT(MAX(ROW(E$1:E4405)*(E2=E$1:E4405))))))</f>
        <v> </v>
      </c>
      <c r="K4406" s="26" t="str">
        <f>IF(OR(E4406="",E4406="!!!",F4406="NEW"),"",INDEX(J$1:J4405,SUMPRODUCT(MAX(ROW(E$1:E4405)*(E4406=E$1:E4405)))))</f>
        <v> </v>
      </c>
      <c r="L4406" s="27"/>
    </row>
    <row r="4407" spans="1:12">
      <c r="A4407" s="20" t="s">
        <v>1192</v>
      </c>
      <c r="B4407" s="21" t="s">
        <v>1075</v>
      </c>
      <c r="C4407" s="21" t="s">
        <v>1059</v>
      </c>
      <c r="D4407" s="21" t="s">
        <v>1060</v>
      </c>
      <c r="E4407" s="22">
        <f>IF(D4407="?OLD","!!!","")</f>
        <v/>
      </c>
      <c r="F4407" s="23" t="str">
        <f>IF(OR(E4407="",E4407="!!!"),"",IF(NOT(ISNA(VLOOKUP(E4407,E$1:E4406,1,FALSE()))),"OLD",IF(AND(E4407&lt;&gt;"",E4407&lt;&gt;"!!!"),"NEW","")))</f>
        <v> </v>
      </c>
      <c r="G4407" s="24" t="str">
        <f>IF(OR(E4407="",E4407="!!!"),"",IF(OR(J4407=0,AND(J4407=1,K4407=1),AND(J4407=1,I4407="SBJ"),AND(J4407=1,I4407=0)),"?IN_FOCUS",IF(J4407&lt;=2,"?ACTIVATED",IF(J4407&lt;&gt;"","?FAMILIAR",IF(F4407="NEW",IF(ISNA(VLOOKUP(E4407,#REF!,1,FALSE())),"?TYPE_IDENTIFIABLE","?REFERENTIAL"),"_")))))</f>
        <v> </v>
      </c>
      <c r="H4407" s="25" t="str">
        <f>IF(J4407&lt;&gt;1,"",IF(I4407="SBJ","CB","?"))</f>
        <v> </v>
      </c>
      <c r="I4407" s="26" t="str">
        <f>IF(OR(E4407="",E4407="!!!",F4407="NEW"),"",INDEX(B4406:B$2,-1+SUMPRODUCT(MAX(ROW(E4406:E$2)*(E4407=E4406:E$2)))))</f>
        <v> </v>
      </c>
      <c r="J4407" s="26" t="str">
        <f>IF(OR(E4407="",E4407="!!!",F4407="NEW"),"",COUNTBLANK(OFFSET(A$1,,,SUMPRODUCT(MAX(ROW(E$2:E4407)*(E4407=E$2:E4407)))))-COUNTBLANK(OFFSET(A$1,,,SUMPRODUCT(MAX(ROW(E$1:E4406)*(E2=E$1:E4406))))))</f>
        <v> </v>
      </c>
      <c r="K4407" s="26" t="str">
        <f>IF(OR(E4407="",E4407="!!!",F4407="NEW"),"",INDEX(J$1:J4406,SUMPRODUCT(MAX(ROW(E$1:E4406)*(E4407=E$1:E4406)))))</f>
        <v> </v>
      </c>
      <c r="L4407" s="27"/>
    </row>
    <row r="4408" spans="1:12">
      <c r="A4408" s="20" t="s">
        <v>1070</v>
      </c>
      <c r="E4408" s="22">
        <f>IF(D4408="?OLD","!!!","")</f>
        <v/>
      </c>
      <c r="F4408" s="23" t="str">
        <f>IF(OR(E4408="",E4408="!!!"),"",IF(NOT(ISNA(VLOOKUP(E4408,E$1:E4407,1,FALSE()))),"OLD",IF(AND(E4408&lt;&gt;"",E4408&lt;&gt;"!!!"),"NEW","")))</f>
        <v> </v>
      </c>
      <c r="G4408" s="24" t="str">
        <f>IF(OR(E4408="",E4408="!!!"),"",IF(OR(J4408=0,AND(J4408=1,K4408=1),AND(J4408=1,I4408="SBJ"),AND(J4408=1,I4408=0)),"?IN_FOCUS",IF(J4408&lt;=2,"?ACTIVATED",IF(J4408&lt;&gt;"","?FAMILIAR",IF(F4408="NEW",IF(ISNA(VLOOKUP(E4408,#REF!,1,FALSE())),"?TYPE_IDENTIFIABLE","?REFERENTIAL"),"_")))))</f>
        <v> </v>
      </c>
      <c r="H4408" s="25" t="str">
        <f>IF(J4408&lt;&gt;1,"",IF(I4408="SBJ","CB","?"))</f>
        <v> </v>
      </c>
      <c r="I4408" s="26" t="str">
        <f>IF(OR(E4408="",E4408="!!!",F4408="NEW"),"",INDEX(B4407:B$2,-1+SUMPRODUCT(MAX(ROW(E4407:E$2)*(E4408=E4407:E$2)))))</f>
        <v> </v>
      </c>
      <c r="J4408" s="26" t="str">
        <f>IF(OR(E4408="",E4408="!!!",F4408="NEW"),"",COUNTBLANK(OFFSET(A$1,,,SUMPRODUCT(MAX(ROW(E$2:E4408)*(E4408=E$2:E4408)))))-COUNTBLANK(OFFSET(A$1,,,SUMPRODUCT(MAX(ROW(E$1:E4407)*(E2=E$1:E4407))))))</f>
        <v> </v>
      </c>
      <c r="K4408" s="26" t="str">
        <f>IF(OR(E4408="",E4408="!!!",F4408="NEW"),"",INDEX(J$1:J4407,SUMPRODUCT(MAX(ROW(E$1:E4407)*(E4408=E$1:E4407)))))</f>
        <v> </v>
      </c>
      <c r="L4408" s="27"/>
    </row>
    <row r="4409" spans="1:12">
      <c r="A4409" s="20" t="s">
        <v>1118</v>
      </c>
      <c r="E4409" s="22">
        <f>IF(D4409="?OLD","!!!","")</f>
        <v/>
      </c>
      <c r="F4409" s="23" t="str">
        <f>IF(OR(E4409="",E4409="!!!"),"",IF(NOT(ISNA(VLOOKUP(E4409,E$1:E4408,1,FALSE()))),"OLD",IF(AND(E4409&lt;&gt;"",E4409&lt;&gt;"!!!"),"NEW","")))</f>
        <v> </v>
      </c>
      <c r="G4409" s="24" t="str">
        <f>IF(OR(E4409="",E4409="!!!"),"",IF(OR(J4409=0,AND(J4409=1,K4409=1),AND(J4409=1,I4409="SBJ"),AND(J4409=1,I4409=0)),"?IN_FOCUS",IF(J4409&lt;=2,"?ACTIVATED",IF(J4409&lt;&gt;"","?FAMILIAR",IF(F4409="NEW",IF(ISNA(VLOOKUP(E4409,#REF!,1,FALSE())),"?TYPE_IDENTIFIABLE","?REFERENTIAL"),"_")))))</f>
        <v> </v>
      </c>
      <c r="H4409" s="25" t="str">
        <f>IF(J4409&lt;&gt;1,"",IF(I4409="SBJ","CB","?"))</f>
        <v> </v>
      </c>
      <c r="I4409" s="26" t="str">
        <f>IF(OR(E4409="",E4409="!!!",F4409="NEW"),"",INDEX(B4408:B$2,-1+SUMPRODUCT(MAX(ROW(E4408:E$2)*(E4409=E4408:E$2)))))</f>
        <v> </v>
      </c>
      <c r="J4409" s="26" t="str">
        <f>IF(OR(E4409="",E4409="!!!",F4409="NEW"),"",COUNTBLANK(OFFSET(A$1,,,SUMPRODUCT(MAX(ROW(E$2:E4409)*(E4409=E$2:E4409)))))-COUNTBLANK(OFFSET(A$1,,,SUMPRODUCT(MAX(ROW(E$1:E4408)*(E2=E$1:E4408))))))</f>
        <v> </v>
      </c>
      <c r="K4409" s="26" t="str">
        <f>IF(OR(E4409="",E4409="!!!",F4409="NEW"),"",INDEX(J$1:J4408,SUMPRODUCT(MAX(ROW(E$1:E4408)*(E4409=E$1:E4408)))))</f>
        <v> </v>
      </c>
      <c r="L4409" s="27"/>
    </row>
    <row r="4410" spans="1:12">
      <c r="A4410" s="20" t="s">
        <v>1588</v>
      </c>
      <c r="E4410" s="22">
        <f>IF(D4410="?OLD","!!!","")</f>
        <v/>
      </c>
      <c r="F4410" s="23" t="str">
        <f>IF(OR(E4410="",E4410="!!!"),"",IF(NOT(ISNA(VLOOKUP(E4410,E$1:E4409,1,FALSE()))),"OLD",IF(AND(E4410&lt;&gt;"",E4410&lt;&gt;"!!!"),"NEW","")))</f>
        <v> </v>
      </c>
      <c r="G4410" s="24" t="str">
        <f>IF(OR(E4410="",E4410="!!!"),"",IF(OR(J4410=0,AND(J4410=1,K4410=1),AND(J4410=1,I4410="SBJ"),AND(J4410=1,I4410=0)),"?IN_FOCUS",IF(J4410&lt;=2,"?ACTIVATED",IF(J4410&lt;&gt;"","?FAMILIAR",IF(F4410="NEW",IF(ISNA(VLOOKUP(E4410,#REF!,1,FALSE())),"?TYPE_IDENTIFIABLE","?REFERENTIAL"),"_")))))</f>
        <v> </v>
      </c>
      <c r="H4410" s="25" t="str">
        <f>IF(J4410&lt;&gt;1,"",IF(I4410="SBJ","CB","?"))</f>
        <v> </v>
      </c>
      <c r="I4410" s="26" t="str">
        <f>IF(OR(E4410="",E4410="!!!",F4410="NEW"),"",INDEX(B4409:B$2,-1+SUMPRODUCT(MAX(ROW(E4409:E$2)*(E4410=E4409:E$2)))))</f>
        <v> </v>
      </c>
      <c r="J4410" s="26" t="str">
        <f>IF(OR(E4410="",E4410="!!!",F4410="NEW"),"",COUNTBLANK(OFFSET(A$1,,,SUMPRODUCT(MAX(ROW(E$2:E4410)*(E4410=E$2:E4410)))))-COUNTBLANK(OFFSET(A$1,,,SUMPRODUCT(MAX(ROW(E$1:E4409)*(E2=E$1:E4409))))))</f>
        <v> </v>
      </c>
      <c r="K4410" s="26" t="str">
        <f>IF(OR(E4410="",E4410="!!!",F4410="NEW"),"",INDEX(J$1:J4409,SUMPRODUCT(MAX(ROW(E$1:E4409)*(E4410=E$1:E4409)))))</f>
        <v> </v>
      </c>
      <c r="L4410" s="27"/>
    </row>
    <row r="4411" spans="1:12">
      <c r="A4411" s="20" t="s">
        <v>2318</v>
      </c>
      <c r="B4411" s="21" t="s">
        <v>1068</v>
      </c>
      <c r="C4411" s="21" t="s">
        <v>1149</v>
      </c>
      <c r="E4411" s="22">
        <f>IF(D4411="?OLD","!!!","")</f>
        <v/>
      </c>
      <c r="F4411" s="23" t="str">
        <f>IF(OR(E4411="",E4411="!!!"),"",IF(NOT(ISNA(VLOOKUP(E4411,E$1:E4410,1,FALSE()))),"OLD",IF(AND(E4411&lt;&gt;"",E4411&lt;&gt;"!!!"),"NEW","")))</f>
        <v> </v>
      </c>
      <c r="G4411" s="24" t="str">
        <f>IF(OR(E4411="",E4411="!!!"),"",IF(OR(J4411=0,AND(J4411=1,K4411=1),AND(J4411=1,I4411="SBJ"),AND(J4411=1,I4411=0)),"?IN_FOCUS",IF(J4411&lt;=2,"?ACTIVATED",IF(J4411&lt;&gt;"","?FAMILIAR",IF(F4411="NEW",IF(ISNA(VLOOKUP(E4411,#REF!,1,FALSE())),"?TYPE_IDENTIFIABLE","?REFERENTIAL"),"_")))))</f>
        <v> </v>
      </c>
      <c r="H4411" s="25" t="str">
        <f>IF(J4411&lt;&gt;1,"",IF(I4411="SBJ","CB","?"))</f>
        <v> </v>
      </c>
      <c r="I4411" s="26" t="str">
        <f>IF(OR(E4411="",E4411="!!!",F4411="NEW"),"",INDEX(B4410:B$2,-1+SUMPRODUCT(MAX(ROW(E4410:E$2)*(E4411=E4410:E$2)))))</f>
        <v> </v>
      </c>
      <c r="J4411" s="26" t="str">
        <f>IF(OR(E4411="",E4411="!!!",F4411="NEW"),"",COUNTBLANK(OFFSET(A$1,,,SUMPRODUCT(MAX(ROW(E$2:E4411)*(E4411=E$2:E4411)))))-COUNTBLANK(OFFSET(A$1,,,SUMPRODUCT(MAX(ROW(E$1:E4410)*(E2=E$1:E4410))))))</f>
        <v> </v>
      </c>
      <c r="K4411" s="26" t="str">
        <f>IF(OR(E4411="",E4411="!!!",F4411="NEW"),"",INDEX(J$1:J4410,SUMPRODUCT(MAX(ROW(E$1:E4410)*(E4411=E$1:E4410)))))</f>
        <v> </v>
      </c>
      <c r="L4411" s="27"/>
    </row>
    <row r="4412" spans="1:12">
      <c r="A4412" s="20" t="s">
        <v>1083</v>
      </c>
      <c r="B4412" s="21" t="s">
        <v>1079</v>
      </c>
      <c r="C4412" s="21" t="s">
        <v>1076</v>
      </c>
      <c r="D4412" s="21" t="s">
        <v>1060</v>
      </c>
      <c r="E4412" s="22">
        <f>IF(D4412="?OLD","!!!","")</f>
        <v/>
      </c>
      <c r="F4412" s="23" t="str">
        <f>IF(OR(E4412="",E4412="!!!"),"",IF(NOT(ISNA(VLOOKUP(E4412,E$1:E4411,1,FALSE()))),"OLD",IF(AND(E4412&lt;&gt;"",E4412&lt;&gt;"!!!"),"NEW","")))</f>
        <v> </v>
      </c>
      <c r="G4412" s="24" t="str">
        <f>IF(OR(E4412="",E4412="!!!"),"",IF(OR(J4412=0,AND(J4412=1,K4412=1),AND(J4412=1,I4412="SBJ"),AND(J4412=1,I4412=0)),"?IN_FOCUS",IF(J4412&lt;=2,"?ACTIVATED",IF(J4412&lt;&gt;"","?FAMILIAR",IF(F4412="NEW",IF(ISNA(VLOOKUP(E4412,#REF!,1,FALSE())),"?TYPE_IDENTIFIABLE","?REFERENTIAL"),"_")))))</f>
        <v> </v>
      </c>
      <c r="H4412" s="25" t="str">
        <f>IF(J4412&lt;&gt;1,"",IF(I4412="SBJ","CB","?"))</f>
        <v> </v>
      </c>
      <c r="I4412" s="26" t="str">
        <f>IF(OR(E4412="",E4412="!!!",F4412="NEW"),"",INDEX(B4411:B$2,-1+SUMPRODUCT(MAX(ROW(E4411:E$2)*(E4412=E4411:E$2)))))</f>
        <v> </v>
      </c>
      <c r="J4412" s="26" t="str">
        <f>IF(OR(E4412="",E4412="!!!",F4412="NEW"),"",COUNTBLANK(OFFSET(A$1,,,SUMPRODUCT(MAX(ROW(E$2:E4412)*(E4412=E$2:E4412)))))-COUNTBLANK(OFFSET(A$1,,,SUMPRODUCT(MAX(ROW(E$1:E4411)*(E2=E$1:E4411))))))</f>
        <v> </v>
      </c>
      <c r="K4412" s="26" t="str">
        <f>IF(OR(E4412="",E4412="!!!",F4412="NEW"),"",INDEX(J$1:J4411,SUMPRODUCT(MAX(ROW(E$1:E4411)*(E4412=E$1:E4411)))))</f>
        <v> </v>
      </c>
      <c r="L4412" s="27"/>
    </row>
    <row r="4413" spans="1:12">
      <c r="A4413" s="20" t="s">
        <v>502</v>
      </c>
      <c r="E4413" s="22">
        <f>IF(D4413="?OLD","!!!","")</f>
        <v/>
      </c>
      <c r="F4413" s="23" t="str">
        <f>IF(OR(E4413="",E4413="!!!"),"",IF(NOT(ISNA(VLOOKUP(E4413,E$1:E4412,1,FALSE()))),"OLD",IF(AND(E4413&lt;&gt;"",E4413&lt;&gt;"!!!"),"NEW","")))</f>
        <v> </v>
      </c>
      <c r="G4413" s="24" t="str">
        <f>IF(OR(E4413="",E4413="!!!"),"",IF(OR(J4413=0,AND(J4413=1,K4413=1),AND(J4413=1,I4413="SBJ"),AND(J4413=1,I4413=0)),"?IN_FOCUS",IF(J4413&lt;=2,"?ACTIVATED",IF(J4413&lt;&gt;"","?FAMILIAR",IF(F4413="NEW",IF(ISNA(VLOOKUP(E4413,#REF!,1,FALSE())),"?TYPE_IDENTIFIABLE","?REFERENTIAL"),"_")))))</f>
        <v> </v>
      </c>
      <c r="H4413" s="25" t="str">
        <f>IF(J4413&lt;&gt;1,"",IF(I4413="SBJ","CB","?"))</f>
        <v> </v>
      </c>
      <c r="I4413" s="26" t="str">
        <f>IF(OR(E4413="",E4413="!!!",F4413="NEW"),"",INDEX(B4412:B$2,-1+SUMPRODUCT(MAX(ROW(E4412:E$2)*(E4413=E4412:E$2)))))</f>
        <v> </v>
      </c>
      <c r="J4413" s="26" t="str">
        <f>IF(OR(E4413="",E4413="!!!",F4413="NEW"),"",COUNTBLANK(OFFSET(A$1,,,SUMPRODUCT(MAX(ROW(E$2:E4413)*(E4413=E$2:E4413)))))-COUNTBLANK(OFFSET(A$1,,,SUMPRODUCT(MAX(ROW(E$1:E4412)*(E2=E$1:E4412))))))</f>
        <v> </v>
      </c>
      <c r="K4413" s="26" t="str">
        <f>IF(OR(E4413="",E4413="!!!",F4413="NEW"),"",INDEX(J$1:J4412,SUMPRODUCT(MAX(ROW(E$1:E4412)*(E4413=E$1:E4412)))))</f>
        <v> </v>
      </c>
      <c r="L4413" s="27"/>
    </row>
    <row r="4414" spans="1:12">
      <c r="A4414" s="20" t="s">
        <v>1824</v>
      </c>
      <c r="E4414" s="22">
        <f>IF(D4414="?OLD","!!!","")</f>
        <v/>
      </c>
      <c r="F4414" s="23" t="str">
        <f>IF(OR(E4414="",E4414="!!!"),"",IF(NOT(ISNA(VLOOKUP(E4414,E$1:E4413,1,FALSE()))),"OLD",IF(AND(E4414&lt;&gt;"",E4414&lt;&gt;"!!!"),"NEW","")))</f>
        <v> </v>
      </c>
      <c r="G4414" s="24" t="str">
        <f>IF(OR(E4414="",E4414="!!!"),"",IF(OR(J4414=0,AND(J4414=1,K4414=1),AND(J4414=1,I4414="SBJ"),AND(J4414=1,I4414=0)),"?IN_FOCUS",IF(J4414&lt;=2,"?ACTIVATED",IF(J4414&lt;&gt;"","?FAMILIAR",IF(F4414="NEW",IF(ISNA(VLOOKUP(E4414,#REF!,1,FALSE())),"?TYPE_IDENTIFIABLE","?REFERENTIAL"),"_")))))</f>
        <v> </v>
      </c>
      <c r="H4414" s="25" t="str">
        <f>IF(J4414&lt;&gt;1,"",IF(I4414="SBJ","CB","?"))</f>
        <v> </v>
      </c>
      <c r="I4414" s="26" t="str">
        <f>IF(OR(E4414="",E4414="!!!",F4414="NEW"),"",INDEX(B4413:B$2,-1+SUMPRODUCT(MAX(ROW(E4413:E$2)*(E4414=E4413:E$2)))))</f>
        <v> </v>
      </c>
      <c r="J4414" s="26" t="str">
        <f>IF(OR(E4414="",E4414="!!!",F4414="NEW"),"",COUNTBLANK(OFFSET(A$1,,,SUMPRODUCT(MAX(ROW(E$2:E4414)*(E4414=E$2:E4414)))))-COUNTBLANK(OFFSET(A$1,,,SUMPRODUCT(MAX(ROW(E$1:E4413)*(E2=E$1:E4413))))))</f>
        <v> </v>
      </c>
      <c r="K4414" s="26" t="str">
        <f>IF(OR(E4414="",E4414="!!!",F4414="NEW"),"",INDEX(J$1:J4413,SUMPRODUCT(MAX(ROW(E$1:E4413)*(E4414=E$1:E4413)))))</f>
        <v> </v>
      </c>
      <c r="L4414" s="27"/>
    </row>
    <row r="4415" spans="1:12">
      <c r="A4415" s="20" t="s">
        <v>1160</v>
      </c>
      <c r="E4415" s="22">
        <f>IF(D4415="?OLD","!!!","")</f>
        <v/>
      </c>
      <c r="F4415" s="23" t="str">
        <f>IF(OR(E4415="",E4415="!!!"),"",IF(NOT(ISNA(VLOOKUP(E4415,E$1:E4414,1,FALSE()))),"OLD",IF(AND(E4415&lt;&gt;"",E4415&lt;&gt;"!!!"),"NEW","")))</f>
        <v> </v>
      </c>
      <c r="G4415" s="24" t="str">
        <f>IF(OR(E4415="",E4415="!!!"),"",IF(OR(J4415=0,AND(J4415=1,K4415=1),AND(J4415=1,I4415="SBJ"),AND(J4415=1,I4415=0)),"?IN_FOCUS",IF(J4415&lt;=2,"?ACTIVATED",IF(J4415&lt;&gt;"","?FAMILIAR",IF(F4415="NEW",IF(ISNA(VLOOKUP(E4415,#REF!,1,FALSE())),"?TYPE_IDENTIFIABLE","?REFERENTIAL"),"_")))))</f>
        <v> </v>
      </c>
      <c r="H4415" s="25" t="str">
        <f>IF(J4415&lt;&gt;1,"",IF(I4415="SBJ","CB","?"))</f>
        <v> </v>
      </c>
      <c r="I4415" s="26" t="str">
        <f>IF(OR(E4415="",E4415="!!!",F4415="NEW"),"",INDEX(B4414:B$2,-1+SUMPRODUCT(MAX(ROW(E4414:E$2)*(E4415=E4414:E$2)))))</f>
        <v> </v>
      </c>
      <c r="J4415" s="26" t="str">
        <f>IF(OR(E4415="",E4415="!!!",F4415="NEW"),"",COUNTBLANK(OFFSET(A$1,,,SUMPRODUCT(MAX(ROW(E$2:E4415)*(E4415=E$2:E4415)))))-COUNTBLANK(OFFSET(A$1,,,SUMPRODUCT(MAX(ROW(E$1:E4414)*(E2=E$1:E4414))))))</f>
        <v> </v>
      </c>
      <c r="K4415" s="26" t="str">
        <f>IF(OR(E4415="",E4415="!!!",F4415="NEW"),"",INDEX(J$1:J4414,SUMPRODUCT(MAX(ROW(E$1:E4414)*(E4415=E$1:E4414)))))</f>
        <v> </v>
      </c>
      <c r="L4415" s="27"/>
    </row>
    <row r="4416" spans="1:12">
      <c r="A4416" s="20" t="s">
        <v>1077</v>
      </c>
      <c r="E4416" s="22">
        <f>IF(D4416="?OLD","!!!","")</f>
        <v/>
      </c>
      <c r="F4416" s="23" t="str">
        <f>IF(OR(E4416="",E4416="!!!"),"",IF(NOT(ISNA(VLOOKUP(E4416,E$1:E4415,1,FALSE()))),"OLD",IF(AND(E4416&lt;&gt;"",E4416&lt;&gt;"!!!"),"NEW","")))</f>
        <v> </v>
      </c>
      <c r="G4416" s="24" t="str">
        <f>IF(OR(E4416="",E4416="!!!"),"",IF(OR(J4416=0,AND(J4416=1,K4416=1),AND(J4416=1,I4416="SBJ"),AND(J4416=1,I4416=0)),"?IN_FOCUS",IF(J4416&lt;=2,"?ACTIVATED",IF(J4416&lt;&gt;"","?FAMILIAR",IF(F4416="NEW",IF(ISNA(VLOOKUP(E4416,#REF!,1,FALSE())),"?TYPE_IDENTIFIABLE","?REFERENTIAL"),"_")))))</f>
        <v> </v>
      </c>
      <c r="H4416" s="25" t="str">
        <f>IF(J4416&lt;&gt;1,"",IF(I4416="SBJ","CB","?"))</f>
        <v> </v>
      </c>
      <c r="I4416" s="26" t="str">
        <f>IF(OR(E4416="",E4416="!!!",F4416="NEW"),"",INDEX(B4415:B$2,-1+SUMPRODUCT(MAX(ROW(E4415:E$2)*(E4416=E4415:E$2)))))</f>
        <v> </v>
      </c>
      <c r="J4416" s="26" t="str">
        <f>IF(OR(E4416="",E4416="!!!",F4416="NEW"),"",COUNTBLANK(OFFSET(A$1,,,SUMPRODUCT(MAX(ROW(E$2:E4416)*(E4416=E$2:E4416)))))-COUNTBLANK(OFFSET(A$1,,,SUMPRODUCT(MAX(ROW(E$1:E4415)*(E2=E$1:E4415))))))</f>
        <v> </v>
      </c>
      <c r="K4416" s="26" t="str">
        <f>IF(OR(E4416="",E4416="!!!",F4416="NEW"),"",INDEX(J$1:J4415,SUMPRODUCT(MAX(ROW(E$1:E4415)*(E4416=E$1:E4415)))))</f>
        <v> </v>
      </c>
      <c r="L4416" s="27"/>
    </row>
    <row r="4417" spans="1:12">
      <c r="A4417" s="20" t="s">
        <v>2319</v>
      </c>
      <c r="E4417" s="22">
        <f>IF(D4417="?OLD","!!!","")</f>
        <v/>
      </c>
      <c r="F4417" s="23" t="str">
        <f>IF(OR(E4417="",E4417="!!!"),"",IF(NOT(ISNA(VLOOKUP(E4417,E$1:E4416,1,FALSE()))),"OLD",IF(AND(E4417&lt;&gt;"",E4417&lt;&gt;"!!!"),"NEW","")))</f>
        <v> </v>
      </c>
      <c r="G4417" s="24" t="str">
        <f>IF(OR(E4417="",E4417="!!!"),"",IF(OR(J4417=0,AND(J4417=1,K4417=1),AND(J4417=1,I4417="SBJ"),AND(J4417=1,I4417=0)),"?IN_FOCUS",IF(J4417&lt;=2,"?ACTIVATED",IF(J4417&lt;&gt;"","?FAMILIAR",IF(F4417="NEW",IF(ISNA(VLOOKUP(E4417,#REF!,1,FALSE())),"?TYPE_IDENTIFIABLE","?REFERENTIAL"),"_")))))</f>
        <v> </v>
      </c>
      <c r="H4417" s="25" t="str">
        <f>IF(J4417&lt;&gt;1,"",IF(I4417="SBJ","CB","?"))</f>
        <v> </v>
      </c>
      <c r="I4417" s="26" t="str">
        <f>IF(OR(E4417="",E4417="!!!",F4417="NEW"),"",INDEX(B4416:B$2,-1+SUMPRODUCT(MAX(ROW(E4416:E$2)*(E4417=E4416:E$2)))))</f>
        <v> </v>
      </c>
      <c r="J4417" s="26" t="str">
        <f>IF(OR(E4417="",E4417="!!!",F4417="NEW"),"",COUNTBLANK(OFFSET(A$1,,,SUMPRODUCT(MAX(ROW(E$2:E4417)*(E4417=E$2:E4417)))))-COUNTBLANK(OFFSET(A$1,,,SUMPRODUCT(MAX(ROW(E$1:E4416)*(E2=E$1:E4416))))))</f>
        <v> </v>
      </c>
      <c r="K4417" s="26" t="str">
        <f>IF(OR(E4417="",E4417="!!!",F4417="NEW"),"",INDEX(J$1:J4416,SUMPRODUCT(MAX(ROW(E$1:E4416)*(E4417=E$1:E4416)))))</f>
        <v> </v>
      </c>
      <c r="L4417" s="27"/>
    </row>
    <row r="4418" spans="1:12">
      <c r="A4418" s="20" t="s">
        <v>2320</v>
      </c>
      <c r="B4418" s="21" t="s">
        <v>1064</v>
      </c>
      <c r="C4418" s="21" t="s">
        <v>1080</v>
      </c>
      <c r="E4418" s="22">
        <f>IF(D4418="?OLD","!!!","")</f>
        <v/>
      </c>
      <c r="F4418" s="23" t="str">
        <f>IF(OR(E4418="",E4418="!!!"),"",IF(NOT(ISNA(VLOOKUP(E4418,E$1:E4417,1,FALSE()))),"OLD",IF(AND(E4418&lt;&gt;"",E4418&lt;&gt;"!!!"),"NEW","")))</f>
        <v> </v>
      </c>
      <c r="G4418" s="24" t="str">
        <f>IF(OR(E4418="",E4418="!!!"),"",IF(OR(J4418=0,AND(J4418=1,K4418=1),AND(J4418=1,I4418="SBJ"),AND(J4418=1,I4418=0)),"?IN_FOCUS",IF(J4418&lt;=2,"?ACTIVATED",IF(J4418&lt;&gt;"","?FAMILIAR",IF(F4418="NEW",IF(ISNA(VLOOKUP(E4418,#REF!,1,FALSE())),"?TYPE_IDENTIFIABLE","?REFERENTIAL"),"_")))))</f>
        <v> </v>
      </c>
      <c r="H4418" s="25" t="str">
        <f>IF(J4418&lt;&gt;1,"",IF(I4418="SBJ","CB","?"))</f>
        <v> </v>
      </c>
      <c r="I4418" s="26" t="str">
        <f>IF(OR(E4418="",E4418="!!!",F4418="NEW"),"",INDEX(B4417:B$2,-1+SUMPRODUCT(MAX(ROW(E4417:E$2)*(E4418=E4417:E$2)))))</f>
        <v> </v>
      </c>
      <c r="J4418" s="26" t="str">
        <f>IF(OR(E4418="",E4418="!!!",F4418="NEW"),"",COUNTBLANK(OFFSET(A$1,,,SUMPRODUCT(MAX(ROW(E$2:E4418)*(E4418=E$2:E4418)))))-COUNTBLANK(OFFSET(A$1,,,SUMPRODUCT(MAX(ROW(E$1:E4417)*(E2=E$1:E4417))))))</f>
        <v> </v>
      </c>
      <c r="K4418" s="26" t="str">
        <f>IF(OR(E4418="",E4418="!!!",F4418="NEW"),"",INDEX(J$1:J4417,SUMPRODUCT(MAX(ROW(E$1:E4417)*(E4418=E$1:E4417)))))</f>
        <v> </v>
      </c>
      <c r="L4418" s="27"/>
    </row>
    <row r="4419" spans="1:12">
      <c r="A4419" s="20" t="s">
        <v>1070</v>
      </c>
      <c r="E4419" s="22">
        <f>IF(D4419="?OLD","!!!","")</f>
        <v/>
      </c>
      <c r="F4419" s="23" t="str">
        <f>IF(OR(E4419="",E4419="!!!"),"",IF(NOT(ISNA(VLOOKUP(E4419,E$1:E4418,1,FALSE()))),"OLD",IF(AND(E4419&lt;&gt;"",E4419&lt;&gt;"!!!"),"NEW","")))</f>
        <v> </v>
      </c>
      <c r="G4419" s="24" t="str">
        <f>IF(OR(E4419="",E4419="!!!"),"",IF(OR(J4419=0,AND(J4419=1,K4419=1),AND(J4419=1,I4419="SBJ"),AND(J4419=1,I4419=0)),"?IN_FOCUS",IF(J4419&lt;=2,"?ACTIVATED",IF(J4419&lt;&gt;"","?FAMILIAR",IF(F4419="NEW",IF(ISNA(VLOOKUP(E4419,#REF!,1,FALSE())),"?TYPE_IDENTIFIABLE","?REFERENTIAL"),"_")))))</f>
        <v> </v>
      </c>
      <c r="H4419" s="25" t="str">
        <f>IF(J4419&lt;&gt;1,"",IF(I4419="SBJ","CB","?"))</f>
        <v> </v>
      </c>
      <c r="I4419" s="26" t="str">
        <f>IF(OR(E4419="",E4419="!!!",F4419="NEW"),"",INDEX(B4418:B$2,-1+SUMPRODUCT(MAX(ROW(E4418:E$2)*(E4419=E4418:E$2)))))</f>
        <v> </v>
      </c>
      <c r="J4419" s="26" t="str">
        <f>IF(OR(E4419="",E4419="!!!",F4419="NEW"),"",COUNTBLANK(OFFSET(A$1,,,SUMPRODUCT(MAX(ROW(E$2:E4419)*(E4419=E$2:E4419)))))-COUNTBLANK(OFFSET(A$1,,,SUMPRODUCT(MAX(ROW(E$1:E4418)*(E2=E$1:E4418))))))</f>
        <v> </v>
      </c>
      <c r="K4419" s="26" t="str">
        <f>IF(OR(E4419="",E4419="!!!",F4419="NEW"),"",INDEX(J$1:J4418,SUMPRODUCT(MAX(ROW(E$1:E4418)*(E4419=E$1:E4418)))))</f>
        <v> </v>
      </c>
      <c r="L4419" s="27"/>
    </row>
    <row r="4420" spans="1:12">
      <c r="A4420" s="20" t="s">
        <v>1155</v>
      </c>
      <c r="E4420" s="22">
        <f>IF(D4420="?OLD","!!!","")</f>
        <v/>
      </c>
      <c r="F4420" s="23" t="str">
        <f>IF(OR(E4420="",E4420="!!!"),"",IF(NOT(ISNA(VLOOKUP(E4420,E$1:E4419,1,FALSE()))),"OLD",IF(AND(E4420&lt;&gt;"",E4420&lt;&gt;"!!!"),"NEW","")))</f>
        <v> </v>
      </c>
      <c r="G4420" s="24" t="str">
        <f>IF(OR(E4420="",E4420="!!!"),"",IF(OR(J4420=0,AND(J4420=1,K4420=1),AND(J4420=1,I4420="SBJ"),AND(J4420=1,I4420=0)),"?IN_FOCUS",IF(J4420&lt;=2,"?ACTIVATED",IF(J4420&lt;&gt;"","?FAMILIAR",IF(F4420="NEW",IF(ISNA(VLOOKUP(E4420,#REF!,1,FALSE())),"?TYPE_IDENTIFIABLE","?REFERENTIAL"),"_")))))</f>
        <v> </v>
      </c>
      <c r="H4420" s="25" t="str">
        <f>IF(J4420&lt;&gt;1,"",IF(I4420="SBJ","CB","?"))</f>
        <v> </v>
      </c>
      <c r="I4420" s="26" t="str">
        <f>IF(OR(E4420="",E4420="!!!",F4420="NEW"),"",INDEX(B4419:B$2,-1+SUMPRODUCT(MAX(ROW(E4419:E$2)*(E4420=E4419:E$2)))))</f>
        <v> </v>
      </c>
      <c r="J4420" s="26" t="str">
        <f>IF(OR(E4420="",E4420="!!!",F4420="NEW"),"",COUNTBLANK(OFFSET(A$1,,,SUMPRODUCT(MAX(ROW(E$2:E4420)*(E4420=E$2:E4420)))))-COUNTBLANK(OFFSET(A$1,,,SUMPRODUCT(MAX(ROW(E$1:E4419)*(E2=E$1:E4419))))))</f>
        <v> </v>
      </c>
      <c r="K4420" s="26" t="str">
        <f>IF(OR(E4420="",E4420="!!!",F4420="NEW"),"",INDEX(J$1:J4419,SUMPRODUCT(MAX(ROW(E$1:E4419)*(E4420=E$1:E4419)))))</f>
        <v> </v>
      </c>
      <c r="L4420" s="27"/>
    </row>
    <row r="4421" spans="1:12">
      <c r="A4421" s="20" t="s">
        <v>1101</v>
      </c>
      <c r="E4421" s="22">
        <f>IF(D4421="?OLD","!!!","")</f>
        <v/>
      </c>
      <c r="F4421" s="23" t="str">
        <f>IF(OR(E4421="",E4421="!!!"),"",IF(NOT(ISNA(VLOOKUP(E4421,E$1:E4420,1,FALSE()))),"OLD",IF(AND(E4421&lt;&gt;"",E4421&lt;&gt;"!!!"),"NEW","")))</f>
        <v> </v>
      </c>
      <c r="G4421" s="24" t="str">
        <f>IF(OR(E4421="",E4421="!!!"),"",IF(OR(J4421=0,AND(J4421=1,K4421=1),AND(J4421=1,I4421="SBJ"),AND(J4421=1,I4421=0)),"?IN_FOCUS",IF(J4421&lt;=2,"?ACTIVATED",IF(J4421&lt;&gt;"","?FAMILIAR",IF(F4421="NEW",IF(ISNA(VLOOKUP(E4421,#REF!,1,FALSE())),"?TYPE_IDENTIFIABLE","?REFERENTIAL"),"_")))))</f>
        <v> </v>
      </c>
      <c r="H4421" s="25" t="str">
        <f>IF(J4421&lt;&gt;1,"",IF(I4421="SBJ","CB","?"))</f>
        <v> </v>
      </c>
      <c r="I4421" s="26" t="str">
        <f>IF(OR(E4421="",E4421="!!!",F4421="NEW"),"",INDEX(B4420:B$2,-1+SUMPRODUCT(MAX(ROW(E4420:E$2)*(E4421=E4420:E$2)))))</f>
        <v> </v>
      </c>
      <c r="J4421" s="26" t="str">
        <f>IF(OR(E4421="",E4421="!!!",F4421="NEW"),"",COUNTBLANK(OFFSET(A$1,,,SUMPRODUCT(MAX(ROW(E$2:E4421)*(E4421=E$2:E4421)))))-COUNTBLANK(OFFSET(A$1,,,SUMPRODUCT(MAX(ROW(E$1:E4420)*(E2=E$1:E4420))))))</f>
        <v> </v>
      </c>
      <c r="K4421" s="26" t="str">
        <f>IF(OR(E4421="",E4421="!!!",F4421="NEW"),"",INDEX(J$1:J4420,SUMPRODUCT(MAX(ROW(E$1:E4420)*(E4421=E$1:E4420)))))</f>
        <v> </v>
      </c>
      <c r="L4421" s="27"/>
    </row>
    <row r="4422" spans="1:12">
      <c r="A4422" s="20" t="s">
        <v>2321</v>
      </c>
      <c r="B4422" s="21" t="s">
        <v>1064</v>
      </c>
      <c r="C4422" s="21" t="s">
        <v>1059</v>
      </c>
      <c r="D4422" s="21" t="s">
        <v>1060</v>
      </c>
      <c r="E4422" s="22">
        <f>IF(D4422="?OLD","!!!","")</f>
        <v/>
      </c>
      <c r="F4422" s="23" t="str">
        <f>IF(OR(E4422="",E4422="!!!"),"",IF(NOT(ISNA(VLOOKUP(E4422,E$1:E4421,1,FALSE()))),"OLD",IF(AND(E4422&lt;&gt;"",E4422&lt;&gt;"!!!"),"NEW","")))</f>
        <v> </v>
      </c>
      <c r="G4422" s="24" t="str">
        <f>IF(OR(E4422="",E4422="!!!"),"",IF(OR(J4422=0,AND(J4422=1,K4422=1),AND(J4422=1,I4422="SBJ"),AND(J4422=1,I4422=0)),"?IN_FOCUS",IF(J4422&lt;=2,"?ACTIVATED",IF(J4422&lt;&gt;"","?FAMILIAR",IF(F4422="NEW",IF(ISNA(VLOOKUP(E4422,#REF!,1,FALSE())),"?TYPE_IDENTIFIABLE","?REFERENTIAL"),"_")))))</f>
        <v> </v>
      </c>
      <c r="H4422" s="25" t="str">
        <f>IF(J4422&lt;&gt;1,"",IF(I4422="SBJ","CB","?"))</f>
        <v> </v>
      </c>
      <c r="I4422" s="26" t="str">
        <f>IF(OR(E4422="",E4422="!!!",F4422="NEW"),"",INDEX(B4421:B$2,-1+SUMPRODUCT(MAX(ROW(E4421:E$2)*(E4422=E4421:E$2)))))</f>
        <v> </v>
      </c>
      <c r="J4422" s="26" t="str">
        <f>IF(OR(E4422="",E4422="!!!",F4422="NEW"),"",COUNTBLANK(OFFSET(A$1,,,SUMPRODUCT(MAX(ROW(E$2:E4422)*(E4422=E$2:E4422)))))-COUNTBLANK(OFFSET(A$1,,,SUMPRODUCT(MAX(ROW(E$1:E4421)*(E2=E$1:E4421))))))</f>
        <v> </v>
      </c>
      <c r="K4422" s="26" t="str">
        <f>IF(OR(E4422="",E4422="!!!",F4422="NEW"),"",INDEX(J$1:J4421,SUMPRODUCT(MAX(ROW(E$1:E4421)*(E4422=E$1:E4421)))))</f>
        <v> </v>
      </c>
      <c r="L4422" s="27"/>
    </row>
    <row r="4423" spans="1:12">
      <c r="A4423" s="20" t="s">
        <v>1061</v>
      </c>
      <c r="E4423" s="22">
        <f>IF(D4423="?OLD","!!!","")</f>
        <v/>
      </c>
      <c r="F4423" s="23" t="str">
        <f>IF(OR(E4423="",E4423="!!!"),"",IF(NOT(ISNA(VLOOKUP(E4423,E$1:E4422,1,FALSE()))),"OLD",IF(AND(E4423&lt;&gt;"",E4423&lt;&gt;"!!!"),"NEW","")))</f>
        <v> </v>
      </c>
      <c r="G4423" s="24" t="str">
        <f>IF(OR(E4423="",E4423="!!!"),"",IF(OR(J4423=0,AND(J4423=1,K4423=1),AND(J4423=1,I4423="SBJ"),AND(J4423=1,I4423=0)),"?IN_FOCUS",IF(J4423&lt;=2,"?ACTIVATED",IF(J4423&lt;&gt;"","?FAMILIAR",IF(F4423="NEW",IF(ISNA(VLOOKUP(E4423,#REF!,1,FALSE())),"?TYPE_IDENTIFIABLE","?REFERENTIAL"),"_")))))</f>
        <v> </v>
      </c>
      <c r="H4423" s="25" t="str">
        <f>IF(J4423&lt;&gt;1,"",IF(I4423="SBJ","CB","?"))</f>
        <v> </v>
      </c>
      <c r="I4423" s="26" t="str">
        <f>IF(OR(E4423="",E4423="!!!",F4423="NEW"),"",INDEX(B4422:B$2,-1+SUMPRODUCT(MAX(ROW(E4422:E$2)*(E4423=E4422:E$2)))))</f>
        <v> </v>
      </c>
      <c r="J4423" s="26" t="str">
        <f>IF(OR(E4423="",E4423="!!!",F4423="NEW"),"",COUNTBLANK(OFFSET(A$1,,,SUMPRODUCT(MAX(ROW(E$2:E4423)*(E4423=E$2:E4423)))))-COUNTBLANK(OFFSET(A$1,,,SUMPRODUCT(MAX(ROW(E$1:E4422)*(E2=E$1:E4422))))))</f>
        <v> </v>
      </c>
      <c r="K4423" s="26" t="str">
        <f>IF(OR(E4423="",E4423="!!!",F4423="NEW"),"",INDEX(J$1:J4422,SUMPRODUCT(MAX(ROW(E$1:E4422)*(E4423=E$1:E4422)))))</f>
        <v> </v>
      </c>
      <c r="L4423" s="27"/>
    </row>
    <row r="4424" spans="1:12">
      <c r="A4424" s="20" t="s">
        <v>2322</v>
      </c>
      <c r="B4424" s="21" t="s">
        <v>1099</v>
      </c>
      <c r="C4424" s="21" t="s">
        <v>1065</v>
      </c>
      <c r="D4424" s="21" t="s">
        <v>1060</v>
      </c>
      <c r="E4424" s="22">
        <f>IF(D4424="?OLD","!!!","")</f>
        <v/>
      </c>
      <c r="F4424" s="23" t="str">
        <f>IF(OR(E4424="",E4424="!!!"),"",IF(NOT(ISNA(VLOOKUP(E4424,E$1:E4423,1,FALSE()))),"OLD",IF(AND(E4424&lt;&gt;"",E4424&lt;&gt;"!!!"),"NEW","")))</f>
        <v> </v>
      </c>
      <c r="G4424" s="24" t="str">
        <f>IF(OR(E4424="",E4424="!!!"),"",IF(OR(J4424=0,AND(J4424=1,K4424=1),AND(J4424=1,I4424="SBJ"),AND(J4424=1,I4424=0)),"?IN_FOCUS",IF(J4424&lt;=2,"?ACTIVATED",IF(J4424&lt;&gt;"","?FAMILIAR",IF(F4424="NEW",IF(ISNA(VLOOKUP(E4424,#REF!,1,FALSE())),"?TYPE_IDENTIFIABLE","?REFERENTIAL"),"_")))))</f>
        <v> </v>
      </c>
      <c r="H4424" s="25" t="str">
        <f>IF(J4424&lt;&gt;1,"",IF(I4424="SBJ","CB","?"))</f>
        <v> </v>
      </c>
      <c r="I4424" s="26" t="str">
        <f>IF(OR(E4424="",E4424="!!!",F4424="NEW"),"",INDEX(B4423:B$2,-1+SUMPRODUCT(MAX(ROW(E4423:E$2)*(E4424=E4423:E$2)))))</f>
        <v> </v>
      </c>
      <c r="J4424" s="26" t="str">
        <f>IF(OR(E4424="",E4424="!!!",F4424="NEW"),"",COUNTBLANK(OFFSET(A$1,,,SUMPRODUCT(MAX(ROW(E$2:E4424)*(E4424=E$2:E4424)))))-COUNTBLANK(OFFSET(A$1,,,SUMPRODUCT(MAX(ROW(E$1:E4423)*(E2=E$1:E4423))))))</f>
        <v> </v>
      </c>
      <c r="K4424" s="26" t="str">
        <f>IF(OR(E4424="",E4424="!!!",F4424="NEW"),"",INDEX(J$1:J4423,SUMPRODUCT(MAX(ROW(E$1:E4423)*(E4424=E$1:E4423)))))</f>
        <v> </v>
      </c>
      <c r="L4424" s="27"/>
    </row>
    <row r="4425" spans="1:12">
      <c r="A4425" s="20" t="s">
        <v>2323</v>
      </c>
      <c r="E4425" s="22">
        <f>IF(D4425="?OLD","!!!","")</f>
        <v/>
      </c>
      <c r="F4425" s="23" t="str">
        <f>IF(OR(E4425="",E4425="!!!"),"",IF(NOT(ISNA(VLOOKUP(E4425,E$1:E4424,1,FALSE()))),"OLD",IF(AND(E4425&lt;&gt;"",E4425&lt;&gt;"!!!"),"NEW","")))</f>
        <v> </v>
      </c>
      <c r="G4425" s="24" t="str">
        <f>IF(OR(E4425="",E4425="!!!"),"",IF(OR(J4425=0,AND(J4425=1,K4425=1),AND(J4425=1,I4425="SBJ"),AND(J4425=1,I4425=0)),"?IN_FOCUS",IF(J4425&lt;=2,"?ACTIVATED",IF(J4425&lt;&gt;"","?FAMILIAR",IF(F4425="NEW",IF(ISNA(VLOOKUP(E4425,#REF!,1,FALSE())),"?TYPE_IDENTIFIABLE","?REFERENTIAL"),"_")))))</f>
        <v> </v>
      </c>
      <c r="H4425" s="25" t="str">
        <f>IF(J4425&lt;&gt;1,"",IF(I4425="SBJ","CB","?"))</f>
        <v> </v>
      </c>
      <c r="I4425" s="26" t="str">
        <f>IF(OR(E4425="",E4425="!!!",F4425="NEW"),"",INDEX(B4424:B$2,-1+SUMPRODUCT(MAX(ROW(E4424:E$2)*(E4425=E4424:E$2)))))</f>
        <v> </v>
      </c>
      <c r="J4425" s="26" t="str">
        <f>IF(OR(E4425="",E4425="!!!",F4425="NEW"),"",COUNTBLANK(OFFSET(A$1,,,SUMPRODUCT(MAX(ROW(E$2:E4425)*(E4425=E$2:E4425)))))-COUNTBLANK(OFFSET(A$1,,,SUMPRODUCT(MAX(ROW(E$1:E4424)*(E2=E$1:E4424))))))</f>
        <v> </v>
      </c>
      <c r="K4425" s="26" t="str">
        <f>IF(OR(E4425="",E4425="!!!",F4425="NEW"),"",INDEX(J$1:J4424,SUMPRODUCT(MAX(ROW(E$1:E4424)*(E4425=E$1:E4424)))))</f>
        <v> </v>
      </c>
      <c r="L4425" s="27"/>
    </row>
    <row r="4426" spans="1:12">
      <c r="A4426" s="20" t="s">
        <v>923</v>
      </c>
      <c r="E4426" s="22">
        <f>IF(D4426="?OLD","!!!","")</f>
        <v/>
      </c>
      <c r="F4426" s="23" t="str">
        <f>IF(OR(E4426="",E4426="!!!"),"",IF(NOT(ISNA(VLOOKUP(E4426,E$1:E4425,1,FALSE()))),"OLD",IF(AND(E4426&lt;&gt;"",E4426&lt;&gt;"!!!"),"NEW","")))</f>
        <v> </v>
      </c>
      <c r="G4426" s="24" t="str">
        <f>IF(OR(E4426="",E4426="!!!"),"",IF(OR(J4426=0,AND(J4426=1,K4426=1),AND(J4426=1,I4426="SBJ"),AND(J4426=1,I4426=0)),"?IN_FOCUS",IF(J4426&lt;=2,"?ACTIVATED",IF(J4426&lt;&gt;"","?FAMILIAR",IF(F4426="NEW",IF(ISNA(VLOOKUP(E4426,#REF!,1,FALSE())),"?TYPE_IDENTIFIABLE","?REFERENTIAL"),"_")))))</f>
        <v> </v>
      </c>
      <c r="H4426" s="25" t="str">
        <f>IF(J4426&lt;&gt;1,"",IF(I4426="SBJ","CB","?"))</f>
        <v> </v>
      </c>
      <c r="I4426" s="26" t="str">
        <f>IF(OR(E4426="",E4426="!!!",F4426="NEW"),"",INDEX(B4425:B$2,-1+SUMPRODUCT(MAX(ROW(E4425:E$2)*(E4426=E4425:E$2)))))</f>
        <v> </v>
      </c>
      <c r="J4426" s="26" t="str">
        <f>IF(OR(E4426="",E4426="!!!",F4426="NEW"),"",COUNTBLANK(OFFSET(A$1,,,SUMPRODUCT(MAX(ROW(E$2:E4426)*(E4426=E$2:E4426)))))-COUNTBLANK(OFFSET(A$1,,,SUMPRODUCT(MAX(ROW(E$1:E4425)*(E2=E$1:E4425))))))</f>
        <v> </v>
      </c>
      <c r="K4426" s="26" t="str">
        <f>IF(OR(E4426="",E4426="!!!",F4426="NEW"),"",INDEX(J$1:J4425,SUMPRODUCT(MAX(ROW(E$1:E4425)*(E4426=E$1:E4425)))))</f>
        <v> </v>
      </c>
      <c r="L4426" s="27"/>
    </row>
    <row r="4427" spans="1:12">
      <c r="A4427" s="20"/>
    </row>
    <row r="4428" spans="1:12">
      <c r="A4428" s="20" t="s">
        <v>2324</v>
      </c>
    </row>
    <row r="4429" spans="1:12">
      <c r="A4429" s="20" t="s">
        <v>1138</v>
      </c>
      <c r="E4429" s="22">
        <f>IF(D4429="?OLD","!!!","")</f>
        <v/>
      </c>
      <c r="F4429" s="23" t="str">
        <f>IF(OR(E4429="",E4429="!!!"),"",IF(NOT(ISNA(VLOOKUP(E4429,E$1:E4428,1,FALSE()))),"OLD",IF(AND(E4429&lt;&gt;"",E4429&lt;&gt;"!!!"),"NEW","")))</f>
        <v> </v>
      </c>
      <c r="G4429" s="24" t="str">
        <f>IF(OR(E4429="",E4429="!!!"),"",IF(OR(J4429=0,AND(J4429=1,K4429=1),AND(J4429=1,I4429="SBJ"),AND(J4429=1,I4429=0)),"?IN_FOCUS",IF(J4429&lt;=2,"?ACTIVATED",IF(J4429&lt;&gt;"","?FAMILIAR",IF(F4429="NEW",IF(ISNA(VLOOKUP(E4429,#REF!,1,FALSE())),"?TYPE_IDENTIFIABLE","?REFERENTIAL"),"_")))))</f>
        <v> </v>
      </c>
      <c r="H4429" s="25" t="str">
        <f>IF(J4429&lt;&gt;1,"",IF(I4429="SBJ","CB","?"))</f>
        <v> </v>
      </c>
      <c r="I4429" s="26" t="str">
        <f>IF(OR(E4429="",E4429="!!!",F4429="NEW"),"",INDEX(B4428:B$2,-1+SUMPRODUCT(MAX(ROW(E4428:E$2)*(E4429=E4428:E$2)))))</f>
        <v> </v>
      </c>
      <c r="J4429" s="26" t="str">
        <f>IF(OR(E4429="",E4429="!!!",F4429="NEW"),"",COUNTBLANK(OFFSET(A$1,,,SUMPRODUCT(MAX(ROW(E$2:E4429)*(E4429=E$2:E4429)))))-COUNTBLANK(OFFSET(A$1,,,SUMPRODUCT(MAX(ROW(E$1:E4428)*(E2=E$1:E4428))))))</f>
        <v> </v>
      </c>
      <c r="K4429" s="26" t="str">
        <f>IF(OR(E4429="",E4429="!!!",F4429="NEW"),"",INDEX(J$1:J4428,SUMPRODUCT(MAX(ROW(E$1:E4428)*(E4429=E$1:E4428)))))</f>
        <v> </v>
      </c>
      <c r="L4429" s="27"/>
    </row>
    <row r="4430" spans="1:12">
      <c r="A4430" s="20" t="s">
        <v>1355</v>
      </c>
      <c r="B4430" s="21" t="s">
        <v>1058</v>
      </c>
      <c r="C4430" s="21" t="s">
        <v>1059</v>
      </c>
      <c r="D4430" s="21" t="s">
        <v>1060</v>
      </c>
      <c r="E4430" s="22">
        <f>IF(D4430="?OLD","!!!","")</f>
        <v/>
      </c>
      <c r="F4430" s="23" t="str">
        <f>IF(OR(E4430="",E4430="!!!"),"",IF(NOT(ISNA(VLOOKUP(E4430,E$1:E4429,1,FALSE()))),"OLD",IF(AND(E4430&lt;&gt;"",E4430&lt;&gt;"!!!"),"NEW","")))</f>
        <v> </v>
      </c>
      <c r="G4430" s="24" t="str">
        <f>IF(OR(E4430="",E4430="!!!"),"",IF(OR(J4430=0,AND(J4430=1,K4430=1),AND(J4430=1,I4430="SBJ"),AND(J4430=1,I4430=0)),"?IN_FOCUS",IF(J4430&lt;=2,"?ACTIVATED",IF(J4430&lt;&gt;"","?FAMILIAR",IF(F4430="NEW",IF(ISNA(VLOOKUP(E4430,#REF!,1,FALSE())),"?TYPE_IDENTIFIABLE","?REFERENTIAL"),"_")))))</f>
        <v> </v>
      </c>
      <c r="H4430" s="25" t="str">
        <f>IF(J4430&lt;&gt;1,"",IF(I4430="SBJ","CB","?"))</f>
        <v> </v>
      </c>
      <c r="I4430" s="26" t="str">
        <f>IF(OR(E4430="",E4430="!!!",F4430="NEW"),"",INDEX(B4429:B$2,-1+SUMPRODUCT(MAX(ROW(E4429:E$2)*(E4430=E4429:E$2)))))</f>
        <v> </v>
      </c>
      <c r="J4430" s="26" t="str">
        <f>IF(OR(E4430="",E4430="!!!",F4430="NEW"),"",COUNTBLANK(OFFSET(A$1,,,SUMPRODUCT(MAX(ROW(E$2:E4430)*(E4430=E$2:E4430)))))-COUNTBLANK(OFFSET(A$1,,,SUMPRODUCT(MAX(ROW(E$1:E4429)*(E2=E$1:E4429))))))</f>
        <v> </v>
      </c>
      <c r="K4430" s="26" t="str">
        <f>IF(OR(E4430="",E4430="!!!",F4430="NEW"),"",INDEX(J$1:J4429,SUMPRODUCT(MAX(ROW(E$1:E4429)*(E4430=E$1:E4429)))))</f>
        <v> </v>
      </c>
      <c r="L4430" s="27"/>
    </row>
    <row r="4431" spans="1:12">
      <c r="A4431" s="20" t="s">
        <v>1061</v>
      </c>
      <c r="E4431" s="22">
        <f>IF(D4431="?OLD","!!!","")</f>
        <v/>
      </c>
      <c r="F4431" s="23" t="str">
        <f>IF(OR(E4431="",E4431="!!!"),"",IF(NOT(ISNA(VLOOKUP(E4431,E$1:E4430,1,FALSE()))),"OLD",IF(AND(E4431&lt;&gt;"",E4431&lt;&gt;"!!!"),"NEW","")))</f>
        <v> </v>
      </c>
      <c r="G4431" s="24" t="str">
        <f>IF(OR(E4431="",E4431="!!!"),"",IF(OR(J4431=0,AND(J4431=1,K4431=1),AND(J4431=1,I4431="SBJ"),AND(J4431=1,I4431=0)),"?IN_FOCUS",IF(J4431&lt;=2,"?ACTIVATED",IF(J4431&lt;&gt;"","?FAMILIAR",IF(F4431="NEW",IF(ISNA(VLOOKUP(E4431,#REF!,1,FALSE())),"?TYPE_IDENTIFIABLE","?REFERENTIAL"),"_")))))</f>
        <v> </v>
      </c>
      <c r="H4431" s="25" t="str">
        <f>IF(J4431&lt;&gt;1,"",IF(I4431="SBJ","CB","?"))</f>
        <v> </v>
      </c>
      <c r="I4431" s="26" t="str">
        <f>IF(OR(E4431="",E4431="!!!",F4431="NEW"),"",INDEX(B4430:B$2,-1+SUMPRODUCT(MAX(ROW(E4430:E$2)*(E4431=E4430:E$2)))))</f>
        <v> </v>
      </c>
      <c r="J4431" s="26" t="str">
        <f>IF(OR(E4431="",E4431="!!!",F4431="NEW"),"",COUNTBLANK(OFFSET(A$1,,,SUMPRODUCT(MAX(ROW(E$2:E4431)*(E4431=E$2:E4431)))))-COUNTBLANK(OFFSET(A$1,,,SUMPRODUCT(MAX(ROW(E$1:E4430)*(E2=E$1:E4430))))))</f>
        <v> </v>
      </c>
      <c r="K4431" s="26" t="str">
        <f>IF(OR(E4431="",E4431="!!!",F4431="NEW"),"",INDEX(J$1:J4430,SUMPRODUCT(MAX(ROW(E$1:E4430)*(E4431=E$1:E4430)))))</f>
        <v> </v>
      </c>
      <c r="L4431" s="27"/>
    </row>
    <row r="4432" spans="1:12">
      <c r="A4432" s="20" t="s">
        <v>1416</v>
      </c>
      <c r="B4432" s="21" t="s">
        <v>1068</v>
      </c>
      <c r="C4432" s="21" t="s">
        <v>1076</v>
      </c>
      <c r="D4432" s="21" t="s">
        <v>1060</v>
      </c>
      <c r="E4432" s="22">
        <f>IF(D4432="?OLD","!!!","")</f>
        <v/>
      </c>
      <c r="F4432" s="23" t="str">
        <f>IF(OR(E4432="",E4432="!!!"),"",IF(NOT(ISNA(VLOOKUP(E4432,E$1:E4431,1,FALSE()))),"OLD",IF(AND(E4432&lt;&gt;"",E4432&lt;&gt;"!!!"),"NEW","")))</f>
        <v> </v>
      </c>
      <c r="G4432" s="24" t="str">
        <f>IF(OR(E4432="",E4432="!!!"),"",IF(OR(J4432=0,AND(J4432=1,K4432=1),AND(J4432=1,I4432="SBJ"),AND(J4432=1,I4432=0)),"?IN_FOCUS",IF(J4432&lt;=2,"?ACTIVATED",IF(J4432&lt;&gt;"","?FAMILIAR",IF(F4432="NEW",IF(ISNA(VLOOKUP(E4432,#REF!,1,FALSE())),"?TYPE_IDENTIFIABLE","?REFERENTIAL"),"_")))))</f>
        <v> </v>
      </c>
      <c r="H4432" s="25" t="str">
        <f>IF(J4432&lt;&gt;1,"",IF(I4432="SBJ","CB","?"))</f>
        <v> </v>
      </c>
      <c r="I4432" s="26" t="str">
        <f>IF(OR(E4432="",E4432="!!!",F4432="NEW"),"",INDEX(B4431:B$2,-1+SUMPRODUCT(MAX(ROW(E4431:E$2)*(E4432=E4431:E$2)))))</f>
        <v> </v>
      </c>
      <c r="J4432" s="26" t="str">
        <f>IF(OR(E4432="",E4432="!!!",F4432="NEW"),"",COUNTBLANK(OFFSET(A$1,,,SUMPRODUCT(MAX(ROW(E$2:E4432)*(E4432=E$2:E4432)))))-COUNTBLANK(OFFSET(A$1,,,SUMPRODUCT(MAX(ROW(E$1:E4431)*(E2=E$1:E4431))))))</f>
        <v> </v>
      </c>
      <c r="K4432" s="26" t="str">
        <f>IF(OR(E4432="",E4432="!!!",F4432="NEW"),"",INDEX(J$1:J4431,SUMPRODUCT(MAX(ROW(E$1:E4431)*(E4432=E$1:E4431)))))</f>
        <v> </v>
      </c>
      <c r="L4432" s="27"/>
    </row>
    <row r="4433" spans="1:12">
      <c r="A4433" s="20" t="s">
        <v>1125</v>
      </c>
      <c r="E4433" s="22">
        <f>IF(D4433="?OLD","!!!","")</f>
        <v/>
      </c>
      <c r="F4433" s="23" t="str">
        <f>IF(OR(E4433="",E4433="!!!"),"",IF(NOT(ISNA(VLOOKUP(E4433,E$1:E4432,1,FALSE()))),"OLD",IF(AND(E4433&lt;&gt;"",E4433&lt;&gt;"!!!"),"NEW","")))</f>
        <v> </v>
      </c>
      <c r="G4433" s="24" t="str">
        <f>IF(OR(E4433="",E4433="!!!"),"",IF(OR(J4433=0,AND(J4433=1,K4433=1),AND(J4433=1,I4433="SBJ"),AND(J4433=1,I4433=0)),"?IN_FOCUS",IF(J4433&lt;=2,"?ACTIVATED",IF(J4433&lt;&gt;"","?FAMILIAR",IF(F4433="NEW",IF(ISNA(VLOOKUP(E4433,#REF!,1,FALSE())),"?TYPE_IDENTIFIABLE","?REFERENTIAL"),"_")))))</f>
        <v> </v>
      </c>
      <c r="H4433" s="25" t="str">
        <f>IF(J4433&lt;&gt;1,"",IF(I4433="SBJ","CB","?"))</f>
        <v> </v>
      </c>
      <c r="I4433" s="26" t="str">
        <f>IF(OR(E4433="",E4433="!!!",F4433="NEW"),"",INDEX(B4432:B$2,-1+SUMPRODUCT(MAX(ROW(E4432:E$2)*(E4433=E4432:E$2)))))</f>
        <v> </v>
      </c>
      <c r="J4433" s="26" t="str">
        <f>IF(OR(E4433="",E4433="!!!",F4433="NEW"),"",COUNTBLANK(OFFSET(A$1,,,SUMPRODUCT(MAX(ROW(E$2:E4433)*(E4433=E$2:E4433)))))-COUNTBLANK(OFFSET(A$1,,,SUMPRODUCT(MAX(ROW(E$1:E4432)*(E2=E$1:E4432))))))</f>
        <v> </v>
      </c>
      <c r="K4433" s="26" t="str">
        <f>IF(OR(E4433="",E4433="!!!",F4433="NEW"),"",INDEX(J$1:J4432,SUMPRODUCT(MAX(ROW(E$1:E4432)*(E4433=E$1:E4432)))))</f>
        <v> </v>
      </c>
      <c r="L4433" s="27"/>
    </row>
    <row r="4434" spans="1:12">
      <c r="A4434" s="20" t="s">
        <v>2325</v>
      </c>
      <c r="E4434" s="22">
        <f>IF(D4434="?OLD","!!!","")</f>
        <v/>
      </c>
      <c r="F4434" s="23" t="str">
        <f>IF(OR(E4434="",E4434="!!!"),"",IF(NOT(ISNA(VLOOKUP(E4434,E$1:E4433,1,FALSE()))),"OLD",IF(AND(E4434&lt;&gt;"",E4434&lt;&gt;"!!!"),"NEW","")))</f>
        <v> </v>
      </c>
      <c r="G4434" s="24" t="str">
        <f>IF(OR(E4434="",E4434="!!!"),"",IF(OR(J4434=0,AND(J4434=1,K4434=1),AND(J4434=1,I4434="SBJ"),AND(J4434=1,I4434=0)),"?IN_FOCUS",IF(J4434&lt;=2,"?ACTIVATED",IF(J4434&lt;&gt;"","?FAMILIAR",IF(F4434="NEW",IF(ISNA(VLOOKUP(E4434,#REF!,1,FALSE())),"?TYPE_IDENTIFIABLE","?REFERENTIAL"),"_")))))</f>
        <v> </v>
      </c>
      <c r="H4434" s="25" t="str">
        <f>IF(J4434&lt;&gt;1,"",IF(I4434="SBJ","CB","?"))</f>
        <v> </v>
      </c>
      <c r="I4434" s="26" t="str">
        <f>IF(OR(E4434="",E4434="!!!",F4434="NEW"),"",INDEX(B4433:B$2,-1+SUMPRODUCT(MAX(ROW(E4433:E$2)*(E4434=E4433:E$2)))))</f>
        <v> </v>
      </c>
      <c r="J4434" s="26" t="str">
        <f>IF(OR(E4434="",E4434="!!!",F4434="NEW"),"",COUNTBLANK(OFFSET(A$1,,,SUMPRODUCT(MAX(ROW(E$2:E4434)*(E4434=E$2:E4434)))))-COUNTBLANK(OFFSET(A$1,,,SUMPRODUCT(MAX(ROW(E$1:E4433)*(E2=E$1:E4433))))))</f>
        <v> </v>
      </c>
      <c r="K4434" s="26" t="str">
        <f>IF(OR(E4434="",E4434="!!!",F4434="NEW"),"",INDEX(J$1:J4433,SUMPRODUCT(MAX(ROW(E$1:E4433)*(E4434=E$1:E4433)))))</f>
        <v> </v>
      </c>
      <c r="L4434" s="27"/>
    </row>
    <row r="4435" spans="1:12">
      <c r="A4435" s="20" t="s">
        <v>1088</v>
      </c>
      <c r="E4435" s="22">
        <f>IF(D4435="?OLD","!!!","")</f>
        <v/>
      </c>
      <c r="F4435" s="23" t="str">
        <f>IF(OR(E4435="",E4435="!!!"),"",IF(NOT(ISNA(VLOOKUP(E4435,E$1:E4434,1,FALSE()))),"OLD",IF(AND(E4435&lt;&gt;"",E4435&lt;&gt;"!!!"),"NEW","")))</f>
        <v> </v>
      </c>
      <c r="G4435" s="24" t="str">
        <f>IF(OR(E4435="",E4435="!!!"),"",IF(OR(J4435=0,AND(J4435=1,K4435=1),AND(J4435=1,I4435="SBJ"),AND(J4435=1,I4435=0)),"?IN_FOCUS",IF(J4435&lt;=2,"?ACTIVATED",IF(J4435&lt;&gt;"","?FAMILIAR",IF(F4435="NEW",IF(ISNA(VLOOKUP(E4435,#REF!,1,FALSE())),"?TYPE_IDENTIFIABLE","?REFERENTIAL"),"_")))))</f>
        <v> </v>
      </c>
      <c r="H4435" s="25" t="str">
        <f>IF(J4435&lt;&gt;1,"",IF(I4435="SBJ","CB","?"))</f>
        <v> </v>
      </c>
      <c r="I4435" s="26" t="str">
        <f>IF(OR(E4435="",E4435="!!!",F4435="NEW"),"",INDEX(B4434:B$2,-1+SUMPRODUCT(MAX(ROW(E4434:E$2)*(E4435=E4434:E$2)))))</f>
        <v> </v>
      </c>
      <c r="J4435" s="26" t="str">
        <f>IF(OR(E4435="",E4435="!!!",F4435="NEW"),"",COUNTBLANK(OFFSET(A$1,,,SUMPRODUCT(MAX(ROW(E$2:E4435)*(E4435=E$2:E4435)))))-COUNTBLANK(OFFSET(A$1,,,SUMPRODUCT(MAX(ROW(E$1:E4434)*(E2=E$1:E4434))))))</f>
        <v> </v>
      </c>
      <c r="K4435" s="26" t="str">
        <f>IF(OR(E4435="",E4435="!!!",F4435="NEW"),"",INDEX(J$1:J4434,SUMPRODUCT(MAX(ROW(E$1:E4434)*(E4435=E$1:E4434)))))</f>
        <v> </v>
      </c>
      <c r="L4435" s="27"/>
    </row>
    <row r="4436" spans="1:12">
      <c r="A4436" s="20" t="s">
        <v>2326</v>
      </c>
      <c r="E4436" s="22">
        <f>IF(D4436="?OLD","!!!","")</f>
        <v/>
      </c>
      <c r="F4436" s="23" t="str">
        <f>IF(OR(E4436="",E4436="!!!"),"",IF(NOT(ISNA(VLOOKUP(E4436,E$1:E4435,1,FALSE()))),"OLD",IF(AND(E4436&lt;&gt;"",E4436&lt;&gt;"!!!"),"NEW","")))</f>
        <v> </v>
      </c>
      <c r="G4436" s="24" t="str">
        <f>IF(OR(E4436="",E4436="!!!"),"",IF(OR(J4436=0,AND(J4436=1,K4436=1),AND(J4436=1,I4436="SBJ"),AND(J4436=1,I4436=0)),"?IN_FOCUS",IF(J4436&lt;=2,"?ACTIVATED",IF(J4436&lt;&gt;"","?FAMILIAR",IF(F4436="NEW",IF(ISNA(VLOOKUP(E4436,#REF!,1,FALSE())),"?TYPE_IDENTIFIABLE","?REFERENTIAL"),"_")))))</f>
        <v> </v>
      </c>
      <c r="H4436" s="25" t="str">
        <f>IF(J4436&lt;&gt;1,"",IF(I4436="SBJ","CB","?"))</f>
        <v> </v>
      </c>
      <c r="I4436" s="26" t="str">
        <f>IF(OR(E4436="",E4436="!!!",F4436="NEW"),"",INDEX(B4435:B$2,-1+SUMPRODUCT(MAX(ROW(E4435:E$2)*(E4436=E4435:E$2)))))</f>
        <v> </v>
      </c>
      <c r="J4436" s="26" t="str">
        <f>IF(OR(E4436="",E4436="!!!",F4436="NEW"),"",COUNTBLANK(OFFSET(A$1,,,SUMPRODUCT(MAX(ROW(E$2:E4436)*(E4436=E$2:E4436)))))-COUNTBLANK(OFFSET(A$1,,,SUMPRODUCT(MAX(ROW(E$1:E4435)*(E2=E$1:E4435))))))</f>
        <v> </v>
      </c>
      <c r="K4436" s="26" t="str">
        <f>IF(OR(E4436="",E4436="!!!",F4436="NEW"),"",INDEX(J$1:J4435,SUMPRODUCT(MAX(ROW(E$1:E4435)*(E4436=E$1:E4435)))))</f>
        <v> </v>
      </c>
      <c r="L4436" s="27"/>
    </row>
    <row r="4437" spans="1:12">
      <c r="A4437" s="20" t="s">
        <v>1848</v>
      </c>
      <c r="E4437" s="22">
        <f>IF(D4437="?OLD","!!!","")</f>
        <v/>
      </c>
      <c r="F4437" s="23" t="str">
        <f>IF(OR(E4437="",E4437="!!!"),"",IF(NOT(ISNA(VLOOKUP(E4437,E$1:E4436,1,FALSE()))),"OLD",IF(AND(E4437&lt;&gt;"",E4437&lt;&gt;"!!!"),"NEW","")))</f>
        <v> </v>
      </c>
      <c r="G4437" s="24" t="str">
        <f>IF(OR(E4437="",E4437="!!!"),"",IF(OR(J4437=0,AND(J4437=1,K4437=1),AND(J4437=1,I4437="SBJ"),AND(J4437=1,I4437=0)),"?IN_FOCUS",IF(J4437&lt;=2,"?ACTIVATED",IF(J4437&lt;&gt;"","?FAMILIAR",IF(F4437="NEW",IF(ISNA(VLOOKUP(E4437,#REF!,1,FALSE())),"?TYPE_IDENTIFIABLE","?REFERENTIAL"),"_")))))</f>
        <v> </v>
      </c>
      <c r="H4437" s="25" t="str">
        <f>IF(J4437&lt;&gt;1,"",IF(I4437="SBJ","CB","?"))</f>
        <v> </v>
      </c>
      <c r="I4437" s="26" t="str">
        <f>IF(OR(E4437="",E4437="!!!",F4437="NEW"),"",INDEX(B4436:B$2,-1+SUMPRODUCT(MAX(ROW(E4436:E$2)*(E4437=E4436:E$2)))))</f>
        <v> </v>
      </c>
      <c r="J4437" s="26" t="str">
        <f>IF(OR(E4437="",E4437="!!!",F4437="NEW"),"",COUNTBLANK(OFFSET(A$1,,,SUMPRODUCT(MAX(ROW(E$2:E4437)*(E4437=E$2:E4437)))))-COUNTBLANK(OFFSET(A$1,,,SUMPRODUCT(MAX(ROW(E$1:E4436)*(E2=E$1:E4436))))))</f>
        <v> </v>
      </c>
      <c r="K4437" s="26" t="str">
        <f>IF(OR(E4437="",E4437="!!!",F4437="NEW"),"",INDEX(J$1:J4436,SUMPRODUCT(MAX(ROW(E$1:E4436)*(E4437=E$1:E4436)))))</f>
        <v> </v>
      </c>
      <c r="L4437" s="27"/>
    </row>
    <row r="4438" spans="1:12">
      <c r="A4438" s="20" t="s">
        <v>1324</v>
      </c>
      <c r="E4438" s="22">
        <f>IF(D4438="?OLD","!!!","")</f>
        <v/>
      </c>
      <c r="F4438" s="23" t="str">
        <f>IF(OR(E4438="",E4438="!!!"),"",IF(NOT(ISNA(VLOOKUP(E4438,E$1:E4437,1,FALSE()))),"OLD",IF(AND(E4438&lt;&gt;"",E4438&lt;&gt;"!!!"),"NEW","")))</f>
        <v> </v>
      </c>
      <c r="G4438" s="24" t="str">
        <f>IF(OR(E4438="",E4438="!!!"),"",IF(OR(J4438=0,AND(J4438=1,K4438=1),AND(J4438=1,I4438="SBJ"),AND(J4438=1,I4438=0)),"?IN_FOCUS",IF(J4438&lt;=2,"?ACTIVATED",IF(J4438&lt;&gt;"","?FAMILIAR",IF(F4438="NEW",IF(ISNA(VLOOKUP(E4438,#REF!,1,FALSE())),"?TYPE_IDENTIFIABLE","?REFERENTIAL"),"_")))))</f>
        <v> </v>
      </c>
      <c r="H4438" s="25" t="str">
        <f>IF(J4438&lt;&gt;1,"",IF(I4438="SBJ","CB","?"))</f>
        <v> </v>
      </c>
      <c r="I4438" s="26" t="str">
        <f>IF(OR(E4438="",E4438="!!!",F4438="NEW"),"",INDEX(B4437:B$2,-1+SUMPRODUCT(MAX(ROW(E4437:E$2)*(E4438=E4437:E$2)))))</f>
        <v> </v>
      </c>
      <c r="J4438" s="26" t="str">
        <f>IF(OR(E4438="",E4438="!!!",F4438="NEW"),"",COUNTBLANK(OFFSET(A$1,,,SUMPRODUCT(MAX(ROW(E$2:E4438)*(E4438=E$2:E4438)))))-COUNTBLANK(OFFSET(A$1,,,SUMPRODUCT(MAX(ROW(E$1:E4437)*(E2=E$1:E4437))))))</f>
        <v> </v>
      </c>
      <c r="K4438" s="26" t="str">
        <f>IF(OR(E4438="",E4438="!!!",F4438="NEW"),"",INDEX(J$1:J4437,SUMPRODUCT(MAX(ROW(E$1:E4437)*(E4438=E$1:E4437)))))</f>
        <v> </v>
      </c>
      <c r="L4438" s="27"/>
    </row>
    <row r="4439" spans="1:12">
      <c r="A4439" s="20" t="s">
        <v>1101</v>
      </c>
      <c r="E4439" s="22">
        <f>IF(D4439="?OLD","!!!","")</f>
        <v/>
      </c>
      <c r="F4439" s="23" t="str">
        <f>IF(OR(E4439="",E4439="!!!"),"",IF(NOT(ISNA(VLOOKUP(E4439,E$1:E4438,1,FALSE()))),"OLD",IF(AND(E4439&lt;&gt;"",E4439&lt;&gt;"!!!"),"NEW","")))</f>
        <v> </v>
      </c>
      <c r="G4439" s="24" t="str">
        <f>IF(OR(E4439="",E4439="!!!"),"",IF(OR(J4439=0,AND(J4439=1,K4439=1),AND(J4439=1,I4439="SBJ"),AND(J4439=1,I4439=0)),"?IN_FOCUS",IF(J4439&lt;=2,"?ACTIVATED",IF(J4439&lt;&gt;"","?FAMILIAR",IF(F4439="NEW",IF(ISNA(VLOOKUP(E4439,#REF!,1,FALSE())),"?TYPE_IDENTIFIABLE","?REFERENTIAL"),"_")))))</f>
        <v> </v>
      </c>
      <c r="H4439" s="25" t="str">
        <f>IF(J4439&lt;&gt;1,"",IF(I4439="SBJ","CB","?"))</f>
        <v> </v>
      </c>
      <c r="I4439" s="26" t="str">
        <f>IF(OR(E4439="",E4439="!!!",F4439="NEW"),"",INDEX(B4438:B$2,-1+SUMPRODUCT(MAX(ROW(E4438:E$2)*(E4439=E4438:E$2)))))</f>
        <v> </v>
      </c>
      <c r="J4439" s="26" t="str">
        <f>IF(OR(E4439="",E4439="!!!",F4439="NEW"),"",COUNTBLANK(OFFSET(A$1,,,SUMPRODUCT(MAX(ROW(E$2:E4439)*(E4439=E$2:E4439)))))-COUNTBLANK(OFFSET(A$1,,,SUMPRODUCT(MAX(ROW(E$1:E4438)*(E2=E$1:E4438))))))</f>
        <v> </v>
      </c>
      <c r="K4439" s="26" t="str">
        <f>IF(OR(E4439="",E4439="!!!",F4439="NEW"),"",INDEX(J$1:J4438,SUMPRODUCT(MAX(ROW(E$1:E4438)*(E4439=E$1:E4438)))))</f>
        <v> </v>
      </c>
      <c r="L4439" s="27"/>
    </row>
    <row r="4440" spans="1:12">
      <c r="A4440" s="20" t="s">
        <v>2327</v>
      </c>
      <c r="B4440" s="21" t="s">
        <v>1068</v>
      </c>
      <c r="C4440" s="21" t="s">
        <v>1140</v>
      </c>
      <c r="D4440" s="21" t="s">
        <v>1060</v>
      </c>
      <c r="E4440" s="22">
        <f>IF(D4440="?OLD","!!!","")</f>
        <v/>
      </c>
      <c r="F4440" s="23" t="str">
        <f>IF(OR(E4440="",E4440="!!!"),"",IF(NOT(ISNA(VLOOKUP(E4440,E$1:E4439,1,FALSE()))),"OLD",IF(AND(E4440&lt;&gt;"",E4440&lt;&gt;"!!!"),"NEW","")))</f>
        <v> </v>
      </c>
      <c r="G4440" s="24" t="str">
        <f>IF(OR(E4440="",E4440="!!!"),"",IF(OR(J4440=0,AND(J4440=1,K4440=1),AND(J4440=1,I4440="SBJ"),AND(J4440=1,I4440=0)),"?IN_FOCUS",IF(J4440&lt;=2,"?ACTIVATED",IF(J4440&lt;&gt;"","?FAMILIAR",IF(F4440="NEW",IF(ISNA(VLOOKUP(E4440,#REF!,1,FALSE())),"?TYPE_IDENTIFIABLE","?REFERENTIAL"),"_")))))</f>
        <v> </v>
      </c>
      <c r="H4440" s="25" t="str">
        <f>IF(J4440&lt;&gt;1,"",IF(I4440="SBJ","CB","?"))</f>
        <v> </v>
      </c>
      <c r="I4440" s="26" t="str">
        <f>IF(OR(E4440="",E4440="!!!",F4440="NEW"),"",INDEX(B4439:B$2,-1+SUMPRODUCT(MAX(ROW(E4439:E$2)*(E4440=E4439:E$2)))))</f>
        <v> </v>
      </c>
      <c r="J4440" s="26" t="str">
        <f>IF(OR(E4440="",E4440="!!!",F4440="NEW"),"",COUNTBLANK(OFFSET(A$1,,,SUMPRODUCT(MAX(ROW(E$2:E4440)*(E4440=E$2:E4440)))))-COUNTBLANK(OFFSET(A$1,,,SUMPRODUCT(MAX(ROW(E$1:E4439)*(E2=E$1:E4439))))))</f>
        <v> </v>
      </c>
      <c r="K4440" s="26" t="str">
        <f>IF(OR(E4440="",E4440="!!!",F4440="NEW"),"",INDEX(J$1:J4439,SUMPRODUCT(MAX(ROW(E$1:E4439)*(E4440=E$1:E4439)))))</f>
        <v> </v>
      </c>
      <c r="L4440" s="27"/>
    </row>
    <row r="4441" spans="1:12">
      <c r="A4441" s="20" t="s">
        <v>1588</v>
      </c>
      <c r="E4441" s="22">
        <f>IF(D4441="?OLD","!!!","")</f>
        <v/>
      </c>
      <c r="F4441" s="23" t="str">
        <f>IF(OR(E4441="",E4441="!!!"),"",IF(NOT(ISNA(VLOOKUP(E4441,E$1:E4440,1,FALSE()))),"OLD",IF(AND(E4441&lt;&gt;"",E4441&lt;&gt;"!!!"),"NEW","")))</f>
        <v> </v>
      </c>
      <c r="G4441" s="24" t="str">
        <f>IF(OR(E4441="",E4441="!!!"),"",IF(OR(J4441=0,AND(J4441=1,K4441=1),AND(J4441=1,I4441="SBJ"),AND(J4441=1,I4441=0)),"?IN_FOCUS",IF(J4441&lt;=2,"?ACTIVATED",IF(J4441&lt;&gt;"","?FAMILIAR",IF(F4441="NEW",IF(ISNA(VLOOKUP(E4441,#REF!,1,FALSE())),"?TYPE_IDENTIFIABLE","?REFERENTIAL"),"_")))))</f>
        <v> </v>
      </c>
      <c r="H4441" s="25" t="str">
        <f>IF(J4441&lt;&gt;1,"",IF(I4441="SBJ","CB","?"))</f>
        <v> </v>
      </c>
      <c r="I4441" s="26" t="str">
        <f>IF(OR(E4441="",E4441="!!!",F4441="NEW"),"",INDEX(B4440:B$2,-1+SUMPRODUCT(MAX(ROW(E4440:E$2)*(E4441=E4440:E$2)))))</f>
        <v> </v>
      </c>
      <c r="J4441" s="26" t="str">
        <f>IF(OR(E4441="",E4441="!!!",F4441="NEW"),"",COUNTBLANK(OFFSET(A$1,,,SUMPRODUCT(MAX(ROW(E$2:E4441)*(E4441=E$2:E4441)))))-COUNTBLANK(OFFSET(A$1,,,SUMPRODUCT(MAX(ROW(E$1:E4440)*(E2=E$1:E4440))))))</f>
        <v> </v>
      </c>
      <c r="K4441" s="26" t="str">
        <f>IF(OR(E4441="",E4441="!!!",F4441="NEW"),"",INDEX(J$1:J4440,SUMPRODUCT(MAX(ROW(E$1:E4440)*(E4441=E$1:E4440)))))</f>
        <v> </v>
      </c>
      <c r="L4441" s="27"/>
    </row>
    <row r="4442" spans="1:12">
      <c r="A4442" s="20" t="s">
        <v>499</v>
      </c>
      <c r="B4442" s="21" t="s">
        <v>1064</v>
      </c>
      <c r="C4442" s="21" t="s">
        <v>1065</v>
      </c>
      <c r="D4442" s="21" t="s">
        <v>1060</v>
      </c>
      <c r="E4442" s="22">
        <f>IF(D4442="?OLD","!!!","")</f>
        <v/>
      </c>
      <c r="F4442" s="23" t="str">
        <f>IF(OR(E4442="",E4442="!!!"),"",IF(NOT(ISNA(VLOOKUP(E4442,E$1:E4441,1,FALSE()))),"OLD",IF(AND(E4442&lt;&gt;"",E4442&lt;&gt;"!!!"),"NEW","")))</f>
        <v> </v>
      </c>
      <c r="G4442" s="24" t="str">
        <f>IF(OR(E4442="",E4442="!!!"),"",IF(OR(J4442=0,AND(J4442=1,K4442=1),AND(J4442=1,I4442="SBJ"),AND(J4442=1,I4442=0)),"?IN_FOCUS",IF(J4442&lt;=2,"?ACTIVATED",IF(J4442&lt;&gt;"","?FAMILIAR",IF(F4442="NEW",IF(ISNA(VLOOKUP(E4442,#REF!,1,FALSE())),"?TYPE_IDENTIFIABLE","?REFERENTIAL"),"_")))))</f>
        <v> </v>
      </c>
      <c r="H4442" s="25" t="str">
        <f>IF(J4442&lt;&gt;1,"",IF(I4442="SBJ","CB","?"))</f>
        <v> </v>
      </c>
      <c r="I4442" s="26" t="str">
        <f>IF(OR(E4442="",E4442="!!!",F4442="NEW"),"",INDEX(B4441:B$2,-1+SUMPRODUCT(MAX(ROW(E4441:E$2)*(E4442=E4441:E$2)))))</f>
        <v> </v>
      </c>
      <c r="J4442" s="26" t="str">
        <f>IF(OR(E4442="",E4442="!!!",F4442="NEW"),"",COUNTBLANK(OFFSET(A$1,,,SUMPRODUCT(MAX(ROW(E$2:E4442)*(E4442=E$2:E4442)))))-COUNTBLANK(OFFSET(A$1,,,SUMPRODUCT(MAX(ROW(E$1:E4441)*(E2=E$1:E4441))))))</f>
        <v> </v>
      </c>
      <c r="K4442" s="26" t="str">
        <f>IF(OR(E4442="",E4442="!!!",F4442="NEW"),"",INDEX(J$1:J4441,SUMPRODUCT(MAX(ROW(E$1:E4441)*(E4442=E$1:E4441)))))</f>
        <v> </v>
      </c>
      <c r="L4442" s="27"/>
    </row>
    <row r="4443" spans="1:12">
      <c r="A4443" s="20" t="s">
        <v>1442</v>
      </c>
      <c r="E4443" s="22">
        <f>IF(D4443="?OLD","!!!","")</f>
        <v/>
      </c>
      <c r="F4443" s="23" t="str">
        <f>IF(OR(E4443="",E4443="!!!"),"",IF(NOT(ISNA(VLOOKUP(E4443,E$1:E4442,1,FALSE()))),"OLD",IF(AND(E4443&lt;&gt;"",E4443&lt;&gt;"!!!"),"NEW","")))</f>
        <v> </v>
      </c>
      <c r="G4443" s="24" t="str">
        <f>IF(OR(E4443="",E4443="!!!"),"",IF(OR(J4443=0,AND(J4443=1,K4443=1),AND(J4443=1,I4443="SBJ"),AND(J4443=1,I4443=0)),"?IN_FOCUS",IF(J4443&lt;=2,"?ACTIVATED",IF(J4443&lt;&gt;"","?FAMILIAR",IF(F4443="NEW",IF(ISNA(VLOOKUP(E4443,#REF!,1,FALSE())),"?TYPE_IDENTIFIABLE","?REFERENTIAL"),"_")))))</f>
        <v> </v>
      </c>
      <c r="H4443" s="25" t="str">
        <f>IF(J4443&lt;&gt;1,"",IF(I4443="SBJ","CB","?"))</f>
        <v> </v>
      </c>
      <c r="I4443" s="26" t="str">
        <f>IF(OR(E4443="",E4443="!!!",F4443="NEW"),"",INDEX(B4442:B$2,-1+SUMPRODUCT(MAX(ROW(E4442:E$2)*(E4443=E4442:E$2)))))</f>
        <v> </v>
      </c>
      <c r="J4443" s="26" t="str">
        <f>IF(OR(E4443="",E4443="!!!",F4443="NEW"),"",COUNTBLANK(OFFSET(A$1,,,SUMPRODUCT(MAX(ROW(E$2:E4443)*(E4443=E$2:E4443)))))-COUNTBLANK(OFFSET(A$1,,,SUMPRODUCT(MAX(ROW(E$1:E4442)*(E2=E$1:E4442))))))</f>
        <v> </v>
      </c>
      <c r="K4443" s="26" t="str">
        <f>IF(OR(E4443="",E4443="!!!",F4443="NEW"),"",INDEX(J$1:J4442,SUMPRODUCT(MAX(ROW(E$1:E4442)*(E4443=E$1:E4442)))))</f>
        <v> </v>
      </c>
      <c r="L4443" s="27"/>
    </row>
    <row r="4444" spans="1:12">
      <c r="A4444" s="20" t="s">
        <v>1152</v>
      </c>
      <c r="E4444" s="22">
        <f>IF(D4444="?OLD","!!!","")</f>
        <v/>
      </c>
      <c r="F4444" s="23" t="str">
        <f>IF(OR(E4444="",E4444="!!!"),"",IF(NOT(ISNA(VLOOKUP(E4444,E$1:E4443,1,FALSE()))),"OLD",IF(AND(E4444&lt;&gt;"",E4444&lt;&gt;"!!!"),"NEW","")))</f>
        <v> </v>
      </c>
      <c r="G4444" s="24" t="str">
        <f>IF(OR(E4444="",E4444="!!!"),"",IF(OR(J4444=0,AND(J4444=1,K4444=1),AND(J4444=1,I4444="SBJ"),AND(J4444=1,I4444=0)),"?IN_FOCUS",IF(J4444&lt;=2,"?ACTIVATED",IF(J4444&lt;&gt;"","?FAMILIAR",IF(F4444="NEW",IF(ISNA(VLOOKUP(E4444,#REF!,1,FALSE())),"?TYPE_IDENTIFIABLE","?REFERENTIAL"),"_")))))</f>
        <v> </v>
      </c>
      <c r="H4444" s="25" t="str">
        <f>IF(J4444&lt;&gt;1,"",IF(I4444="SBJ","CB","?"))</f>
        <v> </v>
      </c>
      <c r="I4444" s="26" t="str">
        <f>IF(OR(E4444="",E4444="!!!",F4444="NEW"),"",INDEX(B4443:B$2,-1+SUMPRODUCT(MAX(ROW(E4443:E$2)*(E4444=E4443:E$2)))))</f>
        <v> </v>
      </c>
      <c r="J4444" s="26" t="str">
        <f>IF(OR(E4444="",E4444="!!!",F4444="NEW"),"",COUNTBLANK(OFFSET(A$1,,,SUMPRODUCT(MAX(ROW(E$2:E4444)*(E4444=E$2:E4444)))))-COUNTBLANK(OFFSET(A$1,,,SUMPRODUCT(MAX(ROW(E$1:E4443)*(E2=E$1:E4443))))))</f>
        <v> </v>
      </c>
      <c r="K4444" s="26" t="str">
        <f>IF(OR(E4444="",E4444="!!!",F4444="NEW"),"",INDEX(J$1:J4443,SUMPRODUCT(MAX(ROW(E$1:E4443)*(E4444=E$1:E4443)))))</f>
        <v> </v>
      </c>
      <c r="L4444" s="27"/>
    </row>
    <row r="4445" spans="1:12">
      <c r="A4445" s="20" t="s">
        <v>2328</v>
      </c>
      <c r="E4445" s="22">
        <f>IF(D4445="?OLD","!!!","")</f>
        <v/>
      </c>
      <c r="F4445" s="23" t="str">
        <f>IF(OR(E4445="",E4445="!!!"),"",IF(NOT(ISNA(VLOOKUP(E4445,E$1:E4444,1,FALSE()))),"OLD",IF(AND(E4445&lt;&gt;"",E4445&lt;&gt;"!!!"),"NEW","")))</f>
        <v> </v>
      </c>
      <c r="G4445" s="24" t="str">
        <f>IF(OR(E4445="",E4445="!!!"),"",IF(OR(J4445=0,AND(J4445=1,K4445=1),AND(J4445=1,I4445="SBJ"),AND(J4445=1,I4445=0)),"?IN_FOCUS",IF(J4445&lt;=2,"?ACTIVATED",IF(J4445&lt;&gt;"","?FAMILIAR",IF(F4445="NEW",IF(ISNA(VLOOKUP(E4445,#REF!,1,FALSE())),"?TYPE_IDENTIFIABLE","?REFERENTIAL"),"_")))))</f>
        <v> </v>
      </c>
      <c r="H4445" s="25" t="str">
        <f>IF(J4445&lt;&gt;1,"",IF(I4445="SBJ","CB","?"))</f>
        <v> </v>
      </c>
      <c r="I4445" s="26" t="str">
        <f>IF(OR(E4445="",E4445="!!!",F4445="NEW"),"",INDEX(B4444:B$2,-1+SUMPRODUCT(MAX(ROW(E4444:E$2)*(E4445=E4444:E$2)))))</f>
        <v> </v>
      </c>
      <c r="J4445" s="26" t="str">
        <f>IF(OR(E4445="",E4445="!!!",F4445="NEW"),"",COUNTBLANK(OFFSET(A$1,,,SUMPRODUCT(MAX(ROW(E$2:E4445)*(E4445=E$2:E4445)))))-COUNTBLANK(OFFSET(A$1,,,SUMPRODUCT(MAX(ROW(E$1:E4444)*(E2=E$1:E4444))))))</f>
        <v> </v>
      </c>
      <c r="K4445" s="26" t="str">
        <f>IF(OR(E4445="",E4445="!!!",F4445="NEW"),"",INDEX(J$1:J4444,SUMPRODUCT(MAX(ROW(E$1:E4444)*(E4445=E$1:E4444)))))</f>
        <v> </v>
      </c>
      <c r="L4445" s="27"/>
    </row>
    <row r="4446" spans="1:12">
      <c r="A4446" s="20" t="s">
        <v>1214</v>
      </c>
      <c r="E4446" s="22">
        <f>IF(D4446="?OLD","!!!","")</f>
        <v/>
      </c>
      <c r="F4446" s="23" t="str">
        <f>IF(OR(E4446="",E4446="!!!"),"",IF(NOT(ISNA(VLOOKUP(E4446,E$1:E4445,1,FALSE()))),"OLD",IF(AND(E4446&lt;&gt;"",E4446&lt;&gt;"!!!"),"NEW","")))</f>
        <v> </v>
      </c>
      <c r="G4446" s="24" t="str">
        <f>IF(OR(E4446="",E4446="!!!"),"",IF(OR(J4446=0,AND(J4446=1,K4446=1),AND(J4446=1,I4446="SBJ"),AND(J4446=1,I4446=0)),"?IN_FOCUS",IF(J4446&lt;=2,"?ACTIVATED",IF(J4446&lt;&gt;"","?FAMILIAR",IF(F4446="NEW",IF(ISNA(VLOOKUP(E4446,#REF!,1,FALSE())),"?TYPE_IDENTIFIABLE","?REFERENTIAL"),"_")))))</f>
        <v> </v>
      </c>
      <c r="H4446" s="25" t="str">
        <f>IF(J4446&lt;&gt;1,"",IF(I4446="SBJ","CB","?"))</f>
        <v> </v>
      </c>
      <c r="I4446" s="26" t="str">
        <f>IF(OR(E4446="",E4446="!!!",F4446="NEW"),"",INDEX(B4445:B$2,-1+SUMPRODUCT(MAX(ROW(E4445:E$2)*(E4446=E4445:E$2)))))</f>
        <v> </v>
      </c>
      <c r="J4446" s="26" t="str">
        <f>IF(OR(E4446="",E4446="!!!",F4446="NEW"),"",COUNTBLANK(OFFSET(A$1,,,SUMPRODUCT(MAX(ROW(E$2:E4446)*(E4446=E$2:E4446)))))-COUNTBLANK(OFFSET(A$1,,,SUMPRODUCT(MAX(ROW(E$1:E4445)*(E2=E$1:E4445))))))</f>
        <v> </v>
      </c>
      <c r="K4446" s="26" t="str">
        <f>IF(OR(E4446="",E4446="!!!",F4446="NEW"),"",INDEX(J$1:J4445,SUMPRODUCT(MAX(ROW(E$1:E4445)*(E4446=E$1:E4445)))))</f>
        <v> </v>
      </c>
      <c r="L4446" s="27"/>
    </row>
    <row r="4447" spans="1:12">
      <c r="A4447" s="20" t="s">
        <v>967</v>
      </c>
      <c r="E4447" s="22">
        <f>IF(D4447="?OLD","!!!","")</f>
        <v/>
      </c>
      <c r="F4447" s="23" t="str">
        <f>IF(OR(E4447="",E4447="!!!"),"",IF(NOT(ISNA(VLOOKUP(E4447,E$1:E4446,1,FALSE()))),"OLD",IF(AND(E4447&lt;&gt;"",E4447&lt;&gt;"!!!"),"NEW","")))</f>
        <v> </v>
      </c>
      <c r="G4447" s="24" t="str">
        <f>IF(OR(E4447="",E4447="!!!"),"",IF(OR(J4447=0,AND(J4447=1,K4447=1),AND(J4447=1,I4447="SBJ"),AND(J4447=1,I4447=0)),"?IN_FOCUS",IF(J4447&lt;=2,"?ACTIVATED",IF(J4447&lt;&gt;"","?FAMILIAR",IF(F4447="NEW",IF(ISNA(VLOOKUP(E4447,#REF!,1,FALSE())),"?TYPE_IDENTIFIABLE","?REFERENTIAL"),"_")))))</f>
        <v> </v>
      </c>
      <c r="H4447" s="25" t="str">
        <f>IF(J4447&lt;&gt;1,"",IF(I4447="SBJ","CB","?"))</f>
        <v> </v>
      </c>
      <c r="I4447" s="26" t="str">
        <f>IF(OR(E4447="",E4447="!!!",F4447="NEW"),"",INDEX(B4446:B$2,-1+SUMPRODUCT(MAX(ROW(E4446:E$2)*(E4447=E4446:E$2)))))</f>
        <v> </v>
      </c>
      <c r="J4447" s="26" t="str">
        <f>IF(OR(E4447="",E4447="!!!",F4447="NEW"),"",COUNTBLANK(OFFSET(A$1,,,SUMPRODUCT(MAX(ROW(E$2:E4447)*(E4447=E$2:E4447)))))-COUNTBLANK(OFFSET(A$1,,,SUMPRODUCT(MAX(ROW(E$1:E4446)*(E2=E$1:E4446))))))</f>
        <v> </v>
      </c>
      <c r="K4447" s="26" t="str">
        <f>IF(OR(E4447="",E4447="!!!",F4447="NEW"),"",INDEX(J$1:J4446,SUMPRODUCT(MAX(ROW(E$1:E4446)*(E4447=E$1:E4446)))))</f>
        <v> </v>
      </c>
      <c r="L4447" s="27"/>
    </row>
    <row r="4448" spans="1:12">
      <c r="A4448" s="20" t="s">
        <v>1101</v>
      </c>
      <c r="E4448" s="22">
        <f>IF(D4448="?OLD","!!!","")</f>
        <v/>
      </c>
      <c r="F4448" s="23" t="str">
        <f>IF(OR(E4448="",E4448="!!!"),"",IF(NOT(ISNA(VLOOKUP(E4448,E$1:E4447,1,FALSE()))),"OLD",IF(AND(E4448&lt;&gt;"",E4448&lt;&gt;"!!!"),"NEW","")))</f>
        <v> </v>
      </c>
      <c r="G4448" s="24" t="str">
        <f>IF(OR(E4448="",E4448="!!!"),"",IF(OR(J4448=0,AND(J4448=1,K4448=1),AND(J4448=1,I4448="SBJ"),AND(J4448=1,I4448=0)),"?IN_FOCUS",IF(J4448&lt;=2,"?ACTIVATED",IF(J4448&lt;&gt;"","?FAMILIAR",IF(F4448="NEW",IF(ISNA(VLOOKUP(E4448,#REF!,1,FALSE())),"?TYPE_IDENTIFIABLE","?REFERENTIAL"),"_")))))</f>
        <v> </v>
      </c>
      <c r="H4448" s="25" t="str">
        <f>IF(J4448&lt;&gt;1,"",IF(I4448="SBJ","CB","?"))</f>
        <v> </v>
      </c>
      <c r="I4448" s="26" t="str">
        <f>IF(OR(E4448="",E4448="!!!",F4448="NEW"),"",INDEX(B4447:B$2,-1+SUMPRODUCT(MAX(ROW(E4447:E$2)*(E4448=E4447:E$2)))))</f>
        <v> </v>
      </c>
      <c r="J4448" s="26" t="str">
        <f>IF(OR(E4448="",E4448="!!!",F4448="NEW"),"",COUNTBLANK(OFFSET(A$1,,,SUMPRODUCT(MAX(ROW(E$2:E4448)*(E4448=E$2:E4448)))))-COUNTBLANK(OFFSET(A$1,,,SUMPRODUCT(MAX(ROW(E$1:E4447)*(E2=E$1:E4447))))))</f>
        <v> </v>
      </c>
      <c r="K4448" s="26" t="str">
        <f>IF(OR(E4448="",E4448="!!!",F4448="NEW"),"",INDEX(J$1:J4447,SUMPRODUCT(MAX(ROW(E$1:E4447)*(E4448=E$1:E4447)))))</f>
        <v> </v>
      </c>
      <c r="L4448" s="27"/>
    </row>
    <row r="4449" spans="1:12">
      <c r="A4449" s="20" t="s">
        <v>2329</v>
      </c>
      <c r="E4449" s="22">
        <f>IF(D4449="?OLD","!!!","")</f>
        <v/>
      </c>
      <c r="F4449" s="23" t="str">
        <f>IF(OR(E4449="",E4449="!!!"),"",IF(NOT(ISNA(VLOOKUP(E4449,E$1:E4448,1,FALSE()))),"OLD",IF(AND(E4449&lt;&gt;"",E4449&lt;&gt;"!!!"),"NEW","")))</f>
        <v> </v>
      </c>
      <c r="G4449" s="24" t="str">
        <f>IF(OR(E4449="",E4449="!!!"),"",IF(OR(J4449=0,AND(J4449=1,K4449=1),AND(J4449=1,I4449="SBJ"),AND(J4449=1,I4449=0)),"?IN_FOCUS",IF(J4449&lt;=2,"?ACTIVATED",IF(J4449&lt;&gt;"","?FAMILIAR",IF(F4449="NEW",IF(ISNA(VLOOKUP(E4449,#REF!,1,FALSE())),"?TYPE_IDENTIFIABLE","?REFERENTIAL"),"_")))))</f>
        <v> </v>
      </c>
      <c r="H4449" s="25" t="str">
        <f>IF(J4449&lt;&gt;1,"",IF(I4449="SBJ","CB","?"))</f>
        <v> </v>
      </c>
      <c r="I4449" s="26" t="str">
        <f>IF(OR(E4449="",E4449="!!!",F4449="NEW"),"",INDEX(B4448:B$2,-1+SUMPRODUCT(MAX(ROW(E4448:E$2)*(E4449=E4448:E$2)))))</f>
        <v> </v>
      </c>
      <c r="J4449" s="26" t="str">
        <f>IF(OR(E4449="",E4449="!!!",F4449="NEW"),"",COUNTBLANK(OFFSET(A$1,,,SUMPRODUCT(MAX(ROW(E$2:E4449)*(E4449=E$2:E4449)))))-COUNTBLANK(OFFSET(A$1,,,SUMPRODUCT(MAX(ROW(E$1:E4448)*(E2=E$1:E4448))))))</f>
        <v> </v>
      </c>
      <c r="K4449" s="26" t="str">
        <f>IF(OR(E4449="",E4449="!!!",F4449="NEW"),"",INDEX(J$1:J4448,SUMPRODUCT(MAX(ROW(E$1:E4448)*(E4449=E$1:E4448)))))</f>
        <v> </v>
      </c>
      <c r="L4449" s="27"/>
    </row>
    <row r="4450" spans="1:12">
      <c r="A4450" s="20" t="s">
        <v>1070</v>
      </c>
      <c r="E4450" s="22">
        <f>IF(D4450="?OLD","!!!","")</f>
        <v/>
      </c>
      <c r="F4450" s="23" t="str">
        <f>IF(OR(E4450="",E4450="!!!"),"",IF(NOT(ISNA(VLOOKUP(E4450,E$1:E4449,1,FALSE()))),"OLD",IF(AND(E4450&lt;&gt;"",E4450&lt;&gt;"!!!"),"NEW","")))</f>
        <v> </v>
      </c>
      <c r="G4450" s="24" t="str">
        <f>IF(OR(E4450="",E4450="!!!"),"",IF(OR(J4450=0,AND(J4450=1,K4450=1),AND(J4450=1,I4450="SBJ"),AND(J4450=1,I4450=0)),"?IN_FOCUS",IF(J4450&lt;=2,"?ACTIVATED",IF(J4450&lt;&gt;"","?FAMILIAR",IF(F4450="NEW",IF(ISNA(VLOOKUP(E4450,#REF!,1,FALSE())),"?TYPE_IDENTIFIABLE","?REFERENTIAL"),"_")))))</f>
        <v> </v>
      </c>
      <c r="H4450" s="25" t="str">
        <f>IF(J4450&lt;&gt;1,"",IF(I4450="SBJ","CB","?"))</f>
        <v> </v>
      </c>
      <c r="I4450" s="26" t="str">
        <f>IF(OR(E4450="",E4450="!!!",F4450="NEW"),"",INDEX(B4449:B$2,-1+SUMPRODUCT(MAX(ROW(E4449:E$2)*(E4450=E4449:E$2)))))</f>
        <v> </v>
      </c>
      <c r="J4450" s="26" t="str">
        <f>IF(OR(E4450="",E4450="!!!",F4450="NEW"),"",COUNTBLANK(OFFSET(A$1,,,SUMPRODUCT(MAX(ROW(E$2:E4450)*(E4450=E$2:E4450)))))-COUNTBLANK(OFFSET(A$1,,,SUMPRODUCT(MAX(ROW(E$1:E4449)*(E2=E$1:E4449))))))</f>
        <v> </v>
      </c>
      <c r="K4450" s="26" t="str">
        <f>IF(OR(E4450="",E4450="!!!",F4450="NEW"),"",INDEX(J$1:J4449,SUMPRODUCT(MAX(ROW(E$1:E4449)*(E4450=E$1:E4449)))))</f>
        <v> </v>
      </c>
      <c r="L4450" s="27"/>
    </row>
    <row r="4451" spans="1:12">
      <c r="A4451" s="20" t="s">
        <v>2330</v>
      </c>
      <c r="E4451" s="22">
        <f>IF(D4451="?OLD","!!!","")</f>
        <v/>
      </c>
      <c r="F4451" s="23" t="str">
        <f>IF(OR(E4451="",E4451="!!!"),"",IF(NOT(ISNA(VLOOKUP(E4451,E$1:E4450,1,FALSE()))),"OLD",IF(AND(E4451&lt;&gt;"",E4451&lt;&gt;"!!!"),"NEW","")))</f>
        <v> </v>
      </c>
      <c r="G4451" s="24" t="str">
        <f>IF(OR(E4451="",E4451="!!!"),"",IF(OR(J4451=0,AND(J4451=1,K4451=1),AND(J4451=1,I4451="SBJ"),AND(J4451=1,I4451=0)),"?IN_FOCUS",IF(J4451&lt;=2,"?ACTIVATED",IF(J4451&lt;&gt;"","?FAMILIAR",IF(F4451="NEW",IF(ISNA(VLOOKUP(E4451,#REF!,1,FALSE())),"?TYPE_IDENTIFIABLE","?REFERENTIAL"),"_")))))</f>
        <v> </v>
      </c>
      <c r="H4451" s="25" t="str">
        <f>IF(J4451&lt;&gt;1,"",IF(I4451="SBJ","CB","?"))</f>
        <v> </v>
      </c>
      <c r="I4451" s="26" t="str">
        <f>IF(OR(E4451="",E4451="!!!",F4451="NEW"),"",INDEX(B4450:B$2,-1+SUMPRODUCT(MAX(ROW(E4450:E$2)*(E4451=E4450:E$2)))))</f>
        <v> </v>
      </c>
      <c r="J4451" s="26" t="str">
        <f>IF(OR(E4451="",E4451="!!!",F4451="NEW"),"",COUNTBLANK(OFFSET(A$1,,,SUMPRODUCT(MAX(ROW(E$2:E4451)*(E4451=E$2:E4451)))))-COUNTBLANK(OFFSET(A$1,,,SUMPRODUCT(MAX(ROW(E$1:E4450)*(E2=E$1:E4450))))))</f>
        <v> </v>
      </c>
      <c r="K4451" s="26" t="str">
        <f>IF(OR(E4451="",E4451="!!!",F4451="NEW"),"",INDEX(J$1:J4450,SUMPRODUCT(MAX(ROW(E$1:E4450)*(E4451=E$1:E4450)))))</f>
        <v> </v>
      </c>
      <c r="L4451" s="27"/>
    </row>
    <row r="4452" spans="1:12">
      <c r="A4452" s="20" t="s">
        <v>1733</v>
      </c>
      <c r="B4452" s="21" t="s">
        <v>1068</v>
      </c>
      <c r="C4452" s="21" t="s">
        <v>1140</v>
      </c>
      <c r="D4452" s="21" t="s">
        <v>1060</v>
      </c>
      <c r="E4452" s="22">
        <f>IF(D4452="?OLD","!!!","")</f>
        <v/>
      </c>
      <c r="F4452" s="23" t="str">
        <f>IF(OR(E4452="",E4452="!!!"),"",IF(NOT(ISNA(VLOOKUP(E4452,E$1:E4451,1,FALSE()))),"OLD",IF(AND(E4452&lt;&gt;"",E4452&lt;&gt;"!!!"),"NEW","")))</f>
        <v> </v>
      </c>
      <c r="G4452" s="24" t="str">
        <f>IF(OR(E4452="",E4452="!!!"),"",IF(OR(J4452=0,AND(J4452=1,K4452=1),AND(J4452=1,I4452="SBJ"),AND(J4452=1,I4452=0)),"?IN_FOCUS",IF(J4452&lt;=2,"?ACTIVATED",IF(J4452&lt;&gt;"","?FAMILIAR",IF(F4452="NEW",IF(ISNA(VLOOKUP(E4452,#REF!,1,FALSE())),"?TYPE_IDENTIFIABLE","?REFERENTIAL"),"_")))))</f>
        <v> </v>
      </c>
      <c r="H4452" s="25" t="str">
        <f>IF(J4452&lt;&gt;1,"",IF(I4452="SBJ","CB","?"))</f>
        <v> </v>
      </c>
      <c r="I4452" s="26" t="str">
        <f>IF(OR(E4452="",E4452="!!!",F4452="NEW"),"",INDEX(B4451:B$2,-1+SUMPRODUCT(MAX(ROW(E4451:E$2)*(E4452=E4451:E$2)))))</f>
        <v> </v>
      </c>
      <c r="J4452" s="26" t="str">
        <f>IF(OR(E4452="",E4452="!!!",F4452="NEW"),"",COUNTBLANK(OFFSET(A$1,,,SUMPRODUCT(MAX(ROW(E$2:E4452)*(E4452=E$2:E4452)))))-COUNTBLANK(OFFSET(A$1,,,SUMPRODUCT(MAX(ROW(E$1:E4451)*(E2=E$1:E4451))))))</f>
        <v> </v>
      </c>
      <c r="K4452" s="26" t="str">
        <f>IF(OR(E4452="",E4452="!!!",F4452="NEW"),"",INDEX(J$1:J4451,SUMPRODUCT(MAX(ROW(E$1:E4451)*(E4452=E$1:E4451)))))</f>
        <v> </v>
      </c>
      <c r="L4452" s="27"/>
    </row>
    <row r="4453" spans="1:12">
      <c r="A4453" s="20" t="s">
        <v>1082</v>
      </c>
      <c r="E4453" s="22">
        <f>IF(D4453="?OLD","!!!","")</f>
        <v/>
      </c>
      <c r="F4453" s="23" t="str">
        <f>IF(OR(E4453="",E4453="!!!"),"",IF(NOT(ISNA(VLOOKUP(E4453,E$1:E4452,1,FALSE()))),"OLD",IF(AND(E4453&lt;&gt;"",E4453&lt;&gt;"!!!"),"NEW","")))</f>
        <v> </v>
      </c>
      <c r="G4453" s="24" t="str">
        <f>IF(OR(E4453="",E4453="!!!"),"",IF(OR(J4453=0,AND(J4453=1,K4453=1),AND(J4453=1,I4453="SBJ"),AND(J4453=1,I4453=0)),"?IN_FOCUS",IF(J4453&lt;=2,"?ACTIVATED",IF(J4453&lt;&gt;"","?FAMILIAR",IF(F4453="NEW",IF(ISNA(VLOOKUP(E4453,#REF!,1,FALSE())),"?TYPE_IDENTIFIABLE","?REFERENTIAL"),"_")))))</f>
        <v> </v>
      </c>
      <c r="H4453" s="25" t="str">
        <f>IF(J4453&lt;&gt;1,"",IF(I4453="SBJ","CB","?"))</f>
        <v> </v>
      </c>
      <c r="I4453" s="26" t="str">
        <f>IF(OR(E4453="",E4453="!!!",F4453="NEW"),"",INDEX(B4452:B$2,-1+SUMPRODUCT(MAX(ROW(E4452:E$2)*(E4453=E4452:E$2)))))</f>
        <v> </v>
      </c>
      <c r="J4453" s="26" t="str">
        <f>IF(OR(E4453="",E4453="!!!",F4453="NEW"),"",COUNTBLANK(OFFSET(A$1,,,SUMPRODUCT(MAX(ROW(E$2:E4453)*(E4453=E$2:E4453)))))-COUNTBLANK(OFFSET(A$1,,,SUMPRODUCT(MAX(ROW(E$1:E4452)*(E2=E$1:E4452))))))</f>
        <v> </v>
      </c>
      <c r="K4453" s="26" t="str">
        <f>IF(OR(E4453="",E4453="!!!",F4453="NEW"),"",INDEX(J$1:J4452,SUMPRODUCT(MAX(ROW(E$1:E4452)*(E4453=E$1:E4452)))))</f>
        <v> </v>
      </c>
      <c r="L4453" s="27"/>
    </row>
    <row r="4454" spans="1:12">
      <c r="A4454" s="20" t="s">
        <v>1083</v>
      </c>
      <c r="B4454" s="21" t="s">
        <v>1331</v>
      </c>
      <c r="C4454" s="21" t="s">
        <v>1076</v>
      </c>
      <c r="D4454" s="21" t="s">
        <v>1060</v>
      </c>
      <c r="E4454" s="22">
        <f>IF(D4454="?OLD","!!!","")</f>
        <v/>
      </c>
      <c r="F4454" s="23" t="str">
        <f>IF(OR(E4454="",E4454="!!!"),"",IF(NOT(ISNA(VLOOKUP(E4454,E$1:E4453,1,FALSE()))),"OLD",IF(AND(E4454&lt;&gt;"",E4454&lt;&gt;"!!!"),"NEW","")))</f>
        <v> </v>
      </c>
      <c r="G4454" s="24" t="str">
        <f>IF(OR(E4454="",E4454="!!!"),"",IF(OR(J4454=0,AND(J4454=1,K4454=1),AND(J4454=1,I4454="SBJ"),AND(J4454=1,I4454=0)),"?IN_FOCUS",IF(J4454&lt;=2,"?ACTIVATED",IF(J4454&lt;&gt;"","?FAMILIAR",IF(F4454="NEW",IF(ISNA(VLOOKUP(E4454,#REF!,1,FALSE())),"?TYPE_IDENTIFIABLE","?REFERENTIAL"),"_")))))</f>
        <v> </v>
      </c>
      <c r="H4454" s="25" t="str">
        <f>IF(J4454&lt;&gt;1,"",IF(I4454="SBJ","CB","?"))</f>
        <v> </v>
      </c>
      <c r="I4454" s="26" t="str">
        <f>IF(OR(E4454="",E4454="!!!",F4454="NEW"),"",INDEX(B4453:B$2,-1+SUMPRODUCT(MAX(ROW(E4453:E$2)*(E4454=E4453:E$2)))))</f>
        <v> </v>
      </c>
      <c r="J4454" s="26" t="str">
        <f>IF(OR(E4454="",E4454="!!!",F4454="NEW"),"",COUNTBLANK(OFFSET(A$1,,,SUMPRODUCT(MAX(ROW(E$2:E4454)*(E4454=E$2:E4454)))))-COUNTBLANK(OFFSET(A$1,,,SUMPRODUCT(MAX(ROW(E$1:E4453)*(E2=E$1:E4453))))))</f>
        <v> </v>
      </c>
      <c r="K4454" s="26" t="str">
        <f>IF(OR(E4454="",E4454="!!!",F4454="NEW"),"",INDEX(J$1:J4453,SUMPRODUCT(MAX(ROW(E$1:E4453)*(E4454=E$1:E4453)))))</f>
        <v> </v>
      </c>
      <c r="L4454" s="27"/>
    </row>
    <row r="4455" spans="1:12">
      <c r="A4455" s="20" t="s">
        <v>1152</v>
      </c>
      <c r="E4455" s="22">
        <f>IF(D4455="?OLD","!!!","")</f>
        <v/>
      </c>
      <c r="F4455" s="23" t="str">
        <f>IF(OR(E4455="",E4455="!!!"),"",IF(NOT(ISNA(VLOOKUP(E4455,E$1:E4454,1,FALSE()))),"OLD",IF(AND(E4455&lt;&gt;"",E4455&lt;&gt;"!!!"),"NEW","")))</f>
        <v> </v>
      </c>
      <c r="G4455" s="24" t="str">
        <f>IF(OR(E4455="",E4455="!!!"),"",IF(OR(J4455=0,AND(J4455=1,K4455=1),AND(J4455=1,I4455="SBJ"),AND(J4455=1,I4455=0)),"?IN_FOCUS",IF(J4455&lt;=2,"?ACTIVATED",IF(J4455&lt;&gt;"","?FAMILIAR",IF(F4455="NEW",IF(ISNA(VLOOKUP(E4455,#REF!,1,FALSE())),"?TYPE_IDENTIFIABLE","?REFERENTIAL"),"_")))))</f>
        <v> </v>
      </c>
      <c r="H4455" s="25" t="str">
        <f>IF(J4455&lt;&gt;1,"",IF(I4455="SBJ","CB","?"))</f>
        <v> </v>
      </c>
      <c r="I4455" s="26" t="str">
        <f>IF(OR(E4455="",E4455="!!!",F4455="NEW"),"",INDEX(B4454:B$2,-1+SUMPRODUCT(MAX(ROW(E4454:E$2)*(E4455=E4454:E$2)))))</f>
        <v> </v>
      </c>
      <c r="J4455" s="26" t="str">
        <f>IF(OR(E4455="",E4455="!!!",F4455="NEW"),"",COUNTBLANK(OFFSET(A$1,,,SUMPRODUCT(MAX(ROW(E$2:E4455)*(E4455=E$2:E4455)))))-COUNTBLANK(OFFSET(A$1,,,SUMPRODUCT(MAX(ROW(E$1:E4454)*(E2=E$1:E4454))))))</f>
        <v> </v>
      </c>
      <c r="K4455" s="26" t="str">
        <f>IF(OR(E4455="",E4455="!!!",F4455="NEW"),"",INDEX(J$1:J4454,SUMPRODUCT(MAX(ROW(E$1:E4454)*(E4455=E$1:E4454)))))</f>
        <v> </v>
      </c>
      <c r="L4455" s="27"/>
    </row>
    <row r="4456" spans="1:12">
      <c r="A4456" s="20" t="s">
        <v>1379</v>
      </c>
      <c r="E4456" s="22">
        <f>IF(D4456="?OLD","!!!","")</f>
        <v/>
      </c>
      <c r="F4456" s="23" t="str">
        <f>IF(OR(E4456="",E4456="!!!"),"",IF(NOT(ISNA(VLOOKUP(E4456,E$1:E4455,1,FALSE()))),"OLD",IF(AND(E4456&lt;&gt;"",E4456&lt;&gt;"!!!"),"NEW","")))</f>
        <v> </v>
      </c>
      <c r="G4456" s="24" t="str">
        <f>IF(OR(E4456="",E4456="!!!"),"",IF(OR(J4456=0,AND(J4456=1,K4456=1),AND(J4456=1,I4456="SBJ"),AND(J4456=1,I4456=0)),"?IN_FOCUS",IF(J4456&lt;=2,"?ACTIVATED",IF(J4456&lt;&gt;"","?FAMILIAR",IF(F4456="NEW",IF(ISNA(VLOOKUP(E4456,#REF!,1,FALSE())),"?TYPE_IDENTIFIABLE","?REFERENTIAL"),"_")))))</f>
        <v> </v>
      </c>
      <c r="H4456" s="25" t="str">
        <f>IF(J4456&lt;&gt;1,"",IF(I4456="SBJ","CB","?"))</f>
        <v> </v>
      </c>
      <c r="I4456" s="26" t="str">
        <f>IF(OR(E4456="",E4456="!!!",F4456="NEW"),"",INDEX(B4455:B$2,-1+SUMPRODUCT(MAX(ROW(E4455:E$2)*(E4456=E4455:E$2)))))</f>
        <v> </v>
      </c>
      <c r="J4456" s="26" t="str">
        <f>IF(OR(E4456="",E4456="!!!",F4456="NEW"),"",COUNTBLANK(OFFSET(A$1,,,SUMPRODUCT(MAX(ROW(E$2:E4456)*(E4456=E$2:E4456)))))-COUNTBLANK(OFFSET(A$1,,,SUMPRODUCT(MAX(ROW(E$1:E4455)*(E2=E$1:E4455))))))</f>
        <v> </v>
      </c>
      <c r="K4456" s="26" t="str">
        <f>IF(OR(E4456="",E4456="!!!",F4456="NEW"),"",INDEX(J$1:J4455,SUMPRODUCT(MAX(ROW(E$1:E4455)*(E4456=E$1:E4455)))))</f>
        <v> </v>
      </c>
      <c r="L4456" s="27"/>
    </row>
    <row r="4457" spans="1:12">
      <c r="A4457" s="20" t="s">
        <v>1588</v>
      </c>
      <c r="E4457" s="22">
        <f>IF(D4457="?OLD","!!!","")</f>
        <v/>
      </c>
      <c r="F4457" s="23" t="str">
        <f>IF(OR(E4457="",E4457="!!!"),"",IF(NOT(ISNA(VLOOKUP(E4457,E$1:E4456,1,FALSE()))),"OLD",IF(AND(E4457&lt;&gt;"",E4457&lt;&gt;"!!!"),"NEW","")))</f>
        <v> </v>
      </c>
      <c r="G4457" s="24" t="str">
        <f>IF(OR(E4457="",E4457="!!!"),"",IF(OR(J4457=0,AND(J4457=1,K4457=1),AND(J4457=1,I4457="SBJ"),AND(J4457=1,I4457=0)),"?IN_FOCUS",IF(J4457&lt;=2,"?ACTIVATED",IF(J4457&lt;&gt;"","?FAMILIAR",IF(F4457="NEW",IF(ISNA(VLOOKUP(E4457,#REF!,1,FALSE())),"?TYPE_IDENTIFIABLE","?REFERENTIAL"),"_")))))</f>
        <v> </v>
      </c>
      <c r="H4457" s="25" t="str">
        <f>IF(J4457&lt;&gt;1,"",IF(I4457="SBJ","CB","?"))</f>
        <v> </v>
      </c>
      <c r="I4457" s="26" t="str">
        <f>IF(OR(E4457="",E4457="!!!",F4457="NEW"),"",INDEX(B4456:B$2,-1+SUMPRODUCT(MAX(ROW(E4456:E$2)*(E4457=E4456:E$2)))))</f>
        <v> </v>
      </c>
      <c r="J4457" s="26" t="str">
        <f>IF(OR(E4457="",E4457="!!!",F4457="NEW"),"",COUNTBLANK(OFFSET(A$1,,,SUMPRODUCT(MAX(ROW(E$2:E4457)*(E4457=E$2:E4457)))))-COUNTBLANK(OFFSET(A$1,,,SUMPRODUCT(MAX(ROW(E$1:E4456)*(E2=E$1:E4456))))))</f>
        <v> </v>
      </c>
      <c r="K4457" s="26" t="str">
        <f>IF(OR(E4457="",E4457="!!!",F4457="NEW"),"",INDEX(J$1:J4456,SUMPRODUCT(MAX(ROW(E$1:E4456)*(E4457=E$1:E4456)))))</f>
        <v> </v>
      </c>
      <c r="L4457" s="27"/>
    </row>
    <row r="4458" spans="1:12">
      <c r="A4458" s="20" t="s">
        <v>1083</v>
      </c>
      <c r="B4458" s="21" t="s">
        <v>1179</v>
      </c>
      <c r="C4458" s="21" t="s">
        <v>1076</v>
      </c>
      <c r="D4458" s="21" t="s">
        <v>1060</v>
      </c>
      <c r="E4458" s="22">
        <f>IF(D4458="?OLD","!!!","")</f>
        <v/>
      </c>
      <c r="F4458" s="23" t="str">
        <f>IF(OR(E4458="",E4458="!!!"),"",IF(NOT(ISNA(VLOOKUP(E4458,E$1:E4457,1,FALSE()))),"OLD",IF(AND(E4458&lt;&gt;"",E4458&lt;&gt;"!!!"),"NEW","")))</f>
        <v> </v>
      </c>
      <c r="G4458" s="24" t="str">
        <f>IF(OR(E4458="",E4458="!!!"),"",IF(OR(J4458=0,AND(J4458=1,K4458=1),AND(J4458=1,I4458="SBJ"),AND(J4458=1,I4458=0)),"?IN_FOCUS",IF(J4458&lt;=2,"?ACTIVATED",IF(J4458&lt;&gt;"","?FAMILIAR",IF(F4458="NEW",IF(ISNA(VLOOKUP(E4458,#REF!,1,FALSE())),"?TYPE_IDENTIFIABLE","?REFERENTIAL"),"_")))))</f>
        <v> </v>
      </c>
      <c r="H4458" s="25" t="str">
        <f>IF(J4458&lt;&gt;1,"",IF(I4458="SBJ","CB","?"))</f>
        <v> </v>
      </c>
      <c r="I4458" s="26" t="str">
        <f>IF(OR(E4458="",E4458="!!!",F4458="NEW"),"",INDEX(B4457:B$2,-1+SUMPRODUCT(MAX(ROW(E4457:E$2)*(E4458=E4457:E$2)))))</f>
        <v> </v>
      </c>
      <c r="J4458" s="26" t="str">
        <f>IF(OR(E4458="",E4458="!!!",F4458="NEW"),"",COUNTBLANK(OFFSET(A$1,,,SUMPRODUCT(MAX(ROW(E$2:E4458)*(E4458=E$2:E4458)))))-COUNTBLANK(OFFSET(A$1,,,SUMPRODUCT(MAX(ROW(E$1:E4457)*(E2=E$1:E4457))))))</f>
        <v> </v>
      </c>
      <c r="K4458" s="26" t="str">
        <f>IF(OR(E4458="",E4458="!!!",F4458="NEW"),"",INDEX(J$1:J4457,SUMPRODUCT(MAX(ROW(E$1:E4457)*(E4458=E$1:E4457)))))</f>
        <v> </v>
      </c>
      <c r="L4458" s="27"/>
    </row>
    <row r="4459" spans="1:12">
      <c r="A4459" s="20" t="s">
        <v>2331</v>
      </c>
      <c r="E4459" s="22">
        <f>IF(D4459="?OLD","!!!","")</f>
        <v/>
      </c>
      <c r="F4459" s="23" t="str">
        <f>IF(OR(E4459="",E4459="!!!"),"",IF(NOT(ISNA(VLOOKUP(E4459,E$1:E4458,1,FALSE()))),"OLD",IF(AND(E4459&lt;&gt;"",E4459&lt;&gt;"!!!"),"NEW","")))</f>
        <v> </v>
      </c>
      <c r="G4459" s="24" t="str">
        <f>IF(OR(E4459="",E4459="!!!"),"",IF(OR(J4459=0,AND(J4459=1,K4459=1),AND(J4459=1,I4459="SBJ"),AND(J4459=1,I4459=0)),"?IN_FOCUS",IF(J4459&lt;=2,"?ACTIVATED",IF(J4459&lt;&gt;"","?FAMILIAR",IF(F4459="NEW",IF(ISNA(VLOOKUP(E4459,#REF!,1,FALSE())),"?TYPE_IDENTIFIABLE","?REFERENTIAL"),"_")))))</f>
        <v> </v>
      </c>
      <c r="H4459" s="25" t="str">
        <f>IF(J4459&lt;&gt;1,"",IF(I4459="SBJ","CB","?"))</f>
        <v> </v>
      </c>
      <c r="I4459" s="26" t="str">
        <f>IF(OR(E4459="",E4459="!!!",F4459="NEW"),"",INDEX(B4458:B$2,-1+SUMPRODUCT(MAX(ROW(E4458:E$2)*(E4459=E4458:E$2)))))</f>
        <v> </v>
      </c>
      <c r="J4459" s="26" t="str">
        <f>IF(OR(E4459="",E4459="!!!",F4459="NEW"),"",COUNTBLANK(OFFSET(A$1,,,SUMPRODUCT(MAX(ROW(E$2:E4459)*(E4459=E$2:E4459)))))-COUNTBLANK(OFFSET(A$1,,,SUMPRODUCT(MAX(ROW(E$1:E4458)*(E2=E$1:E4458))))))</f>
        <v> </v>
      </c>
      <c r="K4459" s="26" t="str">
        <f>IF(OR(E4459="",E4459="!!!",F4459="NEW"),"",INDEX(J$1:J4458,SUMPRODUCT(MAX(ROW(E$1:E4458)*(E4459=E$1:E4458)))))</f>
        <v> </v>
      </c>
      <c r="L4459" s="27"/>
    </row>
    <row r="4460" spans="1:12">
      <c r="A4460" s="20" t="s">
        <v>2332</v>
      </c>
      <c r="B4460" s="21" t="s">
        <v>1095</v>
      </c>
      <c r="C4460" s="21" t="s">
        <v>1059</v>
      </c>
      <c r="D4460" s="21" t="s">
        <v>1060</v>
      </c>
      <c r="E4460" s="22">
        <f>IF(D4460="?OLD","!!!","")</f>
        <v/>
      </c>
      <c r="F4460" s="23" t="str">
        <f>IF(OR(E4460="",E4460="!!!"),"",IF(NOT(ISNA(VLOOKUP(E4460,E$1:E4459,1,FALSE()))),"OLD",IF(AND(E4460&lt;&gt;"",E4460&lt;&gt;"!!!"),"NEW","")))</f>
        <v> </v>
      </c>
      <c r="G4460" s="24" t="str">
        <f>IF(OR(E4460="",E4460="!!!"),"",IF(OR(J4460=0,AND(J4460=1,K4460=1),AND(J4460=1,I4460="SBJ"),AND(J4460=1,I4460=0)),"?IN_FOCUS",IF(J4460&lt;=2,"?ACTIVATED",IF(J4460&lt;&gt;"","?FAMILIAR",IF(F4460="NEW",IF(ISNA(VLOOKUP(E4460,#REF!,1,FALSE())),"?TYPE_IDENTIFIABLE","?REFERENTIAL"),"_")))))</f>
        <v> </v>
      </c>
      <c r="H4460" s="25" t="str">
        <f>IF(J4460&lt;&gt;1,"",IF(I4460="SBJ","CB","?"))</f>
        <v> </v>
      </c>
      <c r="I4460" s="26" t="str">
        <f>IF(OR(E4460="",E4460="!!!",F4460="NEW"),"",INDEX(B4459:B$2,-1+SUMPRODUCT(MAX(ROW(E4459:E$2)*(E4460=E4459:E$2)))))</f>
        <v> </v>
      </c>
      <c r="J4460" s="26" t="str">
        <f>IF(OR(E4460="",E4460="!!!",F4460="NEW"),"",COUNTBLANK(OFFSET(A$1,,,SUMPRODUCT(MAX(ROW(E$2:E4460)*(E4460=E$2:E4460)))))-COUNTBLANK(OFFSET(A$1,,,SUMPRODUCT(MAX(ROW(E$1:E4459)*(E2=E$1:E4459))))))</f>
        <v> </v>
      </c>
      <c r="K4460" s="26" t="str">
        <f>IF(OR(E4460="",E4460="!!!",F4460="NEW"),"",INDEX(J$1:J4459,SUMPRODUCT(MAX(ROW(E$1:E4459)*(E4460=E$1:E4459)))))</f>
        <v> </v>
      </c>
      <c r="L4460" s="27"/>
    </row>
    <row r="4461" spans="1:12">
      <c r="A4461" s="20" t="s">
        <v>1061</v>
      </c>
      <c r="E4461" s="22">
        <f>IF(D4461="?OLD","!!!","")</f>
        <v/>
      </c>
      <c r="F4461" s="23" t="str">
        <f>IF(OR(E4461="",E4461="!!!"),"",IF(NOT(ISNA(VLOOKUP(E4461,E$1:E4460,1,FALSE()))),"OLD",IF(AND(E4461&lt;&gt;"",E4461&lt;&gt;"!!!"),"NEW","")))</f>
        <v> </v>
      </c>
      <c r="G4461" s="24" t="str">
        <f>IF(OR(E4461="",E4461="!!!"),"",IF(OR(J4461=0,AND(J4461=1,K4461=1),AND(J4461=1,I4461="SBJ"),AND(J4461=1,I4461=0)),"?IN_FOCUS",IF(J4461&lt;=2,"?ACTIVATED",IF(J4461&lt;&gt;"","?FAMILIAR",IF(F4461="NEW",IF(ISNA(VLOOKUP(E4461,#REF!,1,FALSE())),"?TYPE_IDENTIFIABLE","?REFERENTIAL"),"_")))))</f>
        <v> </v>
      </c>
      <c r="H4461" s="25" t="str">
        <f>IF(J4461&lt;&gt;1,"",IF(I4461="SBJ","CB","?"))</f>
        <v> </v>
      </c>
      <c r="I4461" s="26" t="str">
        <f>IF(OR(E4461="",E4461="!!!",F4461="NEW"),"",INDEX(B4460:B$2,-1+SUMPRODUCT(MAX(ROW(E4460:E$2)*(E4461=E4460:E$2)))))</f>
        <v> </v>
      </c>
      <c r="J4461" s="26" t="str">
        <f>IF(OR(E4461="",E4461="!!!",F4461="NEW"),"",COUNTBLANK(OFFSET(A$1,,,SUMPRODUCT(MAX(ROW(E$2:E4461)*(E4461=E$2:E4461)))))-COUNTBLANK(OFFSET(A$1,,,SUMPRODUCT(MAX(ROW(E$1:E4460)*(E2=E$1:E4460))))))</f>
        <v> </v>
      </c>
      <c r="K4461" s="26" t="str">
        <f>IF(OR(E4461="",E4461="!!!",F4461="NEW"),"",INDEX(J$1:J4460,SUMPRODUCT(MAX(ROW(E$1:E4460)*(E4461=E$1:E4460)))))</f>
        <v> </v>
      </c>
      <c r="L4461" s="27"/>
    </row>
    <row r="4462" spans="1:12">
      <c r="A4462" s="20" t="s">
        <v>1082</v>
      </c>
      <c r="E4462" s="22">
        <f>IF(D4462="?OLD","!!!","")</f>
        <v/>
      </c>
      <c r="F4462" s="23" t="str">
        <f>IF(OR(E4462="",E4462="!!!"),"",IF(NOT(ISNA(VLOOKUP(E4462,E$1:E4461,1,FALSE()))),"OLD",IF(AND(E4462&lt;&gt;"",E4462&lt;&gt;"!!!"),"NEW","")))</f>
        <v> </v>
      </c>
      <c r="G4462" s="24" t="str">
        <f>IF(OR(E4462="",E4462="!!!"),"",IF(OR(J4462=0,AND(J4462=1,K4462=1),AND(J4462=1,I4462="SBJ"),AND(J4462=1,I4462=0)),"?IN_FOCUS",IF(J4462&lt;=2,"?ACTIVATED",IF(J4462&lt;&gt;"","?FAMILIAR",IF(F4462="NEW",IF(ISNA(VLOOKUP(E4462,#REF!,1,FALSE())),"?TYPE_IDENTIFIABLE","?REFERENTIAL"),"_")))))</f>
        <v> </v>
      </c>
      <c r="H4462" s="25" t="str">
        <f>IF(J4462&lt;&gt;1,"",IF(I4462="SBJ","CB","?"))</f>
        <v> </v>
      </c>
      <c r="I4462" s="26" t="str">
        <f>IF(OR(E4462="",E4462="!!!",F4462="NEW"),"",INDEX(B4461:B$2,-1+SUMPRODUCT(MAX(ROW(E4461:E$2)*(E4462=E4461:E$2)))))</f>
        <v> </v>
      </c>
      <c r="J4462" s="26" t="str">
        <f>IF(OR(E4462="",E4462="!!!",F4462="NEW"),"",COUNTBLANK(OFFSET(A$1,,,SUMPRODUCT(MAX(ROW(E$2:E4462)*(E4462=E$2:E4462)))))-COUNTBLANK(OFFSET(A$1,,,SUMPRODUCT(MAX(ROW(E$1:E4461)*(E2=E$1:E4461))))))</f>
        <v> </v>
      </c>
      <c r="K4462" s="26" t="str">
        <f>IF(OR(E4462="",E4462="!!!",F4462="NEW"),"",INDEX(J$1:J4461,SUMPRODUCT(MAX(ROW(E$1:E4461)*(E4462=E$1:E4461)))))</f>
        <v> </v>
      </c>
      <c r="L4462" s="27"/>
    </row>
    <row r="4463" spans="1:12">
      <c r="A4463" s="20" t="s">
        <v>1468</v>
      </c>
      <c r="E4463" s="22">
        <f>IF(D4463="?OLD","!!!","")</f>
        <v/>
      </c>
      <c r="F4463" s="23" t="str">
        <f>IF(OR(E4463="",E4463="!!!"),"",IF(NOT(ISNA(VLOOKUP(E4463,E$1:E4462,1,FALSE()))),"OLD",IF(AND(E4463&lt;&gt;"",E4463&lt;&gt;"!!!"),"NEW","")))</f>
        <v> </v>
      </c>
      <c r="G4463" s="24" t="str">
        <f>IF(OR(E4463="",E4463="!!!"),"",IF(OR(J4463=0,AND(J4463=1,K4463=1),AND(J4463=1,I4463="SBJ"),AND(J4463=1,I4463=0)),"?IN_FOCUS",IF(J4463&lt;=2,"?ACTIVATED",IF(J4463&lt;&gt;"","?FAMILIAR",IF(F4463="NEW",IF(ISNA(VLOOKUP(E4463,#REF!,1,FALSE())),"?TYPE_IDENTIFIABLE","?REFERENTIAL"),"_")))))</f>
        <v> </v>
      </c>
      <c r="H4463" s="25" t="str">
        <f>IF(J4463&lt;&gt;1,"",IF(I4463="SBJ","CB","?"))</f>
        <v> </v>
      </c>
      <c r="I4463" s="26" t="str">
        <f>IF(OR(E4463="",E4463="!!!",F4463="NEW"),"",INDEX(B4462:B$2,-1+SUMPRODUCT(MAX(ROW(E4462:E$2)*(E4463=E4462:E$2)))))</f>
        <v> </v>
      </c>
      <c r="J4463" s="26" t="str">
        <f>IF(OR(E4463="",E4463="!!!",F4463="NEW"),"",COUNTBLANK(OFFSET(A$1,,,SUMPRODUCT(MAX(ROW(E$2:E4463)*(E4463=E$2:E4463)))))-COUNTBLANK(OFFSET(A$1,,,SUMPRODUCT(MAX(ROW(E$1:E4462)*(E2=E$1:E4462))))))</f>
        <v> </v>
      </c>
      <c r="K4463" s="26" t="str">
        <f>IF(OR(E4463="",E4463="!!!",F4463="NEW"),"",INDEX(J$1:J4462,SUMPRODUCT(MAX(ROW(E$1:E4462)*(E4463=E$1:E4462)))))</f>
        <v> </v>
      </c>
      <c r="L4463" s="27"/>
    </row>
    <row r="4464" spans="1:12">
      <c r="A4464" s="20" t="s">
        <v>16</v>
      </c>
      <c r="E4464" s="22">
        <f>IF(D4464="?OLD","!!!","")</f>
        <v/>
      </c>
      <c r="F4464" s="23" t="str">
        <f>IF(OR(E4464="",E4464="!!!"),"",IF(NOT(ISNA(VLOOKUP(E4464,E$1:E4463,1,FALSE()))),"OLD",IF(AND(E4464&lt;&gt;"",E4464&lt;&gt;"!!!"),"NEW","")))</f>
        <v> </v>
      </c>
      <c r="G4464" s="24" t="str">
        <f>IF(OR(E4464="",E4464="!!!"),"",IF(OR(J4464=0,AND(J4464=1,K4464=1),AND(J4464=1,I4464="SBJ"),AND(J4464=1,I4464=0)),"?IN_FOCUS",IF(J4464&lt;=2,"?ACTIVATED",IF(J4464&lt;&gt;"","?FAMILIAR",IF(F4464="NEW",IF(ISNA(VLOOKUP(E4464,#REF!,1,FALSE())),"?TYPE_IDENTIFIABLE","?REFERENTIAL"),"_")))))</f>
        <v> </v>
      </c>
      <c r="H4464" s="25" t="str">
        <f>IF(J4464&lt;&gt;1,"",IF(I4464="SBJ","CB","?"))</f>
        <v> </v>
      </c>
      <c r="I4464" s="26" t="str">
        <f>IF(OR(E4464="",E4464="!!!",F4464="NEW"),"",INDEX(B4463:B$2,-1+SUMPRODUCT(MAX(ROW(E4463:E$2)*(E4464=E4463:E$2)))))</f>
        <v> </v>
      </c>
      <c r="J4464" s="26" t="str">
        <f>IF(OR(E4464="",E4464="!!!",F4464="NEW"),"",COUNTBLANK(OFFSET(A$1,,,SUMPRODUCT(MAX(ROW(E$2:E4464)*(E4464=E$2:E4464)))))-COUNTBLANK(OFFSET(A$1,,,SUMPRODUCT(MAX(ROW(E$1:E4463)*(E2=E$1:E4463))))))</f>
        <v> </v>
      </c>
      <c r="K4464" s="26" t="str">
        <f>IF(OR(E4464="",E4464="!!!",F4464="NEW"),"",INDEX(J$1:J4463,SUMPRODUCT(MAX(ROW(E$1:E4463)*(E4464=E$1:E4463)))))</f>
        <v> </v>
      </c>
      <c r="L4464" s="27"/>
    </row>
    <row r="4465" spans="1:12">
      <c r="A4465" s="20" t="s">
        <v>1469</v>
      </c>
      <c r="E4465" s="22">
        <f>IF(D4465="?OLD","!!!","")</f>
        <v/>
      </c>
      <c r="F4465" s="23" t="str">
        <f>IF(OR(E4465="",E4465="!!!"),"",IF(NOT(ISNA(VLOOKUP(E4465,E$1:E4464,1,FALSE()))),"OLD",IF(AND(E4465&lt;&gt;"",E4465&lt;&gt;"!!!"),"NEW","")))</f>
        <v> </v>
      </c>
      <c r="G4465" s="24" t="str">
        <f>IF(OR(E4465="",E4465="!!!"),"",IF(OR(J4465=0,AND(J4465=1,K4465=1),AND(J4465=1,I4465="SBJ"),AND(J4465=1,I4465=0)),"?IN_FOCUS",IF(J4465&lt;=2,"?ACTIVATED",IF(J4465&lt;&gt;"","?FAMILIAR",IF(F4465="NEW",IF(ISNA(VLOOKUP(E4465,#REF!,1,FALSE())),"?TYPE_IDENTIFIABLE","?REFERENTIAL"),"_")))))</f>
        <v> </v>
      </c>
      <c r="H4465" s="25" t="str">
        <f>IF(J4465&lt;&gt;1,"",IF(I4465="SBJ","CB","?"))</f>
        <v> </v>
      </c>
      <c r="I4465" s="26" t="str">
        <f>IF(OR(E4465="",E4465="!!!",F4465="NEW"),"",INDEX(B4464:B$2,-1+SUMPRODUCT(MAX(ROW(E4464:E$2)*(E4465=E4464:E$2)))))</f>
        <v> </v>
      </c>
      <c r="J4465" s="26" t="str">
        <f>IF(OR(E4465="",E4465="!!!",F4465="NEW"),"",COUNTBLANK(OFFSET(A$1,,,SUMPRODUCT(MAX(ROW(E$2:E4465)*(E4465=E$2:E4465)))))-COUNTBLANK(OFFSET(A$1,,,SUMPRODUCT(MAX(ROW(E$1:E4464)*(E2=E$1:E4464))))))</f>
        <v> </v>
      </c>
      <c r="K4465" s="26" t="str">
        <f>IF(OR(E4465="",E4465="!!!",F4465="NEW"),"",INDEX(J$1:J4464,SUMPRODUCT(MAX(ROW(E$1:E4464)*(E4465=E$1:E4464)))))</f>
        <v> </v>
      </c>
      <c r="L4465" s="27"/>
    </row>
    <row r="4466" spans="1:12">
      <c r="A4466" s="20" t="s">
        <v>2333</v>
      </c>
      <c r="B4466" s="21" t="s">
        <v>1091</v>
      </c>
      <c r="C4466" s="21" t="s">
        <v>1159</v>
      </c>
      <c r="D4466" s="21" t="s">
        <v>1060</v>
      </c>
      <c r="E4466" s="22">
        <f>IF(D4466="?OLD","!!!","")</f>
        <v/>
      </c>
      <c r="F4466" s="23" t="str">
        <f>IF(OR(E4466="",E4466="!!!"),"",IF(NOT(ISNA(VLOOKUP(E4466,E$1:E4465,1,FALSE()))),"OLD",IF(AND(E4466&lt;&gt;"",E4466&lt;&gt;"!!!"),"NEW","")))</f>
        <v> </v>
      </c>
      <c r="G4466" s="24" t="str">
        <f>IF(OR(E4466="",E4466="!!!"),"",IF(OR(J4466=0,AND(J4466=1,K4466=1),AND(J4466=1,I4466="SBJ"),AND(J4466=1,I4466=0)),"?IN_FOCUS",IF(J4466&lt;=2,"?ACTIVATED",IF(J4466&lt;&gt;"","?FAMILIAR",IF(F4466="NEW",IF(ISNA(VLOOKUP(E4466,#REF!,1,FALSE())),"?TYPE_IDENTIFIABLE","?REFERENTIAL"),"_")))))</f>
        <v> </v>
      </c>
      <c r="H4466" s="25" t="str">
        <f>IF(J4466&lt;&gt;1,"",IF(I4466="SBJ","CB","?"))</f>
        <v> </v>
      </c>
      <c r="I4466" s="26" t="str">
        <f>IF(OR(E4466="",E4466="!!!",F4466="NEW"),"",INDEX(B4465:B$2,-1+SUMPRODUCT(MAX(ROW(E4465:E$2)*(E4466=E4465:E$2)))))</f>
        <v> </v>
      </c>
      <c r="J4466" s="26" t="str">
        <f>IF(OR(E4466="",E4466="!!!",F4466="NEW"),"",COUNTBLANK(OFFSET(A$1,,,SUMPRODUCT(MAX(ROW(E$2:E4466)*(E4466=E$2:E4466)))))-COUNTBLANK(OFFSET(A$1,,,SUMPRODUCT(MAX(ROW(E$1:E4465)*(E2=E$1:E4465))))))</f>
        <v> </v>
      </c>
      <c r="K4466" s="26" t="str">
        <f>IF(OR(E4466="",E4466="!!!",F4466="NEW"),"",INDEX(J$1:J4465,SUMPRODUCT(MAX(ROW(E$1:E4465)*(E4466=E$1:E4465)))))</f>
        <v> </v>
      </c>
      <c r="L4466" s="27"/>
    </row>
    <row r="4467" spans="1:12">
      <c r="A4467" s="20" t="s">
        <v>923</v>
      </c>
      <c r="E4467" s="22">
        <f>IF(D4467="?OLD","!!!","")</f>
        <v/>
      </c>
      <c r="F4467" s="23" t="str">
        <f>IF(OR(E4467="",E4467="!!!"),"",IF(NOT(ISNA(VLOOKUP(E4467,E$1:E4466,1,FALSE()))),"OLD",IF(AND(E4467&lt;&gt;"",E4467&lt;&gt;"!!!"),"NEW","")))</f>
        <v> </v>
      </c>
      <c r="G4467" s="24" t="str">
        <f>IF(OR(E4467="",E4467="!!!"),"",IF(OR(J4467=0,AND(J4467=1,K4467=1),AND(J4467=1,I4467="SBJ"),AND(J4467=1,I4467=0)),"?IN_FOCUS",IF(J4467&lt;=2,"?ACTIVATED",IF(J4467&lt;&gt;"","?FAMILIAR",IF(F4467="NEW",IF(ISNA(VLOOKUP(E4467,#REF!,1,FALSE())),"?TYPE_IDENTIFIABLE","?REFERENTIAL"),"_")))))</f>
        <v> </v>
      </c>
      <c r="H4467" s="25" t="str">
        <f>IF(J4467&lt;&gt;1,"",IF(I4467="SBJ","CB","?"))</f>
        <v> </v>
      </c>
      <c r="I4467" s="26" t="str">
        <f>IF(OR(E4467="",E4467="!!!",F4467="NEW"),"",INDEX(B4466:B$2,-1+SUMPRODUCT(MAX(ROW(E4466:E$2)*(E4467=E4466:E$2)))))</f>
        <v> </v>
      </c>
      <c r="J4467" s="26" t="str">
        <f>IF(OR(E4467="",E4467="!!!",F4467="NEW"),"",COUNTBLANK(OFFSET(A$1,,,SUMPRODUCT(MAX(ROW(E$2:E4467)*(E4467=E$2:E4467)))))-COUNTBLANK(OFFSET(A$1,,,SUMPRODUCT(MAX(ROW(E$1:E4466)*(E2=E$1:E4466))))))</f>
        <v> </v>
      </c>
      <c r="K4467" s="26" t="str">
        <f>IF(OR(E4467="",E4467="!!!",F4467="NEW"),"",INDEX(J$1:J4466,SUMPRODUCT(MAX(ROW(E$1:E4466)*(E4467=E$1:E4466)))))</f>
        <v> </v>
      </c>
      <c r="L4467" s="27"/>
    </row>
    <row r="4468" spans="1:12">
      <c r="A4468" s="20"/>
    </row>
    <row r="4469" spans="1:12">
      <c r="A4469" s="20" t="s">
        <v>2334</v>
      </c>
    </row>
    <row r="4470" spans="1:12">
      <c r="A4470" s="20" t="s">
        <v>1393</v>
      </c>
      <c r="E4470" s="22">
        <f>IF(D4470="?OLD","!!!","")</f>
        <v/>
      </c>
      <c r="F4470" s="23" t="str">
        <f>IF(OR(E4470="",E4470="!!!"),"",IF(NOT(ISNA(VLOOKUP(E4470,E$1:E4469,1,FALSE()))),"OLD",IF(AND(E4470&lt;&gt;"",E4470&lt;&gt;"!!!"),"NEW","")))</f>
        <v> </v>
      </c>
      <c r="G4470" s="24" t="str">
        <f>IF(OR(E4470="",E4470="!!!"),"",IF(OR(J4470=0,AND(J4470=1,K4470=1),AND(J4470=1,I4470="SBJ"),AND(J4470=1,I4470=0)),"?IN_FOCUS",IF(J4470&lt;=2,"?ACTIVATED",IF(J4470&lt;&gt;"","?FAMILIAR",IF(F4470="NEW",IF(ISNA(VLOOKUP(E4470,#REF!,1,FALSE())),"?TYPE_IDENTIFIABLE","?REFERENTIAL"),"_")))))</f>
        <v> </v>
      </c>
      <c r="H4470" s="25" t="str">
        <f>IF(J4470&lt;&gt;1,"",IF(I4470="SBJ","CB","?"))</f>
        <v> </v>
      </c>
      <c r="I4470" s="26" t="str">
        <f>IF(OR(E4470="",E4470="!!!",F4470="NEW"),"",INDEX(B4469:B$2,-1+SUMPRODUCT(MAX(ROW(E4469:E$2)*(E4470=E4469:E$2)))))</f>
        <v> </v>
      </c>
      <c r="J4470" s="26" t="str">
        <f>IF(OR(E4470="",E4470="!!!",F4470="NEW"),"",COUNTBLANK(OFFSET(A$1,,,SUMPRODUCT(MAX(ROW(E$2:E4470)*(E4470=E$2:E4470)))))-COUNTBLANK(OFFSET(A$1,,,SUMPRODUCT(MAX(ROW(E$1:E4469)*(E2=E$1:E4469))))))</f>
        <v> </v>
      </c>
      <c r="K4470" s="26" t="str">
        <f>IF(OR(E4470="",E4470="!!!",F4470="NEW"),"",INDEX(J$1:J4469,SUMPRODUCT(MAX(ROW(E$1:E4469)*(E4470=E$1:E4469)))))</f>
        <v> </v>
      </c>
      <c r="L4470" s="27"/>
    </row>
    <row r="4471" spans="1:12">
      <c r="A4471" s="20" t="s">
        <v>1315</v>
      </c>
      <c r="E4471" s="22">
        <f>IF(D4471="?OLD","!!!","")</f>
        <v/>
      </c>
      <c r="F4471" s="23" t="str">
        <f>IF(OR(E4471="",E4471="!!!"),"",IF(NOT(ISNA(VLOOKUP(E4471,E$1:E4470,1,FALSE()))),"OLD",IF(AND(E4471&lt;&gt;"",E4471&lt;&gt;"!!!"),"NEW","")))</f>
        <v> </v>
      </c>
      <c r="G4471" s="24" t="str">
        <f>IF(OR(E4471="",E4471="!!!"),"",IF(OR(J4471=0,AND(J4471=1,K4471=1),AND(J4471=1,I4471="SBJ"),AND(J4471=1,I4471=0)),"?IN_FOCUS",IF(J4471&lt;=2,"?ACTIVATED",IF(J4471&lt;&gt;"","?FAMILIAR",IF(F4471="NEW",IF(ISNA(VLOOKUP(E4471,#REF!,1,FALSE())),"?TYPE_IDENTIFIABLE","?REFERENTIAL"),"_")))))</f>
        <v> </v>
      </c>
      <c r="H4471" s="25" t="str">
        <f>IF(J4471&lt;&gt;1,"",IF(I4471="SBJ","CB","?"))</f>
        <v> </v>
      </c>
      <c r="I4471" s="26" t="str">
        <f>IF(OR(E4471="",E4471="!!!",F4471="NEW"),"",INDEX(B4470:B$2,-1+SUMPRODUCT(MAX(ROW(E4470:E$2)*(E4471=E4470:E$2)))))</f>
        <v> </v>
      </c>
      <c r="J4471" s="26" t="str">
        <f>IF(OR(E4471="",E4471="!!!",F4471="NEW"),"",COUNTBLANK(OFFSET(A$1,,,SUMPRODUCT(MAX(ROW(E$2:E4471)*(E4471=E$2:E4471)))))-COUNTBLANK(OFFSET(A$1,,,SUMPRODUCT(MAX(ROW(E$1:E4470)*(E2=E$1:E4470))))))</f>
        <v> </v>
      </c>
      <c r="K4471" s="26" t="str">
        <f>IF(OR(E4471="",E4471="!!!",F4471="NEW"),"",INDEX(J$1:J4470,SUMPRODUCT(MAX(ROW(E$1:E4470)*(E4471=E$1:E4470)))))</f>
        <v> </v>
      </c>
      <c r="L4471" s="27"/>
    </row>
    <row r="4472" spans="1:12">
      <c r="A4472" s="20" t="s">
        <v>1151</v>
      </c>
      <c r="B4472" s="21" t="s">
        <v>1058</v>
      </c>
      <c r="C4472" s="21" t="s">
        <v>1076</v>
      </c>
      <c r="D4472" s="21" t="s">
        <v>1060</v>
      </c>
      <c r="E4472" s="22">
        <f>IF(D4472="?OLD","!!!","")</f>
        <v/>
      </c>
      <c r="F4472" s="23" t="str">
        <f>IF(OR(E4472="",E4472="!!!"),"",IF(NOT(ISNA(VLOOKUP(E4472,E$1:E4471,1,FALSE()))),"OLD",IF(AND(E4472&lt;&gt;"",E4472&lt;&gt;"!!!"),"NEW","")))</f>
        <v> </v>
      </c>
      <c r="G4472" s="24" t="str">
        <f>IF(OR(E4472="",E4472="!!!"),"",IF(OR(J4472=0,AND(J4472=1,K4472=1),AND(J4472=1,I4472="SBJ"),AND(J4472=1,I4472=0)),"?IN_FOCUS",IF(J4472&lt;=2,"?ACTIVATED",IF(J4472&lt;&gt;"","?FAMILIAR",IF(F4472="NEW",IF(ISNA(VLOOKUP(E4472,#REF!,1,FALSE())),"?TYPE_IDENTIFIABLE","?REFERENTIAL"),"_")))))</f>
        <v> </v>
      </c>
      <c r="H4472" s="25" t="str">
        <f>IF(J4472&lt;&gt;1,"",IF(I4472="SBJ","CB","?"))</f>
        <v> </v>
      </c>
      <c r="I4472" s="26" t="str">
        <f>IF(OR(E4472="",E4472="!!!",F4472="NEW"),"",INDEX(B4471:B$2,-1+SUMPRODUCT(MAX(ROW(E4471:E$2)*(E4472=E4471:E$2)))))</f>
        <v> </v>
      </c>
      <c r="J4472" s="26" t="str">
        <f>IF(OR(E4472="",E4472="!!!",F4472="NEW"),"",COUNTBLANK(OFFSET(A$1,,,SUMPRODUCT(MAX(ROW(E$2:E4472)*(E4472=E$2:E4472)))))-COUNTBLANK(OFFSET(A$1,,,SUMPRODUCT(MAX(ROW(E$1:E4471)*(E2=E$1:E4471))))))</f>
        <v> </v>
      </c>
      <c r="K4472" s="26" t="str">
        <f>IF(OR(E4472="",E4472="!!!",F4472="NEW"),"",INDEX(J$1:J4471,SUMPRODUCT(MAX(ROW(E$1:E4471)*(E4472=E$1:E4471)))))</f>
        <v> </v>
      </c>
      <c r="L4472" s="27"/>
    </row>
    <row r="4473" spans="1:12">
      <c r="A4473" s="20" t="s">
        <v>19</v>
      </c>
      <c r="E4473" s="22">
        <f>IF(D4473="?OLD","!!!","")</f>
        <v/>
      </c>
      <c r="F4473" s="23" t="str">
        <f>IF(OR(E4473="",E4473="!!!"),"",IF(NOT(ISNA(VLOOKUP(E4473,E$1:E4472,1,FALSE()))),"OLD",IF(AND(E4473&lt;&gt;"",E4473&lt;&gt;"!!!"),"NEW","")))</f>
        <v> </v>
      </c>
      <c r="G4473" s="24" t="str">
        <f>IF(OR(E4473="",E4473="!!!"),"",IF(OR(J4473=0,AND(J4473=1,K4473=1),AND(J4473=1,I4473="SBJ"),AND(J4473=1,I4473=0)),"?IN_FOCUS",IF(J4473&lt;=2,"?ACTIVATED",IF(J4473&lt;&gt;"","?FAMILIAR",IF(F4473="NEW",IF(ISNA(VLOOKUP(E4473,#REF!,1,FALSE())),"?TYPE_IDENTIFIABLE","?REFERENTIAL"),"_")))))</f>
        <v> </v>
      </c>
      <c r="H4473" s="25" t="str">
        <f>IF(J4473&lt;&gt;1,"",IF(I4473="SBJ","CB","?"))</f>
        <v> </v>
      </c>
      <c r="I4473" s="26" t="str">
        <f>IF(OR(E4473="",E4473="!!!",F4473="NEW"),"",INDEX(B4472:B$2,-1+SUMPRODUCT(MAX(ROW(E4472:E$2)*(E4473=E4472:E$2)))))</f>
        <v> </v>
      </c>
      <c r="J4473" s="26" t="str">
        <f>IF(OR(E4473="",E4473="!!!",F4473="NEW"),"",COUNTBLANK(OFFSET(A$1,,,SUMPRODUCT(MAX(ROW(E$2:E4473)*(E4473=E$2:E4473)))))-COUNTBLANK(OFFSET(A$1,,,SUMPRODUCT(MAX(ROW(E$1:E4472)*(E2=E$1:E4472))))))</f>
        <v> </v>
      </c>
      <c r="K4473" s="26" t="str">
        <f>IF(OR(E4473="",E4473="!!!",F4473="NEW"),"",INDEX(J$1:J4472,SUMPRODUCT(MAX(ROW(E$1:E4472)*(E4473=E$1:E4472)))))</f>
        <v> </v>
      </c>
      <c r="L4473" s="27"/>
    </row>
    <row r="4474" spans="1:12">
      <c r="A4474" s="20" t="s">
        <v>2335</v>
      </c>
      <c r="E4474" s="22">
        <f>IF(D4474="?OLD","!!!","")</f>
        <v/>
      </c>
      <c r="F4474" s="23" t="str">
        <f>IF(OR(E4474="",E4474="!!!"),"",IF(NOT(ISNA(VLOOKUP(E4474,E$1:E4473,1,FALSE()))),"OLD",IF(AND(E4474&lt;&gt;"",E4474&lt;&gt;"!!!"),"NEW","")))</f>
        <v> </v>
      </c>
      <c r="G4474" s="24" t="str">
        <f>IF(OR(E4474="",E4474="!!!"),"",IF(OR(J4474=0,AND(J4474=1,K4474=1),AND(J4474=1,I4474="SBJ"),AND(J4474=1,I4474=0)),"?IN_FOCUS",IF(J4474&lt;=2,"?ACTIVATED",IF(J4474&lt;&gt;"","?FAMILIAR",IF(F4474="NEW",IF(ISNA(VLOOKUP(E4474,#REF!,1,FALSE())),"?TYPE_IDENTIFIABLE","?REFERENTIAL"),"_")))))</f>
        <v> </v>
      </c>
      <c r="H4474" s="25" t="str">
        <f>IF(J4474&lt;&gt;1,"",IF(I4474="SBJ","CB","?"))</f>
        <v> </v>
      </c>
      <c r="I4474" s="26" t="str">
        <f>IF(OR(E4474="",E4474="!!!",F4474="NEW"),"",INDEX(B4473:B$2,-1+SUMPRODUCT(MAX(ROW(E4473:E$2)*(E4474=E4473:E$2)))))</f>
        <v> </v>
      </c>
      <c r="J4474" s="26" t="str">
        <f>IF(OR(E4474="",E4474="!!!",F4474="NEW"),"",COUNTBLANK(OFFSET(A$1,,,SUMPRODUCT(MAX(ROW(E$2:E4474)*(E4474=E$2:E4474)))))-COUNTBLANK(OFFSET(A$1,,,SUMPRODUCT(MAX(ROW(E$1:E4473)*(E2=E$1:E4473))))))</f>
        <v> </v>
      </c>
      <c r="K4474" s="26" t="str">
        <f>IF(OR(E4474="",E4474="!!!",F4474="NEW"),"",INDEX(J$1:J4473,SUMPRODUCT(MAX(ROW(E$1:E4473)*(E4474=E$1:E4473)))))</f>
        <v> </v>
      </c>
      <c r="L4474" s="27"/>
    </row>
    <row r="4475" spans="1:12">
      <c r="A4475" s="20" t="s">
        <v>1088</v>
      </c>
      <c r="E4475" s="22">
        <f>IF(D4475="?OLD","!!!","")</f>
        <v/>
      </c>
      <c r="F4475" s="23" t="str">
        <f>IF(OR(E4475="",E4475="!!!"),"",IF(NOT(ISNA(VLOOKUP(E4475,E$1:E4474,1,FALSE()))),"OLD",IF(AND(E4475&lt;&gt;"",E4475&lt;&gt;"!!!"),"NEW","")))</f>
        <v> </v>
      </c>
      <c r="G4475" s="24" t="str">
        <f>IF(OR(E4475="",E4475="!!!"),"",IF(OR(J4475=0,AND(J4475=1,K4475=1),AND(J4475=1,I4475="SBJ"),AND(J4475=1,I4475=0)),"?IN_FOCUS",IF(J4475&lt;=2,"?ACTIVATED",IF(J4475&lt;&gt;"","?FAMILIAR",IF(F4475="NEW",IF(ISNA(VLOOKUP(E4475,#REF!,1,FALSE())),"?TYPE_IDENTIFIABLE","?REFERENTIAL"),"_")))))</f>
        <v> </v>
      </c>
      <c r="H4475" s="25" t="str">
        <f>IF(J4475&lt;&gt;1,"",IF(I4475="SBJ","CB","?"))</f>
        <v> </v>
      </c>
      <c r="I4475" s="26" t="str">
        <f>IF(OR(E4475="",E4475="!!!",F4475="NEW"),"",INDEX(B4474:B$2,-1+SUMPRODUCT(MAX(ROW(E4474:E$2)*(E4475=E4474:E$2)))))</f>
        <v> </v>
      </c>
      <c r="J4475" s="26" t="str">
        <f>IF(OR(E4475="",E4475="!!!",F4475="NEW"),"",COUNTBLANK(OFFSET(A$1,,,SUMPRODUCT(MAX(ROW(E$2:E4475)*(E4475=E$2:E4475)))))-COUNTBLANK(OFFSET(A$1,,,SUMPRODUCT(MAX(ROW(E$1:E4474)*(E2=E$1:E4474))))))</f>
        <v> </v>
      </c>
      <c r="K4475" s="26" t="str">
        <f>IF(OR(E4475="",E4475="!!!",F4475="NEW"),"",INDEX(J$1:J4474,SUMPRODUCT(MAX(ROW(E$1:E4474)*(E4475=E$1:E4474)))))</f>
        <v> </v>
      </c>
      <c r="L4475" s="27"/>
    </row>
    <row r="4476" spans="1:12">
      <c r="A4476" s="20" t="s">
        <v>1101</v>
      </c>
      <c r="E4476" s="22">
        <f>IF(D4476="?OLD","!!!","")</f>
        <v/>
      </c>
      <c r="F4476" s="23" t="str">
        <f>IF(OR(E4476="",E4476="!!!"),"",IF(NOT(ISNA(VLOOKUP(E4476,E$1:E4475,1,FALSE()))),"OLD",IF(AND(E4476&lt;&gt;"",E4476&lt;&gt;"!!!"),"NEW","")))</f>
        <v> </v>
      </c>
      <c r="G4476" s="24" t="str">
        <f>IF(OR(E4476="",E4476="!!!"),"",IF(OR(J4476=0,AND(J4476=1,K4476=1),AND(J4476=1,I4476="SBJ"),AND(J4476=1,I4476=0)),"?IN_FOCUS",IF(J4476&lt;=2,"?ACTIVATED",IF(J4476&lt;&gt;"","?FAMILIAR",IF(F4476="NEW",IF(ISNA(VLOOKUP(E4476,#REF!,1,FALSE())),"?TYPE_IDENTIFIABLE","?REFERENTIAL"),"_")))))</f>
        <v> </v>
      </c>
      <c r="H4476" s="25" t="str">
        <f>IF(J4476&lt;&gt;1,"",IF(I4476="SBJ","CB","?"))</f>
        <v> </v>
      </c>
      <c r="I4476" s="26" t="str">
        <f>IF(OR(E4476="",E4476="!!!",F4476="NEW"),"",INDEX(B4475:B$2,-1+SUMPRODUCT(MAX(ROW(E4475:E$2)*(E4476=E4475:E$2)))))</f>
        <v> </v>
      </c>
      <c r="J4476" s="26" t="str">
        <f>IF(OR(E4476="",E4476="!!!",F4476="NEW"),"",COUNTBLANK(OFFSET(A$1,,,SUMPRODUCT(MAX(ROW(E$2:E4476)*(E4476=E$2:E4476)))))-COUNTBLANK(OFFSET(A$1,,,SUMPRODUCT(MAX(ROW(E$1:E4475)*(E2=E$1:E4475))))))</f>
        <v> </v>
      </c>
      <c r="K4476" s="26" t="str">
        <f>IF(OR(E4476="",E4476="!!!",F4476="NEW"),"",INDEX(J$1:J4475,SUMPRODUCT(MAX(ROW(E$1:E4475)*(E4476=E$1:E4475)))))</f>
        <v> </v>
      </c>
      <c r="L4476" s="27"/>
    </row>
    <row r="4477" spans="1:12">
      <c r="A4477" s="20" t="s">
        <v>2336</v>
      </c>
      <c r="B4477" s="21" t="s">
        <v>1097</v>
      </c>
      <c r="C4477" s="21" t="s">
        <v>1059</v>
      </c>
      <c r="D4477" s="21" t="s">
        <v>1060</v>
      </c>
      <c r="E4477" s="22">
        <f>IF(D4477="?OLD","!!!","")</f>
        <v/>
      </c>
      <c r="F4477" s="23" t="str">
        <f>IF(OR(E4477="",E4477="!!!"),"",IF(NOT(ISNA(VLOOKUP(E4477,E$1:E4476,1,FALSE()))),"OLD",IF(AND(E4477&lt;&gt;"",E4477&lt;&gt;"!!!"),"NEW","")))</f>
        <v> </v>
      </c>
      <c r="G4477" s="24" t="str">
        <f>IF(OR(E4477="",E4477="!!!"),"",IF(OR(J4477=0,AND(J4477=1,K4477=1),AND(J4477=1,I4477="SBJ"),AND(J4477=1,I4477=0)),"?IN_FOCUS",IF(J4477&lt;=2,"?ACTIVATED",IF(J4477&lt;&gt;"","?FAMILIAR",IF(F4477="NEW",IF(ISNA(VLOOKUP(E4477,#REF!,1,FALSE())),"?TYPE_IDENTIFIABLE","?REFERENTIAL"),"_")))))</f>
        <v> </v>
      </c>
      <c r="H4477" s="25" t="str">
        <f>IF(J4477&lt;&gt;1,"",IF(I4477="SBJ","CB","?"))</f>
        <v> </v>
      </c>
      <c r="I4477" s="26" t="str">
        <f>IF(OR(E4477="",E4477="!!!",F4477="NEW"),"",INDEX(B4476:B$2,-1+SUMPRODUCT(MAX(ROW(E4476:E$2)*(E4477=E4476:E$2)))))</f>
        <v> </v>
      </c>
      <c r="J4477" s="26" t="str">
        <f>IF(OR(E4477="",E4477="!!!",F4477="NEW"),"",COUNTBLANK(OFFSET(A$1,,,SUMPRODUCT(MAX(ROW(E$2:E4477)*(E4477=E$2:E4477)))))-COUNTBLANK(OFFSET(A$1,,,SUMPRODUCT(MAX(ROW(E$1:E4476)*(E2=E$1:E4476))))))</f>
        <v> </v>
      </c>
      <c r="K4477" s="26" t="str">
        <f>IF(OR(E4477="",E4477="!!!",F4477="NEW"),"",INDEX(J$1:J4476,SUMPRODUCT(MAX(ROW(E$1:E4476)*(E4477=E$1:E4476)))))</f>
        <v> </v>
      </c>
      <c r="L4477" s="27"/>
    </row>
    <row r="4478" spans="1:12">
      <c r="A4478" s="20" t="s">
        <v>1061</v>
      </c>
      <c r="E4478" s="22">
        <f>IF(D4478="?OLD","!!!","")</f>
        <v/>
      </c>
      <c r="F4478" s="23" t="str">
        <f>IF(OR(E4478="",E4478="!!!"),"",IF(NOT(ISNA(VLOOKUP(E4478,E$1:E4477,1,FALSE()))),"OLD",IF(AND(E4478&lt;&gt;"",E4478&lt;&gt;"!!!"),"NEW","")))</f>
        <v> </v>
      </c>
      <c r="G4478" s="24" t="str">
        <f>IF(OR(E4478="",E4478="!!!"),"",IF(OR(J4478=0,AND(J4478=1,K4478=1),AND(J4478=1,I4478="SBJ"),AND(J4478=1,I4478=0)),"?IN_FOCUS",IF(J4478&lt;=2,"?ACTIVATED",IF(J4478&lt;&gt;"","?FAMILIAR",IF(F4478="NEW",IF(ISNA(VLOOKUP(E4478,#REF!,1,FALSE())),"?TYPE_IDENTIFIABLE","?REFERENTIAL"),"_")))))</f>
        <v> </v>
      </c>
      <c r="H4478" s="25" t="str">
        <f>IF(J4478&lt;&gt;1,"",IF(I4478="SBJ","CB","?"))</f>
        <v> </v>
      </c>
      <c r="I4478" s="26" t="str">
        <f>IF(OR(E4478="",E4478="!!!",F4478="NEW"),"",INDEX(B4477:B$2,-1+SUMPRODUCT(MAX(ROW(E4477:E$2)*(E4478=E4477:E$2)))))</f>
        <v> </v>
      </c>
      <c r="J4478" s="26" t="str">
        <f>IF(OR(E4478="",E4478="!!!",F4478="NEW"),"",COUNTBLANK(OFFSET(A$1,,,SUMPRODUCT(MAX(ROW(E$2:E4478)*(E4478=E$2:E4478)))))-COUNTBLANK(OFFSET(A$1,,,SUMPRODUCT(MAX(ROW(E$1:E4477)*(E2=E$1:E4477))))))</f>
        <v> </v>
      </c>
      <c r="K4478" s="26" t="str">
        <f>IF(OR(E4478="",E4478="!!!",F4478="NEW"),"",INDEX(J$1:J4477,SUMPRODUCT(MAX(ROW(E$1:E4477)*(E4478=E$1:E4477)))))</f>
        <v> </v>
      </c>
      <c r="L4478" s="27"/>
    </row>
    <row r="4479" spans="1:12">
      <c r="A4479" s="20" t="s">
        <v>1311</v>
      </c>
      <c r="E4479" s="22">
        <f>IF(D4479="?OLD","!!!","")</f>
        <v/>
      </c>
      <c r="F4479" s="23" t="str">
        <f>IF(OR(E4479="",E4479="!!!"),"",IF(NOT(ISNA(VLOOKUP(E4479,E$1:E4478,1,FALSE()))),"OLD",IF(AND(E4479&lt;&gt;"",E4479&lt;&gt;"!!!"),"NEW","")))</f>
        <v> </v>
      </c>
      <c r="G4479" s="24" t="str">
        <f>IF(OR(E4479="",E4479="!!!"),"",IF(OR(J4479=0,AND(J4479=1,K4479=1),AND(J4479=1,I4479="SBJ"),AND(J4479=1,I4479=0)),"?IN_FOCUS",IF(J4479&lt;=2,"?ACTIVATED",IF(J4479&lt;&gt;"","?FAMILIAR",IF(F4479="NEW",IF(ISNA(VLOOKUP(E4479,#REF!,1,FALSE())),"?TYPE_IDENTIFIABLE","?REFERENTIAL"),"_")))))</f>
        <v> </v>
      </c>
      <c r="H4479" s="25" t="str">
        <f>IF(J4479&lt;&gt;1,"",IF(I4479="SBJ","CB","?"))</f>
        <v> </v>
      </c>
      <c r="I4479" s="26" t="str">
        <f>IF(OR(E4479="",E4479="!!!",F4479="NEW"),"",INDEX(B4478:B$2,-1+SUMPRODUCT(MAX(ROW(E4478:E$2)*(E4479=E4478:E$2)))))</f>
        <v> </v>
      </c>
      <c r="J4479" s="26" t="str">
        <f>IF(OR(E4479="",E4479="!!!",F4479="NEW"),"",COUNTBLANK(OFFSET(A$1,,,SUMPRODUCT(MAX(ROW(E$2:E4479)*(E4479=E$2:E4479)))))-COUNTBLANK(OFFSET(A$1,,,SUMPRODUCT(MAX(ROW(E$1:E4478)*(E2=E$1:E4478))))))</f>
        <v> </v>
      </c>
      <c r="K4479" s="26" t="str">
        <f>IF(OR(E4479="",E4479="!!!",F4479="NEW"),"",INDEX(J$1:J4478,SUMPRODUCT(MAX(ROW(E$1:E4478)*(E4479=E$1:E4478)))))</f>
        <v> </v>
      </c>
      <c r="L4479" s="27"/>
    </row>
    <row r="4480" spans="1:12">
      <c r="A4480" s="20" t="s">
        <v>2337</v>
      </c>
      <c r="E4480" s="22">
        <f>IF(D4480="?OLD","!!!","")</f>
        <v/>
      </c>
      <c r="F4480" s="23" t="str">
        <f>IF(OR(E4480="",E4480="!!!"),"",IF(NOT(ISNA(VLOOKUP(E4480,E$1:E4479,1,FALSE()))),"OLD",IF(AND(E4480&lt;&gt;"",E4480&lt;&gt;"!!!"),"NEW","")))</f>
        <v> </v>
      </c>
      <c r="G4480" s="24" t="str">
        <f>IF(OR(E4480="",E4480="!!!"),"",IF(OR(J4480=0,AND(J4480=1,K4480=1),AND(J4480=1,I4480="SBJ"),AND(J4480=1,I4480=0)),"?IN_FOCUS",IF(J4480&lt;=2,"?ACTIVATED",IF(J4480&lt;&gt;"","?FAMILIAR",IF(F4480="NEW",IF(ISNA(VLOOKUP(E4480,#REF!,1,FALSE())),"?TYPE_IDENTIFIABLE","?REFERENTIAL"),"_")))))</f>
        <v> </v>
      </c>
      <c r="H4480" s="25" t="str">
        <f>IF(J4480&lt;&gt;1,"",IF(I4480="SBJ","CB","?"))</f>
        <v> </v>
      </c>
      <c r="I4480" s="26" t="str">
        <f>IF(OR(E4480="",E4480="!!!",F4480="NEW"),"",INDEX(B4479:B$2,-1+SUMPRODUCT(MAX(ROW(E4479:E$2)*(E4480=E4479:E$2)))))</f>
        <v> </v>
      </c>
      <c r="J4480" s="26" t="str">
        <f>IF(OR(E4480="",E4480="!!!",F4480="NEW"),"",COUNTBLANK(OFFSET(A$1,,,SUMPRODUCT(MAX(ROW(E$2:E4480)*(E4480=E$2:E4480)))))-COUNTBLANK(OFFSET(A$1,,,SUMPRODUCT(MAX(ROW(E$1:E4479)*(E2=E$1:E4479))))))</f>
        <v> </v>
      </c>
      <c r="K4480" s="26" t="str">
        <f>IF(OR(E4480="",E4480="!!!",F4480="NEW"),"",INDEX(J$1:J4479,SUMPRODUCT(MAX(ROW(E$1:E4479)*(E4480=E$1:E4479)))))</f>
        <v> </v>
      </c>
      <c r="L4480" s="27"/>
    </row>
    <row r="4481" spans="1:12">
      <c r="A4481" s="20" t="s">
        <v>2338</v>
      </c>
      <c r="B4481" s="21" t="s">
        <v>1068</v>
      </c>
      <c r="C4481" s="21" t="s">
        <v>1159</v>
      </c>
      <c r="D4481" s="21" t="s">
        <v>1060</v>
      </c>
      <c r="E4481" s="22">
        <f>IF(D4481="?OLD","!!!","")</f>
        <v/>
      </c>
      <c r="F4481" s="23" t="str">
        <f>IF(OR(E4481="",E4481="!!!"),"",IF(NOT(ISNA(VLOOKUP(E4481,E$1:E4480,1,FALSE()))),"OLD",IF(AND(E4481&lt;&gt;"",E4481&lt;&gt;"!!!"),"NEW","")))</f>
        <v> </v>
      </c>
      <c r="G4481" s="24" t="str">
        <f>IF(OR(E4481="",E4481="!!!"),"",IF(OR(J4481=0,AND(J4481=1,K4481=1),AND(J4481=1,I4481="SBJ"),AND(J4481=1,I4481=0)),"?IN_FOCUS",IF(J4481&lt;=2,"?ACTIVATED",IF(J4481&lt;&gt;"","?FAMILIAR",IF(F4481="NEW",IF(ISNA(VLOOKUP(E4481,#REF!,1,FALSE())),"?TYPE_IDENTIFIABLE","?REFERENTIAL"),"_")))))</f>
        <v> </v>
      </c>
      <c r="H4481" s="25" t="str">
        <f>IF(J4481&lt;&gt;1,"",IF(I4481="SBJ","CB","?"))</f>
        <v> </v>
      </c>
      <c r="I4481" s="26" t="str">
        <f>IF(OR(E4481="",E4481="!!!",F4481="NEW"),"",INDEX(B4480:B$2,-1+SUMPRODUCT(MAX(ROW(E4480:E$2)*(E4481=E4480:E$2)))))</f>
        <v> </v>
      </c>
      <c r="J4481" s="26" t="str">
        <f>IF(OR(E4481="",E4481="!!!",F4481="NEW"),"",COUNTBLANK(OFFSET(A$1,,,SUMPRODUCT(MAX(ROW(E$2:E4481)*(E4481=E$2:E4481)))))-COUNTBLANK(OFFSET(A$1,,,SUMPRODUCT(MAX(ROW(E$1:E4480)*(E2=E$1:E4480))))))</f>
        <v> </v>
      </c>
      <c r="K4481" s="26" t="str">
        <f>IF(OR(E4481="",E4481="!!!",F4481="NEW"),"",INDEX(J$1:J4480,SUMPRODUCT(MAX(ROW(E$1:E4480)*(E4481=E$1:E4480)))))</f>
        <v> </v>
      </c>
      <c r="L4481" s="27"/>
    </row>
    <row r="4482" spans="1:12">
      <c r="A4482" s="20" t="s">
        <v>1070</v>
      </c>
      <c r="E4482" s="22">
        <f>IF(D4482="?OLD","!!!","")</f>
        <v/>
      </c>
      <c r="F4482" s="23" t="str">
        <f>IF(OR(E4482="",E4482="!!!"),"",IF(NOT(ISNA(VLOOKUP(E4482,E$1:E4481,1,FALSE()))),"OLD",IF(AND(E4482&lt;&gt;"",E4482&lt;&gt;"!!!"),"NEW","")))</f>
        <v> </v>
      </c>
      <c r="G4482" s="24" t="str">
        <f>IF(OR(E4482="",E4482="!!!"),"",IF(OR(J4482=0,AND(J4482=1,K4482=1),AND(J4482=1,I4482="SBJ"),AND(J4482=1,I4482=0)),"?IN_FOCUS",IF(J4482&lt;=2,"?ACTIVATED",IF(J4482&lt;&gt;"","?FAMILIAR",IF(F4482="NEW",IF(ISNA(VLOOKUP(E4482,#REF!,1,FALSE())),"?TYPE_IDENTIFIABLE","?REFERENTIAL"),"_")))))</f>
        <v> </v>
      </c>
      <c r="H4482" s="25" t="str">
        <f>IF(J4482&lt;&gt;1,"",IF(I4482="SBJ","CB","?"))</f>
        <v> </v>
      </c>
      <c r="I4482" s="26" t="str">
        <f>IF(OR(E4482="",E4482="!!!",F4482="NEW"),"",INDEX(B4481:B$2,-1+SUMPRODUCT(MAX(ROW(E4481:E$2)*(E4482=E4481:E$2)))))</f>
        <v> </v>
      </c>
      <c r="J4482" s="26" t="str">
        <f>IF(OR(E4482="",E4482="!!!",F4482="NEW"),"",COUNTBLANK(OFFSET(A$1,,,SUMPRODUCT(MAX(ROW(E$2:E4482)*(E4482=E$2:E4482)))))-COUNTBLANK(OFFSET(A$1,,,SUMPRODUCT(MAX(ROW(E$1:E4481)*(E2=E$1:E4481))))))</f>
        <v> </v>
      </c>
      <c r="K4482" s="26" t="str">
        <f>IF(OR(E4482="",E4482="!!!",F4482="NEW"),"",INDEX(J$1:J4481,SUMPRODUCT(MAX(ROW(E$1:E4481)*(E4482=E$1:E4481)))))</f>
        <v> </v>
      </c>
      <c r="L4482" s="27"/>
    </row>
    <row r="4483" spans="1:12">
      <c r="A4483" s="20" t="s">
        <v>1160</v>
      </c>
      <c r="E4483" s="22">
        <f>IF(D4483="?OLD","!!!","")</f>
        <v/>
      </c>
      <c r="F4483" s="23" t="str">
        <f>IF(OR(E4483="",E4483="!!!"),"",IF(NOT(ISNA(VLOOKUP(E4483,E$1:E4482,1,FALSE()))),"OLD",IF(AND(E4483&lt;&gt;"",E4483&lt;&gt;"!!!"),"NEW","")))</f>
        <v> </v>
      </c>
      <c r="G4483" s="24" t="str">
        <f>IF(OR(E4483="",E4483="!!!"),"",IF(OR(J4483=0,AND(J4483=1,K4483=1),AND(J4483=1,I4483="SBJ"),AND(J4483=1,I4483=0)),"?IN_FOCUS",IF(J4483&lt;=2,"?ACTIVATED",IF(J4483&lt;&gt;"","?FAMILIAR",IF(F4483="NEW",IF(ISNA(VLOOKUP(E4483,#REF!,1,FALSE())),"?TYPE_IDENTIFIABLE","?REFERENTIAL"),"_")))))</f>
        <v> </v>
      </c>
      <c r="H4483" s="25" t="str">
        <f>IF(J4483&lt;&gt;1,"",IF(I4483="SBJ","CB","?"))</f>
        <v> </v>
      </c>
      <c r="I4483" s="26" t="str">
        <f>IF(OR(E4483="",E4483="!!!",F4483="NEW"),"",INDEX(B4482:B$2,-1+SUMPRODUCT(MAX(ROW(E4482:E$2)*(E4483=E4482:E$2)))))</f>
        <v> </v>
      </c>
      <c r="J4483" s="26" t="str">
        <f>IF(OR(E4483="",E4483="!!!",F4483="NEW"),"",COUNTBLANK(OFFSET(A$1,,,SUMPRODUCT(MAX(ROW(E$2:E4483)*(E4483=E$2:E4483)))))-COUNTBLANK(OFFSET(A$1,,,SUMPRODUCT(MAX(ROW(E$1:E4482)*(E2=E$1:E4482))))))</f>
        <v> </v>
      </c>
      <c r="K4483" s="26" t="str">
        <f>IF(OR(E4483="",E4483="!!!",F4483="NEW"),"",INDEX(J$1:J4482,SUMPRODUCT(MAX(ROW(E$1:E4482)*(E4483=E$1:E4482)))))</f>
        <v> </v>
      </c>
      <c r="L4483" s="27"/>
    </row>
    <row r="4484" spans="1:12">
      <c r="A4484" s="20" t="s">
        <v>1115</v>
      </c>
      <c r="E4484" s="22">
        <f>IF(D4484="?OLD","!!!","")</f>
        <v/>
      </c>
      <c r="F4484" s="23" t="str">
        <f>IF(OR(E4484="",E4484="!!!"),"",IF(NOT(ISNA(VLOOKUP(E4484,E$1:E4483,1,FALSE()))),"OLD",IF(AND(E4484&lt;&gt;"",E4484&lt;&gt;"!!!"),"NEW","")))</f>
        <v> </v>
      </c>
      <c r="G4484" s="24" t="str">
        <f>IF(OR(E4484="",E4484="!!!"),"",IF(OR(J4484=0,AND(J4484=1,K4484=1),AND(J4484=1,I4484="SBJ"),AND(J4484=1,I4484=0)),"?IN_FOCUS",IF(J4484&lt;=2,"?ACTIVATED",IF(J4484&lt;&gt;"","?FAMILIAR",IF(F4484="NEW",IF(ISNA(VLOOKUP(E4484,#REF!,1,FALSE())),"?TYPE_IDENTIFIABLE","?REFERENTIAL"),"_")))))</f>
        <v> </v>
      </c>
      <c r="H4484" s="25" t="str">
        <f>IF(J4484&lt;&gt;1,"",IF(I4484="SBJ","CB","?"))</f>
        <v> </v>
      </c>
      <c r="I4484" s="26" t="str">
        <f>IF(OR(E4484="",E4484="!!!",F4484="NEW"),"",INDEX(B4483:B$2,-1+SUMPRODUCT(MAX(ROW(E4483:E$2)*(E4484=E4483:E$2)))))</f>
        <v> </v>
      </c>
      <c r="J4484" s="26" t="str">
        <f>IF(OR(E4484="",E4484="!!!",F4484="NEW"),"",COUNTBLANK(OFFSET(A$1,,,SUMPRODUCT(MAX(ROW(E$2:E4484)*(E4484=E$2:E4484)))))-COUNTBLANK(OFFSET(A$1,,,SUMPRODUCT(MAX(ROW(E$1:E4483)*(E2=E$1:E4483))))))</f>
        <v> </v>
      </c>
      <c r="K4484" s="26" t="str">
        <f>IF(OR(E4484="",E4484="!!!",F4484="NEW"),"",INDEX(J$1:J4483,SUMPRODUCT(MAX(ROW(E$1:E4483)*(E4484=E$1:E4483)))))</f>
        <v> </v>
      </c>
      <c r="L4484" s="27"/>
    </row>
    <row r="4485" spans="1:12">
      <c r="A4485" s="20" t="s">
        <v>1151</v>
      </c>
      <c r="B4485" s="21" t="s">
        <v>1079</v>
      </c>
      <c r="C4485" s="21" t="s">
        <v>1076</v>
      </c>
      <c r="D4485" s="21" t="s">
        <v>1060</v>
      </c>
      <c r="E4485" s="22">
        <f>IF(D4485="?OLD","!!!","")</f>
        <v/>
      </c>
      <c r="F4485" s="23" t="str">
        <f>IF(OR(E4485="",E4485="!!!"),"",IF(NOT(ISNA(VLOOKUP(E4485,E$1:E4484,1,FALSE()))),"OLD",IF(AND(E4485&lt;&gt;"",E4485&lt;&gt;"!!!"),"NEW","")))</f>
        <v> </v>
      </c>
      <c r="G4485" s="24" t="str">
        <f>IF(OR(E4485="",E4485="!!!"),"",IF(OR(J4485=0,AND(J4485=1,K4485=1),AND(J4485=1,I4485="SBJ"),AND(J4485=1,I4485=0)),"?IN_FOCUS",IF(J4485&lt;=2,"?ACTIVATED",IF(J4485&lt;&gt;"","?FAMILIAR",IF(F4485="NEW",IF(ISNA(VLOOKUP(E4485,#REF!,1,FALSE())),"?TYPE_IDENTIFIABLE","?REFERENTIAL"),"_")))))</f>
        <v> </v>
      </c>
      <c r="H4485" s="25" t="str">
        <f>IF(J4485&lt;&gt;1,"",IF(I4485="SBJ","CB","?"))</f>
        <v> </v>
      </c>
      <c r="I4485" s="26" t="str">
        <f>IF(OR(E4485="",E4485="!!!",F4485="NEW"),"",INDEX(B4484:B$2,-1+SUMPRODUCT(MAX(ROW(E4484:E$2)*(E4485=E4484:E$2)))))</f>
        <v> </v>
      </c>
      <c r="J4485" s="26" t="str">
        <f>IF(OR(E4485="",E4485="!!!",F4485="NEW"),"",COUNTBLANK(OFFSET(A$1,,,SUMPRODUCT(MAX(ROW(E$2:E4485)*(E4485=E$2:E4485)))))-COUNTBLANK(OFFSET(A$1,,,SUMPRODUCT(MAX(ROW(E$1:E4484)*(E2=E$1:E4484))))))</f>
        <v> </v>
      </c>
      <c r="K4485" s="26" t="str">
        <f>IF(OR(E4485="",E4485="!!!",F4485="NEW"),"",INDEX(J$1:J4484,SUMPRODUCT(MAX(ROW(E$1:E4484)*(E4485=E$1:E4484)))))</f>
        <v> </v>
      </c>
      <c r="L4485" s="27"/>
    </row>
    <row r="4486" spans="1:12">
      <c r="A4486" s="20" t="s">
        <v>576</v>
      </c>
      <c r="E4486" s="22">
        <f>IF(D4486="?OLD","!!!","")</f>
        <v/>
      </c>
      <c r="F4486" s="23" t="str">
        <f>IF(OR(E4486="",E4486="!!!"),"",IF(NOT(ISNA(VLOOKUP(E4486,E$1:E4485,1,FALSE()))),"OLD",IF(AND(E4486&lt;&gt;"",E4486&lt;&gt;"!!!"),"NEW","")))</f>
        <v> </v>
      </c>
      <c r="G4486" s="24" t="str">
        <f>IF(OR(E4486="",E4486="!!!"),"",IF(OR(J4486=0,AND(J4486=1,K4486=1),AND(J4486=1,I4486="SBJ"),AND(J4486=1,I4486=0)),"?IN_FOCUS",IF(J4486&lt;=2,"?ACTIVATED",IF(J4486&lt;&gt;"","?FAMILIAR",IF(F4486="NEW",IF(ISNA(VLOOKUP(E4486,#REF!,1,FALSE())),"?TYPE_IDENTIFIABLE","?REFERENTIAL"),"_")))))</f>
        <v> </v>
      </c>
      <c r="H4486" s="25" t="str">
        <f>IF(J4486&lt;&gt;1,"",IF(I4486="SBJ","CB","?"))</f>
        <v> </v>
      </c>
      <c r="I4486" s="26" t="str">
        <f>IF(OR(E4486="",E4486="!!!",F4486="NEW"),"",INDEX(B4485:B$2,-1+SUMPRODUCT(MAX(ROW(E4485:E$2)*(E4486=E4485:E$2)))))</f>
        <v> </v>
      </c>
      <c r="J4486" s="26" t="str">
        <f>IF(OR(E4486="",E4486="!!!",F4486="NEW"),"",COUNTBLANK(OFFSET(A$1,,,SUMPRODUCT(MAX(ROW(E$2:E4486)*(E4486=E$2:E4486)))))-COUNTBLANK(OFFSET(A$1,,,SUMPRODUCT(MAX(ROW(E$1:E4485)*(E2=E$1:E4485))))))</f>
        <v> </v>
      </c>
      <c r="K4486" s="26" t="str">
        <f>IF(OR(E4486="",E4486="!!!",F4486="NEW"),"",INDEX(J$1:J4485,SUMPRODUCT(MAX(ROW(E$1:E4485)*(E4486=E$1:E4485)))))</f>
        <v> </v>
      </c>
      <c r="L4486" s="27"/>
    </row>
    <row r="4487" spans="1:12">
      <c r="A4487" s="20" t="s">
        <v>2036</v>
      </c>
      <c r="E4487" s="22">
        <f>IF(D4487="?OLD","!!!","")</f>
        <v/>
      </c>
      <c r="F4487" s="23" t="str">
        <f>IF(OR(E4487="",E4487="!!!"),"",IF(NOT(ISNA(VLOOKUP(E4487,E$1:E4486,1,FALSE()))),"OLD",IF(AND(E4487&lt;&gt;"",E4487&lt;&gt;"!!!"),"NEW","")))</f>
        <v> </v>
      </c>
      <c r="G4487" s="24" t="str">
        <f>IF(OR(E4487="",E4487="!!!"),"",IF(OR(J4487=0,AND(J4487=1,K4487=1),AND(J4487=1,I4487="SBJ"),AND(J4487=1,I4487=0)),"?IN_FOCUS",IF(J4487&lt;=2,"?ACTIVATED",IF(J4487&lt;&gt;"","?FAMILIAR",IF(F4487="NEW",IF(ISNA(VLOOKUP(E4487,#REF!,1,FALSE())),"?TYPE_IDENTIFIABLE","?REFERENTIAL"),"_")))))</f>
        <v> </v>
      </c>
      <c r="H4487" s="25" t="str">
        <f>IF(J4487&lt;&gt;1,"",IF(I4487="SBJ","CB","?"))</f>
        <v> </v>
      </c>
      <c r="I4487" s="26" t="str">
        <f>IF(OR(E4487="",E4487="!!!",F4487="NEW"),"",INDEX(B4486:B$2,-1+SUMPRODUCT(MAX(ROW(E4486:E$2)*(E4487=E4486:E$2)))))</f>
        <v> </v>
      </c>
      <c r="J4487" s="26" t="str">
        <f>IF(OR(E4487="",E4487="!!!",F4487="NEW"),"",COUNTBLANK(OFFSET(A$1,,,SUMPRODUCT(MAX(ROW(E$2:E4487)*(E4487=E$2:E4487)))))-COUNTBLANK(OFFSET(A$1,,,SUMPRODUCT(MAX(ROW(E$1:E4486)*(E2=E$1:E4486))))))</f>
        <v> </v>
      </c>
      <c r="K4487" s="26" t="str">
        <f>IF(OR(E4487="",E4487="!!!",F4487="NEW"),"",INDEX(J$1:J4486,SUMPRODUCT(MAX(ROW(E$1:E4486)*(E4487=E$1:E4486)))))</f>
        <v> </v>
      </c>
      <c r="L4487" s="27"/>
    </row>
    <row r="4488" spans="1:12">
      <c r="A4488" s="20" t="s">
        <v>1088</v>
      </c>
      <c r="E4488" s="22">
        <f>IF(D4488="?OLD","!!!","")</f>
        <v/>
      </c>
      <c r="F4488" s="23" t="str">
        <f>IF(OR(E4488="",E4488="!!!"),"",IF(NOT(ISNA(VLOOKUP(E4488,E$1:E4487,1,FALSE()))),"OLD",IF(AND(E4488&lt;&gt;"",E4488&lt;&gt;"!!!"),"NEW","")))</f>
        <v> </v>
      </c>
      <c r="G4488" s="24" t="str">
        <f>IF(OR(E4488="",E4488="!!!"),"",IF(OR(J4488=0,AND(J4488=1,K4488=1),AND(J4488=1,I4488="SBJ"),AND(J4488=1,I4488=0)),"?IN_FOCUS",IF(J4488&lt;=2,"?ACTIVATED",IF(J4488&lt;&gt;"","?FAMILIAR",IF(F4488="NEW",IF(ISNA(VLOOKUP(E4488,#REF!,1,FALSE())),"?TYPE_IDENTIFIABLE","?REFERENTIAL"),"_")))))</f>
        <v> </v>
      </c>
      <c r="H4488" s="25" t="str">
        <f>IF(J4488&lt;&gt;1,"",IF(I4488="SBJ","CB","?"))</f>
        <v> </v>
      </c>
      <c r="I4488" s="26" t="str">
        <f>IF(OR(E4488="",E4488="!!!",F4488="NEW"),"",INDEX(B4487:B$2,-1+SUMPRODUCT(MAX(ROW(E4487:E$2)*(E4488=E4487:E$2)))))</f>
        <v> </v>
      </c>
      <c r="J4488" s="26" t="str">
        <f>IF(OR(E4488="",E4488="!!!",F4488="NEW"),"",COUNTBLANK(OFFSET(A$1,,,SUMPRODUCT(MAX(ROW(E$2:E4488)*(E4488=E$2:E4488)))))-COUNTBLANK(OFFSET(A$1,,,SUMPRODUCT(MAX(ROW(E$1:E4487)*(E2=E$1:E4487))))))</f>
        <v> </v>
      </c>
      <c r="K4488" s="26" t="str">
        <f>IF(OR(E4488="",E4488="!!!",F4488="NEW"),"",INDEX(J$1:J4487,SUMPRODUCT(MAX(ROW(E$1:E4487)*(E4488=E$1:E4487)))))</f>
        <v> </v>
      </c>
      <c r="L4488" s="27"/>
    </row>
    <row r="4489" spans="1:12">
      <c r="A4489" s="20" t="s">
        <v>127</v>
      </c>
      <c r="E4489" s="22">
        <f>IF(D4489="?OLD","!!!","")</f>
        <v/>
      </c>
      <c r="F4489" s="23" t="str">
        <f>IF(OR(E4489="",E4489="!!!"),"",IF(NOT(ISNA(VLOOKUP(E4489,E$1:E4488,1,FALSE()))),"OLD",IF(AND(E4489&lt;&gt;"",E4489&lt;&gt;"!!!"),"NEW","")))</f>
        <v> </v>
      </c>
      <c r="G4489" s="24" t="str">
        <f>IF(OR(E4489="",E4489="!!!"),"",IF(OR(J4489=0,AND(J4489=1,K4489=1),AND(J4489=1,I4489="SBJ"),AND(J4489=1,I4489=0)),"?IN_FOCUS",IF(J4489&lt;=2,"?ACTIVATED",IF(J4489&lt;&gt;"","?FAMILIAR",IF(F4489="NEW",IF(ISNA(VLOOKUP(E4489,#REF!,1,FALSE())),"?TYPE_IDENTIFIABLE","?REFERENTIAL"),"_")))))</f>
        <v> </v>
      </c>
      <c r="H4489" s="25" t="str">
        <f>IF(J4489&lt;&gt;1,"",IF(I4489="SBJ","CB","?"))</f>
        <v> </v>
      </c>
      <c r="I4489" s="26" t="str">
        <f>IF(OR(E4489="",E4489="!!!",F4489="NEW"),"",INDEX(B4488:B$2,-1+SUMPRODUCT(MAX(ROW(E4488:E$2)*(E4489=E4488:E$2)))))</f>
        <v> </v>
      </c>
      <c r="J4489" s="26" t="str">
        <f>IF(OR(E4489="",E4489="!!!",F4489="NEW"),"",COUNTBLANK(OFFSET(A$1,,,SUMPRODUCT(MAX(ROW(E$2:E4489)*(E4489=E$2:E4489)))))-COUNTBLANK(OFFSET(A$1,,,SUMPRODUCT(MAX(ROW(E$1:E4488)*(E2=E$1:E4488))))))</f>
        <v> </v>
      </c>
      <c r="K4489" s="26" t="str">
        <f>IF(OR(E4489="",E4489="!!!",F4489="NEW"),"",INDEX(J$1:J4488,SUMPRODUCT(MAX(ROW(E$1:E4488)*(E4489=E$1:E4488)))))</f>
        <v> </v>
      </c>
      <c r="L4489" s="27"/>
    </row>
    <row r="4490" spans="1:12">
      <c r="A4490" s="20" t="s">
        <v>1101</v>
      </c>
      <c r="E4490" s="22">
        <f>IF(D4490="?OLD","!!!","")</f>
        <v/>
      </c>
      <c r="F4490" s="23" t="str">
        <f>IF(OR(E4490="",E4490="!!!"),"",IF(NOT(ISNA(VLOOKUP(E4490,E$1:E4489,1,FALSE()))),"OLD",IF(AND(E4490&lt;&gt;"",E4490&lt;&gt;"!!!"),"NEW","")))</f>
        <v> </v>
      </c>
      <c r="G4490" s="24" t="str">
        <f>IF(OR(E4490="",E4490="!!!"),"",IF(OR(J4490=0,AND(J4490=1,K4490=1),AND(J4490=1,I4490="SBJ"),AND(J4490=1,I4490=0)),"?IN_FOCUS",IF(J4490&lt;=2,"?ACTIVATED",IF(J4490&lt;&gt;"","?FAMILIAR",IF(F4490="NEW",IF(ISNA(VLOOKUP(E4490,#REF!,1,FALSE())),"?TYPE_IDENTIFIABLE","?REFERENTIAL"),"_")))))</f>
        <v> </v>
      </c>
      <c r="H4490" s="25" t="str">
        <f>IF(J4490&lt;&gt;1,"",IF(I4490="SBJ","CB","?"))</f>
        <v> </v>
      </c>
      <c r="I4490" s="26" t="str">
        <f>IF(OR(E4490="",E4490="!!!",F4490="NEW"),"",INDEX(B4489:B$2,-1+SUMPRODUCT(MAX(ROW(E4489:E$2)*(E4490=E4489:E$2)))))</f>
        <v> </v>
      </c>
      <c r="J4490" s="26" t="str">
        <f>IF(OR(E4490="",E4490="!!!",F4490="NEW"),"",COUNTBLANK(OFFSET(A$1,,,SUMPRODUCT(MAX(ROW(E$2:E4490)*(E4490=E$2:E4490)))))-COUNTBLANK(OFFSET(A$1,,,SUMPRODUCT(MAX(ROW(E$1:E4489)*(E2=E$1:E4489))))))</f>
        <v> </v>
      </c>
      <c r="K4490" s="26" t="str">
        <f>IF(OR(E4490="",E4490="!!!",F4490="NEW"),"",INDEX(J$1:J4489,SUMPRODUCT(MAX(ROW(E$1:E4489)*(E4490=E$1:E4489)))))</f>
        <v> </v>
      </c>
      <c r="L4490" s="27"/>
    </row>
    <row r="4491" spans="1:12">
      <c r="A4491" s="20" t="s">
        <v>2339</v>
      </c>
      <c r="E4491" s="22">
        <f>IF(D4491="?OLD","!!!","")</f>
        <v/>
      </c>
      <c r="F4491" s="23" t="str">
        <f>IF(OR(E4491="",E4491="!!!"),"",IF(NOT(ISNA(VLOOKUP(E4491,E$1:E4490,1,FALSE()))),"OLD",IF(AND(E4491&lt;&gt;"",E4491&lt;&gt;"!!!"),"NEW","")))</f>
        <v> </v>
      </c>
      <c r="G4491" s="24" t="str">
        <f>IF(OR(E4491="",E4491="!!!"),"",IF(OR(J4491=0,AND(J4491=1,K4491=1),AND(J4491=1,I4491="SBJ"),AND(J4491=1,I4491=0)),"?IN_FOCUS",IF(J4491&lt;=2,"?ACTIVATED",IF(J4491&lt;&gt;"","?FAMILIAR",IF(F4491="NEW",IF(ISNA(VLOOKUP(E4491,#REF!,1,FALSE())),"?TYPE_IDENTIFIABLE","?REFERENTIAL"),"_")))))</f>
        <v> </v>
      </c>
      <c r="H4491" s="25" t="str">
        <f>IF(J4491&lt;&gt;1,"",IF(I4491="SBJ","CB","?"))</f>
        <v> </v>
      </c>
      <c r="I4491" s="26" t="str">
        <f>IF(OR(E4491="",E4491="!!!",F4491="NEW"),"",INDEX(B4490:B$2,-1+SUMPRODUCT(MAX(ROW(E4490:E$2)*(E4491=E4490:E$2)))))</f>
        <v> </v>
      </c>
      <c r="J4491" s="26" t="str">
        <f>IF(OR(E4491="",E4491="!!!",F4491="NEW"),"",COUNTBLANK(OFFSET(A$1,,,SUMPRODUCT(MAX(ROW(E$2:E4491)*(E4491=E$2:E4491)))))-COUNTBLANK(OFFSET(A$1,,,SUMPRODUCT(MAX(ROW(E$1:E4490)*(E2=E$1:E4490))))))</f>
        <v> </v>
      </c>
      <c r="K4491" s="26" t="str">
        <f>IF(OR(E4491="",E4491="!!!",F4491="NEW"),"",INDEX(J$1:J4490,SUMPRODUCT(MAX(ROW(E$1:E4490)*(E4491=E$1:E4490)))))</f>
        <v> </v>
      </c>
      <c r="L4491" s="27"/>
    </row>
    <row r="4492" spans="1:12">
      <c r="A4492" s="20" t="s">
        <v>2340</v>
      </c>
      <c r="B4492" s="21" t="s">
        <v>1136</v>
      </c>
      <c r="C4492" s="21" t="s">
        <v>1140</v>
      </c>
      <c r="D4492" s="21" t="s">
        <v>1060</v>
      </c>
      <c r="E4492" s="22">
        <f>IF(D4492="?OLD","!!!","")</f>
        <v/>
      </c>
      <c r="F4492" s="23" t="str">
        <f>IF(OR(E4492="",E4492="!!!"),"",IF(NOT(ISNA(VLOOKUP(E4492,E$1:E4491,1,FALSE()))),"OLD",IF(AND(E4492&lt;&gt;"",E4492&lt;&gt;"!!!"),"NEW","")))</f>
        <v> </v>
      </c>
      <c r="G4492" s="24" t="str">
        <f>IF(OR(E4492="",E4492="!!!"),"",IF(OR(J4492=0,AND(J4492=1,K4492=1),AND(J4492=1,I4492="SBJ"),AND(J4492=1,I4492=0)),"?IN_FOCUS",IF(J4492&lt;=2,"?ACTIVATED",IF(J4492&lt;&gt;"","?FAMILIAR",IF(F4492="NEW",IF(ISNA(VLOOKUP(E4492,#REF!,1,FALSE())),"?TYPE_IDENTIFIABLE","?REFERENTIAL"),"_")))))</f>
        <v> </v>
      </c>
      <c r="H4492" s="25" t="str">
        <f>IF(J4492&lt;&gt;1,"",IF(I4492="SBJ","CB","?"))</f>
        <v> </v>
      </c>
      <c r="I4492" s="26" t="str">
        <f>IF(OR(E4492="",E4492="!!!",F4492="NEW"),"",INDEX(B4491:B$2,-1+SUMPRODUCT(MAX(ROW(E4491:E$2)*(E4492=E4491:E$2)))))</f>
        <v> </v>
      </c>
      <c r="J4492" s="26" t="str">
        <f>IF(OR(E4492="",E4492="!!!",F4492="NEW"),"",COUNTBLANK(OFFSET(A$1,,,SUMPRODUCT(MAX(ROW(E$2:E4492)*(E4492=E$2:E4492)))))-COUNTBLANK(OFFSET(A$1,,,SUMPRODUCT(MAX(ROW(E$1:E4491)*(E2=E$1:E4491))))))</f>
        <v> </v>
      </c>
      <c r="K4492" s="26" t="str">
        <f>IF(OR(E4492="",E4492="!!!",F4492="NEW"),"",INDEX(J$1:J4491,SUMPRODUCT(MAX(ROW(E$1:E4491)*(E4492=E$1:E4491)))))</f>
        <v> </v>
      </c>
      <c r="L4492" s="27"/>
    </row>
    <row r="4493" spans="1:12">
      <c r="A4493" s="20" t="s">
        <v>1120</v>
      </c>
      <c r="E4493" s="22">
        <f>IF(D4493="?OLD","!!!","")</f>
        <v/>
      </c>
      <c r="F4493" s="23" t="str">
        <f>IF(OR(E4493="",E4493="!!!"),"",IF(NOT(ISNA(VLOOKUP(E4493,E$1:E4492,1,FALSE()))),"OLD",IF(AND(E4493&lt;&gt;"",E4493&lt;&gt;"!!!"),"NEW","")))</f>
        <v> </v>
      </c>
      <c r="G4493" s="24" t="str">
        <f>IF(OR(E4493="",E4493="!!!"),"",IF(OR(J4493=0,AND(J4493=1,K4493=1),AND(J4493=1,I4493="SBJ"),AND(J4493=1,I4493=0)),"?IN_FOCUS",IF(J4493&lt;=2,"?ACTIVATED",IF(J4493&lt;&gt;"","?FAMILIAR",IF(F4493="NEW",IF(ISNA(VLOOKUP(E4493,#REF!,1,FALSE())),"?TYPE_IDENTIFIABLE","?REFERENTIAL"),"_")))))</f>
        <v> </v>
      </c>
      <c r="H4493" s="25" t="str">
        <f>IF(J4493&lt;&gt;1,"",IF(I4493="SBJ","CB","?"))</f>
        <v> </v>
      </c>
      <c r="I4493" s="26" t="str">
        <f>IF(OR(E4493="",E4493="!!!",F4493="NEW"),"",INDEX(B4492:B$2,-1+SUMPRODUCT(MAX(ROW(E4492:E$2)*(E4493=E4492:E$2)))))</f>
        <v> </v>
      </c>
      <c r="J4493" s="26" t="str">
        <f>IF(OR(E4493="",E4493="!!!",F4493="NEW"),"",COUNTBLANK(OFFSET(A$1,,,SUMPRODUCT(MAX(ROW(E$2:E4493)*(E4493=E$2:E4493)))))-COUNTBLANK(OFFSET(A$1,,,SUMPRODUCT(MAX(ROW(E$1:E4492)*(E2=E$1:E4492))))))</f>
        <v> </v>
      </c>
      <c r="K4493" s="26" t="str">
        <f>IF(OR(E4493="",E4493="!!!",F4493="NEW"),"",INDEX(J$1:J4492,SUMPRODUCT(MAX(ROW(E$1:E4492)*(E4493=E$1:E4492)))))</f>
        <v> </v>
      </c>
      <c r="L4493" s="27"/>
    </row>
    <row r="4494" spans="1:12">
      <c r="A4494" s="20" t="s">
        <v>1201</v>
      </c>
      <c r="E4494" s="22">
        <f>IF(D4494="?OLD","!!!","")</f>
        <v/>
      </c>
      <c r="F4494" s="23" t="str">
        <f>IF(OR(E4494="",E4494="!!!"),"",IF(NOT(ISNA(VLOOKUP(E4494,E$1:E4493,1,FALSE()))),"OLD",IF(AND(E4494&lt;&gt;"",E4494&lt;&gt;"!!!"),"NEW","")))</f>
        <v> </v>
      </c>
      <c r="G4494" s="24" t="str">
        <f>IF(OR(E4494="",E4494="!!!"),"",IF(OR(J4494=0,AND(J4494=1,K4494=1),AND(J4494=1,I4494="SBJ"),AND(J4494=1,I4494=0)),"?IN_FOCUS",IF(J4494&lt;=2,"?ACTIVATED",IF(J4494&lt;&gt;"","?FAMILIAR",IF(F4494="NEW",IF(ISNA(VLOOKUP(E4494,#REF!,1,FALSE())),"?TYPE_IDENTIFIABLE","?REFERENTIAL"),"_")))))</f>
        <v> </v>
      </c>
      <c r="H4494" s="25" t="str">
        <f>IF(J4494&lt;&gt;1,"",IF(I4494="SBJ","CB","?"))</f>
        <v> </v>
      </c>
      <c r="I4494" s="26" t="str">
        <f>IF(OR(E4494="",E4494="!!!",F4494="NEW"),"",INDEX(B4493:B$2,-1+SUMPRODUCT(MAX(ROW(E4493:E$2)*(E4494=E4493:E$2)))))</f>
        <v> </v>
      </c>
      <c r="J4494" s="26" t="str">
        <f>IF(OR(E4494="",E4494="!!!",F4494="NEW"),"",COUNTBLANK(OFFSET(A$1,,,SUMPRODUCT(MAX(ROW(E$2:E4494)*(E4494=E$2:E4494)))))-COUNTBLANK(OFFSET(A$1,,,SUMPRODUCT(MAX(ROW(E$1:E4493)*(E2=E$1:E4493))))))</f>
        <v> </v>
      </c>
      <c r="K4494" s="26" t="str">
        <f>IF(OR(E4494="",E4494="!!!",F4494="NEW"),"",INDEX(J$1:J4493,SUMPRODUCT(MAX(ROW(E$1:E4493)*(E4494=E$1:E4493)))))</f>
        <v> </v>
      </c>
      <c r="L4494" s="27"/>
    </row>
    <row r="4495" spans="1:12">
      <c r="A4495" s="20" t="s">
        <v>1868</v>
      </c>
      <c r="B4495" s="21" t="s">
        <v>1136</v>
      </c>
      <c r="C4495" s="21" t="s">
        <v>1159</v>
      </c>
      <c r="D4495" s="21" t="s">
        <v>1060</v>
      </c>
      <c r="E4495" s="22">
        <f>IF(D4495="?OLD","!!!","")</f>
        <v/>
      </c>
      <c r="F4495" s="23" t="str">
        <f>IF(OR(E4495="",E4495="!!!"),"",IF(NOT(ISNA(VLOOKUP(E4495,E$1:E4494,1,FALSE()))),"OLD",IF(AND(E4495&lt;&gt;"",E4495&lt;&gt;"!!!"),"NEW","")))</f>
        <v> </v>
      </c>
      <c r="G4495" s="24" t="str">
        <f>IF(OR(E4495="",E4495="!!!"),"",IF(OR(J4495=0,AND(J4495=1,K4495=1),AND(J4495=1,I4495="SBJ"),AND(J4495=1,I4495=0)),"?IN_FOCUS",IF(J4495&lt;=2,"?ACTIVATED",IF(J4495&lt;&gt;"","?FAMILIAR",IF(F4495="NEW",IF(ISNA(VLOOKUP(E4495,#REF!,1,FALSE())),"?TYPE_IDENTIFIABLE","?REFERENTIAL"),"_")))))</f>
        <v> </v>
      </c>
      <c r="H4495" s="25" t="str">
        <f>IF(J4495&lt;&gt;1,"",IF(I4495="SBJ","CB","?"))</f>
        <v> </v>
      </c>
      <c r="I4495" s="26" t="str">
        <f>IF(OR(E4495="",E4495="!!!",F4495="NEW"),"",INDEX(B4494:B$2,-1+SUMPRODUCT(MAX(ROW(E4494:E$2)*(E4495=E4494:E$2)))))</f>
        <v> </v>
      </c>
      <c r="J4495" s="26" t="str">
        <f>IF(OR(E4495="",E4495="!!!",F4495="NEW"),"",COUNTBLANK(OFFSET(A$1,,,SUMPRODUCT(MAX(ROW(E$2:E4495)*(E4495=E$2:E4495)))))-COUNTBLANK(OFFSET(A$1,,,SUMPRODUCT(MAX(ROW(E$1:E4494)*(E2=E$1:E4494))))))</f>
        <v> </v>
      </c>
      <c r="K4495" s="26" t="str">
        <f>IF(OR(E4495="",E4495="!!!",F4495="NEW"),"",INDEX(J$1:J4494,SUMPRODUCT(MAX(ROW(E$1:E4494)*(E4495=E$1:E4494)))))</f>
        <v> </v>
      </c>
      <c r="L4495" s="27"/>
    </row>
    <row r="4496" spans="1:12">
      <c r="A4496" s="20" t="s">
        <v>1118</v>
      </c>
      <c r="E4496" s="22">
        <f>IF(D4496="?OLD","!!!","")</f>
        <v/>
      </c>
      <c r="F4496" s="23" t="str">
        <f>IF(OR(E4496="",E4496="!!!"),"",IF(NOT(ISNA(VLOOKUP(E4496,E$1:E4495,1,FALSE()))),"OLD",IF(AND(E4496&lt;&gt;"",E4496&lt;&gt;"!!!"),"NEW","")))</f>
        <v> </v>
      </c>
      <c r="G4496" s="24" t="str">
        <f>IF(OR(E4496="",E4496="!!!"),"",IF(OR(J4496=0,AND(J4496=1,K4496=1),AND(J4496=1,I4496="SBJ"),AND(J4496=1,I4496=0)),"?IN_FOCUS",IF(J4496&lt;=2,"?ACTIVATED",IF(J4496&lt;&gt;"","?FAMILIAR",IF(F4496="NEW",IF(ISNA(VLOOKUP(E4496,#REF!,1,FALSE())),"?TYPE_IDENTIFIABLE","?REFERENTIAL"),"_")))))</f>
        <v> </v>
      </c>
      <c r="H4496" s="25" t="str">
        <f>IF(J4496&lt;&gt;1,"",IF(I4496="SBJ","CB","?"))</f>
        <v> </v>
      </c>
      <c r="I4496" s="26" t="str">
        <f>IF(OR(E4496="",E4496="!!!",F4496="NEW"),"",INDEX(B4495:B$2,-1+SUMPRODUCT(MAX(ROW(E4495:E$2)*(E4496=E4495:E$2)))))</f>
        <v> </v>
      </c>
      <c r="J4496" s="26" t="str">
        <f>IF(OR(E4496="",E4496="!!!",F4496="NEW"),"",COUNTBLANK(OFFSET(A$1,,,SUMPRODUCT(MAX(ROW(E$2:E4496)*(E4496=E$2:E4496)))))-COUNTBLANK(OFFSET(A$1,,,SUMPRODUCT(MAX(ROW(E$1:E4495)*(E2=E$1:E4495))))))</f>
        <v> </v>
      </c>
      <c r="K4496" s="26" t="str">
        <f>IF(OR(E4496="",E4496="!!!",F4496="NEW"),"",INDEX(J$1:J4495,SUMPRODUCT(MAX(ROW(E$1:E4495)*(E4496=E$1:E4495)))))</f>
        <v> </v>
      </c>
      <c r="L4496" s="27"/>
    </row>
    <row r="4497" spans="1:12">
      <c r="A4497" s="20" t="s">
        <v>2341</v>
      </c>
      <c r="E4497" s="22">
        <f>IF(D4497="?OLD","!!!","")</f>
        <v/>
      </c>
      <c r="F4497" s="23" t="str">
        <f>IF(OR(E4497="",E4497="!!!"),"",IF(NOT(ISNA(VLOOKUP(E4497,E$1:E4496,1,FALSE()))),"OLD",IF(AND(E4497&lt;&gt;"",E4497&lt;&gt;"!!!"),"NEW","")))</f>
        <v> </v>
      </c>
      <c r="G4497" s="24" t="str">
        <f>IF(OR(E4497="",E4497="!!!"),"",IF(OR(J4497=0,AND(J4497=1,K4497=1),AND(J4497=1,I4497="SBJ"),AND(J4497=1,I4497=0)),"?IN_FOCUS",IF(J4497&lt;=2,"?ACTIVATED",IF(J4497&lt;&gt;"","?FAMILIAR",IF(F4497="NEW",IF(ISNA(VLOOKUP(E4497,#REF!,1,FALSE())),"?TYPE_IDENTIFIABLE","?REFERENTIAL"),"_")))))</f>
        <v> </v>
      </c>
      <c r="H4497" s="25" t="str">
        <f>IF(J4497&lt;&gt;1,"",IF(I4497="SBJ","CB","?"))</f>
        <v> </v>
      </c>
      <c r="I4497" s="26" t="str">
        <f>IF(OR(E4497="",E4497="!!!",F4497="NEW"),"",INDEX(B4496:B$2,-1+SUMPRODUCT(MAX(ROW(E4496:E$2)*(E4497=E4496:E$2)))))</f>
        <v> </v>
      </c>
      <c r="J4497" s="26" t="str">
        <f>IF(OR(E4497="",E4497="!!!",F4497="NEW"),"",COUNTBLANK(OFFSET(A$1,,,SUMPRODUCT(MAX(ROW(E$2:E4497)*(E4497=E$2:E4497)))))-COUNTBLANK(OFFSET(A$1,,,SUMPRODUCT(MAX(ROW(E$1:E4496)*(E2=E$1:E4496))))))</f>
        <v> </v>
      </c>
      <c r="K4497" s="26" t="str">
        <f>IF(OR(E4497="",E4497="!!!",F4497="NEW"),"",INDEX(J$1:J4496,SUMPRODUCT(MAX(ROW(E$1:E4496)*(E4497=E$1:E4496)))))</f>
        <v> </v>
      </c>
      <c r="L4497" s="27"/>
    </row>
    <row r="4498" spans="1:12">
      <c r="A4498" s="20" t="s">
        <v>2342</v>
      </c>
      <c r="B4498" s="21" t="s">
        <v>1099</v>
      </c>
      <c r="C4498" s="21" t="s">
        <v>1149</v>
      </c>
      <c r="E4498" s="22">
        <f>IF(D4498="?OLD","!!!","")</f>
        <v/>
      </c>
      <c r="F4498" s="23" t="str">
        <f>IF(OR(E4498="",E4498="!!!"),"",IF(NOT(ISNA(VLOOKUP(E4498,E$1:E4497,1,FALSE()))),"OLD",IF(AND(E4498&lt;&gt;"",E4498&lt;&gt;"!!!"),"NEW","")))</f>
        <v> </v>
      </c>
      <c r="G4498" s="24" t="str">
        <f>IF(OR(E4498="",E4498="!!!"),"",IF(OR(J4498=0,AND(J4498=1,K4498=1),AND(J4498=1,I4498="SBJ"),AND(J4498=1,I4498=0)),"?IN_FOCUS",IF(J4498&lt;=2,"?ACTIVATED",IF(J4498&lt;&gt;"","?FAMILIAR",IF(F4498="NEW",IF(ISNA(VLOOKUP(E4498,#REF!,1,FALSE())),"?TYPE_IDENTIFIABLE","?REFERENTIAL"),"_")))))</f>
        <v> </v>
      </c>
      <c r="H4498" s="25" t="str">
        <f>IF(J4498&lt;&gt;1,"",IF(I4498="SBJ","CB","?"))</f>
        <v> </v>
      </c>
      <c r="I4498" s="26" t="str">
        <f>IF(OR(E4498="",E4498="!!!",F4498="NEW"),"",INDEX(B4497:B$2,-1+SUMPRODUCT(MAX(ROW(E4497:E$2)*(E4498=E4497:E$2)))))</f>
        <v> </v>
      </c>
      <c r="J4498" s="26" t="str">
        <f>IF(OR(E4498="",E4498="!!!",F4498="NEW"),"",COUNTBLANK(OFFSET(A$1,,,SUMPRODUCT(MAX(ROW(E$2:E4498)*(E4498=E$2:E4498)))))-COUNTBLANK(OFFSET(A$1,,,SUMPRODUCT(MAX(ROW(E$1:E4497)*(E2=E$1:E4497))))))</f>
        <v> </v>
      </c>
      <c r="K4498" s="26" t="str">
        <f>IF(OR(E4498="",E4498="!!!",F4498="NEW"),"",INDEX(J$1:J4497,SUMPRODUCT(MAX(ROW(E$1:E4497)*(E4498=E$1:E4497)))))</f>
        <v> </v>
      </c>
      <c r="L4498" s="27"/>
    </row>
    <row r="4499" spans="1:12">
      <c r="A4499" s="20" t="s">
        <v>1115</v>
      </c>
      <c r="B4499" s="21" t="s">
        <v>1187</v>
      </c>
      <c r="E4499" s="22">
        <f>IF(D4499="?OLD","!!!","")</f>
        <v/>
      </c>
      <c r="F4499" s="23" t="str">
        <f>IF(OR(E4499="",E4499="!!!"),"",IF(NOT(ISNA(VLOOKUP(E4499,E$1:E4498,1,FALSE()))),"OLD",IF(AND(E4499&lt;&gt;"",E4499&lt;&gt;"!!!"),"NEW","")))</f>
        <v> </v>
      </c>
      <c r="G4499" s="24" t="str">
        <f>IF(OR(E4499="",E4499="!!!"),"",IF(OR(J4499=0,AND(J4499=1,K4499=1),AND(J4499=1,I4499="SBJ"),AND(J4499=1,I4499=0)),"?IN_FOCUS",IF(J4499&lt;=2,"?ACTIVATED",IF(J4499&lt;&gt;"","?FAMILIAR",IF(F4499="NEW",IF(ISNA(VLOOKUP(E4499,#REF!,1,FALSE())),"?TYPE_IDENTIFIABLE","?REFERENTIAL"),"_")))))</f>
        <v> </v>
      </c>
      <c r="H4499" s="25" t="str">
        <f>IF(J4499&lt;&gt;1,"",IF(I4499="SBJ","CB","?"))</f>
        <v> </v>
      </c>
      <c r="I4499" s="26" t="str">
        <f>IF(OR(E4499="",E4499="!!!",F4499="NEW"),"",INDEX(B4498:B$2,-1+SUMPRODUCT(MAX(ROW(E4498:E$2)*(E4499=E4498:E$2)))))</f>
        <v> </v>
      </c>
      <c r="J4499" s="26" t="str">
        <f>IF(OR(E4499="",E4499="!!!",F4499="NEW"),"",COUNTBLANK(OFFSET(A$1,,,SUMPRODUCT(MAX(ROW(E$2:E4499)*(E4499=E$2:E4499)))))-COUNTBLANK(OFFSET(A$1,,,SUMPRODUCT(MAX(ROW(E$1:E4498)*(E2=E$1:E4498))))))</f>
        <v> </v>
      </c>
      <c r="K4499" s="26" t="str">
        <f>IF(OR(E4499="",E4499="!!!",F4499="NEW"),"",INDEX(J$1:J4498,SUMPRODUCT(MAX(ROW(E$1:E4498)*(E4499=E$1:E4498)))))</f>
        <v> </v>
      </c>
      <c r="L4499" s="27"/>
    </row>
    <row r="4500" spans="1:12">
      <c r="A4500" s="20" t="s">
        <v>2343</v>
      </c>
      <c r="E4500" s="22">
        <f>IF(D4500="?OLD","!!!","")</f>
        <v/>
      </c>
      <c r="F4500" s="23" t="str">
        <f>IF(OR(E4500="",E4500="!!!"),"",IF(NOT(ISNA(VLOOKUP(E4500,E$1:E4499,1,FALSE()))),"OLD",IF(AND(E4500&lt;&gt;"",E4500&lt;&gt;"!!!"),"NEW","")))</f>
        <v> </v>
      </c>
      <c r="G4500" s="24" t="str">
        <f>IF(OR(E4500="",E4500="!!!"),"",IF(OR(J4500=0,AND(J4500=1,K4500=1),AND(J4500=1,I4500="SBJ"),AND(J4500=1,I4500=0)),"?IN_FOCUS",IF(J4500&lt;=2,"?ACTIVATED",IF(J4500&lt;&gt;"","?FAMILIAR",IF(F4500="NEW",IF(ISNA(VLOOKUP(E4500,#REF!,1,FALSE())),"?TYPE_IDENTIFIABLE","?REFERENTIAL"),"_")))))</f>
        <v> </v>
      </c>
      <c r="H4500" s="25" t="str">
        <f>IF(J4500&lt;&gt;1,"",IF(I4500="SBJ","CB","?"))</f>
        <v> </v>
      </c>
      <c r="I4500" s="26" t="str">
        <f>IF(OR(E4500="",E4500="!!!",F4500="NEW"),"",INDEX(B4499:B$2,-1+SUMPRODUCT(MAX(ROW(E4499:E$2)*(E4500=E4499:E$2)))))</f>
        <v> </v>
      </c>
      <c r="J4500" s="26" t="str">
        <f>IF(OR(E4500="",E4500="!!!",F4500="NEW"),"",COUNTBLANK(OFFSET(A$1,,,SUMPRODUCT(MAX(ROW(E$2:E4500)*(E4500=E$2:E4500)))))-COUNTBLANK(OFFSET(A$1,,,SUMPRODUCT(MAX(ROW(E$1:E4499)*(E2=E$1:E4499))))))</f>
        <v> </v>
      </c>
      <c r="K4500" s="26" t="str">
        <f>IF(OR(E4500="",E4500="!!!",F4500="NEW"),"",INDEX(J$1:J4499,SUMPRODUCT(MAX(ROW(E$1:E4499)*(E4500=E$1:E4499)))))</f>
        <v> </v>
      </c>
      <c r="L4500" s="27"/>
    </row>
    <row r="4501" spans="1:12">
      <c r="A4501" s="20" t="s">
        <v>1172</v>
      </c>
      <c r="B4501" s="21" t="s">
        <v>1185</v>
      </c>
      <c r="C4501" s="21" t="s">
        <v>1092</v>
      </c>
      <c r="D4501" s="21" t="s">
        <v>1060</v>
      </c>
      <c r="E4501" s="22">
        <f>IF(D4501="?OLD","!!!","")</f>
        <v/>
      </c>
      <c r="F4501" s="23" t="str">
        <f>IF(OR(E4501="",E4501="!!!"),"",IF(NOT(ISNA(VLOOKUP(E4501,E$1:E4500,1,FALSE()))),"OLD",IF(AND(E4501&lt;&gt;"",E4501&lt;&gt;"!!!"),"NEW","")))</f>
        <v> </v>
      </c>
      <c r="G4501" s="24" t="str">
        <f>IF(OR(E4501="",E4501="!!!"),"",IF(OR(J4501=0,AND(J4501=1,K4501=1),AND(J4501=1,I4501="SBJ"),AND(J4501=1,I4501=0)),"?IN_FOCUS",IF(J4501&lt;=2,"?ACTIVATED",IF(J4501&lt;&gt;"","?FAMILIAR",IF(F4501="NEW",IF(ISNA(VLOOKUP(E4501,#REF!,1,FALSE())),"?TYPE_IDENTIFIABLE","?REFERENTIAL"),"_")))))</f>
        <v> </v>
      </c>
      <c r="H4501" s="25" t="str">
        <f>IF(J4501&lt;&gt;1,"",IF(I4501="SBJ","CB","?"))</f>
        <v> </v>
      </c>
      <c r="I4501" s="26" t="str">
        <f>IF(OR(E4501="",E4501="!!!",F4501="NEW"),"",INDEX(B4500:B$2,-1+SUMPRODUCT(MAX(ROW(E4500:E$2)*(E4501=E4500:E$2)))))</f>
        <v> </v>
      </c>
      <c r="J4501" s="26" t="str">
        <f>IF(OR(E4501="",E4501="!!!",F4501="NEW"),"",COUNTBLANK(OFFSET(A$1,,,SUMPRODUCT(MAX(ROW(E$2:E4501)*(E4501=E$2:E4501)))))-COUNTBLANK(OFFSET(A$1,,,SUMPRODUCT(MAX(ROW(E$1:E4500)*(E2=E$1:E4500))))))</f>
        <v> </v>
      </c>
      <c r="K4501" s="26" t="str">
        <f>IF(OR(E4501="",E4501="!!!",F4501="NEW"),"",INDEX(J$1:J4500,SUMPRODUCT(MAX(ROW(E$1:E4500)*(E4501=E$1:E4500)))))</f>
        <v> </v>
      </c>
      <c r="L4501" s="27"/>
    </row>
    <row r="4502" spans="1:12">
      <c r="A4502" s="20" t="s">
        <v>2344</v>
      </c>
      <c r="B4502" s="21" t="s">
        <v>1518</v>
      </c>
      <c r="C4502" s="21" t="s">
        <v>1059</v>
      </c>
      <c r="D4502" s="21" t="s">
        <v>1060</v>
      </c>
      <c r="E4502" s="22">
        <f>IF(D4502="?OLD","!!!","")</f>
        <v/>
      </c>
      <c r="F4502" s="23" t="str">
        <f>IF(OR(E4502="",E4502="!!!"),"",IF(NOT(ISNA(VLOOKUP(E4502,E$1:E4501,1,FALSE()))),"OLD",IF(AND(E4502&lt;&gt;"",E4502&lt;&gt;"!!!"),"NEW","")))</f>
        <v> </v>
      </c>
      <c r="G4502" s="24" t="str">
        <f>IF(OR(E4502="",E4502="!!!"),"",IF(OR(J4502=0,AND(J4502=1,K4502=1),AND(J4502=1,I4502="SBJ"),AND(J4502=1,I4502=0)),"?IN_FOCUS",IF(J4502&lt;=2,"?ACTIVATED",IF(J4502&lt;&gt;"","?FAMILIAR",IF(F4502="NEW",IF(ISNA(VLOOKUP(E4502,#REF!,1,FALSE())),"?TYPE_IDENTIFIABLE","?REFERENTIAL"),"_")))))</f>
        <v> </v>
      </c>
      <c r="H4502" s="25" t="str">
        <f>IF(J4502&lt;&gt;1,"",IF(I4502="SBJ","CB","?"))</f>
        <v> </v>
      </c>
      <c r="I4502" s="26" t="str">
        <f>IF(OR(E4502="",E4502="!!!",F4502="NEW"),"",INDEX(B4501:B$2,-1+SUMPRODUCT(MAX(ROW(E4501:E$2)*(E4502=E4501:E$2)))))</f>
        <v> </v>
      </c>
      <c r="J4502" s="26" t="str">
        <f>IF(OR(E4502="",E4502="!!!",F4502="NEW"),"",COUNTBLANK(OFFSET(A$1,,,SUMPRODUCT(MAX(ROW(E$2:E4502)*(E4502=E$2:E4502)))))-COUNTBLANK(OFFSET(A$1,,,SUMPRODUCT(MAX(ROW(E$1:E4501)*(E2=E$1:E4501))))))</f>
        <v> </v>
      </c>
      <c r="K4502" s="26" t="str">
        <f>IF(OR(E4502="",E4502="!!!",F4502="NEW"),"",INDEX(J$1:J4501,SUMPRODUCT(MAX(ROW(E$1:E4501)*(E4502=E$1:E4501)))))</f>
        <v> </v>
      </c>
      <c r="L4502" s="27"/>
    </row>
    <row r="4503" spans="1:12">
      <c r="A4503" s="20" t="s">
        <v>587</v>
      </c>
      <c r="E4503" s="22">
        <f>IF(D4503="?OLD","!!!","")</f>
        <v/>
      </c>
      <c r="F4503" s="23" t="str">
        <f>IF(OR(E4503="",E4503="!!!"),"",IF(NOT(ISNA(VLOOKUP(E4503,E$1:E4502,1,FALSE()))),"OLD",IF(AND(E4503&lt;&gt;"",E4503&lt;&gt;"!!!"),"NEW","")))</f>
        <v> </v>
      </c>
      <c r="G4503" s="24" t="str">
        <f>IF(OR(E4503="",E4503="!!!"),"",IF(OR(J4503=0,AND(J4503=1,K4503=1),AND(J4503=1,I4503="SBJ"),AND(J4503=1,I4503=0)),"?IN_FOCUS",IF(J4503&lt;=2,"?ACTIVATED",IF(J4503&lt;&gt;"","?FAMILIAR",IF(F4503="NEW",IF(ISNA(VLOOKUP(E4503,#REF!,1,FALSE())),"?TYPE_IDENTIFIABLE","?REFERENTIAL"),"_")))))</f>
        <v> </v>
      </c>
      <c r="H4503" s="25" t="str">
        <f>IF(J4503&lt;&gt;1,"",IF(I4503="SBJ","CB","?"))</f>
        <v> </v>
      </c>
      <c r="I4503" s="26" t="str">
        <f>IF(OR(E4503="",E4503="!!!",F4503="NEW"),"",INDEX(B4502:B$2,-1+SUMPRODUCT(MAX(ROW(E4502:E$2)*(E4503=E4502:E$2)))))</f>
        <v> </v>
      </c>
      <c r="J4503" s="26" t="str">
        <f>IF(OR(E4503="",E4503="!!!",F4503="NEW"),"",COUNTBLANK(OFFSET(A$1,,,SUMPRODUCT(MAX(ROW(E$2:E4503)*(E4503=E$2:E4503)))))-COUNTBLANK(OFFSET(A$1,,,SUMPRODUCT(MAX(ROW(E$1:E4502)*(E2=E$1:E4502))))))</f>
        <v> </v>
      </c>
      <c r="K4503" s="26" t="str">
        <f>IF(OR(E4503="",E4503="!!!",F4503="NEW"),"",INDEX(J$1:J4502,SUMPRODUCT(MAX(ROW(E$1:E4502)*(E4503=E$1:E4502)))))</f>
        <v> </v>
      </c>
      <c r="L4503" s="27"/>
    </row>
    <row r="4504" spans="1:12">
      <c r="A4504" s="20" t="s">
        <v>78</v>
      </c>
      <c r="E4504" s="22">
        <f>IF(D4504="?OLD","!!!","")</f>
        <v/>
      </c>
      <c r="F4504" s="23" t="str">
        <f>IF(OR(E4504="",E4504="!!!"),"",IF(NOT(ISNA(VLOOKUP(E4504,E$1:E4503,1,FALSE()))),"OLD",IF(AND(E4504&lt;&gt;"",E4504&lt;&gt;"!!!"),"NEW","")))</f>
        <v> </v>
      </c>
      <c r="G4504" s="24" t="str">
        <f>IF(OR(E4504="",E4504="!!!"),"",IF(OR(J4504=0,AND(J4504=1,K4504=1),AND(J4504=1,I4504="SBJ"),AND(J4504=1,I4504=0)),"?IN_FOCUS",IF(J4504&lt;=2,"?ACTIVATED",IF(J4504&lt;&gt;"","?FAMILIAR",IF(F4504="NEW",IF(ISNA(VLOOKUP(E4504,#REF!,1,FALSE())),"?TYPE_IDENTIFIABLE","?REFERENTIAL"),"_")))))</f>
        <v> </v>
      </c>
      <c r="H4504" s="25" t="str">
        <f>IF(J4504&lt;&gt;1,"",IF(I4504="SBJ","CB","?"))</f>
        <v> </v>
      </c>
      <c r="I4504" s="26" t="str">
        <f>IF(OR(E4504="",E4504="!!!",F4504="NEW"),"",INDEX(B4503:B$2,-1+SUMPRODUCT(MAX(ROW(E4503:E$2)*(E4504=E4503:E$2)))))</f>
        <v> </v>
      </c>
      <c r="J4504" s="26" t="str">
        <f>IF(OR(E4504="",E4504="!!!",F4504="NEW"),"",COUNTBLANK(OFFSET(A$1,,,SUMPRODUCT(MAX(ROW(E$2:E4504)*(E4504=E$2:E4504)))))-COUNTBLANK(OFFSET(A$1,,,SUMPRODUCT(MAX(ROW(E$1:E4503)*(E2=E$1:E4503))))))</f>
        <v> </v>
      </c>
      <c r="K4504" s="26" t="str">
        <f>IF(OR(E4504="",E4504="!!!",F4504="NEW"),"",INDEX(J$1:J4503,SUMPRODUCT(MAX(ROW(E$1:E4503)*(E4504=E$1:E4503)))))</f>
        <v> </v>
      </c>
      <c r="L4504" s="27"/>
    </row>
    <row r="4505" spans="1:12">
      <c r="A4505" s="20" t="s">
        <v>1118</v>
      </c>
      <c r="E4505" s="22">
        <f>IF(D4505="?OLD","!!!","")</f>
        <v/>
      </c>
      <c r="F4505" s="23" t="str">
        <f>IF(OR(E4505="",E4505="!!!"),"",IF(NOT(ISNA(VLOOKUP(E4505,E$1:E4504,1,FALSE()))),"OLD",IF(AND(E4505&lt;&gt;"",E4505&lt;&gt;"!!!"),"NEW","")))</f>
        <v> </v>
      </c>
      <c r="G4505" s="24" t="str">
        <f>IF(OR(E4505="",E4505="!!!"),"",IF(OR(J4505=0,AND(J4505=1,K4505=1),AND(J4505=1,I4505="SBJ"),AND(J4505=1,I4505=0)),"?IN_FOCUS",IF(J4505&lt;=2,"?ACTIVATED",IF(J4505&lt;&gt;"","?FAMILIAR",IF(F4505="NEW",IF(ISNA(VLOOKUP(E4505,#REF!,1,FALSE())),"?TYPE_IDENTIFIABLE","?REFERENTIAL"),"_")))))</f>
        <v> </v>
      </c>
      <c r="H4505" s="25" t="str">
        <f>IF(J4505&lt;&gt;1,"",IF(I4505="SBJ","CB","?"))</f>
        <v> </v>
      </c>
      <c r="I4505" s="26" t="str">
        <f>IF(OR(E4505="",E4505="!!!",F4505="NEW"),"",INDEX(B4504:B$2,-1+SUMPRODUCT(MAX(ROW(E4504:E$2)*(E4505=E4504:E$2)))))</f>
        <v> </v>
      </c>
      <c r="J4505" s="26" t="str">
        <f>IF(OR(E4505="",E4505="!!!",F4505="NEW"),"",COUNTBLANK(OFFSET(A$1,,,SUMPRODUCT(MAX(ROW(E$2:E4505)*(E4505=E$2:E4505)))))-COUNTBLANK(OFFSET(A$1,,,SUMPRODUCT(MAX(ROW(E$1:E4504)*(E2=E$1:E4504))))))</f>
        <v> </v>
      </c>
      <c r="K4505" s="26" t="str">
        <f>IF(OR(E4505="",E4505="!!!",F4505="NEW"),"",INDEX(J$1:J4504,SUMPRODUCT(MAX(ROW(E$1:E4504)*(E4505=E$1:E4504)))))</f>
        <v> </v>
      </c>
      <c r="L4505" s="27"/>
    </row>
    <row r="4506" spans="1:12">
      <c r="A4506" s="20" t="s">
        <v>2345</v>
      </c>
      <c r="E4506" s="22">
        <f>IF(D4506="?OLD","!!!","")</f>
        <v/>
      </c>
      <c r="F4506" s="23" t="str">
        <f>IF(OR(E4506="",E4506="!!!"),"",IF(NOT(ISNA(VLOOKUP(E4506,E$1:E4505,1,FALSE()))),"OLD",IF(AND(E4506&lt;&gt;"",E4506&lt;&gt;"!!!"),"NEW","")))</f>
        <v> </v>
      </c>
      <c r="G4506" s="24" t="str">
        <f>IF(OR(E4506="",E4506="!!!"),"",IF(OR(J4506=0,AND(J4506=1,K4506=1),AND(J4506=1,I4506="SBJ"),AND(J4506=1,I4506=0)),"?IN_FOCUS",IF(J4506&lt;=2,"?ACTIVATED",IF(J4506&lt;&gt;"","?FAMILIAR",IF(F4506="NEW",IF(ISNA(VLOOKUP(E4506,#REF!,1,FALSE())),"?TYPE_IDENTIFIABLE","?REFERENTIAL"),"_")))))</f>
        <v> </v>
      </c>
      <c r="H4506" s="25" t="str">
        <f>IF(J4506&lt;&gt;1,"",IF(I4506="SBJ","CB","?"))</f>
        <v> </v>
      </c>
      <c r="I4506" s="26" t="str">
        <f>IF(OR(E4506="",E4506="!!!",F4506="NEW"),"",INDEX(B4505:B$2,-1+SUMPRODUCT(MAX(ROW(E4505:E$2)*(E4506=E4505:E$2)))))</f>
        <v> </v>
      </c>
      <c r="J4506" s="26" t="str">
        <f>IF(OR(E4506="",E4506="!!!",F4506="NEW"),"",COUNTBLANK(OFFSET(A$1,,,SUMPRODUCT(MAX(ROW(E$2:E4506)*(E4506=E$2:E4506)))))-COUNTBLANK(OFFSET(A$1,,,SUMPRODUCT(MAX(ROW(E$1:E4505)*(E2=E$1:E4505))))))</f>
        <v> </v>
      </c>
      <c r="K4506" s="26" t="str">
        <f>IF(OR(E4506="",E4506="!!!",F4506="NEW"),"",INDEX(J$1:J4505,SUMPRODUCT(MAX(ROW(E$1:E4505)*(E4506=E$1:E4505)))))</f>
        <v> </v>
      </c>
      <c r="L4506" s="27"/>
    </row>
    <row r="4507" spans="1:12">
      <c r="A4507" s="20" t="s">
        <v>1160</v>
      </c>
      <c r="E4507" s="22">
        <f>IF(D4507="?OLD","!!!","")</f>
        <v/>
      </c>
      <c r="F4507" s="23" t="str">
        <f>IF(OR(E4507="",E4507="!!!"),"",IF(NOT(ISNA(VLOOKUP(E4507,E$1:E4506,1,FALSE()))),"OLD",IF(AND(E4507&lt;&gt;"",E4507&lt;&gt;"!!!"),"NEW","")))</f>
        <v> </v>
      </c>
      <c r="G4507" s="24" t="str">
        <f>IF(OR(E4507="",E4507="!!!"),"",IF(OR(J4507=0,AND(J4507=1,K4507=1),AND(J4507=1,I4507="SBJ"),AND(J4507=1,I4507=0)),"?IN_FOCUS",IF(J4507&lt;=2,"?ACTIVATED",IF(J4507&lt;&gt;"","?FAMILIAR",IF(F4507="NEW",IF(ISNA(VLOOKUP(E4507,#REF!,1,FALSE())),"?TYPE_IDENTIFIABLE","?REFERENTIAL"),"_")))))</f>
        <v> </v>
      </c>
      <c r="H4507" s="25" t="str">
        <f>IF(J4507&lt;&gt;1,"",IF(I4507="SBJ","CB","?"))</f>
        <v> </v>
      </c>
      <c r="I4507" s="26" t="str">
        <f>IF(OR(E4507="",E4507="!!!",F4507="NEW"),"",INDEX(B4506:B$2,-1+SUMPRODUCT(MAX(ROW(E4506:E$2)*(E4507=E4506:E$2)))))</f>
        <v> </v>
      </c>
      <c r="J4507" s="26" t="str">
        <f>IF(OR(E4507="",E4507="!!!",F4507="NEW"),"",COUNTBLANK(OFFSET(A$1,,,SUMPRODUCT(MAX(ROW(E$2:E4507)*(E4507=E$2:E4507)))))-COUNTBLANK(OFFSET(A$1,,,SUMPRODUCT(MAX(ROW(E$1:E4506)*(E2=E$1:E4506))))))</f>
        <v> </v>
      </c>
      <c r="K4507" s="26" t="str">
        <f>IF(OR(E4507="",E4507="!!!",F4507="NEW"),"",INDEX(J$1:J4506,SUMPRODUCT(MAX(ROW(E$1:E4506)*(E4507=E$1:E4506)))))</f>
        <v> </v>
      </c>
      <c r="L4507" s="27"/>
    </row>
    <row r="4508" spans="1:12">
      <c r="A4508" s="20" t="s">
        <v>587</v>
      </c>
      <c r="E4508" s="22">
        <f>IF(D4508="?OLD","!!!","")</f>
        <v/>
      </c>
      <c r="F4508" s="23" t="str">
        <f>IF(OR(E4508="",E4508="!!!"),"",IF(NOT(ISNA(VLOOKUP(E4508,E$1:E4507,1,FALSE()))),"OLD",IF(AND(E4508&lt;&gt;"",E4508&lt;&gt;"!!!"),"NEW","")))</f>
        <v> </v>
      </c>
      <c r="G4508" s="24" t="str">
        <f>IF(OR(E4508="",E4508="!!!"),"",IF(OR(J4508=0,AND(J4508=1,K4508=1),AND(J4508=1,I4508="SBJ"),AND(J4508=1,I4508=0)),"?IN_FOCUS",IF(J4508&lt;=2,"?ACTIVATED",IF(J4508&lt;&gt;"","?FAMILIAR",IF(F4508="NEW",IF(ISNA(VLOOKUP(E4508,#REF!,1,FALSE())),"?TYPE_IDENTIFIABLE","?REFERENTIAL"),"_")))))</f>
        <v> </v>
      </c>
      <c r="H4508" s="25" t="str">
        <f>IF(J4508&lt;&gt;1,"",IF(I4508="SBJ","CB","?"))</f>
        <v> </v>
      </c>
      <c r="I4508" s="26" t="str">
        <f>IF(OR(E4508="",E4508="!!!",F4508="NEW"),"",INDEX(B4507:B$2,-1+SUMPRODUCT(MAX(ROW(E4507:E$2)*(E4508=E4507:E$2)))))</f>
        <v> </v>
      </c>
      <c r="J4508" s="26" t="str">
        <f>IF(OR(E4508="",E4508="!!!",F4508="NEW"),"",COUNTBLANK(OFFSET(A$1,,,SUMPRODUCT(MAX(ROW(E$2:E4508)*(E4508=E$2:E4508)))))-COUNTBLANK(OFFSET(A$1,,,SUMPRODUCT(MAX(ROW(E$1:E4507)*(E2=E$1:E4507))))))</f>
        <v> </v>
      </c>
      <c r="K4508" s="26" t="str">
        <f>IF(OR(E4508="",E4508="!!!",F4508="NEW"),"",INDEX(J$1:J4507,SUMPRODUCT(MAX(ROW(E$1:E4507)*(E4508=E$1:E4507)))))</f>
        <v> </v>
      </c>
      <c r="L4508" s="27"/>
    </row>
    <row r="4509" spans="1:12">
      <c r="A4509" s="20" t="s">
        <v>2346</v>
      </c>
      <c r="E4509" s="22">
        <f>IF(D4509="?OLD","!!!","")</f>
        <v/>
      </c>
      <c r="F4509" s="23" t="str">
        <f>IF(OR(E4509="",E4509="!!!"),"",IF(NOT(ISNA(VLOOKUP(E4509,E$1:E4508,1,FALSE()))),"OLD",IF(AND(E4509&lt;&gt;"",E4509&lt;&gt;"!!!"),"NEW","")))</f>
        <v> </v>
      </c>
      <c r="G4509" s="24" t="str">
        <f>IF(OR(E4509="",E4509="!!!"),"",IF(OR(J4509=0,AND(J4509=1,K4509=1),AND(J4509=1,I4509="SBJ"),AND(J4509=1,I4509=0)),"?IN_FOCUS",IF(J4509&lt;=2,"?ACTIVATED",IF(J4509&lt;&gt;"","?FAMILIAR",IF(F4509="NEW",IF(ISNA(VLOOKUP(E4509,#REF!,1,FALSE())),"?TYPE_IDENTIFIABLE","?REFERENTIAL"),"_")))))</f>
        <v> </v>
      </c>
      <c r="H4509" s="25" t="str">
        <f>IF(J4509&lt;&gt;1,"",IF(I4509="SBJ","CB","?"))</f>
        <v> </v>
      </c>
      <c r="I4509" s="26" t="str">
        <f>IF(OR(E4509="",E4509="!!!",F4509="NEW"),"",INDEX(B4508:B$2,-1+SUMPRODUCT(MAX(ROW(E4508:E$2)*(E4509=E4508:E$2)))))</f>
        <v> </v>
      </c>
      <c r="J4509" s="26" t="str">
        <f>IF(OR(E4509="",E4509="!!!",F4509="NEW"),"",COUNTBLANK(OFFSET(A$1,,,SUMPRODUCT(MAX(ROW(E$2:E4509)*(E4509=E$2:E4509)))))-COUNTBLANK(OFFSET(A$1,,,SUMPRODUCT(MAX(ROW(E$1:E4508)*(E2=E$1:E4508))))))</f>
        <v> </v>
      </c>
      <c r="K4509" s="26" t="str">
        <f>IF(OR(E4509="",E4509="!!!",F4509="NEW"),"",INDEX(J$1:J4508,SUMPRODUCT(MAX(ROW(E$1:E4508)*(E4509=E$1:E4508)))))</f>
        <v> </v>
      </c>
      <c r="L4509" s="27"/>
    </row>
    <row r="4510" spans="1:12">
      <c r="A4510" s="20" t="s">
        <v>1077</v>
      </c>
      <c r="E4510" s="22">
        <f>IF(D4510="?OLD","!!!","")</f>
        <v/>
      </c>
      <c r="F4510" s="23" t="str">
        <f>IF(OR(E4510="",E4510="!!!"),"",IF(NOT(ISNA(VLOOKUP(E4510,E$1:E4509,1,FALSE()))),"OLD",IF(AND(E4510&lt;&gt;"",E4510&lt;&gt;"!!!"),"NEW","")))</f>
        <v> </v>
      </c>
      <c r="G4510" s="24" t="str">
        <f>IF(OR(E4510="",E4510="!!!"),"",IF(OR(J4510=0,AND(J4510=1,K4510=1),AND(J4510=1,I4510="SBJ"),AND(J4510=1,I4510=0)),"?IN_FOCUS",IF(J4510&lt;=2,"?ACTIVATED",IF(J4510&lt;&gt;"","?FAMILIAR",IF(F4510="NEW",IF(ISNA(VLOOKUP(E4510,#REF!,1,FALSE())),"?TYPE_IDENTIFIABLE","?REFERENTIAL"),"_")))))</f>
        <v> </v>
      </c>
      <c r="H4510" s="25" t="str">
        <f>IF(J4510&lt;&gt;1,"",IF(I4510="SBJ","CB","?"))</f>
        <v> </v>
      </c>
      <c r="I4510" s="26" t="str">
        <f>IF(OR(E4510="",E4510="!!!",F4510="NEW"),"",INDEX(B4509:B$2,-1+SUMPRODUCT(MAX(ROW(E4509:E$2)*(E4510=E4509:E$2)))))</f>
        <v> </v>
      </c>
      <c r="J4510" s="26" t="str">
        <f>IF(OR(E4510="",E4510="!!!",F4510="NEW"),"",COUNTBLANK(OFFSET(A$1,,,SUMPRODUCT(MAX(ROW(E$2:E4510)*(E4510=E$2:E4510)))))-COUNTBLANK(OFFSET(A$1,,,SUMPRODUCT(MAX(ROW(E$1:E4509)*(E2=E$1:E4509))))))</f>
        <v> </v>
      </c>
      <c r="K4510" s="26" t="str">
        <f>IF(OR(E4510="",E4510="!!!",F4510="NEW"),"",INDEX(J$1:J4509,SUMPRODUCT(MAX(ROW(E$1:E4509)*(E4510=E$1:E4509)))))</f>
        <v> </v>
      </c>
      <c r="L4510" s="27"/>
    </row>
    <row r="4511" spans="1:12">
      <c r="A4511" s="20" t="s">
        <v>2347</v>
      </c>
      <c r="B4511" s="21" t="s">
        <v>1293</v>
      </c>
      <c r="C4511" s="21" t="s">
        <v>1080</v>
      </c>
      <c r="E4511" s="22">
        <f>IF(D4511="?OLD","!!!","")</f>
        <v/>
      </c>
      <c r="F4511" s="23" t="str">
        <f>IF(OR(E4511="",E4511="!!!"),"",IF(NOT(ISNA(VLOOKUP(E4511,E$1:E4510,1,FALSE()))),"OLD",IF(AND(E4511&lt;&gt;"",E4511&lt;&gt;"!!!"),"NEW","")))</f>
        <v> </v>
      </c>
      <c r="G4511" s="24" t="str">
        <f>IF(OR(E4511="",E4511="!!!"),"",IF(OR(J4511=0,AND(J4511=1,K4511=1),AND(J4511=1,I4511="SBJ"),AND(J4511=1,I4511=0)),"?IN_FOCUS",IF(J4511&lt;=2,"?ACTIVATED",IF(J4511&lt;&gt;"","?FAMILIAR",IF(F4511="NEW",IF(ISNA(VLOOKUP(E4511,#REF!,1,FALSE())),"?TYPE_IDENTIFIABLE","?REFERENTIAL"),"_")))))</f>
        <v> </v>
      </c>
      <c r="H4511" s="25" t="str">
        <f>IF(J4511&lt;&gt;1,"",IF(I4511="SBJ","CB","?"))</f>
        <v> </v>
      </c>
      <c r="I4511" s="26" t="str">
        <f>IF(OR(E4511="",E4511="!!!",F4511="NEW"),"",INDEX(B4510:B$2,-1+SUMPRODUCT(MAX(ROW(E4510:E$2)*(E4511=E4510:E$2)))))</f>
        <v> </v>
      </c>
      <c r="J4511" s="26" t="str">
        <f>IF(OR(E4511="",E4511="!!!",F4511="NEW"),"",COUNTBLANK(OFFSET(A$1,,,SUMPRODUCT(MAX(ROW(E$2:E4511)*(E4511=E$2:E4511)))))-COUNTBLANK(OFFSET(A$1,,,SUMPRODUCT(MAX(ROW(E$1:E4510)*(E2=E$1:E4510))))))</f>
        <v> </v>
      </c>
      <c r="K4511" s="26" t="str">
        <f>IF(OR(E4511="",E4511="!!!",F4511="NEW"),"",INDEX(J$1:J4510,SUMPRODUCT(MAX(ROW(E$1:E4510)*(E4511=E$1:E4510)))))</f>
        <v> </v>
      </c>
      <c r="L4511" s="27"/>
    </row>
    <row r="4512" spans="1:12">
      <c r="A4512" s="20" t="s">
        <v>923</v>
      </c>
      <c r="E4512" s="22">
        <f>IF(D4512="?OLD","!!!","")</f>
        <v/>
      </c>
      <c r="F4512" s="23" t="str">
        <f>IF(OR(E4512="",E4512="!!!"),"",IF(NOT(ISNA(VLOOKUP(E4512,E$1:E4511,1,FALSE()))),"OLD",IF(AND(E4512&lt;&gt;"",E4512&lt;&gt;"!!!"),"NEW","")))</f>
        <v> </v>
      </c>
      <c r="G4512" s="24" t="str">
        <f>IF(OR(E4512="",E4512="!!!"),"",IF(OR(J4512=0,AND(J4512=1,K4512=1),AND(J4512=1,I4512="SBJ"),AND(J4512=1,I4512=0)),"?IN_FOCUS",IF(J4512&lt;=2,"?ACTIVATED",IF(J4512&lt;&gt;"","?FAMILIAR",IF(F4512="NEW",IF(ISNA(VLOOKUP(E4512,#REF!,1,FALSE())),"?TYPE_IDENTIFIABLE","?REFERENTIAL"),"_")))))</f>
        <v> </v>
      </c>
      <c r="H4512" s="25" t="str">
        <f>IF(J4512&lt;&gt;1,"",IF(I4512="SBJ","CB","?"))</f>
        <v> </v>
      </c>
      <c r="I4512" s="26" t="str">
        <f>IF(OR(E4512="",E4512="!!!",F4512="NEW"),"",INDEX(B4511:B$2,-1+SUMPRODUCT(MAX(ROW(E4511:E$2)*(E4512=E4511:E$2)))))</f>
        <v> </v>
      </c>
      <c r="J4512" s="26" t="str">
        <f>IF(OR(E4512="",E4512="!!!",F4512="NEW"),"",COUNTBLANK(OFFSET(A$1,,,SUMPRODUCT(MAX(ROW(E$2:E4512)*(E4512=E$2:E4512)))))-COUNTBLANK(OFFSET(A$1,,,SUMPRODUCT(MAX(ROW(E$1:E4511)*(E2=E$1:E4511))))))</f>
        <v> </v>
      </c>
      <c r="K4512" s="26" t="str">
        <f>IF(OR(E4512="",E4512="!!!",F4512="NEW"),"",INDEX(J$1:J4511,SUMPRODUCT(MAX(ROW(E$1:E4511)*(E4512=E$1:E4511)))))</f>
        <v> </v>
      </c>
      <c r="L4512" s="27"/>
    </row>
    <row r="4513" spans="1:12">
      <c r="A4513" s="20"/>
    </row>
    <row r="4514" spans="1:12">
      <c r="A4514" s="20" t="s">
        <v>2348</v>
      </c>
    </row>
    <row r="4515" spans="1:12">
      <c r="A4515" s="20" t="s">
        <v>2092</v>
      </c>
      <c r="E4515" s="22">
        <f>IF(D4515="?OLD","!!!","")</f>
        <v/>
      </c>
      <c r="F4515" s="23" t="str">
        <f>IF(OR(E4515="",E4515="!!!"),"",IF(NOT(ISNA(VLOOKUP(E4515,E$1:E4514,1,FALSE()))),"OLD",IF(AND(E4515&lt;&gt;"",E4515&lt;&gt;"!!!"),"NEW","")))</f>
        <v> </v>
      </c>
      <c r="G4515" s="24" t="str">
        <f>IF(OR(E4515="",E4515="!!!"),"",IF(OR(J4515=0,AND(J4515=1,K4515=1),AND(J4515=1,I4515="SBJ"),AND(J4515=1,I4515=0)),"?IN_FOCUS",IF(J4515&lt;=2,"?ACTIVATED",IF(J4515&lt;&gt;"","?FAMILIAR",IF(F4515="NEW",IF(ISNA(VLOOKUP(E4515,#REF!,1,FALSE())),"?TYPE_IDENTIFIABLE","?REFERENTIAL"),"_")))))</f>
        <v> </v>
      </c>
      <c r="H4515" s="25" t="str">
        <f>IF(J4515&lt;&gt;1,"",IF(I4515="SBJ","CB","?"))</f>
        <v> </v>
      </c>
      <c r="I4515" s="26" t="str">
        <f>IF(OR(E4515="",E4515="!!!",F4515="NEW"),"",INDEX(B4514:B$2,-1+SUMPRODUCT(MAX(ROW(E4514:E$2)*(E4515=E4514:E$2)))))</f>
        <v> </v>
      </c>
      <c r="J4515" s="26" t="str">
        <f>IF(OR(E4515="",E4515="!!!",F4515="NEW"),"",COUNTBLANK(OFFSET(A$1,,,SUMPRODUCT(MAX(ROW(E$2:E4515)*(E4515=E$2:E4515)))))-COUNTBLANK(OFFSET(A$1,,,SUMPRODUCT(MAX(ROW(E$1:E4514)*(E2=E$1:E4514))))))</f>
        <v> </v>
      </c>
      <c r="K4515" s="26" t="str">
        <f>IF(OR(E4515="",E4515="!!!",F4515="NEW"),"",INDEX(J$1:J4514,SUMPRODUCT(MAX(ROW(E$1:E4514)*(E4515=E$1:E4514)))))</f>
        <v> </v>
      </c>
      <c r="L4515" s="27"/>
    </row>
    <row r="4516" spans="1:12">
      <c r="A4516" s="20" t="s">
        <v>1101</v>
      </c>
      <c r="E4516" s="22">
        <f>IF(D4516="?OLD","!!!","")</f>
        <v/>
      </c>
      <c r="F4516" s="23" t="str">
        <f>IF(OR(E4516="",E4516="!!!"),"",IF(NOT(ISNA(VLOOKUP(E4516,E$1:E4515,1,FALSE()))),"OLD",IF(AND(E4516&lt;&gt;"",E4516&lt;&gt;"!!!"),"NEW","")))</f>
        <v> </v>
      </c>
      <c r="G4516" s="24" t="str">
        <f>IF(OR(E4516="",E4516="!!!"),"",IF(OR(J4516=0,AND(J4516=1,K4516=1),AND(J4516=1,I4516="SBJ"),AND(J4516=1,I4516=0)),"?IN_FOCUS",IF(J4516&lt;=2,"?ACTIVATED",IF(J4516&lt;&gt;"","?FAMILIAR",IF(F4516="NEW",IF(ISNA(VLOOKUP(E4516,#REF!,1,FALSE())),"?TYPE_IDENTIFIABLE","?REFERENTIAL"),"_")))))</f>
        <v> </v>
      </c>
      <c r="H4516" s="25" t="str">
        <f>IF(J4516&lt;&gt;1,"",IF(I4516="SBJ","CB","?"))</f>
        <v> </v>
      </c>
      <c r="I4516" s="26" t="str">
        <f>IF(OR(E4516="",E4516="!!!",F4516="NEW"),"",INDEX(B4515:B$2,-1+SUMPRODUCT(MAX(ROW(E4515:E$2)*(E4516=E4515:E$2)))))</f>
        <v> </v>
      </c>
      <c r="J4516" s="26" t="str">
        <f>IF(OR(E4516="",E4516="!!!",F4516="NEW"),"",COUNTBLANK(OFFSET(A$1,,,SUMPRODUCT(MAX(ROW(E$2:E4516)*(E4516=E$2:E4516)))))-COUNTBLANK(OFFSET(A$1,,,SUMPRODUCT(MAX(ROW(E$1:E4515)*(E2=E$1:E4515))))))</f>
        <v> </v>
      </c>
      <c r="K4516" s="26" t="str">
        <f>IF(OR(E4516="",E4516="!!!",F4516="NEW"),"",INDEX(J$1:J4515,SUMPRODUCT(MAX(ROW(E$1:E4515)*(E4516=E$1:E4515)))))</f>
        <v> </v>
      </c>
      <c r="L4516" s="27"/>
    </row>
    <row r="4517" spans="1:12">
      <c r="A4517" s="20" t="s">
        <v>2318</v>
      </c>
      <c r="B4517" s="21" t="s">
        <v>1097</v>
      </c>
      <c r="C4517" s="21" t="s">
        <v>1140</v>
      </c>
      <c r="D4517" s="21" t="s">
        <v>1060</v>
      </c>
      <c r="E4517" s="22">
        <f>IF(D4517="?OLD","!!!","")</f>
        <v/>
      </c>
      <c r="F4517" s="23" t="str">
        <f>IF(OR(E4517="",E4517="!!!"),"",IF(NOT(ISNA(VLOOKUP(E4517,E$1:E4516,1,FALSE()))),"OLD",IF(AND(E4517&lt;&gt;"",E4517&lt;&gt;"!!!"),"NEW","")))</f>
        <v> </v>
      </c>
      <c r="G4517" s="24" t="str">
        <f>IF(OR(E4517="",E4517="!!!"),"",IF(OR(J4517=0,AND(J4517=1,K4517=1),AND(J4517=1,I4517="SBJ"),AND(J4517=1,I4517=0)),"?IN_FOCUS",IF(J4517&lt;=2,"?ACTIVATED",IF(J4517&lt;&gt;"","?FAMILIAR",IF(F4517="NEW",IF(ISNA(VLOOKUP(E4517,#REF!,1,FALSE())),"?TYPE_IDENTIFIABLE","?REFERENTIAL"),"_")))))</f>
        <v> </v>
      </c>
      <c r="H4517" s="25" t="str">
        <f>IF(J4517&lt;&gt;1,"",IF(I4517="SBJ","CB","?"))</f>
        <v> </v>
      </c>
      <c r="I4517" s="26" t="str">
        <f>IF(OR(E4517="",E4517="!!!",F4517="NEW"),"",INDEX(B4516:B$2,-1+SUMPRODUCT(MAX(ROW(E4516:E$2)*(E4517=E4516:E$2)))))</f>
        <v> </v>
      </c>
      <c r="J4517" s="26" t="str">
        <f>IF(OR(E4517="",E4517="!!!",F4517="NEW"),"",COUNTBLANK(OFFSET(A$1,,,SUMPRODUCT(MAX(ROW(E$2:E4517)*(E4517=E$2:E4517)))))-COUNTBLANK(OFFSET(A$1,,,SUMPRODUCT(MAX(ROW(E$1:E4516)*(E2=E$1:E4516))))))</f>
        <v> </v>
      </c>
      <c r="K4517" s="26" t="str">
        <f>IF(OR(E4517="",E4517="!!!",F4517="NEW"),"",INDEX(J$1:J4516,SUMPRODUCT(MAX(ROW(E$1:E4516)*(E4517=E$1:E4516)))))</f>
        <v> </v>
      </c>
      <c r="L4517" s="27"/>
    </row>
    <row r="4518" spans="1:12">
      <c r="A4518" s="20" t="s">
        <v>1242</v>
      </c>
      <c r="E4518" s="22">
        <f>IF(D4518="?OLD","!!!","")</f>
        <v/>
      </c>
      <c r="F4518" s="23" t="str">
        <f>IF(OR(E4518="",E4518="!!!"),"",IF(NOT(ISNA(VLOOKUP(E4518,E$1:E4517,1,FALSE()))),"OLD",IF(AND(E4518&lt;&gt;"",E4518&lt;&gt;"!!!"),"NEW","")))</f>
        <v> </v>
      </c>
      <c r="G4518" s="24" t="str">
        <f>IF(OR(E4518="",E4518="!!!"),"",IF(OR(J4518=0,AND(J4518=1,K4518=1),AND(J4518=1,I4518="SBJ"),AND(J4518=1,I4518=0)),"?IN_FOCUS",IF(J4518&lt;=2,"?ACTIVATED",IF(J4518&lt;&gt;"","?FAMILIAR",IF(F4518="NEW",IF(ISNA(VLOOKUP(E4518,#REF!,1,FALSE())),"?TYPE_IDENTIFIABLE","?REFERENTIAL"),"_")))))</f>
        <v> </v>
      </c>
      <c r="H4518" s="25" t="str">
        <f>IF(J4518&lt;&gt;1,"",IF(I4518="SBJ","CB","?"))</f>
        <v> </v>
      </c>
      <c r="I4518" s="26" t="str">
        <f>IF(OR(E4518="",E4518="!!!",F4518="NEW"),"",INDEX(B4517:B$2,-1+SUMPRODUCT(MAX(ROW(E4517:E$2)*(E4518=E4517:E$2)))))</f>
        <v> </v>
      </c>
      <c r="J4518" s="26" t="str">
        <f>IF(OR(E4518="",E4518="!!!",F4518="NEW"),"",COUNTBLANK(OFFSET(A$1,,,SUMPRODUCT(MAX(ROW(E$2:E4518)*(E4518=E$2:E4518)))))-COUNTBLANK(OFFSET(A$1,,,SUMPRODUCT(MAX(ROW(E$1:E4517)*(E2=E$1:E4517))))))</f>
        <v> </v>
      </c>
      <c r="K4518" s="26" t="str">
        <f>IF(OR(E4518="",E4518="!!!",F4518="NEW"),"",INDEX(J$1:J4517,SUMPRODUCT(MAX(ROW(E$1:E4517)*(E4518=E$1:E4517)))))</f>
        <v> </v>
      </c>
      <c r="L4518" s="27"/>
    </row>
    <row r="4519" spans="1:12">
      <c r="A4519" s="20" t="s">
        <v>1101</v>
      </c>
      <c r="E4519" s="22">
        <f>IF(D4519="?OLD","!!!","")</f>
        <v/>
      </c>
      <c r="F4519" s="23" t="str">
        <f>IF(OR(E4519="",E4519="!!!"),"",IF(NOT(ISNA(VLOOKUP(E4519,E$1:E4518,1,FALSE()))),"OLD",IF(AND(E4519&lt;&gt;"",E4519&lt;&gt;"!!!"),"NEW","")))</f>
        <v> </v>
      </c>
      <c r="G4519" s="24" t="str">
        <f>IF(OR(E4519="",E4519="!!!"),"",IF(OR(J4519=0,AND(J4519=1,K4519=1),AND(J4519=1,I4519="SBJ"),AND(J4519=1,I4519=0)),"?IN_FOCUS",IF(J4519&lt;=2,"?ACTIVATED",IF(J4519&lt;&gt;"","?FAMILIAR",IF(F4519="NEW",IF(ISNA(VLOOKUP(E4519,#REF!,1,FALSE())),"?TYPE_IDENTIFIABLE","?REFERENTIAL"),"_")))))</f>
        <v> </v>
      </c>
      <c r="H4519" s="25" t="str">
        <f>IF(J4519&lt;&gt;1,"",IF(I4519="SBJ","CB","?"))</f>
        <v> </v>
      </c>
      <c r="I4519" s="26" t="str">
        <f>IF(OR(E4519="",E4519="!!!",F4519="NEW"),"",INDEX(B4518:B$2,-1+SUMPRODUCT(MAX(ROW(E4518:E$2)*(E4519=E4518:E$2)))))</f>
        <v> </v>
      </c>
      <c r="J4519" s="26" t="str">
        <f>IF(OR(E4519="",E4519="!!!",F4519="NEW"),"",COUNTBLANK(OFFSET(A$1,,,SUMPRODUCT(MAX(ROW(E$2:E4519)*(E4519=E$2:E4519)))))-COUNTBLANK(OFFSET(A$1,,,SUMPRODUCT(MAX(ROW(E$1:E4518)*(E2=E$1:E4518))))))</f>
        <v> </v>
      </c>
      <c r="K4519" s="26" t="str">
        <f>IF(OR(E4519="",E4519="!!!",F4519="NEW"),"",INDEX(J$1:J4518,SUMPRODUCT(MAX(ROW(E$1:E4518)*(E4519=E$1:E4518)))))</f>
        <v> </v>
      </c>
      <c r="L4519" s="27"/>
    </row>
    <row r="4520" spans="1:12">
      <c r="A4520" s="20" t="s">
        <v>1975</v>
      </c>
      <c r="B4520" s="21" t="s">
        <v>1068</v>
      </c>
      <c r="C4520" s="21" t="s">
        <v>1140</v>
      </c>
      <c r="D4520" s="21" t="s">
        <v>1060</v>
      </c>
      <c r="E4520" s="22">
        <f>IF(D4520="?OLD","!!!","")</f>
        <v/>
      </c>
      <c r="F4520" s="23" t="str">
        <f>IF(OR(E4520="",E4520="!!!"),"",IF(NOT(ISNA(VLOOKUP(E4520,E$1:E4519,1,FALSE()))),"OLD",IF(AND(E4520&lt;&gt;"",E4520&lt;&gt;"!!!"),"NEW","")))</f>
        <v> </v>
      </c>
      <c r="G4520" s="24" t="str">
        <f>IF(OR(E4520="",E4520="!!!"),"",IF(OR(J4520=0,AND(J4520=1,K4520=1),AND(J4520=1,I4520="SBJ"),AND(J4520=1,I4520=0)),"?IN_FOCUS",IF(J4520&lt;=2,"?ACTIVATED",IF(J4520&lt;&gt;"","?FAMILIAR",IF(F4520="NEW",IF(ISNA(VLOOKUP(E4520,#REF!,1,FALSE())),"?TYPE_IDENTIFIABLE","?REFERENTIAL"),"_")))))</f>
        <v> </v>
      </c>
      <c r="H4520" s="25" t="str">
        <f>IF(J4520&lt;&gt;1,"",IF(I4520="SBJ","CB","?"))</f>
        <v> </v>
      </c>
      <c r="I4520" s="26" t="str">
        <f>IF(OR(E4520="",E4520="!!!",F4520="NEW"),"",INDEX(B4519:B$2,-1+SUMPRODUCT(MAX(ROW(E4519:E$2)*(E4520=E4519:E$2)))))</f>
        <v> </v>
      </c>
      <c r="J4520" s="26" t="str">
        <f>IF(OR(E4520="",E4520="!!!",F4520="NEW"),"",COUNTBLANK(OFFSET(A$1,,,SUMPRODUCT(MAX(ROW(E$2:E4520)*(E4520=E$2:E4520)))))-COUNTBLANK(OFFSET(A$1,,,SUMPRODUCT(MAX(ROW(E$1:E4519)*(E2=E$1:E4519))))))</f>
        <v> </v>
      </c>
      <c r="K4520" s="26" t="str">
        <f>IF(OR(E4520="",E4520="!!!",F4520="NEW"),"",INDEX(J$1:J4519,SUMPRODUCT(MAX(ROW(E$1:E4519)*(E4520=E$1:E4519)))))</f>
        <v> </v>
      </c>
      <c r="L4520" s="27"/>
    </row>
    <row r="4521" spans="1:12">
      <c r="A4521" s="20" t="s">
        <v>1061</v>
      </c>
      <c r="E4521" s="22">
        <f>IF(D4521="?OLD","!!!","")</f>
        <v/>
      </c>
      <c r="F4521" s="23" t="str">
        <f>IF(OR(E4521="",E4521="!!!"),"",IF(NOT(ISNA(VLOOKUP(E4521,E$1:E4520,1,FALSE()))),"OLD",IF(AND(E4521&lt;&gt;"",E4521&lt;&gt;"!!!"),"NEW","")))</f>
        <v> </v>
      </c>
      <c r="G4521" s="24" t="str">
        <f>IF(OR(E4521="",E4521="!!!"),"",IF(OR(J4521=0,AND(J4521=1,K4521=1),AND(J4521=1,I4521="SBJ"),AND(J4521=1,I4521=0)),"?IN_FOCUS",IF(J4521&lt;=2,"?ACTIVATED",IF(J4521&lt;&gt;"","?FAMILIAR",IF(F4521="NEW",IF(ISNA(VLOOKUP(E4521,#REF!,1,FALSE())),"?TYPE_IDENTIFIABLE","?REFERENTIAL"),"_")))))</f>
        <v> </v>
      </c>
      <c r="H4521" s="25" t="str">
        <f>IF(J4521&lt;&gt;1,"",IF(I4521="SBJ","CB","?"))</f>
        <v> </v>
      </c>
      <c r="I4521" s="26" t="str">
        <f>IF(OR(E4521="",E4521="!!!",F4521="NEW"),"",INDEX(B4520:B$2,-1+SUMPRODUCT(MAX(ROW(E4520:E$2)*(E4521=E4520:E$2)))))</f>
        <v> </v>
      </c>
      <c r="J4521" s="26" t="str">
        <f>IF(OR(E4521="",E4521="!!!",F4521="NEW"),"",COUNTBLANK(OFFSET(A$1,,,SUMPRODUCT(MAX(ROW(E$2:E4521)*(E4521=E$2:E4521)))))-COUNTBLANK(OFFSET(A$1,,,SUMPRODUCT(MAX(ROW(E$1:E4520)*(E2=E$1:E4520))))))</f>
        <v> </v>
      </c>
      <c r="K4521" s="26" t="str">
        <f>IF(OR(E4521="",E4521="!!!",F4521="NEW"),"",INDEX(J$1:J4520,SUMPRODUCT(MAX(ROW(E$1:E4520)*(E4521=E$1:E4520)))))</f>
        <v> </v>
      </c>
      <c r="L4521" s="27"/>
    </row>
    <row r="4522" spans="1:12">
      <c r="A4522" s="20" t="s">
        <v>1101</v>
      </c>
      <c r="E4522" s="22">
        <f>IF(D4522="?OLD","!!!","")</f>
        <v/>
      </c>
      <c r="F4522" s="23" t="str">
        <f>IF(OR(E4522="",E4522="!!!"),"",IF(NOT(ISNA(VLOOKUP(E4522,E$1:E4521,1,FALSE()))),"OLD",IF(AND(E4522&lt;&gt;"",E4522&lt;&gt;"!!!"),"NEW","")))</f>
        <v> </v>
      </c>
      <c r="G4522" s="24" t="str">
        <f>IF(OR(E4522="",E4522="!!!"),"",IF(OR(J4522=0,AND(J4522=1,K4522=1),AND(J4522=1,I4522="SBJ"),AND(J4522=1,I4522=0)),"?IN_FOCUS",IF(J4522&lt;=2,"?ACTIVATED",IF(J4522&lt;&gt;"","?FAMILIAR",IF(F4522="NEW",IF(ISNA(VLOOKUP(E4522,#REF!,1,FALSE())),"?TYPE_IDENTIFIABLE","?REFERENTIAL"),"_")))))</f>
        <v> </v>
      </c>
      <c r="H4522" s="25" t="str">
        <f>IF(J4522&lt;&gt;1,"",IF(I4522="SBJ","CB","?"))</f>
        <v> </v>
      </c>
      <c r="I4522" s="26" t="str">
        <f>IF(OR(E4522="",E4522="!!!",F4522="NEW"),"",INDEX(B4521:B$2,-1+SUMPRODUCT(MAX(ROW(E4521:E$2)*(E4522=E4521:E$2)))))</f>
        <v> </v>
      </c>
      <c r="J4522" s="26" t="str">
        <f>IF(OR(E4522="",E4522="!!!",F4522="NEW"),"",COUNTBLANK(OFFSET(A$1,,,SUMPRODUCT(MAX(ROW(E$2:E4522)*(E4522=E$2:E4522)))))-COUNTBLANK(OFFSET(A$1,,,SUMPRODUCT(MAX(ROW(E$1:E4521)*(E2=E$1:E4521))))))</f>
        <v> </v>
      </c>
      <c r="K4522" s="26" t="str">
        <f>IF(OR(E4522="",E4522="!!!",F4522="NEW"),"",INDEX(J$1:J4521,SUMPRODUCT(MAX(ROW(E$1:E4521)*(E4522=E$1:E4521)))))</f>
        <v> </v>
      </c>
      <c r="L4522" s="27"/>
    </row>
    <row r="4523" spans="1:12">
      <c r="A4523" s="20" t="s">
        <v>768</v>
      </c>
      <c r="B4523" s="21" t="s">
        <v>1064</v>
      </c>
      <c r="C4523" s="21" t="s">
        <v>1140</v>
      </c>
      <c r="D4523" s="21" t="s">
        <v>1060</v>
      </c>
      <c r="E4523" s="22">
        <f>IF(D4523="?OLD","!!!","")</f>
        <v/>
      </c>
      <c r="F4523" s="23" t="str">
        <f>IF(OR(E4523="",E4523="!!!"),"",IF(NOT(ISNA(VLOOKUP(E4523,E$1:E4522,1,FALSE()))),"OLD",IF(AND(E4523&lt;&gt;"",E4523&lt;&gt;"!!!"),"NEW","")))</f>
        <v> </v>
      </c>
      <c r="G4523" s="24" t="str">
        <f>IF(OR(E4523="",E4523="!!!"),"",IF(OR(J4523=0,AND(J4523=1,K4523=1),AND(J4523=1,I4523="SBJ"),AND(J4523=1,I4523=0)),"?IN_FOCUS",IF(J4523&lt;=2,"?ACTIVATED",IF(J4523&lt;&gt;"","?FAMILIAR",IF(F4523="NEW",IF(ISNA(VLOOKUP(E4523,#REF!,1,FALSE())),"?TYPE_IDENTIFIABLE","?REFERENTIAL"),"_")))))</f>
        <v> </v>
      </c>
      <c r="H4523" s="25" t="str">
        <f>IF(J4523&lt;&gt;1,"",IF(I4523="SBJ","CB","?"))</f>
        <v> </v>
      </c>
      <c r="I4523" s="26" t="str">
        <f>IF(OR(E4523="",E4523="!!!",F4523="NEW"),"",INDEX(B4522:B$2,-1+SUMPRODUCT(MAX(ROW(E4522:E$2)*(E4523=E4522:E$2)))))</f>
        <v> </v>
      </c>
      <c r="J4523" s="26" t="str">
        <f>IF(OR(E4523="",E4523="!!!",F4523="NEW"),"",COUNTBLANK(OFFSET(A$1,,,SUMPRODUCT(MAX(ROW(E$2:E4523)*(E4523=E$2:E4523)))))-COUNTBLANK(OFFSET(A$1,,,SUMPRODUCT(MAX(ROW(E$1:E4522)*(E2=E$1:E4522))))))</f>
        <v> </v>
      </c>
      <c r="K4523" s="26" t="str">
        <f>IF(OR(E4523="",E4523="!!!",F4523="NEW"),"",INDEX(J$1:J4522,SUMPRODUCT(MAX(ROW(E$1:E4522)*(E4523=E$1:E4522)))))</f>
        <v> </v>
      </c>
      <c r="L4523" s="27"/>
    </row>
    <row r="4524" spans="1:12">
      <c r="A4524" s="20" t="s">
        <v>1101</v>
      </c>
      <c r="E4524" s="22">
        <f>IF(D4524="?OLD","!!!","")</f>
        <v/>
      </c>
      <c r="F4524" s="23" t="str">
        <f>IF(OR(E4524="",E4524="!!!"),"",IF(NOT(ISNA(VLOOKUP(E4524,E$1:E4523,1,FALSE()))),"OLD",IF(AND(E4524&lt;&gt;"",E4524&lt;&gt;"!!!"),"NEW","")))</f>
        <v> </v>
      </c>
      <c r="G4524" s="24" t="str">
        <f>IF(OR(E4524="",E4524="!!!"),"",IF(OR(J4524=0,AND(J4524=1,K4524=1),AND(J4524=1,I4524="SBJ"),AND(J4524=1,I4524=0)),"?IN_FOCUS",IF(J4524&lt;=2,"?ACTIVATED",IF(J4524&lt;&gt;"","?FAMILIAR",IF(F4524="NEW",IF(ISNA(VLOOKUP(E4524,#REF!,1,FALSE())),"?TYPE_IDENTIFIABLE","?REFERENTIAL"),"_")))))</f>
        <v> </v>
      </c>
      <c r="H4524" s="25" t="str">
        <f>IF(J4524&lt;&gt;1,"",IF(I4524="SBJ","CB","?"))</f>
        <v> </v>
      </c>
      <c r="I4524" s="26" t="str">
        <f>IF(OR(E4524="",E4524="!!!",F4524="NEW"),"",INDEX(B4523:B$2,-1+SUMPRODUCT(MAX(ROW(E4523:E$2)*(E4524=E4523:E$2)))))</f>
        <v> </v>
      </c>
      <c r="J4524" s="26" t="str">
        <f>IF(OR(E4524="",E4524="!!!",F4524="NEW"),"",COUNTBLANK(OFFSET(A$1,,,SUMPRODUCT(MAX(ROW(E$2:E4524)*(E4524=E$2:E4524)))))-COUNTBLANK(OFFSET(A$1,,,SUMPRODUCT(MAX(ROW(E$1:E4523)*(E2=E$1:E4523))))))</f>
        <v> </v>
      </c>
      <c r="K4524" s="26" t="str">
        <f>IF(OR(E4524="",E4524="!!!",F4524="NEW"),"",INDEX(J$1:J4523,SUMPRODUCT(MAX(ROW(E$1:E4523)*(E4524=E$1:E4523)))))</f>
        <v> </v>
      </c>
      <c r="L4524" s="27"/>
    </row>
    <row r="4525" spans="1:12">
      <c r="A4525" s="20" t="s">
        <v>1330</v>
      </c>
      <c r="B4525" s="21" t="s">
        <v>1058</v>
      </c>
      <c r="C4525" s="21" t="s">
        <v>1140</v>
      </c>
      <c r="D4525" s="21" t="s">
        <v>1060</v>
      </c>
      <c r="E4525" s="22">
        <f>IF(D4525="?OLD","!!!","")</f>
        <v/>
      </c>
      <c r="F4525" s="23" t="str">
        <f>IF(OR(E4525="",E4525="!!!"),"",IF(NOT(ISNA(VLOOKUP(E4525,E$1:E4524,1,FALSE()))),"OLD",IF(AND(E4525&lt;&gt;"",E4525&lt;&gt;"!!!"),"NEW","")))</f>
        <v> </v>
      </c>
      <c r="G4525" s="24" t="str">
        <f>IF(OR(E4525="",E4525="!!!"),"",IF(OR(J4525=0,AND(J4525=1,K4525=1),AND(J4525=1,I4525="SBJ"),AND(J4525=1,I4525=0)),"?IN_FOCUS",IF(J4525&lt;=2,"?ACTIVATED",IF(J4525&lt;&gt;"","?FAMILIAR",IF(F4525="NEW",IF(ISNA(VLOOKUP(E4525,#REF!,1,FALSE())),"?TYPE_IDENTIFIABLE","?REFERENTIAL"),"_")))))</f>
        <v> </v>
      </c>
      <c r="H4525" s="25" t="str">
        <f>IF(J4525&lt;&gt;1,"",IF(I4525="SBJ","CB","?"))</f>
        <v> </v>
      </c>
      <c r="I4525" s="26" t="str">
        <f>IF(OR(E4525="",E4525="!!!",F4525="NEW"),"",INDEX(B4524:B$2,-1+SUMPRODUCT(MAX(ROW(E4524:E$2)*(E4525=E4524:E$2)))))</f>
        <v> </v>
      </c>
      <c r="J4525" s="26" t="str">
        <f>IF(OR(E4525="",E4525="!!!",F4525="NEW"),"",COUNTBLANK(OFFSET(A$1,,,SUMPRODUCT(MAX(ROW(E$2:E4525)*(E4525=E$2:E4525)))))-COUNTBLANK(OFFSET(A$1,,,SUMPRODUCT(MAX(ROW(E$1:E4524)*(E2=E$1:E4524))))))</f>
        <v> </v>
      </c>
      <c r="K4525" s="26" t="str">
        <f>IF(OR(E4525="",E4525="!!!",F4525="NEW"),"",INDEX(J$1:J4524,SUMPRODUCT(MAX(ROW(E$1:E4524)*(E4525=E$1:E4524)))))</f>
        <v> </v>
      </c>
      <c r="L4525" s="27"/>
    </row>
    <row r="4526" spans="1:12">
      <c r="A4526" s="20" t="s">
        <v>1152</v>
      </c>
      <c r="E4526" s="22">
        <f>IF(D4526="?OLD","!!!","")</f>
        <v/>
      </c>
      <c r="F4526" s="23" t="str">
        <f>IF(OR(E4526="",E4526="!!!"),"",IF(NOT(ISNA(VLOOKUP(E4526,E$1:E4525,1,FALSE()))),"OLD",IF(AND(E4526&lt;&gt;"",E4526&lt;&gt;"!!!"),"NEW","")))</f>
        <v> </v>
      </c>
      <c r="G4526" s="24" t="str">
        <f>IF(OR(E4526="",E4526="!!!"),"",IF(OR(J4526=0,AND(J4526=1,K4526=1),AND(J4526=1,I4526="SBJ"),AND(J4526=1,I4526=0)),"?IN_FOCUS",IF(J4526&lt;=2,"?ACTIVATED",IF(J4526&lt;&gt;"","?FAMILIAR",IF(F4526="NEW",IF(ISNA(VLOOKUP(E4526,#REF!,1,FALSE())),"?TYPE_IDENTIFIABLE","?REFERENTIAL"),"_")))))</f>
        <v> </v>
      </c>
      <c r="H4526" s="25" t="str">
        <f>IF(J4526&lt;&gt;1,"",IF(I4526="SBJ","CB","?"))</f>
        <v> </v>
      </c>
      <c r="I4526" s="26" t="str">
        <f>IF(OR(E4526="",E4526="!!!",F4526="NEW"),"",INDEX(B4525:B$2,-1+SUMPRODUCT(MAX(ROW(E4525:E$2)*(E4526=E4525:E$2)))))</f>
        <v> </v>
      </c>
      <c r="J4526" s="26" t="str">
        <f>IF(OR(E4526="",E4526="!!!",F4526="NEW"),"",COUNTBLANK(OFFSET(A$1,,,SUMPRODUCT(MAX(ROW(E$2:E4526)*(E4526=E$2:E4526)))))-COUNTBLANK(OFFSET(A$1,,,SUMPRODUCT(MAX(ROW(E$1:E4525)*(E2=E$1:E4525))))))</f>
        <v> </v>
      </c>
      <c r="K4526" s="26" t="str">
        <f>IF(OR(E4526="",E4526="!!!",F4526="NEW"),"",INDEX(J$1:J4525,SUMPRODUCT(MAX(ROW(E$1:E4525)*(E4526=E$1:E4525)))))</f>
        <v> </v>
      </c>
      <c r="L4526" s="27"/>
    </row>
    <row r="4527" spans="1:12">
      <c r="A4527" s="20" t="s">
        <v>2302</v>
      </c>
      <c r="E4527" s="22">
        <f>IF(D4527="?OLD","!!!","")</f>
        <v/>
      </c>
      <c r="F4527" s="23" t="str">
        <f>IF(OR(E4527="",E4527="!!!"),"",IF(NOT(ISNA(VLOOKUP(E4527,E$1:E4526,1,FALSE()))),"OLD",IF(AND(E4527&lt;&gt;"",E4527&lt;&gt;"!!!"),"NEW","")))</f>
        <v> </v>
      </c>
      <c r="G4527" s="24" t="str">
        <f>IF(OR(E4527="",E4527="!!!"),"",IF(OR(J4527=0,AND(J4527=1,K4527=1),AND(J4527=1,I4527="SBJ"),AND(J4527=1,I4527=0)),"?IN_FOCUS",IF(J4527&lt;=2,"?ACTIVATED",IF(J4527&lt;&gt;"","?FAMILIAR",IF(F4527="NEW",IF(ISNA(VLOOKUP(E4527,#REF!,1,FALSE())),"?TYPE_IDENTIFIABLE","?REFERENTIAL"),"_")))))</f>
        <v> </v>
      </c>
      <c r="H4527" s="25" t="str">
        <f>IF(J4527&lt;&gt;1,"",IF(I4527="SBJ","CB","?"))</f>
        <v> </v>
      </c>
      <c r="I4527" s="26" t="str">
        <f>IF(OR(E4527="",E4527="!!!",F4527="NEW"),"",INDEX(B4526:B$2,-1+SUMPRODUCT(MAX(ROW(E4526:E$2)*(E4527=E4526:E$2)))))</f>
        <v> </v>
      </c>
      <c r="J4527" s="26" t="str">
        <f>IF(OR(E4527="",E4527="!!!",F4527="NEW"),"",COUNTBLANK(OFFSET(A$1,,,SUMPRODUCT(MAX(ROW(E$2:E4527)*(E4527=E$2:E4527)))))-COUNTBLANK(OFFSET(A$1,,,SUMPRODUCT(MAX(ROW(E$1:E4526)*(E2=E$1:E4526))))))</f>
        <v> </v>
      </c>
      <c r="K4527" s="26" t="str">
        <f>IF(OR(E4527="",E4527="!!!",F4527="NEW"),"",INDEX(J$1:J4526,SUMPRODUCT(MAX(ROW(E$1:E4526)*(E4527=E$1:E4526)))))</f>
        <v> </v>
      </c>
      <c r="L4527" s="27"/>
    </row>
    <row r="4528" spans="1:12">
      <c r="A4528" s="20" t="s">
        <v>1118</v>
      </c>
      <c r="E4528" s="22">
        <f>IF(D4528="?OLD","!!!","")</f>
        <v/>
      </c>
      <c r="F4528" s="23" t="str">
        <f>IF(OR(E4528="",E4528="!!!"),"",IF(NOT(ISNA(VLOOKUP(E4528,E$1:E4527,1,FALSE()))),"OLD",IF(AND(E4528&lt;&gt;"",E4528&lt;&gt;"!!!"),"NEW","")))</f>
        <v> </v>
      </c>
      <c r="G4528" s="24" t="str">
        <f>IF(OR(E4528="",E4528="!!!"),"",IF(OR(J4528=0,AND(J4528=1,K4528=1),AND(J4528=1,I4528="SBJ"),AND(J4528=1,I4528=0)),"?IN_FOCUS",IF(J4528&lt;=2,"?ACTIVATED",IF(J4528&lt;&gt;"","?FAMILIAR",IF(F4528="NEW",IF(ISNA(VLOOKUP(E4528,#REF!,1,FALSE())),"?TYPE_IDENTIFIABLE","?REFERENTIAL"),"_")))))</f>
        <v> </v>
      </c>
      <c r="H4528" s="25" t="str">
        <f>IF(J4528&lt;&gt;1,"",IF(I4528="SBJ","CB","?"))</f>
        <v> </v>
      </c>
      <c r="I4528" s="26" t="str">
        <f>IF(OR(E4528="",E4528="!!!",F4528="NEW"),"",INDEX(B4527:B$2,-1+SUMPRODUCT(MAX(ROW(E4527:E$2)*(E4528=E4527:E$2)))))</f>
        <v> </v>
      </c>
      <c r="J4528" s="26" t="str">
        <f>IF(OR(E4528="",E4528="!!!",F4528="NEW"),"",COUNTBLANK(OFFSET(A$1,,,SUMPRODUCT(MAX(ROW(E$2:E4528)*(E4528=E$2:E4528)))))-COUNTBLANK(OFFSET(A$1,,,SUMPRODUCT(MAX(ROW(E$1:E4527)*(E2=E$1:E4527))))))</f>
        <v> </v>
      </c>
      <c r="K4528" s="26" t="str">
        <f>IF(OR(E4528="",E4528="!!!",F4528="NEW"),"",INDEX(J$1:J4527,SUMPRODUCT(MAX(ROW(E$1:E4527)*(E4528=E$1:E4527)))))</f>
        <v> </v>
      </c>
      <c r="L4528" s="27"/>
    </row>
    <row r="4529" spans="1:12">
      <c r="A4529" s="20" t="s">
        <v>1170</v>
      </c>
      <c r="B4529" s="21" t="s">
        <v>1079</v>
      </c>
      <c r="C4529" s="21" t="s">
        <v>1076</v>
      </c>
      <c r="D4529" s="21" t="s">
        <v>1060</v>
      </c>
      <c r="E4529" s="22">
        <f>IF(D4529="?OLD","!!!","")</f>
        <v/>
      </c>
      <c r="F4529" s="23" t="str">
        <f>IF(OR(E4529="",E4529="!!!"),"",IF(NOT(ISNA(VLOOKUP(E4529,E$1:E4528,1,FALSE()))),"OLD",IF(AND(E4529&lt;&gt;"",E4529&lt;&gt;"!!!"),"NEW","")))</f>
        <v> </v>
      </c>
      <c r="G4529" s="24" t="str">
        <f>IF(OR(E4529="",E4529="!!!"),"",IF(OR(J4529=0,AND(J4529=1,K4529=1),AND(J4529=1,I4529="SBJ"),AND(J4529=1,I4529=0)),"?IN_FOCUS",IF(J4529&lt;=2,"?ACTIVATED",IF(J4529&lt;&gt;"","?FAMILIAR",IF(F4529="NEW",IF(ISNA(VLOOKUP(E4529,#REF!,1,FALSE())),"?TYPE_IDENTIFIABLE","?REFERENTIAL"),"_")))))</f>
        <v> </v>
      </c>
      <c r="H4529" s="25" t="str">
        <f>IF(J4529&lt;&gt;1,"",IF(I4529="SBJ","CB","?"))</f>
        <v> </v>
      </c>
      <c r="I4529" s="26" t="str">
        <f>IF(OR(E4529="",E4529="!!!",F4529="NEW"),"",INDEX(B4528:B$2,-1+SUMPRODUCT(MAX(ROW(E4528:E$2)*(E4529=E4528:E$2)))))</f>
        <v> </v>
      </c>
      <c r="J4529" s="26" t="str">
        <f>IF(OR(E4529="",E4529="!!!",F4529="NEW"),"",COUNTBLANK(OFFSET(A$1,,,SUMPRODUCT(MAX(ROW(E$2:E4529)*(E4529=E$2:E4529)))))-COUNTBLANK(OFFSET(A$1,,,SUMPRODUCT(MAX(ROW(E$1:E4528)*(E2=E$1:E4528))))))</f>
        <v> </v>
      </c>
      <c r="K4529" s="26" t="str">
        <f>IF(OR(E4529="",E4529="!!!",F4529="NEW"),"",INDEX(J$1:J4528,SUMPRODUCT(MAX(ROW(E$1:E4528)*(E4529=E$1:E4528)))))</f>
        <v> </v>
      </c>
      <c r="L4529" s="27"/>
    </row>
    <row r="4530" spans="1:12">
      <c r="A4530" s="20" t="s">
        <v>1125</v>
      </c>
      <c r="E4530" s="22">
        <f>IF(D4530="?OLD","!!!","")</f>
        <v/>
      </c>
      <c r="F4530" s="23" t="str">
        <f>IF(OR(E4530="",E4530="!!!"),"",IF(NOT(ISNA(VLOOKUP(E4530,E$1:E4529,1,FALSE()))),"OLD",IF(AND(E4530&lt;&gt;"",E4530&lt;&gt;"!!!"),"NEW","")))</f>
        <v> </v>
      </c>
      <c r="G4530" s="24" t="str">
        <f>IF(OR(E4530="",E4530="!!!"),"",IF(OR(J4530=0,AND(J4530=1,K4530=1),AND(J4530=1,I4530="SBJ"),AND(J4530=1,I4530=0)),"?IN_FOCUS",IF(J4530&lt;=2,"?ACTIVATED",IF(J4530&lt;&gt;"","?FAMILIAR",IF(F4530="NEW",IF(ISNA(VLOOKUP(E4530,#REF!,1,FALSE())),"?TYPE_IDENTIFIABLE","?REFERENTIAL"),"_")))))</f>
        <v> </v>
      </c>
      <c r="H4530" s="25" t="str">
        <f>IF(J4530&lt;&gt;1,"",IF(I4530="SBJ","CB","?"))</f>
        <v> </v>
      </c>
      <c r="I4530" s="26" t="str">
        <f>IF(OR(E4530="",E4530="!!!",F4530="NEW"),"",INDEX(B4529:B$2,-1+SUMPRODUCT(MAX(ROW(E4529:E$2)*(E4530=E4529:E$2)))))</f>
        <v> </v>
      </c>
      <c r="J4530" s="26" t="str">
        <f>IF(OR(E4530="",E4530="!!!",F4530="NEW"),"",COUNTBLANK(OFFSET(A$1,,,SUMPRODUCT(MAX(ROW(E$2:E4530)*(E4530=E$2:E4530)))))-COUNTBLANK(OFFSET(A$1,,,SUMPRODUCT(MAX(ROW(E$1:E4529)*(E2=E$1:E4529))))))</f>
        <v> </v>
      </c>
      <c r="K4530" s="26" t="str">
        <f>IF(OR(E4530="",E4530="!!!",F4530="NEW"),"",INDEX(J$1:J4529,SUMPRODUCT(MAX(ROW(E$1:E4529)*(E4530=E$1:E4529)))))</f>
        <v> </v>
      </c>
      <c r="L4530" s="27"/>
    </row>
    <row r="4531" spans="1:12">
      <c r="A4531" s="20" t="s">
        <v>2349</v>
      </c>
      <c r="E4531" s="22">
        <f>IF(D4531="?OLD","!!!","")</f>
        <v/>
      </c>
      <c r="F4531" s="23" t="str">
        <f>IF(OR(E4531="",E4531="!!!"),"",IF(NOT(ISNA(VLOOKUP(E4531,E$1:E4530,1,FALSE()))),"OLD",IF(AND(E4531&lt;&gt;"",E4531&lt;&gt;"!!!"),"NEW","")))</f>
        <v> </v>
      </c>
      <c r="G4531" s="24" t="str">
        <f>IF(OR(E4531="",E4531="!!!"),"",IF(OR(J4531=0,AND(J4531=1,K4531=1),AND(J4531=1,I4531="SBJ"),AND(J4531=1,I4531=0)),"?IN_FOCUS",IF(J4531&lt;=2,"?ACTIVATED",IF(J4531&lt;&gt;"","?FAMILIAR",IF(F4531="NEW",IF(ISNA(VLOOKUP(E4531,#REF!,1,FALSE())),"?TYPE_IDENTIFIABLE","?REFERENTIAL"),"_")))))</f>
        <v> </v>
      </c>
      <c r="H4531" s="25" t="str">
        <f>IF(J4531&lt;&gt;1,"",IF(I4531="SBJ","CB","?"))</f>
        <v> </v>
      </c>
      <c r="I4531" s="26" t="str">
        <f>IF(OR(E4531="",E4531="!!!",F4531="NEW"),"",INDEX(B4530:B$2,-1+SUMPRODUCT(MAX(ROW(E4530:E$2)*(E4531=E4530:E$2)))))</f>
        <v> </v>
      </c>
      <c r="J4531" s="26" t="str">
        <f>IF(OR(E4531="",E4531="!!!",F4531="NEW"),"",COUNTBLANK(OFFSET(A$1,,,SUMPRODUCT(MAX(ROW(E$2:E4531)*(E4531=E$2:E4531)))))-COUNTBLANK(OFFSET(A$1,,,SUMPRODUCT(MAX(ROW(E$1:E4530)*(E2=E$1:E4530))))))</f>
        <v> </v>
      </c>
      <c r="K4531" s="26" t="str">
        <f>IF(OR(E4531="",E4531="!!!",F4531="NEW"),"",INDEX(J$1:J4530,SUMPRODUCT(MAX(ROW(E$1:E4530)*(E4531=E$1:E4530)))))</f>
        <v> </v>
      </c>
      <c r="L4531" s="27"/>
    </row>
    <row r="4532" spans="1:12">
      <c r="A4532" s="20" t="s">
        <v>1229</v>
      </c>
      <c r="E4532" s="22">
        <f>IF(D4532="?OLD","!!!","")</f>
        <v/>
      </c>
      <c r="F4532" s="23" t="str">
        <f>IF(OR(E4532="",E4532="!!!"),"",IF(NOT(ISNA(VLOOKUP(E4532,E$1:E4531,1,FALSE()))),"OLD",IF(AND(E4532&lt;&gt;"",E4532&lt;&gt;"!!!"),"NEW","")))</f>
        <v> </v>
      </c>
      <c r="G4532" s="24" t="str">
        <f>IF(OR(E4532="",E4532="!!!"),"",IF(OR(J4532=0,AND(J4532=1,K4532=1),AND(J4532=1,I4532="SBJ"),AND(J4532=1,I4532=0)),"?IN_FOCUS",IF(J4532&lt;=2,"?ACTIVATED",IF(J4532&lt;&gt;"","?FAMILIAR",IF(F4532="NEW",IF(ISNA(VLOOKUP(E4532,#REF!,1,FALSE())),"?TYPE_IDENTIFIABLE","?REFERENTIAL"),"_")))))</f>
        <v> </v>
      </c>
      <c r="H4532" s="25" t="str">
        <f>IF(J4532&lt;&gt;1,"",IF(I4532="SBJ","CB","?"))</f>
        <v> </v>
      </c>
      <c r="I4532" s="26" t="str">
        <f>IF(OR(E4532="",E4532="!!!",F4532="NEW"),"",INDEX(B4531:B$2,-1+SUMPRODUCT(MAX(ROW(E4531:E$2)*(E4532=E4531:E$2)))))</f>
        <v> </v>
      </c>
      <c r="J4532" s="26" t="str">
        <f>IF(OR(E4532="",E4532="!!!",F4532="NEW"),"",COUNTBLANK(OFFSET(A$1,,,SUMPRODUCT(MAX(ROW(E$2:E4532)*(E4532=E$2:E4532)))))-COUNTBLANK(OFFSET(A$1,,,SUMPRODUCT(MAX(ROW(E$1:E4531)*(E2=E$1:E4531))))))</f>
        <v> </v>
      </c>
      <c r="K4532" s="26" t="str">
        <f>IF(OR(E4532="",E4532="!!!",F4532="NEW"),"",INDEX(J$1:J4531,SUMPRODUCT(MAX(ROW(E$1:E4531)*(E4532=E$1:E4531)))))</f>
        <v> </v>
      </c>
      <c r="L4532" s="27"/>
    </row>
    <row r="4533" spans="1:12">
      <c r="A4533" s="20" t="s">
        <v>2176</v>
      </c>
      <c r="B4533" s="21" t="s">
        <v>1068</v>
      </c>
      <c r="C4533" s="21" t="s">
        <v>1065</v>
      </c>
      <c r="D4533" s="21" t="s">
        <v>1060</v>
      </c>
      <c r="E4533" s="22">
        <f>IF(D4533="?OLD","!!!","")</f>
        <v/>
      </c>
      <c r="F4533" s="23" t="str">
        <f>IF(OR(E4533="",E4533="!!!"),"",IF(NOT(ISNA(VLOOKUP(E4533,E$1:E4532,1,FALSE()))),"OLD",IF(AND(E4533&lt;&gt;"",E4533&lt;&gt;"!!!"),"NEW","")))</f>
        <v> </v>
      </c>
      <c r="G4533" s="24" t="str">
        <f>IF(OR(E4533="",E4533="!!!"),"",IF(OR(J4533=0,AND(J4533=1,K4533=1),AND(J4533=1,I4533="SBJ"),AND(J4533=1,I4533=0)),"?IN_FOCUS",IF(J4533&lt;=2,"?ACTIVATED",IF(J4533&lt;&gt;"","?FAMILIAR",IF(F4533="NEW",IF(ISNA(VLOOKUP(E4533,#REF!,1,FALSE())),"?TYPE_IDENTIFIABLE","?REFERENTIAL"),"_")))))</f>
        <v> </v>
      </c>
      <c r="H4533" s="25" t="str">
        <f>IF(J4533&lt;&gt;1,"",IF(I4533="SBJ","CB","?"))</f>
        <v> </v>
      </c>
      <c r="I4533" s="26" t="str">
        <f>IF(OR(E4533="",E4533="!!!",F4533="NEW"),"",INDEX(B4532:B$2,-1+SUMPRODUCT(MAX(ROW(E4532:E$2)*(E4533=E4532:E$2)))))</f>
        <v> </v>
      </c>
      <c r="J4533" s="26" t="str">
        <f>IF(OR(E4533="",E4533="!!!",F4533="NEW"),"",COUNTBLANK(OFFSET(A$1,,,SUMPRODUCT(MAX(ROW(E$2:E4533)*(E4533=E$2:E4533)))))-COUNTBLANK(OFFSET(A$1,,,SUMPRODUCT(MAX(ROW(E$1:E4532)*(E2=E$1:E4532))))))</f>
        <v> </v>
      </c>
      <c r="K4533" s="26" t="str">
        <f>IF(OR(E4533="",E4533="!!!",F4533="NEW"),"",INDEX(J$1:J4532,SUMPRODUCT(MAX(ROW(E$1:E4532)*(E4533=E$1:E4532)))))</f>
        <v> </v>
      </c>
      <c r="L4533" s="27"/>
    </row>
    <row r="4534" spans="1:12">
      <c r="A4534" s="20" t="s">
        <v>1443</v>
      </c>
      <c r="E4534" s="22">
        <f>IF(D4534="?OLD","!!!","")</f>
        <v/>
      </c>
      <c r="F4534" s="23" t="str">
        <f>IF(OR(E4534="",E4534="!!!"),"",IF(NOT(ISNA(VLOOKUP(E4534,E$1:E4533,1,FALSE()))),"OLD",IF(AND(E4534&lt;&gt;"",E4534&lt;&gt;"!!!"),"NEW","")))</f>
        <v> </v>
      </c>
      <c r="G4534" s="24" t="str">
        <f>IF(OR(E4534="",E4534="!!!"),"",IF(OR(J4534=0,AND(J4534=1,K4534=1),AND(J4534=1,I4534="SBJ"),AND(J4534=1,I4534=0)),"?IN_FOCUS",IF(J4534&lt;=2,"?ACTIVATED",IF(J4534&lt;&gt;"","?FAMILIAR",IF(F4534="NEW",IF(ISNA(VLOOKUP(E4534,#REF!,1,FALSE())),"?TYPE_IDENTIFIABLE","?REFERENTIAL"),"_")))))</f>
        <v> </v>
      </c>
      <c r="H4534" s="25" t="str">
        <f>IF(J4534&lt;&gt;1,"",IF(I4534="SBJ","CB","?"))</f>
        <v> </v>
      </c>
      <c r="I4534" s="26" t="str">
        <f>IF(OR(E4534="",E4534="!!!",F4534="NEW"),"",INDEX(B4533:B$2,-1+SUMPRODUCT(MAX(ROW(E4533:E$2)*(E4534=E4533:E$2)))))</f>
        <v> </v>
      </c>
      <c r="J4534" s="26" t="str">
        <f>IF(OR(E4534="",E4534="!!!",F4534="NEW"),"",COUNTBLANK(OFFSET(A$1,,,SUMPRODUCT(MAX(ROW(E$2:E4534)*(E4534=E$2:E4534)))))-COUNTBLANK(OFFSET(A$1,,,SUMPRODUCT(MAX(ROW(E$1:E4533)*(E2=E$1:E4533))))))</f>
        <v> </v>
      </c>
      <c r="K4534" s="26" t="str">
        <f>IF(OR(E4534="",E4534="!!!",F4534="NEW"),"",INDEX(J$1:J4533,SUMPRODUCT(MAX(ROW(E$1:E4533)*(E4534=E$1:E4533)))))</f>
        <v> </v>
      </c>
      <c r="L4534" s="27"/>
    </row>
    <row r="4535" spans="1:12">
      <c r="A4535" s="20" t="s">
        <v>1088</v>
      </c>
      <c r="E4535" s="22">
        <f>IF(D4535="?OLD","!!!","")</f>
        <v/>
      </c>
      <c r="F4535" s="23" t="str">
        <f>IF(OR(E4535="",E4535="!!!"),"",IF(NOT(ISNA(VLOOKUP(E4535,E$1:E4534,1,FALSE()))),"OLD",IF(AND(E4535&lt;&gt;"",E4535&lt;&gt;"!!!"),"NEW","")))</f>
        <v> </v>
      </c>
      <c r="G4535" s="24" t="str">
        <f>IF(OR(E4535="",E4535="!!!"),"",IF(OR(J4535=0,AND(J4535=1,K4535=1),AND(J4535=1,I4535="SBJ"),AND(J4535=1,I4535=0)),"?IN_FOCUS",IF(J4535&lt;=2,"?ACTIVATED",IF(J4535&lt;&gt;"","?FAMILIAR",IF(F4535="NEW",IF(ISNA(VLOOKUP(E4535,#REF!,1,FALSE())),"?TYPE_IDENTIFIABLE","?REFERENTIAL"),"_")))))</f>
        <v> </v>
      </c>
      <c r="H4535" s="25" t="str">
        <f>IF(J4535&lt;&gt;1,"",IF(I4535="SBJ","CB","?"))</f>
        <v> </v>
      </c>
      <c r="I4535" s="26" t="str">
        <f>IF(OR(E4535="",E4535="!!!",F4535="NEW"),"",INDEX(B4534:B$2,-1+SUMPRODUCT(MAX(ROW(E4534:E$2)*(E4535=E4534:E$2)))))</f>
        <v> </v>
      </c>
      <c r="J4535" s="26" t="str">
        <f>IF(OR(E4535="",E4535="!!!",F4535="NEW"),"",COUNTBLANK(OFFSET(A$1,,,SUMPRODUCT(MAX(ROW(E$2:E4535)*(E4535=E$2:E4535)))))-COUNTBLANK(OFFSET(A$1,,,SUMPRODUCT(MAX(ROW(E$1:E4534)*(E2=E$1:E4534))))))</f>
        <v> </v>
      </c>
      <c r="K4535" s="26" t="str">
        <f>IF(OR(E4535="",E4535="!!!",F4535="NEW"),"",INDEX(J$1:J4534,SUMPRODUCT(MAX(ROW(E$1:E4534)*(E4535=E$1:E4534)))))</f>
        <v> </v>
      </c>
      <c r="L4535" s="27"/>
    </row>
    <row r="4536" spans="1:12">
      <c r="A4536" s="20" t="s">
        <v>1101</v>
      </c>
      <c r="E4536" s="22">
        <f>IF(D4536="?OLD","!!!","")</f>
        <v/>
      </c>
      <c r="F4536" s="23" t="str">
        <f>IF(OR(E4536="",E4536="!!!"),"",IF(NOT(ISNA(VLOOKUP(E4536,E$1:E4535,1,FALSE()))),"OLD",IF(AND(E4536&lt;&gt;"",E4536&lt;&gt;"!!!"),"NEW","")))</f>
        <v> </v>
      </c>
      <c r="G4536" s="24" t="str">
        <f>IF(OR(E4536="",E4536="!!!"),"",IF(OR(J4536=0,AND(J4536=1,K4536=1),AND(J4536=1,I4536="SBJ"),AND(J4536=1,I4536=0)),"?IN_FOCUS",IF(J4536&lt;=2,"?ACTIVATED",IF(J4536&lt;&gt;"","?FAMILIAR",IF(F4536="NEW",IF(ISNA(VLOOKUP(E4536,#REF!,1,FALSE())),"?TYPE_IDENTIFIABLE","?REFERENTIAL"),"_")))))</f>
        <v> </v>
      </c>
      <c r="H4536" s="25" t="str">
        <f>IF(J4536&lt;&gt;1,"",IF(I4536="SBJ","CB","?"))</f>
        <v> </v>
      </c>
      <c r="I4536" s="26" t="str">
        <f>IF(OR(E4536="",E4536="!!!",F4536="NEW"),"",INDEX(B4535:B$2,-1+SUMPRODUCT(MAX(ROW(E4535:E$2)*(E4536=E4535:E$2)))))</f>
        <v> </v>
      </c>
      <c r="J4536" s="26" t="str">
        <f>IF(OR(E4536="",E4536="!!!",F4536="NEW"),"",COUNTBLANK(OFFSET(A$1,,,SUMPRODUCT(MAX(ROW(E$2:E4536)*(E4536=E$2:E4536)))))-COUNTBLANK(OFFSET(A$1,,,SUMPRODUCT(MAX(ROW(E$1:E4535)*(E2=E$1:E4535))))))</f>
        <v> </v>
      </c>
      <c r="K4536" s="26" t="str">
        <f>IF(OR(E4536="",E4536="!!!",F4536="NEW"),"",INDEX(J$1:J4535,SUMPRODUCT(MAX(ROW(E$1:E4535)*(E4536=E$1:E4535)))))</f>
        <v> </v>
      </c>
      <c r="L4536" s="27"/>
    </row>
    <row r="4537" spans="1:12">
      <c r="A4537" s="20" t="s">
        <v>1433</v>
      </c>
      <c r="B4537" s="21" t="s">
        <v>1068</v>
      </c>
      <c r="C4537" s="21" t="s">
        <v>1140</v>
      </c>
      <c r="D4537" s="21" t="s">
        <v>1060</v>
      </c>
      <c r="E4537" s="22">
        <f>IF(D4537="?OLD","!!!","")</f>
        <v/>
      </c>
      <c r="F4537" s="23" t="str">
        <f>IF(OR(E4537="",E4537="!!!"),"",IF(NOT(ISNA(VLOOKUP(E4537,E$1:E4536,1,FALSE()))),"OLD",IF(AND(E4537&lt;&gt;"",E4537&lt;&gt;"!!!"),"NEW","")))</f>
        <v> </v>
      </c>
      <c r="G4537" s="24" t="str">
        <f>IF(OR(E4537="",E4537="!!!"),"",IF(OR(J4537=0,AND(J4537=1,K4537=1),AND(J4537=1,I4537="SBJ"),AND(J4537=1,I4537=0)),"?IN_FOCUS",IF(J4537&lt;=2,"?ACTIVATED",IF(J4537&lt;&gt;"","?FAMILIAR",IF(F4537="NEW",IF(ISNA(VLOOKUP(E4537,#REF!,1,FALSE())),"?TYPE_IDENTIFIABLE","?REFERENTIAL"),"_")))))</f>
        <v> </v>
      </c>
      <c r="H4537" s="25" t="str">
        <f>IF(J4537&lt;&gt;1,"",IF(I4537="SBJ","CB","?"))</f>
        <v> </v>
      </c>
      <c r="I4537" s="26" t="str">
        <f>IF(OR(E4537="",E4537="!!!",F4537="NEW"),"",INDEX(B4536:B$2,-1+SUMPRODUCT(MAX(ROW(E4536:E$2)*(E4537=E4536:E$2)))))</f>
        <v> </v>
      </c>
      <c r="J4537" s="26" t="str">
        <f>IF(OR(E4537="",E4537="!!!",F4537="NEW"),"",COUNTBLANK(OFFSET(A$1,,,SUMPRODUCT(MAX(ROW(E$2:E4537)*(E4537=E$2:E4537)))))-COUNTBLANK(OFFSET(A$1,,,SUMPRODUCT(MAX(ROW(E$1:E4536)*(E2=E$1:E4536))))))</f>
        <v> </v>
      </c>
      <c r="K4537" s="26" t="str">
        <f>IF(OR(E4537="",E4537="!!!",F4537="NEW"),"",INDEX(J$1:J4536,SUMPRODUCT(MAX(ROW(E$1:E4536)*(E4537=E$1:E4536)))))</f>
        <v> </v>
      </c>
      <c r="L4537" s="27"/>
    </row>
    <row r="4538" spans="1:12">
      <c r="A4538" s="20" t="s">
        <v>1516</v>
      </c>
      <c r="E4538" s="22">
        <f>IF(D4538="?OLD","!!!","")</f>
        <v/>
      </c>
      <c r="F4538" s="23" t="str">
        <f>IF(OR(E4538="",E4538="!!!"),"",IF(NOT(ISNA(VLOOKUP(E4538,E$1:E4537,1,FALSE()))),"OLD",IF(AND(E4538&lt;&gt;"",E4538&lt;&gt;"!!!"),"NEW","")))</f>
        <v> </v>
      </c>
      <c r="G4538" s="24" t="str">
        <f>IF(OR(E4538="",E4538="!!!"),"",IF(OR(J4538=0,AND(J4538=1,K4538=1),AND(J4538=1,I4538="SBJ"),AND(J4538=1,I4538=0)),"?IN_FOCUS",IF(J4538&lt;=2,"?ACTIVATED",IF(J4538&lt;&gt;"","?FAMILIAR",IF(F4538="NEW",IF(ISNA(VLOOKUP(E4538,#REF!,1,FALSE())),"?TYPE_IDENTIFIABLE","?REFERENTIAL"),"_")))))</f>
        <v> </v>
      </c>
      <c r="H4538" s="25" t="str">
        <f>IF(J4538&lt;&gt;1,"",IF(I4538="SBJ","CB","?"))</f>
        <v> </v>
      </c>
      <c r="I4538" s="26" t="str">
        <f>IF(OR(E4538="",E4538="!!!",F4538="NEW"),"",INDEX(B4537:B$2,-1+SUMPRODUCT(MAX(ROW(E4537:E$2)*(E4538=E4537:E$2)))))</f>
        <v> </v>
      </c>
      <c r="J4538" s="26" t="str">
        <f>IF(OR(E4538="",E4538="!!!",F4538="NEW"),"",COUNTBLANK(OFFSET(A$1,,,SUMPRODUCT(MAX(ROW(E$2:E4538)*(E4538=E$2:E4538)))))-COUNTBLANK(OFFSET(A$1,,,SUMPRODUCT(MAX(ROW(E$1:E4537)*(E2=E$1:E4537))))))</f>
        <v> </v>
      </c>
      <c r="K4538" s="26" t="str">
        <f>IF(OR(E4538="",E4538="!!!",F4538="NEW"),"",INDEX(J$1:J4537,SUMPRODUCT(MAX(ROW(E$1:E4537)*(E4538=E$1:E4537)))))</f>
        <v> </v>
      </c>
      <c r="L4538" s="27"/>
    </row>
    <row r="4539" spans="1:12">
      <c r="A4539" s="20" t="s">
        <v>1390</v>
      </c>
      <c r="B4539" s="21" t="s">
        <v>1179</v>
      </c>
      <c r="C4539" s="21" t="s">
        <v>1076</v>
      </c>
      <c r="D4539" s="21" t="s">
        <v>1060</v>
      </c>
      <c r="E4539" s="22">
        <f>IF(D4539="?OLD","!!!","")</f>
        <v/>
      </c>
      <c r="F4539" s="23" t="str">
        <f>IF(OR(E4539="",E4539="!!!"),"",IF(NOT(ISNA(VLOOKUP(E4539,E$1:E4538,1,FALSE()))),"OLD",IF(AND(E4539&lt;&gt;"",E4539&lt;&gt;"!!!"),"NEW","")))</f>
        <v> </v>
      </c>
      <c r="G4539" s="24" t="str">
        <f>IF(OR(E4539="",E4539="!!!"),"",IF(OR(J4539=0,AND(J4539=1,K4539=1),AND(J4539=1,I4539="SBJ"),AND(J4539=1,I4539=0)),"?IN_FOCUS",IF(J4539&lt;=2,"?ACTIVATED",IF(J4539&lt;&gt;"","?FAMILIAR",IF(F4539="NEW",IF(ISNA(VLOOKUP(E4539,#REF!,1,FALSE())),"?TYPE_IDENTIFIABLE","?REFERENTIAL"),"_")))))</f>
        <v> </v>
      </c>
      <c r="H4539" s="25" t="str">
        <f>IF(J4539&lt;&gt;1,"",IF(I4539="SBJ","CB","?"))</f>
        <v> </v>
      </c>
      <c r="I4539" s="26" t="str">
        <f>IF(OR(E4539="",E4539="!!!",F4539="NEW"),"",INDEX(B4538:B$2,-1+SUMPRODUCT(MAX(ROW(E4538:E$2)*(E4539=E4538:E$2)))))</f>
        <v> </v>
      </c>
      <c r="J4539" s="26" t="str">
        <f>IF(OR(E4539="",E4539="!!!",F4539="NEW"),"",COUNTBLANK(OFFSET(A$1,,,SUMPRODUCT(MAX(ROW(E$2:E4539)*(E4539=E$2:E4539)))))-COUNTBLANK(OFFSET(A$1,,,SUMPRODUCT(MAX(ROW(E$1:E4538)*(E2=E$1:E4538))))))</f>
        <v> </v>
      </c>
      <c r="K4539" s="26" t="str">
        <f>IF(OR(E4539="",E4539="!!!",F4539="NEW"),"",INDEX(J$1:J4538,SUMPRODUCT(MAX(ROW(E$1:E4538)*(E4539=E$1:E4538)))))</f>
        <v> </v>
      </c>
      <c r="L4539" s="27"/>
    </row>
    <row r="4540" spans="1:12">
      <c r="A4540" s="20" t="s">
        <v>1152</v>
      </c>
      <c r="E4540" s="22">
        <f>IF(D4540="?OLD","!!!","")</f>
        <v/>
      </c>
      <c r="F4540" s="23" t="str">
        <f>IF(OR(E4540="",E4540="!!!"),"",IF(NOT(ISNA(VLOOKUP(E4540,E$1:E4539,1,FALSE()))),"OLD",IF(AND(E4540&lt;&gt;"",E4540&lt;&gt;"!!!"),"NEW","")))</f>
        <v> </v>
      </c>
      <c r="G4540" s="24" t="str">
        <f>IF(OR(E4540="",E4540="!!!"),"",IF(OR(J4540=0,AND(J4540=1,K4540=1),AND(J4540=1,I4540="SBJ"),AND(J4540=1,I4540=0)),"?IN_FOCUS",IF(J4540&lt;=2,"?ACTIVATED",IF(J4540&lt;&gt;"","?FAMILIAR",IF(F4540="NEW",IF(ISNA(VLOOKUP(E4540,#REF!,1,FALSE())),"?TYPE_IDENTIFIABLE","?REFERENTIAL"),"_")))))</f>
        <v> </v>
      </c>
      <c r="H4540" s="25" t="str">
        <f>IF(J4540&lt;&gt;1,"",IF(I4540="SBJ","CB","?"))</f>
        <v> </v>
      </c>
      <c r="I4540" s="26" t="str">
        <f>IF(OR(E4540="",E4540="!!!",F4540="NEW"),"",INDEX(B4539:B$2,-1+SUMPRODUCT(MAX(ROW(E4539:E$2)*(E4540=E4539:E$2)))))</f>
        <v> </v>
      </c>
      <c r="J4540" s="26" t="str">
        <f>IF(OR(E4540="",E4540="!!!",F4540="NEW"),"",COUNTBLANK(OFFSET(A$1,,,SUMPRODUCT(MAX(ROW(E$2:E4540)*(E4540=E$2:E4540)))))-COUNTBLANK(OFFSET(A$1,,,SUMPRODUCT(MAX(ROW(E$1:E4539)*(E2=E$1:E4539))))))</f>
        <v> </v>
      </c>
      <c r="K4540" s="26" t="str">
        <f>IF(OR(E4540="",E4540="!!!",F4540="NEW"),"",INDEX(J$1:J4539,SUMPRODUCT(MAX(ROW(E$1:E4539)*(E4540=E$1:E4539)))))</f>
        <v> </v>
      </c>
      <c r="L4540" s="27"/>
    </row>
    <row r="4541" spans="1:12">
      <c r="A4541" s="20" t="s">
        <v>2350</v>
      </c>
      <c r="E4541" s="22">
        <f>IF(D4541="?OLD","!!!","")</f>
        <v/>
      </c>
      <c r="F4541" s="23" t="str">
        <f>IF(OR(E4541="",E4541="!!!"),"",IF(NOT(ISNA(VLOOKUP(E4541,E$1:E4540,1,FALSE()))),"OLD",IF(AND(E4541&lt;&gt;"",E4541&lt;&gt;"!!!"),"NEW","")))</f>
        <v> </v>
      </c>
      <c r="G4541" s="24" t="str">
        <f>IF(OR(E4541="",E4541="!!!"),"",IF(OR(J4541=0,AND(J4541=1,K4541=1),AND(J4541=1,I4541="SBJ"),AND(J4541=1,I4541=0)),"?IN_FOCUS",IF(J4541&lt;=2,"?ACTIVATED",IF(J4541&lt;&gt;"","?FAMILIAR",IF(F4541="NEW",IF(ISNA(VLOOKUP(E4541,#REF!,1,FALSE())),"?TYPE_IDENTIFIABLE","?REFERENTIAL"),"_")))))</f>
        <v> </v>
      </c>
      <c r="H4541" s="25" t="str">
        <f>IF(J4541&lt;&gt;1,"",IF(I4541="SBJ","CB","?"))</f>
        <v> </v>
      </c>
      <c r="I4541" s="26" t="str">
        <f>IF(OR(E4541="",E4541="!!!",F4541="NEW"),"",INDEX(B4540:B$2,-1+SUMPRODUCT(MAX(ROW(E4540:E$2)*(E4541=E4540:E$2)))))</f>
        <v> </v>
      </c>
      <c r="J4541" s="26" t="str">
        <f>IF(OR(E4541="",E4541="!!!",F4541="NEW"),"",COUNTBLANK(OFFSET(A$1,,,SUMPRODUCT(MAX(ROW(E$2:E4541)*(E4541=E$2:E4541)))))-COUNTBLANK(OFFSET(A$1,,,SUMPRODUCT(MAX(ROW(E$1:E4540)*(E2=E$1:E4540))))))</f>
        <v> </v>
      </c>
      <c r="K4541" s="26" t="str">
        <f>IF(OR(E4541="",E4541="!!!",F4541="NEW"),"",INDEX(J$1:J4540,SUMPRODUCT(MAX(ROW(E$1:E4540)*(E4541=E$1:E4540)))))</f>
        <v> </v>
      </c>
      <c r="L4541" s="27"/>
    </row>
    <row r="4542" spans="1:12">
      <c r="A4542" s="20" t="s">
        <v>1077</v>
      </c>
      <c r="E4542" s="22">
        <f>IF(D4542="?OLD","!!!","")</f>
        <v/>
      </c>
      <c r="F4542" s="23" t="str">
        <f>IF(OR(E4542="",E4542="!!!"),"",IF(NOT(ISNA(VLOOKUP(E4542,E$1:E4541,1,FALSE()))),"OLD",IF(AND(E4542&lt;&gt;"",E4542&lt;&gt;"!!!"),"NEW","")))</f>
        <v> </v>
      </c>
      <c r="G4542" s="24" t="str">
        <f>IF(OR(E4542="",E4542="!!!"),"",IF(OR(J4542=0,AND(J4542=1,K4542=1),AND(J4542=1,I4542="SBJ"),AND(J4542=1,I4542=0)),"?IN_FOCUS",IF(J4542&lt;=2,"?ACTIVATED",IF(J4542&lt;&gt;"","?FAMILIAR",IF(F4542="NEW",IF(ISNA(VLOOKUP(E4542,#REF!,1,FALSE())),"?TYPE_IDENTIFIABLE","?REFERENTIAL"),"_")))))</f>
        <v> </v>
      </c>
      <c r="H4542" s="25" t="str">
        <f>IF(J4542&lt;&gt;1,"",IF(I4542="SBJ","CB","?"))</f>
        <v> </v>
      </c>
      <c r="I4542" s="26" t="str">
        <f>IF(OR(E4542="",E4542="!!!",F4542="NEW"),"",INDEX(B4541:B$2,-1+SUMPRODUCT(MAX(ROW(E4541:E$2)*(E4542=E4541:E$2)))))</f>
        <v> </v>
      </c>
      <c r="J4542" s="26" t="str">
        <f>IF(OR(E4542="",E4542="!!!",F4542="NEW"),"",COUNTBLANK(OFFSET(A$1,,,SUMPRODUCT(MAX(ROW(E$2:E4542)*(E4542=E$2:E4542)))))-COUNTBLANK(OFFSET(A$1,,,SUMPRODUCT(MAX(ROW(E$1:E4541)*(E2=E$1:E4541))))))</f>
        <v> </v>
      </c>
      <c r="K4542" s="26" t="str">
        <f>IF(OR(E4542="",E4542="!!!",F4542="NEW"),"",INDEX(J$1:J4541,SUMPRODUCT(MAX(ROW(E$1:E4541)*(E4542=E$1:E4541)))))</f>
        <v> </v>
      </c>
      <c r="L4542" s="27"/>
    </row>
    <row r="4543" spans="1:12">
      <c r="A4543" s="20" t="s">
        <v>2292</v>
      </c>
      <c r="B4543" s="21" t="s">
        <v>1095</v>
      </c>
      <c r="C4543" s="21" t="s">
        <v>1080</v>
      </c>
      <c r="E4543" s="22">
        <f>IF(D4543="?OLD","!!!","")</f>
        <v/>
      </c>
      <c r="F4543" s="23" t="str">
        <f>IF(OR(E4543="",E4543="!!!"),"",IF(NOT(ISNA(VLOOKUP(E4543,E$1:E4542,1,FALSE()))),"OLD",IF(AND(E4543&lt;&gt;"",E4543&lt;&gt;"!!!"),"NEW","")))</f>
        <v> </v>
      </c>
      <c r="G4543" s="24" t="str">
        <f>IF(OR(E4543="",E4543="!!!"),"",IF(OR(J4543=0,AND(J4543=1,K4543=1),AND(J4543=1,I4543="SBJ"),AND(J4543=1,I4543=0)),"?IN_FOCUS",IF(J4543&lt;=2,"?ACTIVATED",IF(J4543&lt;&gt;"","?FAMILIAR",IF(F4543="NEW",IF(ISNA(VLOOKUP(E4543,#REF!,1,FALSE())),"?TYPE_IDENTIFIABLE","?REFERENTIAL"),"_")))))</f>
        <v> </v>
      </c>
      <c r="H4543" s="25" t="str">
        <f>IF(J4543&lt;&gt;1,"",IF(I4543="SBJ","CB","?"))</f>
        <v> </v>
      </c>
      <c r="I4543" s="26" t="str">
        <f>IF(OR(E4543="",E4543="!!!",F4543="NEW"),"",INDEX(B4542:B$2,-1+SUMPRODUCT(MAX(ROW(E4542:E$2)*(E4543=E4542:E$2)))))</f>
        <v> </v>
      </c>
      <c r="J4543" s="26" t="str">
        <f>IF(OR(E4543="",E4543="!!!",F4543="NEW"),"",COUNTBLANK(OFFSET(A$1,,,SUMPRODUCT(MAX(ROW(E$2:E4543)*(E4543=E$2:E4543)))))-COUNTBLANK(OFFSET(A$1,,,SUMPRODUCT(MAX(ROW(E$1:E4542)*(E2=E$1:E4542))))))</f>
        <v> </v>
      </c>
      <c r="K4543" s="26" t="str">
        <f>IF(OR(E4543="",E4543="!!!",F4543="NEW"),"",INDEX(J$1:J4542,SUMPRODUCT(MAX(ROW(E$1:E4542)*(E4543=E$1:E4542)))))</f>
        <v> </v>
      </c>
      <c r="L4543" s="27"/>
    </row>
    <row r="4544" spans="1:12">
      <c r="A4544" s="20" t="s">
        <v>1436</v>
      </c>
      <c r="E4544" s="22">
        <f>IF(D4544="?OLD","!!!","")</f>
        <v/>
      </c>
      <c r="F4544" s="23" t="str">
        <f>IF(OR(E4544="",E4544="!!!"),"",IF(NOT(ISNA(VLOOKUP(E4544,E$1:E4543,1,FALSE()))),"OLD",IF(AND(E4544&lt;&gt;"",E4544&lt;&gt;"!!!"),"NEW","")))</f>
        <v> </v>
      </c>
      <c r="G4544" s="24" t="str">
        <f>IF(OR(E4544="",E4544="!!!"),"",IF(OR(J4544=0,AND(J4544=1,K4544=1),AND(J4544=1,I4544="SBJ"),AND(J4544=1,I4544=0)),"?IN_FOCUS",IF(J4544&lt;=2,"?ACTIVATED",IF(J4544&lt;&gt;"","?FAMILIAR",IF(F4544="NEW",IF(ISNA(VLOOKUP(E4544,#REF!,1,FALSE())),"?TYPE_IDENTIFIABLE","?REFERENTIAL"),"_")))))</f>
        <v> </v>
      </c>
      <c r="H4544" s="25" t="str">
        <f>IF(J4544&lt;&gt;1,"",IF(I4544="SBJ","CB","?"))</f>
        <v> </v>
      </c>
      <c r="I4544" s="26" t="str">
        <f>IF(OR(E4544="",E4544="!!!",F4544="NEW"),"",INDEX(B4543:B$2,-1+SUMPRODUCT(MAX(ROW(E4543:E$2)*(E4544=E4543:E$2)))))</f>
        <v> </v>
      </c>
      <c r="J4544" s="26" t="str">
        <f>IF(OR(E4544="",E4544="!!!",F4544="NEW"),"",COUNTBLANK(OFFSET(A$1,,,SUMPRODUCT(MAX(ROW(E$2:E4544)*(E4544=E$2:E4544)))))-COUNTBLANK(OFFSET(A$1,,,SUMPRODUCT(MAX(ROW(E$1:E4543)*(E2=E$1:E4543))))))</f>
        <v> </v>
      </c>
      <c r="K4544" s="26" t="str">
        <f>IF(OR(E4544="",E4544="!!!",F4544="NEW"),"",INDEX(J$1:J4543,SUMPRODUCT(MAX(ROW(E$1:E4543)*(E4544=E$1:E4543)))))</f>
        <v> </v>
      </c>
      <c r="L4544" s="27"/>
    </row>
    <row r="4545" spans="1:12">
      <c r="A4545" s="20" t="s">
        <v>1101</v>
      </c>
      <c r="E4545" s="22">
        <f>IF(D4545="?OLD","!!!","")</f>
        <v/>
      </c>
      <c r="F4545" s="23" t="str">
        <f>IF(OR(E4545="",E4545="!!!"),"",IF(NOT(ISNA(VLOOKUP(E4545,E$1:E4544,1,FALSE()))),"OLD",IF(AND(E4545&lt;&gt;"",E4545&lt;&gt;"!!!"),"NEW","")))</f>
        <v> </v>
      </c>
      <c r="G4545" s="24" t="str">
        <f>IF(OR(E4545="",E4545="!!!"),"",IF(OR(J4545=0,AND(J4545=1,K4545=1),AND(J4545=1,I4545="SBJ"),AND(J4545=1,I4545=0)),"?IN_FOCUS",IF(J4545&lt;=2,"?ACTIVATED",IF(J4545&lt;&gt;"","?FAMILIAR",IF(F4545="NEW",IF(ISNA(VLOOKUP(E4545,#REF!,1,FALSE())),"?TYPE_IDENTIFIABLE","?REFERENTIAL"),"_")))))</f>
        <v> </v>
      </c>
      <c r="H4545" s="25" t="str">
        <f>IF(J4545&lt;&gt;1,"",IF(I4545="SBJ","CB","?"))</f>
        <v> </v>
      </c>
      <c r="I4545" s="26" t="str">
        <f>IF(OR(E4545="",E4545="!!!",F4545="NEW"),"",INDEX(B4544:B$2,-1+SUMPRODUCT(MAX(ROW(E4544:E$2)*(E4545=E4544:E$2)))))</f>
        <v> </v>
      </c>
      <c r="J4545" s="26" t="str">
        <f>IF(OR(E4545="",E4545="!!!",F4545="NEW"),"",COUNTBLANK(OFFSET(A$1,,,SUMPRODUCT(MAX(ROW(E$2:E4545)*(E4545=E$2:E4545)))))-COUNTBLANK(OFFSET(A$1,,,SUMPRODUCT(MAX(ROW(E$1:E4544)*(E2=E$1:E4544))))))</f>
        <v> </v>
      </c>
      <c r="K4545" s="26" t="str">
        <f>IF(OR(E4545="",E4545="!!!",F4545="NEW"),"",INDEX(J$1:J4544,SUMPRODUCT(MAX(ROW(E$1:E4544)*(E4545=E$1:E4544)))))</f>
        <v> </v>
      </c>
      <c r="L4545" s="27"/>
    </row>
    <row r="4546" spans="1:12">
      <c r="A4546" s="20" t="s">
        <v>2351</v>
      </c>
      <c r="B4546" s="21" t="s">
        <v>1099</v>
      </c>
      <c r="C4546" s="21" t="s">
        <v>1140</v>
      </c>
      <c r="D4546" s="21" t="s">
        <v>1060</v>
      </c>
      <c r="E4546" s="22">
        <f>IF(D4546="?OLD","!!!","")</f>
        <v/>
      </c>
      <c r="F4546" s="23" t="str">
        <f>IF(OR(E4546="",E4546="!!!"),"",IF(NOT(ISNA(VLOOKUP(E4546,E$1:E4545,1,FALSE()))),"OLD",IF(AND(E4546&lt;&gt;"",E4546&lt;&gt;"!!!"),"NEW","")))</f>
        <v> </v>
      </c>
      <c r="G4546" s="24" t="str">
        <f>IF(OR(E4546="",E4546="!!!"),"",IF(OR(J4546=0,AND(J4546=1,K4546=1),AND(J4546=1,I4546="SBJ"),AND(J4546=1,I4546=0)),"?IN_FOCUS",IF(J4546&lt;=2,"?ACTIVATED",IF(J4546&lt;&gt;"","?FAMILIAR",IF(F4546="NEW",IF(ISNA(VLOOKUP(E4546,#REF!,1,FALSE())),"?TYPE_IDENTIFIABLE","?REFERENTIAL"),"_")))))</f>
        <v> </v>
      </c>
      <c r="H4546" s="25" t="str">
        <f>IF(J4546&lt;&gt;1,"",IF(I4546="SBJ","CB","?"))</f>
        <v> </v>
      </c>
      <c r="I4546" s="26" t="str">
        <f>IF(OR(E4546="",E4546="!!!",F4546="NEW"),"",INDEX(B4545:B$2,-1+SUMPRODUCT(MAX(ROW(E4545:E$2)*(E4546=E4545:E$2)))))</f>
        <v> </v>
      </c>
      <c r="J4546" s="26" t="str">
        <f>IF(OR(E4546="",E4546="!!!",F4546="NEW"),"",COUNTBLANK(OFFSET(A$1,,,SUMPRODUCT(MAX(ROW(E$2:E4546)*(E4546=E$2:E4546)))))-COUNTBLANK(OFFSET(A$1,,,SUMPRODUCT(MAX(ROW(E$1:E4545)*(E2=E$1:E4545))))))</f>
        <v> </v>
      </c>
      <c r="K4546" s="26" t="str">
        <f>IF(OR(E4546="",E4546="!!!",F4546="NEW"),"",INDEX(J$1:J4545,SUMPRODUCT(MAX(ROW(E$1:E4545)*(E4546=E$1:E4545)))))</f>
        <v> </v>
      </c>
      <c r="L4546" s="27"/>
    </row>
    <row r="4547" spans="1:12">
      <c r="A4547" s="20" t="s">
        <v>923</v>
      </c>
      <c r="E4547" s="22">
        <f>IF(D4547="?OLD","!!!","")</f>
        <v/>
      </c>
      <c r="F4547" s="23" t="str">
        <f>IF(OR(E4547="",E4547="!!!"),"",IF(NOT(ISNA(VLOOKUP(E4547,E$1:E4546,1,FALSE()))),"OLD",IF(AND(E4547&lt;&gt;"",E4547&lt;&gt;"!!!"),"NEW","")))</f>
        <v> </v>
      </c>
      <c r="G4547" s="24" t="str">
        <f>IF(OR(E4547="",E4547="!!!"),"",IF(OR(J4547=0,AND(J4547=1,K4547=1),AND(J4547=1,I4547="SBJ"),AND(J4547=1,I4547=0)),"?IN_FOCUS",IF(J4547&lt;=2,"?ACTIVATED",IF(J4547&lt;&gt;"","?FAMILIAR",IF(F4547="NEW",IF(ISNA(VLOOKUP(E4547,#REF!,1,FALSE())),"?TYPE_IDENTIFIABLE","?REFERENTIAL"),"_")))))</f>
        <v> </v>
      </c>
      <c r="H4547" s="25" t="str">
        <f>IF(J4547&lt;&gt;1,"",IF(I4547="SBJ","CB","?"))</f>
        <v> </v>
      </c>
      <c r="I4547" s="26" t="str">
        <f>IF(OR(E4547="",E4547="!!!",F4547="NEW"),"",INDEX(B4546:B$2,-1+SUMPRODUCT(MAX(ROW(E4546:E$2)*(E4547=E4546:E$2)))))</f>
        <v> </v>
      </c>
      <c r="J4547" s="26" t="str">
        <f>IF(OR(E4547="",E4547="!!!",F4547="NEW"),"",COUNTBLANK(OFFSET(A$1,,,SUMPRODUCT(MAX(ROW(E$2:E4547)*(E4547=E$2:E4547)))))-COUNTBLANK(OFFSET(A$1,,,SUMPRODUCT(MAX(ROW(E$1:E4546)*(E2=E$1:E4546))))))</f>
        <v> </v>
      </c>
      <c r="K4547" s="26" t="str">
        <f>IF(OR(E4547="",E4547="!!!",F4547="NEW"),"",INDEX(J$1:J4546,SUMPRODUCT(MAX(ROW(E$1:E4546)*(E4547=E$1:E4546)))))</f>
        <v> </v>
      </c>
      <c r="L4547" s="27"/>
    </row>
    <row r="4548" spans="1:12">
      <c r="A4548" s="20"/>
    </row>
    <row r="4549" spans="1:12">
      <c r="A4549" s="20" t="s">
        <v>2352</v>
      </c>
    </row>
    <row r="4550" spans="1:12">
      <c r="A4550" s="20" t="s">
        <v>1240</v>
      </c>
      <c r="B4550" s="21" t="s">
        <v>1058</v>
      </c>
      <c r="C4550" s="21" t="s">
        <v>1076</v>
      </c>
      <c r="D4550" s="21" t="s">
        <v>1060</v>
      </c>
      <c r="E4550" s="22">
        <f>IF(D4550="?OLD","!!!","")</f>
        <v/>
      </c>
      <c r="F4550" s="23" t="str">
        <f>IF(OR(E4550="",E4550="!!!"),"",IF(NOT(ISNA(VLOOKUP(E4550,E$1:E4549,1,FALSE()))),"OLD",IF(AND(E4550&lt;&gt;"",E4550&lt;&gt;"!!!"),"NEW","")))</f>
        <v> </v>
      </c>
      <c r="G4550" s="24" t="str">
        <f>IF(OR(E4550="",E4550="!!!"),"",IF(OR(J4550=0,AND(J4550=1,K4550=1),AND(J4550=1,I4550="SBJ"),AND(J4550=1,I4550=0)),"?IN_FOCUS",IF(J4550&lt;=2,"?ACTIVATED",IF(J4550&lt;&gt;"","?FAMILIAR",IF(F4550="NEW",IF(ISNA(VLOOKUP(E4550,#REF!,1,FALSE())),"?TYPE_IDENTIFIABLE","?REFERENTIAL"),"_")))))</f>
        <v> </v>
      </c>
      <c r="H4550" s="25" t="str">
        <f>IF(J4550&lt;&gt;1,"",IF(I4550="SBJ","CB","?"))</f>
        <v> </v>
      </c>
      <c r="I4550" s="26" t="str">
        <f>IF(OR(E4550="",E4550="!!!",F4550="NEW"),"",INDEX(B4549:B$2,-1+SUMPRODUCT(MAX(ROW(E4549:E$2)*(E4550=E4549:E$2)))))</f>
        <v> </v>
      </c>
      <c r="J4550" s="26" t="str">
        <f>IF(OR(E4550="",E4550="!!!",F4550="NEW"),"",COUNTBLANK(OFFSET(A$1,,,SUMPRODUCT(MAX(ROW(E$2:E4550)*(E4550=E$2:E4550)))))-COUNTBLANK(OFFSET(A$1,,,SUMPRODUCT(MAX(ROW(E$1:E4549)*(E2=E$1:E4549))))))</f>
        <v> </v>
      </c>
      <c r="K4550" s="26" t="str">
        <f>IF(OR(E4550="",E4550="!!!",F4550="NEW"),"",INDEX(J$1:J4549,SUMPRODUCT(MAX(ROW(E$1:E4549)*(E4550=E$1:E4549)))))</f>
        <v> </v>
      </c>
      <c r="L4550" s="27"/>
    </row>
    <row r="4551" spans="1:12">
      <c r="A4551" s="20" t="s">
        <v>2042</v>
      </c>
      <c r="E4551" s="22">
        <f>IF(D4551="?OLD","!!!","")</f>
        <v/>
      </c>
      <c r="F4551" s="23" t="str">
        <f>IF(OR(E4551="",E4551="!!!"),"",IF(NOT(ISNA(VLOOKUP(E4551,E$1:E4550,1,FALSE()))),"OLD",IF(AND(E4551&lt;&gt;"",E4551&lt;&gt;"!!!"),"NEW","")))</f>
        <v> </v>
      </c>
      <c r="G4551" s="24" t="str">
        <f>IF(OR(E4551="",E4551="!!!"),"",IF(OR(J4551=0,AND(J4551=1,K4551=1),AND(J4551=1,I4551="SBJ"),AND(J4551=1,I4551=0)),"?IN_FOCUS",IF(J4551&lt;=2,"?ACTIVATED",IF(J4551&lt;&gt;"","?FAMILIAR",IF(F4551="NEW",IF(ISNA(VLOOKUP(E4551,#REF!,1,FALSE())),"?TYPE_IDENTIFIABLE","?REFERENTIAL"),"_")))))</f>
        <v> </v>
      </c>
      <c r="H4551" s="25" t="str">
        <f>IF(J4551&lt;&gt;1,"",IF(I4551="SBJ","CB","?"))</f>
        <v> </v>
      </c>
      <c r="I4551" s="26" t="str">
        <f>IF(OR(E4551="",E4551="!!!",F4551="NEW"),"",INDEX(B4550:B$2,-1+SUMPRODUCT(MAX(ROW(E4550:E$2)*(E4551=E4550:E$2)))))</f>
        <v> </v>
      </c>
      <c r="J4551" s="26" t="str">
        <f>IF(OR(E4551="",E4551="!!!",F4551="NEW"),"",COUNTBLANK(OFFSET(A$1,,,SUMPRODUCT(MAX(ROW(E$2:E4551)*(E4551=E$2:E4551)))))-COUNTBLANK(OFFSET(A$1,,,SUMPRODUCT(MAX(ROW(E$1:E4550)*(E2=E$1:E4550))))))</f>
        <v> </v>
      </c>
      <c r="K4551" s="26" t="str">
        <f>IF(OR(E4551="",E4551="!!!",F4551="NEW"),"",INDEX(J$1:J4550,SUMPRODUCT(MAX(ROW(E$1:E4550)*(E4551=E$1:E4550)))))</f>
        <v> </v>
      </c>
      <c r="L4551" s="27"/>
    </row>
    <row r="4552" spans="1:12">
      <c r="A4552" s="20" t="s">
        <v>1166</v>
      </c>
      <c r="B4552" s="21" t="s">
        <v>1075</v>
      </c>
      <c r="C4552" s="21" t="s">
        <v>1076</v>
      </c>
      <c r="D4552" s="21" t="s">
        <v>1060</v>
      </c>
      <c r="E4552" s="22">
        <f>IF(D4552="?OLD","!!!","")</f>
        <v/>
      </c>
      <c r="F4552" s="23" t="str">
        <f>IF(OR(E4552="",E4552="!!!"),"",IF(NOT(ISNA(VLOOKUP(E4552,E$1:E4551,1,FALSE()))),"OLD",IF(AND(E4552&lt;&gt;"",E4552&lt;&gt;"!!!"),"NEW","")))</f>
        <v> </v>
      </c>
      <c r="G4552" s="24" t="str">
        <f>IF(OR(E4552="",E4552="!!!"),"",IF(OR(J4552=0,AND(J4552=1,K4552=1),AND(J4552=1,I4552="SBJ"),AND(J4552=1,I4552=0)),"?IN_FOCUS",IF(J4552&lt;=2,"?ACTIVATED",IF(J4552&lt;&gt;"","?FAMILIAR",IF(F4552="NEW",IF(ISNA(VLOOKUP(E4552,#REF!,1,FALSE())),"?TYPE_IDENTIFIABLE","?REFERENTIAL"),"_")))))</f>
        <v> </v>
      </c>
      <c r="H4552" s="25" t="str">
        <f>IF(J4552&lt;&gt;1,"",IF(I4552="SBJ","CB","?"))</f>
        <v> </v>
      </c>
      <c r="I4552" s="26" t="str">
        <f>IF(OR(E4552="",E4552="!!!",F4552="NEW"),"",INDEX(B4551:B$2,-1+SUMPRODUCT(MAX(ROW(E4551:E$2)*(E4552=E4551:E$2)))))</f>
        <v> </v>
      </c>
      <c r="J4552" s="26" t="str">
        <f>IF(OR(E4552="",E4552="!!!",F4552="NEW"),"",COUNTBLANK(OFFSET(A$1,,,SUMPRODUCT(MAX(ROW(E$2:E4552)*(E4552=E$2:E4552)))))-COUNTBLANK(OFFSET(A$1,,,SUMPRODUCT(MAX(ROW(E$1:E4551)*(E2=E$1:E4551))))))</f>
        <v> </v>
      </c>
      <c r="K4552" s="26" t="str">
        <f>IF(OR(E4552="",E4552="!!!",F4552="NEW"),"",INDEX(J$1:J4551,SUMPRODUCT(MAX(ROW(E$1:E4551)*(E4552=E$1:E4551)))))</f>
        <v> </v>
      </c>
      <c r="L4552" s="27"/>
    </row>
    <row r="4553" spans="1:12">
      <c r="A4553" s="20" t="s">
        <v>1088</v>
      </c>
      <c r="E4553" s="22">
        <f>IF(D4553="?OLD","!!!","")</f>
        <v/>
      </c>
      <c r="F4553" s="23" t="str">
        <f>IF(OR(E4553="",E4553="!!!"),"",IF(NOT(ISNA(VLOOKUP(E4553,E$1:E4552,1,FALSE()))),"OLD",IF(AND(E4553&lt;&gt;"",E4553&lt;&gt;"!!!"),"NEW","")))</f>
        <v> </v>
      </c>
      <c r="G4553" s="24" t="str">
        <f>IF(OR(E4553="",E4553="!!!"),"",IF(OR(J4553=0,AND(J4553=1,K4553=1),AND(J4553=1,I4553="SBJ"),AND(J4553=1,I4553=0)),"?IN_FOCUS",IF(J4553&lt;=2,"?ACTIVATED",IF(J4553&lt;&gt;"","?FAMILIAR",IF(F4553="NEW",IF(ISNA(VLOOKUP(E4553,#REF!,1,FALSE())),"?TYPE_IDENTIFIABLE","?REFERENTIAL"),"_")))))</f>
        <v> </v>
      </c>
      <c r="H4553" s="25" t="str">
        <f>IF(J4553&lt;&gt;1,"",IF(I4553="SBJ","CB","?"))</f>
        <v> </v>
      </c>
      <c r="I4553" s="26" t="str">
        <f>IF(OR(E4553="",E4553="!!!",F4553="NEW"),"",INDEX(B4552:B$2,-1+SUMPRODUCT(MAX(ROW(E4552:E$2)*(E4553=E4552:E$2)))))</f>
        <v> </v>
      </c>
      <c r="J4553" s="26" t="str">
        <f>IF(OR(E4553="",E4553="!!!",F4553="NEW"),"",COUNTBLANK(OFFSET(A$1,,,SUMPRODUCT(MAX(ROW(E$2:E4553)*(E4553=E$2:E4553)))))-COUNTBLANK(OFFSET(A$1,,,SUMPRODUCT(MAX(ROW(E$1:E4552)*(E2=E$1:E4552))))))</f>
        <v> </v>
      </c>
      <c r="K4553" s="26" t="str">
        <f>IF(OR(E4553="",E4553="!!!",F4553="NEW"),"",INDEX(J$1:J4552,SUMPRODUCT(MAX(ROW(E$1:E4552)*(E4553=E$1:E4552)))))</f>
        <v> </v>
      </c>
      <c r="L4553" s="27"/>
    </row>
    <row r="4554" spans="1:12">
      <c r="A4554" s="20" t="s">
        <v>2353</v>
      </c>
      <c r="E4554" s="22">
        <f>IF(D4554="?OLD","!!!","")</f>
        <v/>
      </c>
      <c r="F4554" s="23" t="str">
        <f>IF(OR(E4554="",E4554="!!!"),"",IF(NOT(ISNA(VLOOKUP(E4554,E$1:E4553,1,FALSE()))),"OLD",IF(AND(E4554&lt;&gt;"",E4554&lt;&gt;"!!!"),"NEW","")))</f>
        <v> </v>
      </c>
      <c r="G4554" s="24" t="str">
        <f>IF(OR(E4554="",E4554="!!!"),"",IF(OR(J4554=0,AND(J4554=1,K4554=1),AND(J4554=1,I4554="SBJ"),AND(J4554=1,I4554=0)),"?IN_FOCUS",IF(J4554&lt;=2,"?ACTIVATED",IF(J4554&lt;&gt;"","?FAMILIAR",IF(F4554="NEW",IF(ISNA(VLOOKUP(E4554,#REF!,1,FALSE())),"?TYPE_IDENTIFIABLE","?REFERENTIAL"),"_")))))</f>
        <v> </v>
      </c>
      <c r="H4554" s="25" t="str">
        <f>IF(J4554&lt;&gt;1,"",IF(I4554="SBJ","CB","?"))</f>
        <v> </v>
      </c>
      <c r="I4554" s="26" t="str">
        <f>IF(OR(E4554="",E4554="!!!",F4554="NEW"),"",INDEX(B4553:B$2,-1+SUMPRODUCT(MAX(ROW(E4553:E$2)*(E4554=E4553:E$2)))))</f>
        <v> </v>
      </c>
      <c r="J4554" s="26" t="str">
        <f>IF(OR(E4554="",E4554="!!!",F4554="NEW"),"",COUNTBLANK(OFFSET(A$1,,,SUMPRODUCT(MAX(ROW(E$2:E4554)*(E4554=E$2:E4554)))))-COUNTBLANK(OFFSET(A$1,,,SUMPRODUCT(MAX(ROW(E$1:E4553)*(E2=E$1:E4553))))))</f>
        <v> </v>
      </c>
      <c r="K4554" s="26" t="str">
        <f>IF(OR(E4554="",E4554="!!!",F4554="NEW"),"",INDEX(J$1:J4553,SUMPRODUCT(MAX(ROW(E$1:E4553)*(E4554=E$1:E4553)))))</f>
        <v> </v>
      </c>
      <c r="L4554" s="27"/>
    </row>
    <row r="4555" spans="1:12">
      <c r="A4555" s="20" t="s">
        <v>1101</v>
      </c>
      <c r="E4555" s="22">
        <f>IF(D4555="?OLD","!!!","")</f>
        <v/>
      </c>
      <c r="F4555" s="23" t="str">
        <f>IF(OR(E4555="",E4555="!!!"),"",IF(NOT(ISNA(VLOOKUP(E4555,E$1:E4554,1,FALSE()))),"OLD",IF(AND(E4555&lt;&gt;"",E4555&lt;&gt;"!!!"),"NEW","")))</f>
        <v> </v>
      </c>
      <c r="G4555" s="24" t="str">
        <f>IF(OR(E4555="",E4555="!!!"),"",IF(OR(J4555=0,AND(J4555=1,K4555=1),AND(J4555=1,I4555="SBJ"),AND(J4555=1,I4555=0)),"?IN_FOCUS",IF(J4555&lt;=2,"?ACTIVATED",IF(J4555&lt;&gt;"","?FAMILIAR",IF(F4555="NEW",IF(ISNA(VLOOKUP(E4555,#REF!,1,FALSE())),"?TYPE_IDENTIFIABLE","?REFERENTIAL"),"_")))))</f>
        <v> </v>
      </c>
      <c r="H4555" s="25" t="str">
        <f>IF(J4555&lt;&gt;1,"",IF(I4555="SBJ","CB","?"))</f>
        <v> </v>
      </c>
      <c r="I4555" s="26" t="str">
        <f>IF(OR(E4555="",E4555="!!!",F4555="NEW"),"",INDEX(B4554:B$2,-1+SUMPRODUCT(MAX(ROW(E4554:E$2)*(E4555=E4554:E$2)))))</f>
        <v> </v>
      </c>
      <c r="J4555" s="26" t="str">
        <f>IF(OR(E4555="",E4555="!!!",F4555="NEW"),"",COUNTBLANK(OFFSET(A$1,,,SUMPRODUCT(MAX(ROW(E$2:E4555)*(E4555=E$2:E4555)))))-COUNTBLANK(OFFSET(A$1,,,SUMPRODUCT(MAX(ROW(E$1:E4554)*(E2=E$1:E4554))))))</f>
        <v> </v>
      </c>
      <c r="K4555" s="26" t="str">
        <f>IF(OR(E4555="",E4555="!!!",F4555="NEW"),"",INDEX(J$1:J4554,SUMPRODUCT(MAX(ROW(E$1:E4554)*(E4555=E$1:E4554)))))</f>
        <v> </v>
      </c>
      <c r="L4555" s="27"/>
    </row>
    <row r="4556" spans="1:12">
      <c r="A4556" s="20" t="s">
        <v>1770</v>
      </c>
      <c r="B4556" s="21" t="s">
        <v>1132</v>
      </c>
      <c r="C4556" s="21" t="s">
        <v>1059</v>
      </c>
      <c r="D4556" s="21" t="s">
        <v>1060</v>
      </c>
      <c r="E4556" s="22">
        <f>IF(D4556="?OLD","!!!","")</f>
        <v/>
      </c>
      <c r="F4556" s="23" t="str">
        <f>IF(OR(E4556="",E4556="!!!"),"",IF(NOT(ISNA(VLOOKUP(E4556,E$1:E4555,1,FALSE()))),"OLD",IF(AND(E4556&lt;&gt;"",E4556&lt;&gt;"!!!"),"NEW","")))</f>
        <v> </v>
      </c>
      <c r="G4556" s="24" t="str">
        <f>IF(OR(E4556="",E4556="!!!"),"",IF(OR(J4556=0,AND(J4556=1,K4556=1),AND(J4556=1,I4556="SBJ"),AND(J4556=1,I4556=0)),"?IN_FOCUS",IF(J4556&lt;=2,"?ACTIVATED",IF(J4556&lt;&gt;"","?FAMILIAR",IF(F4556="NEW",IF(ISNA(VLOOKUP(E4556,#REF!,1,FALSE())),"?TYPE_IDENTIFIABLE","?REFERENTIAL"),"_")))))</f>
        <v> </v>
      </c>
      <c r="H4556" s="25" t="str">
        <f>IF(J4556&lt;&gt;1,"",IF(I4556="SBJ","CB","?"))</f>
        <v> </v>
      </c>
      <c r="I4556" s="26" t="str">
        <f>IF(OR(E4556="",E4556="!!!",F4556="NEW"),"",INDEX(B4555:B$2,-1+SUMPRODUCT(MAX(ROW(E4555:E$2)*(E4556=E4555:E$2)))))</f>
        <v> </v>
      </c>
      <c r="J4556" s="26" t="str">
        <f>IF(OR(E4556="",E4556="!!!",F4556="NEW"),"",COUNTBLANK(OFFSET(A$1,,,SUMPRODUCT(MAX(ROW(E$2:E4556)*(E4556=E$2:E4556)))))-COUNTBLANK(OFFSET(A$1,,,SUMPRODUCT(MAX(ROW(E$1:E4555)*(E2=E$1:E4555))))))</f>
        <v> </v>
      </c>
      <c r="K4556" s="26" t="str">
        <f>IF(OR(E4556="",E4556="!!!",F4556="NEW"),"",INDEX(J$1:J4555,SUMPRODUCT(MAX(ROW(E$1:E4555)*(E4556=E$1:E4555)))))</f>
        <v> </v>
      </c>
      <c r="L4556" s="27"/>
    </row>
    <row r="4557" spans="1:12">
      <c r="A4557" s="20" t="s">
        <v>1061</v>
      </c>
      <c r="E4557" s="22">
        <f>IF(D4557="?OLD","!!!","")</f>
        <v/>
      </c>
      <c r="F4557" s="23" t="str">
        <f>IF(OR(E4557="",E4557="!!!"),"",IF(NOT(ISNA(VLOOKUP(E4557,E$1:E4556,1,FALSE()))),"OLD",IF(AND(E4557&lt;&gt;"",E4557&lt;&gt;"!!!"),"NEW","")))</f>
        <v> </v>
      </c>
      <c r="G4557" s="24" t="str">
        <f>IF(OR(E4557="",E4557="!!!"),"",IF(OR(J4557=0,AND(J4557=1,K4557=1),AND(J4557=1,I4557="SBJ"),AND(J4557=1,I4557=0)),"?IN_FOCUS",IF(J4557&lt;=2,"?ACTIVATED",IF(J4557&lt;&gt;"","?FAMILIAR",IF(F4557="NEW",IF(ISNA(VLOOKUP(E4557,#REF!,1,FALSE())),"?TYPE_IDENTIFIABLE","?REFERENTIAL"),"_")))))</f>
        <v> </v>
      </c>
      <c r="H4557" s="25" t="str">
        <f>IF(J4557&lt;&gt;1,"",IF(I4557="SBJ","CB","?"))</f>
        <v> </v>
      </c>
      <c r="I4557" s="26" t="str">
        <f>IF(OR(E4557="",E4557="!!!",F4557="NEW"),"",INDEX(B4556:B$2,-1+SUMPRODUCT(MAX(ROW(E4556:E$2)*(E4557=E4556:E$2)))))</f>
        <v> </v>
      </c>
      <c r="J4557" s="26" t="str">
        <f>IF(OR(E4557="",E4557="!!!",F4557="NEW"),"",COUNTBLANK(OFFSET(A$1,,,SUMPRODUCT(MAX(ROW(E$2:E4557)*(E4557=E$2:E4557)))))-COUNTBLANK(OFFSET(A$1,,,SUMPRODUCT(MAX(ROW(E$1:E4556)*(E2=E$1:E4556))))))</f>
        <v> </v>
      </c>
      <c r="K4557" s="26" t="str">
        <f>IF(OR(E4557="",E4557="!!!",F4557="NEW"),"",INDEX(J$1:J4556,SUMPRODUCT(MAX(ROW(E$1:E4556)*(E4557=E$1:E4556)))))</f>
        <v> </v>
      </c>
      <c r="L4557" s="27"/>
    </row>
    <row r="4558" spans="1:12">
      <c r="A4558" s="20" t="s">
        <v>1311</v>
      </c>
      <c r="E4558" s="22">
        <f>IF(D4558="?OLD","!!!","")</f>
        <v/>
      </c>
      <c r="F4558" s="23" t="str">
        <f>IF(OR(E4558="",E4558="!!!"),"",IF(NOT(ISNA(VLOOKUP(E4558,E$1:E4557,1,FALSE()))),"OLD",IF(AND(E4558&lt;&gt;"",E4558&lt;&gt;"!!!"),"NEW","")))</f>
        <v> </v>
      </c>
      <c r="G4558" s="24" t="str">
        <f>IF(OR(E4558="",E4558="!!!"),"",IF(OR(J4558=0,AND(J4558=1,K4558=1),AND(J4558=1,I4558="SBJ"),AND(J4558=1,I4558=0)),"?IN_FOCUS",IF(J4558&lt;=2,"?ACTIVATED",IF(J4558&lt;&gt;"","?FAMILIAR",IF(F4558="NEW",IF(ISNA(VLOOKUP(E4558,#REF!,1,FALSE())),"?TYPE_IDENTIFIABLE","?REFERENTIAL"),"_")))))</f>
        <v> </v>
      </c>
      <c r="H4558" s="25" t="str">
        <f>IF(J4558&lt;&gt;1,"",IF(I4558="SBJ","CB","?"))</f>
        <v> </v>
      </c>
      <c r="I4558" s="26" t="str">
        <f>IF(OR(E4558="",E4558="!!!",F4558="NEW"),"",INDEX(B4557:B$2,-1+SUMPRODUCT(MAX(ROW(E4557:E$2)*(E4558=E4557:E$2)))))</f>
        <v> </v>
      </c>
      <c r="J4558" s="26" t="str">
        <f>IF(OR(E4558="",E4558="!!!",F4558="NEW"),"",COUNTBLANK(OFFSET(A$1,,,SUMPRODUCT(MAX(ROW(E$2:E4558)*(E4558=E$2:E4558)))))-COUNTBLANK(OFFSET(A$1,,,SUMPRODUCT(MAX(ROW(E$1:E4557)*(E2=E$1:E4557))))))</f>
        <v> </v>
      </c>
      <c r="K4558" s="26" t="str">
        <f>IF(OR(E4558="",E4558="!!!",F4558="NEW"),"",INDEX(J$1:J4557,SUMPRODUCT(MAX(ROW(E$1:E4557)*(E4558=E$1:E4557)))))</f>
        <v> </v>
      </c>
      <c r="L4558" s="27"/>
    </row>
    <row r="4559" spans="1:12">
      <c r="A4559" s="20" t="s">
        <v>2159</v>
      </c>
      <c r="B4559" s="21" t="s">
        <v>1099</v>
      </c>
      <c r="C4559" s="21" t="s">
        <v>1159</v>
      </c>
      <c r="D4559" s="21" t="s">
        <v>1060</v>
      </c>
      <c r="E4559" s="22">
        <f>IF(D4559="?OLD","!!!","")</f>
        <v/>
      </c>
      <c r="F4559" s="23" t="str">
        <f>IF(OR(E4559="",E4559="!!!"),"",IF(NOT(ISNA(VLOOKUP(E4559,E$1:E4558,1,FALSE()))),"OLD",IF(AND(E4559&lt;&gt;"",E4559&lt;&gt;"!!!"),"NEW","")))</f>
        <v> </v>
      </c>
      <c r="G4559" s="24" t="str">
        <f>IF(OR(E4559="",E4559="!!!"),"",IF(OR(J4559=0,AND(J4559=1,K4559=1),AND(J4559=1,I4559="SBJ"),AND(J4559=1,I4559=0)),"?IN_FOCUS",IF(J4559&lt;=2,"?ACTIVATED",IF(J4559&lt;&gt;"","?FAMILIAR",IF(F4559="NEW",IF(ISNA(VLOOKUP(E4559,#REF!,1,FALSE())),"?TYPE_IDENTIFIABLE","?REFERENTIAL"),"_")))))</f>
        <v> </v>
      </c>
      <c r="H4559" s="25" t="str">
        <f>IF(J4559&lt;&gt;1,"",IF(I4559="SBJ","CB","?"))</f>
        <v> </v>
      </c>
      <c r="I4559" s="26" t="str">
        <f>IF(OR(E4559="",E4559="!!!",F4559="NEW"),"",INDEX(B4558:B$2,-1+SUMPRODUCT(MAX(ROW(E4558:E$2)*(E4559=E4558:E$2)))))</f>
        <v> </v>
      </c>
      <c r="J4559" s="26" t="str">
        <f>IF(OR(E4559="",E4559="!!!",F4559="NEW"),"",COUNTBLANK(OFFSET(A$1,,,SUMPRODUCT(MAX(ROW(E$2:E4559)*(E4559=E$2:E4559)))))-COUNTBLANK(OFFSET(A$1,,,SUMPRODUCT(MAX(ROW(E$1:E4558)*(E2=E$1:E4558))))))</f>
        <v> </v>
      </c>
      <c r="K4559" s="26" t="str">
        <f>IF(OR(E4559="",E4559="!!!",F4559="NEW"),"",INDEX(J$1:J4558,SUMPRODUCT(MAX(ROW(E$1:E4558)*(E4559=E$1:E4558)))))</f>
        <v> </v>
      </c>
      <c r="L4559" s="27"/>
    </row>
    <row r="4560" spans="1:12">
      <c r="A4560" s="20" t="s">
        <v>1066</v>
      </c>
      <c r="E4560" s="22">
        <f>IF(D4560="?OLD","!!!","")</f>
        <v/>
      </c>
      <c r="F4560" s="23" t="str">
        <f>IF(OR(E4560="",E4560="!!!"),"",IF(NOT(ISNA(VLOOKUP(E4560,E$1:E4559,1,FALSE()))),"OLD",IF(AND(E4560&lt;&gt;"",E4560&lt;&gt;"!!!"),"NEW","")))</f>
        <v> </v>
      </c>
      <c r="G4560" s="24" t="str">
        <f>IF(OR(E4560="",E4560="!!!"),"",IF(OR(J4560=0,AND(J4560=1,K4560=1),AND(J4560=1,I4560="SBJ"),AND(J4560=1,I4560=0)),"?IN_FOCUS",IF(J4560&lt;=2,"?ACTIVATED",IF(J4560&lt;&gt;"","?FAMILIAR",IF(F4560="NEW",IF(ISNA(VLOOKUP(E4560,#REF!,1,FALSE())),"?TYPE_IDENTIFIABLE","?REFERENTIAL"),"_")))))</f>
        <v> </v>
      </c>
      <c r="H4560" s="25" t="str">
        <f>IF(J4560&lt;&gt;1,"",IF(I4560="SBJ","CB","?"))</f>
        <v> </v>
      </c>
      <c r="I4560" s="26" t="str">
        <f>IF(OR(E4560="",E4560="!!!",F4560="NEW"),"",INDEX(B4559:B$2,-1+SUMPRODUCT(MAX(ROW(E4559:E$2)*(E4560=E4559:E$2)))))</f>
        <v> </v>
      </c>
      <c r="J4560" s="26" t="str">
        <f>IF(OR(E4560="",E4560="!!!",F4560="NEW"),"",COUNTBLANK(OFFSET(A$1,,,SUMPRODUCT(MAX(ROW(E$2:E4560)*(E4560=E$2:E4560)))))-COUNTBLANK(OFFSET(A$1,,,SUMPRODUCT(MAX(ROW(E$1:E4559)*(E2=E$1:E4559))))))</f>
        <v> </v>
      </c>
      <c r="K4560" s="26" t="str">
        <f>IF(OR(E4560="",E4560="!!!",F4560="NEW"),"",INDEX(J$1:J4559,SUMPRODUCT(MAX(ROW(E$1:E4559)*(E4560=E$1:E4559)))))</f>
        <v> </v>
      </c>
      <c r="L4560" s="27"/>
    </row>
    <row r="4561" spans="1:12">
      <c r="A4561" s="20" t="s">
        <v>1585</v>
      </c>
      <c r="B4561" s="21" t="s">
        <v>1064</v>
      </c>
      <c r="C4561" s="21" t="s">
        <v>1059</v>
      </c>
      <c r="D4561" s="21" t="s">
        <v>1060</v>
      </c>
      <c r="E4561" s="22">
        <f>IF(D4561="?OLD","!!!","")</f>
        <v/>
      </c>
      <c r="F4561" s="23" t="str">
        <f>IF(OR(E4561="",E4561="!!!"),"",IF(NOT(ISNA(VLOOKUP(E4561,E$1:E4560,1,FALSE()))),"OLD",IF(AND(E4561&lt;&gt;"",E4561&lt;&gt;"!!!"),"NEW","")))</f>
        <v> </v>
      </c>
      <c r="G4561" s="24" t="str">
        <f>IF(OR(E4561="",E4561="!!!"),"",IF(OR(J4561=0,AND(J4561=1,K4561=1),AND(J4561=1,I4561="SBJ"),AND(J4561=1,I4561=0)),"?IN_FOCUS",IF(J4561&lt;=2,"?ACTIVATED",IF(J4561&lt;&gt;"","?FAMILIAR",IF(F4561="NEW",IF(ISNA(VLOOKUP(E4561,#REF!,1,FALSE())),"?TYPE_IDENTIFIABLE","?REFERENTIAL"),"_")))))</f>
        <v> </v>
      </c>
      <c r="H4561" s="25" t="str">
        <f>IF(J4561&lt;&gt;1,"",IF(I4561="SBJ","CB","?"))</f>
        <v> </v>
      </c>
      <c r="I4561" s="26" t="str">
        <f>IF(OR(E4561="",E4561="!!!",F4561="NEW"),"",INDEX(B4560:B$2,-1+SUMPRODUCT(MAX(ROW(E4560:E$2)*(E4561=E4560:E$2)))))</f>
        <v> </v>
      </c>
      <c r="J4561" s="26" t="str">
        <f>IF(OR(E4561="",E4561="!!!",F4561="NEW"),"",COUNTBLANK(OFFSET(A$1,,,SUMPRODUCT(MAX(ROW(E$2:E4561)*(E4561=E$2:E4561)))))-COUNTBLANK(OFFSET(A$1,,,SUMPRODUCT(MAX(ROW(E$1:E4560)*(E2=E$1:E4560))))))</f>
        <v> </v>
      </c>
      <c r="K4561" s="26" t="str">
        <f>IF(OR(E4561="",E4561="!!!",F4561="NEW"),"",INDEX(J$1:J4560,SUMPRODUCT(MAX(ROW(E$1:E4560)*(E4561=E$1:E4560)))))</f>
        <v> </v>
      </c>
      <c r="L4561" s="27"/>
    </row>
    <row r="4562" spans="1:12">
      <c r="A4562" s="20" t="s">
        <v>1196</v>
      </c>
      <c r="E4562" s="22">
        <f>IF(D4562="?OLD","!!!","")</f>
        <v/>
      </c>
      <c r="F4562" s="23" t="str">
        <f>IF(OR(E4562="",E4562="!!!"),"",IF(NOT(ISNA(VLOOKUP(E4562,E$1:E4561,1,FALSE()))),"OLD",IF(AND(E4562&lt;&gt;"",E4562&lt;&gt;"!!!"),"NEW","")))</f>
        <v> </v>
      </c>
      <c r="G4562" s="24" t="str">
        <f>IF(OR(E4562="",E4562="!!!"),"",IF(OR(J4562=0,AND(J4562=1,K4562=1),AND(J4562=1,I4562="SBJ"),AND(J4562=1,I4562=0)),"?IN_FOCUS",IF(J4562&lt;=2,"?ACTIVATED",IF(J4562&lt;&gt;"","?FAMILIAR",IF(F4562="NEW",IF(ISNA(VLOOKUP(E4562,#REF!,1,FALSE())),"?TYPE_IDENTIFIABLE","?REFERENTIAL"),"_")))))</f>
        <v> </v>
      </c>
      <c r="H4562" s="25" t="str">
        <f>IF(J4562&lt;&gt;1,"",IF(I4562="SBJ","CB","?"))</f>
        <v> </v>
      </c>
      <c r="I4562" s="26" t="str">
        <f>IF(OR(E4562="",E4562="!!!",F4562="NEW"),"",INDEX(B4561:B$2,-1+SUMPRODUCT(MAX(ROW(E4561:E$2)*(E4562=E4561:E$2)))))</f>
        <v> </v>
      </c>
      <c r="J4562" s="26" t="str">
        <f>IF(OR(E4562="",E4562="!!!",F4562="NEW"),"",COUNTBLANK(OFFSET(A$1,,,SUMPRODUCT(MAX(ROW(E$2:E4562)*(E4562=E$2:E4562)))))-COUNTBLANK(OFFSET(A$1,,,SUMPRODUCT(MAX(ROW(E$1:E4561)*(E2=E$1:E4561))))))</f>
        <v> </v>
      </c>
      <c r="K4562" s="26" t="str">
        <f>IF(OR(E4562="",E4562="!!!",F4562="NEW"),"",INDEX(J$1:J4561,SUMPRODUCT(MAX(ROW(E$1:E4561)*(E4562=E$1:E4561)))))</f>
        <v> </v>
      </c>
      <c r="L4562" s="27"/>
    </row>
    <row r="4563" spans="1:12">
      <c r="A4563" s="20" t="s">
        <v>1170</v>
      </c>
      <c r="B4563" s="21" t="s">
        <v>1084</v>
      </c>
      <c r="C4563" s="21" t="s">
        <v>1076</v>
      </c>
      <c r="D4563" s="21" t="s">
        <v>1060</v>
      </c>
      <c r="E4563" s="22">
        <f>IF(D4563="?OLD","!!!","")</f>
        <v/>
      </c>
      <c r="F4563" s="23" t="str">
        <f>IF(OR(E4563="",E4563="!!!"),"",IF(NOT(ISNA(VLOOKUP(E4563,E$1:E4562,1,FALSE()))),"OLD",IF(AND(E4563&lt;&gt;"",E4563&lt;&gt;"!!!"),"NEW","")))</f>
        <v> </v>
      </c>
      <c r="G4563" s="24" t="str">
        <f>IF(OR(E4563="",E4563="!!!"),"",IF(OR(J4563=0,AND(J4563=1,K4563=1),AND(J4563=1,I4563="SBJ"),AND(J4563=1,I4563=0)),"?IN_FOCUS",IF(J4563&lt;=2,"?ACTIVATED",IF(J4563&lt;&gt;"","?FAMILIAR",IF(F4563="NEW",IF(ISNA(VLOOKUP(E4563,#REF!,1,FALSE())),"?TYPE_IDENTIFIABLE","?REFERENTIAL"),"_")))))</f>
        <v> </v>
      </c>
      <c r="H4563" s="25" t="str">
        <f>IF(J4563&lt;&gt;1,"",IF(I4563="SBJ","CB","?"))</f>
        <v> </v>
      </c>
      <c r="I4563" s="26" t="str">
        <f>IF(OR(E4563="",E4563="!!!",F4563="NEW"),"",INDEX(B4562:B$2,-1+SUMPRODUCT(MAX(ROW(E4562:E$2)*(E4563=E4562:E$2)))))</f>
        <v> </v>
      </c>
      <c r="J4563" s="26" t="str">
        <f>IF(OR(E4563="",E4563="!!!",F4563="NEW"),"",COUNTBLANK(OFFSET(A$1,,,SUMPRODUCT(MAX(ROW(E$2:E4563)*(E4563=E$2:E4563)))))-COUNTBLANK(OFFSET(A$1,,,SUMPRODUCT(MAX(ROW(E$1:E4562)*(E2=E$1:E4562))))))</f>
        <v> </v>
      </c>
      <c r="K4563" s="26" t="str">
        <f>IF(OR(E4563="",E4563="!!!",F4563="NEW"),"",INDEX(J$1:J4562,SUMPRODUCT(MAX(ROW(E$1:E4562)*(E4563=E$1:E4562)))))</f>
        <v> </v>
      </c>
      <c r="L4563" s="27"/>
    </row>
    <row r="4564" spans="1:12">
      <c r="A4564" s="20" t="s">
        <v>1495</v>
      </c>
      <c r="E4564" s="22">
        <f>IF(D4564="?OLD","!!!","")</f>
        <v/>
      </c>
      <c r="F4564" s="23" t="str">
        <f>IF(OR(E4564="",E4564="!!!"),"",IF(NOT(ISNA(VLOOKUP(E4564,E$1:E4563,1,FALSE()))),"OLD",IF(AND(E4564&lt;&gt;"",E4564&lt;&gt;"!!!"),"NEW","")))</f>
        <v> </v>
      </c>
      <c r="G4564" s="24" t="str">
        <f>IF(OR(E4564="",E4564="!!!"),"",IF(OR(J4564=0,AND(J4564=1,K4564=1),AND(J4564=1,I4564="SBJ"),AND(J4564=1,I4564=0)),"?IN_FOCUS",IF(J4564&lt;=2,"?ACTIVATED",IF(J4564&lt;&gt;"","?FAMILIAR",IF(F4564="NEW",IF(ISNA(VLOOKUP(E4564,#REF!,1,FALSE())),"?TYPE_IDENTIFIABLE","?REFERENTIAL"),"_")))))</f>
        <v> </v>
      </c>
      <c r="H4564" s="25" t="str">
        <f>IF(J4564&lt;&gt;1,"",IF(I4564="SBJ","CB","?"))</f>
        <v> </v>
      </c>
      <c r="I4564" s="26" t="str">
        <f>IF(OR(E4564="",E4564="!!!",F4564="NEW"),"",INDEX(B4563:B$2,-1+SUMPRODUCT(MAX(ROW(E4563:E$2)*(E4564=E4563:E$2)))))</f>
        <v> </v>
      </c>
      <c r="J4564" s="26" t="str">
        <f>IF(OR(E4564="",E4564="!!!",F4564="NEW"),"",COUNTBLANK(OFFSET(A$1,,,SUMPRODUCT(MAX(ROW(E$2:E4564)*(E4564=E$2:E4564)))))-COUNTBLANK(OFFSET(A$1,,,SUMPRODUCT(MAX(ROW(E$1:E4563)*(E2=E$1:E4563))))))</f>
        <v> </v>
      </c>
      <c r="K4564" s="26" t="str">
        <f>IF(OR(E4564="",E4564="!!!",F4564="NEW"),"",INDEX(J$1:J4563,SUMPRODUCT(MAX(ROW(E$1:E4563)*(E4564=E$1:E4563)))))</f>
        <v> </v>
      </c>
      <c r="L4564" s="27"/>
    </row>
    <row r="4565" spans="1:12">
      <c r="A4565" s="20" t="s">
        <v>1101</v>
      </c>
      <c r="E4565" s="22">
        <f>IF(D4565="?OLD","!!!","")</f>
        <v/>
      </c>
      <c r="F4565" s="23" t="str">
        <f>IF(OR(E4565="",E4565="!!!"),"",IF(NOT(ISNA(VLOOKUP(E4565,E$1:E4564,1,FALSE()))),"OLD",IF(AND(E4565&lt;&gt;"",E4565&lt;&gt;"!!!"),"NEW","")))</f>
        <v> </v>
      </c>
      <c r="G4565" s="24" t="str">
        <f>IF(OR(E4565="",E4565="!!!"),"",IF(OR(J4565=0,AND(J4565=1,K4565=1),AND(J4565=1,I4565="SBJ"),AND(J4565=1,I4565=0)),"?IN_FOCUS",IF(J4565&lt;=2,"?ACTIVATED",IF(J4565&lt;&gt;"","?FAMILIAR",IF(F4565="NEW",IF(ISNA(VLOOKUP(E4565,#REF!,1,FALSE())),"?TYPE_IDENTIFIABLE","?REFERENTIAL"),"_")))))</f>
        <v> </v>
      </c>
      <c r="H4565" s="25" t="str">
        <f>IF(J4565&lt;&gt;1,"",IF(I4565="SBJ","CB","?"))</f>
        <v> </v>
      </c>
      <c r="I4565" s="26" t="str">
        <f>IF(OR(E4565="",E4565="!!!",F4565="NEW"),"",INDEX(B4564:B$2,-1+SUMPRODUCT(MAX(ROW(E4564:E$2)*(E4565=E4564:E$2)))))</f>
        <v> </v>
      </c>
      <c r="J4565" s="26" t="str">
        <f>IF(OR(E4565="",E4565="!!!",F4565="NEW"),"",COUNTBLANK(OFFSET(A$1,,,SUMPRODUCT(MAX(ROW(E$2:E4565)*(E4565=E$2:E4565)))))-COUNTBLANK(OFFSET(A$1,,,SUMPRODUCT(MAX(ROW(E$1:E4564)*(E2=E$1:E4564))))))</f>
        <v> </v>
      </c>
      <c r="K4565" s="26" t="str">
        <f>IF(OR(E4565="",E4565="!!!",F4565="NEW"),"",INDEX(J$1:J4564,SUMPRODUCT(MAX(ROW(E$1:E4564)*(E4565=E$1:E4564)))))</f>
        <v> </v>
      </c>
      <c r="L4565" s="27"/>
    </row>
    <row r="4566" spans="1:12">
      <c r="A4566" s="20" t="s">
        <v>2354</v>
      </c>
      <c r="B4566" s="21" t="s">
        <v>1136</v>
      </c>
      <c r="C4566" s="21" t="s">
        <v>1140</v>
      </c>
      <c r="D4566" s="21" t="s">
        <v>1060</v>
      </c>
      <c r="E4566" s="22">
        <f>IF(D4566="?OLD","!!!","")</f>
        <v/>
      </c>
      <c r="F4566" s="23" t="str">
        <f>IF(OR(E4566="",E4566="!!!"),"",IF(NOT(ISNA(VLOOKUP(E4566,E$1:E4565,1,FALSE()))),"OLD",IF(AND(E4566&lt;&gt;"",E4566&lt;&gt;"!!!"),"NEW","")))</f>
        <v> </v>
      </c>
      <c r="G4566" s="24" t="str">
        <f>IF(OR(E4566="",E4566="!!!"),"",IF(OR(J4566=0,AND(J4566=1,K4566=1),AND(J4566=1,I4566="SBJ"),AND(J4566=1,I4566=0)),"?IN_FOCUS",IF(J4566&lt;=2,"?ACTIVATED",IF(J4566&lt;&gt;"","?FAMILIAR",IF(F4566="NEW",IF(ISNA(VLOOKUP(E4566,#REF!,1,FALSE())),"?TYPE_IDENTIFIABLE","?REFERENTIAL"),"_")))))</f>
        <v> </v>
      </c>
      <c r="H4566" s="25" t="str">
        <f>IF(J4566&lt;&gt;1,"",IF(I4566="SBJ","CB","?"))</f>
        <v> </v>
      </c>
      <c r="I4566" s="26" t="str">
        <f>IF(OR(E4566="",E4566="!!!",F4566="NEW"),"",INDEX(B4565:B$2,-1+SUMPRODUCT(MAX(ROW(E4565:E$2)*(E4566=E4565:E$2)))))</f>
        <v> </v>
      </c>
      <c r="J4566" s="26" t="str">
        <f>IF(OR(E4566="",E4566="!!!",F4566="NEW"),"",COUNTBLANK(OFFSET(A$1,,,SUMPRODUCT(MAX(ROW(E$2:E4566)*(E4566=E$2:E4566)))))-COUNTBLANK(OFFSET(A$1,,,SUMPRODUCT(MAX(ROW(E$1:E4565)*(E2=E$1:E4565))))))</f>
        <v> </v>
      </c>
      <c r="K4566" s="26" t="str">
        <f>IF(OR(E4566="",E4566="!!!",F4566="NEW"),"",INDEX(J$1:J4565,SUMPRODUCT(MAX(ROW(E$1:E4565)*(E4566=E$1:E4565)))))</f>
        <v> </v>
      </c>
      <c r="L4566" s="27"/>
    </row>
    <row r="4567" spans="1:12">
      <c r="A4567" s="20" t="s">
        <v>1118</v>
      </c>
      <c r="E4567" s="22">
        <f>IF(D4567="?OLD","!!!","")</f>
        <v/>
      </c>
      <c r="F4567" s="23" t="str">
        <f>IF(OR(E4567="",E4567="!!!"),"",IF(NOT(ISNA(VLOOKUP(E4567,E$1:E4566,1,FALSE()))),"OLD",IF(AND(E4567&lt;&gt;"",E4567&lt;&gt;"!!!"),"NEW","")))</f>
        <v> </v>
      </c>
      <c r="G4567" s="24" t="str">
        <f>IF(OR(E4567="",E4567="!!!"),"",IF(OR(J4567=0,AND(J4567=1,K4567=1),AND(J4567=1,I4567="SBJ"),AND(J4567=1,I4567=0)),"?IN_FOCUS",IF(J4567&lt;=2,"?ACTIVATED",IF(J4567&lt;&gt;"","?FAMILIAR",IF(F4567="NEW",IF(ISNA(VLOOKUP(E4567,#REF!,1,FALSE())),"?TYPE_IDENTIFIABLE","?REFERENTIAL"),"_")))))</f>
        <v> </v>
      </c>
      <c r="H4567" s="25" t="str">
        <f>IF(J4567&lt;&gt;1,"",IF(I4567="SBJ","CB","?"))</f>
        <v> </v>
      </c>
      <c r="I4567" s="26" t="str">
        <f>IF(OR(E4567="",E4567="!!!",F4567="NEW"),"",INDEX(B4566:B$2,-1+SUMPRODUCT(MAX(ROW(E4566:E$2)*(E4567=E4566:E$2)))))</f>
        <v> </v>
      </c>
      <c r="J4567" s="26" t="str">
        <f>IF(OR(E4567="",E4567="!!!",F4567="NEW"),"",COUNTBLANK(OFFSET(A$1,,,SUMPRODUCT(MAX(ROW(E$2:E4567)*(E4567=E$2:E4567)))))-COUNTBLANK(OFFSET(A$1,,,SUMPRODUCT(MAX(ROW(E$1:E4566)*(E2=E$1:E4566))))))</f>
        <v> </v>
      </c>
      <c r="K4567" s="26" t="str">
        <f>IF(OR(E4567="",E4567="!!!",F4567="NEW"),"",INDEX(J$1:J4566,SUMPRODUCT(MAX(ROW(E$1:E4566)*(E4567=E$1:E4566)))))</f>
        <v> </v>
      </c>
      <c r="L4567" s="27"/>
    </row>
    <row r="4568" spans="1:12">
      <c r="A4568" s="20" t="s">
        <v>2355</v>
      </c>
      <c r="B4568" s="21" t="s">
        <v>1099</v>
      </c>
      <c r="C4568" s="21" t="s">
        <v>1149</v>
      </c>
      <c r="E4568" s="22">
        <f>IF(D4568="?OLD","!!!","")</f>
        <v/>
      </c>
      <c r="F4568" s="23" t="str">
        <f>IF(OR(E4568="",E4568="!!!"),"",IF(NOT(ISNA(VLOOKUP(E4568,E$1:E4567,1,FALSE()))),"OLD",IF(AND(E4568&lt;&gt;"",E4568&lt;&gt;"!!!"),"NEW","")))</f>
        <v> </v>
      </c>
      <c r="G4568" s="24" t="str">
        <f>IF(OR(E4568="",E4568="!!!"),"",IF(OR(J4568=0,AND(J4568=1,K4568=1),AND(J4568=1,I4568="SBJ"),AND(J4568=1,I4568=0)),"?IN_FOCUS",IF(J4568&lt;=2,"?ACTIVATED",IF(J4568&lt;&gt;"","?FAMILIAR",IF(F4568="NEW",IF(ISNA(VLOOKUP(E4568,#REF!,1,FALSE())),"?TYPE_IDENTIFIABLE","?REFERENTIAL"),"_")))))</f>
        <v> </v>
      </c>
      <c r="H4568" s="25" t="str">
        <f>IF(J4568&lt;&gt;1,"",IF(I4568="SBJ","CB","?"))</f>
        <v> </v>
      </c>
      <c r="I4568" s="26" t="str">
        <f>IF(OR(E4568="",E4568="!!!",F4568="NEW"),"",INDEX(B4567:B$2,-1+SUMPRODUCT(MAX(ROW(E4567:E$2)*(E4568=E4567:E$2)))))</f>
        <v> </v>
      </c>
      <c r="J4568" s="26" t="str">
        <f>IF(OR(E4568="",E4568="!!!",F4568="NEW"),"",COUNTBLANK(OFFSET(A$1,,,SUMPRODUCT(MAX(ROW(E$2:E4568)*(E4568=E$2:E4568)))))-COUNTBLANK(OFFSET(A$1,,,SUMPRODUCT(MAX(ROW(E$1:E4567)*(E2=E$1:E4567))))))</f>
        <v> </v>
      </c>
      <c r="K4568" s="26" t="str">
        <f>IF(OR(E4568="",E4568="!!!",F4568="NEW"),"",INDEX(J$1:J4567,SUMPRODUCT(MAX(ROW(E$1:E4567)*(E4568=E$1:E4567)))))</f>
        <v> </v>
      </c>
      <c r="L4568" s="27"/>
    </row>
    <row r="4569" spans="1:12">
      <c r="A4569" s="20" t="s">
        <v>1194</v>
      </c>
      <c r="E4569" s="22">
        <f>IF(D4569="?OLD","!!!","")</f>
        <v/>
      </c>
      <c r="F4569" s="23" t="str">
        <f>IF(OR(E4569="",E4569="!!!"),"",IF(NOT(ISNA(VLOOKUP(E4569,E$1:E4568,1,FALSE()))),"OLD",IF(AND(E4569&lt;&gt;"",E4569&lt;&gt;"!!!"),"NEW","")))</f>
        <v> </v>
      </c>
      <c r="G4569" s="24" t="str">
        <f>IF(OR(E4569="",E4569="!!!"),"",IF(OR(J4569=0,AND(J4569=1,K4569=1),AND(J4569=1,I4569="SBJ"),AND(J4569=1,I4569=0)),"?IN_FOCUS",IF(J4569&lt;=2,"?ACTIVATED",IF(J4569&lt;&gt;"","?FAMILIAR",IF(F4569="NEW",IF(ISNA(VLOOKUP(E4569,#REF!,1,FALSE())),"?TYPE_IDENTIFIABLE","?REFERENTIAL"),"_")))))</f>
        <v> </v>
      </c>
      <c r="H4569" s="25" t="str">
        <f>IF(J4569&lt;&gt;1,"",IF(I4569="SBJ","CB","?"))</f>
        <v> </v>
      </c>
      <c r="I4569" s="26" t="str">
        <f>IF(OR(E4569="",E4569="!!!",F4569="NEW"),"",INDEX(B4568:B$2,-1+SUMPRODUCT(MAX(ROW(E4568:E$2)*(E4569=E4568:E$2)))))</f>
        <v> </v>
      </c>
      <c r="J4569" s="26" t="str">
        <f>IF(OR(E4569="",E4569="!!!",F4569="NEW"),"",COUNTBLANK(OFFSET(A$1,,,SUMPRODUCT(MAX(ROW(E$2:E4569)*(E4569=E$2:E4569)))))-COUNTBLANK(OFFSET(A$1,,,SUMPRODUCT(MAX(ROW(E$1:E4568)*(E2=E$1:E4568))))))</f>
        <v> </v>
      </c>
      <c r="K4569" s="26" t="str">
        <f>IF(OR(E4569="",E4569="!!!",F4569="NEW"),"",INDEX(J$1:J4568,SUMPRODUCT(MAX(ROW(E$1:E4568)*(E4569=E$1:E4568)))))</f>
        <v> </v>
      </c>
      <c r="L4569" s="27"/>
    </row>
    <row r="4570" spans="1:12">
      <c r="A4570" s="20" t="s">
        <v>1115</v>
      </c>
      <c r="E4570" s="22">
        <f>IF(D4570="?OLD","!!!","")</f>
        <v/>
      </c>
      <c r="F4570" s="23" t="str">
        <f>IF(OR(E4570="",E4570="!!!"),"",IF(NOT(ISNA(VLOOKUP(E4570,E$1:E4569,1,FALSE()))),"OLD",IF(AND(E4570&lt;&gt;"",E4570&lt;&gt;"!!!"),"NEW","")))</f>
        <v> </v>
      </c>
      <c r="G4570" s="24" t="str">
        <f>IF(OR(E4570="",E4570="!!!"),"",IF(OR(J4570=0,AND(J4570=1,K4570=1),AND(J4570=1,I4570="SBJ"),AND(J4570=1,I4570=0)),"?IN_FOCUS",IF(J4570&lt;=2,"?ACTIVATED",IF(J4570&lt;&gt;"","?FAMILIAR",IF(F4570="NEW",IF(ISNA(VLOOKUP(E4570,#REF!,1,FALSE())),"?TYPE_IDENTIFIABLE","?REFERENTIAL"),"_")))))</f>
        <v> </v>
      </c>
      <c r="H4570" s="25" t="str">
        <f>IF(J4570&lt;&gt;1,"",IF(I4570="SBJ","CB","?"))</f>
        <v> </v>
      </c>
      <c r="I4570" s="26" t="str">
        <f>IF(OR(E4570="",E4570="!!!",F4570="NEW"),"",INDEX(B4569:B$2,-1+SUMPRODUCT(MAX(ROW(E4569:E$2)*(E4570=E4569:E$2)))))</f>
        <v> </v>
      </c>
      <c r="J4570" s="26" t="str">
        <f>IF(OR(E4570="",E4570="!!!",F4570="NEW"),"",COUNTBLANK(OFFSET(A$1,,,SUMPRODUCT(MAX(ROW(E$2:E4570)*(E4570=E$2:E4570)))))-COUNTBLANK(OFFSET(A$1,,,SUMPRODUCT(MAX(ROW(E$1:E4569)*(E2=E$1:E4569))))))</f>
        <v> </v>
      </c>
      <c r="K4570" s="26" t="str">
        <f>IF(OR(E4570="",E4570="!!!",F4570="NEW"),"",INDEX(J$1:J4569,SUMPRODUCT(MAX(ROW(E$1:E4569)*(E4570=E$1:E4569)))))</f>
        <v> </v>
      </c>
      <c r="L4570" s="27"/>
    </row>
    <row r="4571" spans="1:12">
      <c r="A4571" s="20" t="s">
        <v>1531</v>
      </c>
      <c r="B4571" s="21" t="s">
        <v>1179</v>
      </c>
      <c r="C4571" s="21" t="s">
        <v>1076</v>
      </c>
      <c r="D4571" s="21" t="s">
        <v>1060</v>
      </c>
      <c r="E4571" s="22">
        <f>IF(D4571="?OLD","!!!","")</f>
        <v/>
      </c>
      <c r="F4571" s="23" t="str">
        <f>IF(OR(E4571="",E4571="!!!"),"",IF(NOT(ISNA(VLOOKUP(E4571,E$1:E4570,1,FALSE()))),"OLD",IF(AND(E4571&lt;&gt;"",E4571&lt;&gt;"!!!"),"NEW","")))</f>
        <v> </v>
      </c>
      <c r="G4571" s="24" t="str">
        <f>IF(OR(E4571="",E4571="!!!"),"",IF(OR(J4571=0,AND(J4571=1,K4571=1),AND(J4571=1,I4571="SBJ"),AND(J4571=1,I4571=0)),"?IN_FOCUS",IF(J4571&lt;=2,"?ACTIVATED",IF(J4571&lt;&gt;"","?FAMILIAR",IF(F4571="NEW",IF(ISNA(VLOOKUP(E4571,#REF!,1,FALSE())),"?TYPE_IDENTIFIABLE","?REFERENTIAL"),"_")))))</f>
        <v> </v>
      </c>
      <c r="H4571" s="25" t="str">
        <f>IF(J4571&lt;&gt;1,"",IF(I4571="SBJ","CB","?"))</f>
        <v> </v>
      </c>
      <c r="I4571" s="26" t="str">
        <f>IF(OR(E4571="",E4571="!!!",F4571="NEW"),"",INDEX(B4570:B$2,-1+SUMPRODUCT(MAX(ROW(E4570:E$2)*(E4571=E4570:E$2)))))</f>
        <v> </v>
      </c>
      <c r="J4571" s="26" t="str">
        <f>IF(OR(E4571="",E4571="!!!",F4571="NEW"),"",COUNTBLANK(OFFSET(A$1,,,SUMPRODUCT(MAX(ROW(E$2:E4571)*(E4571=E$2:E4571)))))-COUNTBLANK(OFFSET(A$1,,,SUMPRODUCT(MAX(ROW(E$1:E4570)*(E2=E$1:E4570))))))</f>
        <v> </v>
      </c>
      <c r="K4571" s="26" t="str">
        <f>IF(OR(E4571="",E4571="!!!",F4571="NEW"),"",INDEX(J$1:J4570,SUMPRODUCT(MAX(ROW(E$1:E4570)*(E4571=E$1:E4570)))))</f>
        <v> </v>
      </c>
      <c r="L4571" s="27"/>
    </row>
    <row r="4572" spans="1:12">
      <c r="A4572" s="20" t="s">
        <v>1952</v>
      </c>
      <c r="E4572" s="22">
        <f>IF(D4572="?OLD","!!!","")</f>
        <v/>
      </c>
      <c r="F4572" s="23" t="str">
        <f>IF(OR(E4572="",E4572="!!!"),"",IF(NOT(ISNA(VLOOKUP(E4572,E$1:E4571,1,FALSE()))),"OLD",IF(AND(E4572&lt;&gt;"",E4572&lt;&gt;"!!!"),"NEW","")))</f>
        <v> </v>
      </c>
      <c r="G4572" s="24" t="str">
        <f>IF(OR(E4572="",E4572="!!!"),"",IF(OR(J4572=0,AND(J4572=1,K4572=1),AND(J4572=1,I4572="SBJ"),AND(J4572=1,I4572=0)),"?IN_FOCUS",IF(J4572&lt;=2,"?ACTIVATED",IF(J4572&lt;&gt;"","?FAMILIAR",IF(F4572="NEW",IF(ISNA(VLOOKUP(E4572,#REF!,1,FALSE())),"?TYPE_IDENTIFIABLE","?REFERENTIAL"),"_")))))</f>
        <v> </v>
      </c>
      <c r="H4572" s="25" t="str">
        <f>IF(J4572&lt;&gt;1,"",IF(I4572="SBJ","CB","?"))</f>
        <v> </v>
      </c>
      <c r="I4572" s="26" t="str">
        <f>IF(OR(E4572="",E4572="!!!",F4572="NEW"),"",INDEX(B4571:B$2,-1+SUMPRODUCT(MAX(ROW(E4571:E$2)*(E4572=E4571:E$2)))))</f>
        <v> </v>
      </c>
      <c r="J4572" s="26" t="str">
        <f>IF(OR(E4572="",E4572="!!!",F4572="NEW"),"",COUNTBLANK(OFFSET(A$1,,,SUMPRODUCT(MAX(ROW(E$2:E4572)*(E4572=E$2:E4572)))))-COUNTBLANK(OFFSET(A$1,,,SUMPRODUCT(MAX(ROW(E$1:E4571)*(E2=E$1:E4571))))))</f>
        <v> </v>
      </c>
      <c r="K4572" s="26" t="str">
        <f>IF(OR(E4572="",E4572="!!!",F4572="NEW"),"",INDEX(J$1:J4571,SUMPRODUCT(MAX(ROW(E$1:E4571)*(E4572=E$1:E4571)))))</f>
        <v> </v>
      </c>
      <c r="L4572" s="27"/>
    </row>
    <row r="4573" spans="1:12">
      <c r="A4573" s="20" t="s">
        <v>1166</v>
      </c>
      <c r="B4573" s="21" t="s">
        <v>1095</v>
      </c>
      <c r="C4573" s="21" t="s">
        <v>1076</v>
      </c>
      <c r="D4573" s="21" t="s">
        <v>1060</v>
      </c>
      <c r="E4573" s="22">
        <f>IF(D4573="?OLD","!!!","")</f>
        <v/>
      </c>
      <c r="F4573" s="23" t="str">
        <f>IF(OR(E4573="",E4573="!!!"),"",IF(NOT(ISNA(VLOOKUP(E4573,E$1:E4572,1,FALSE()))),"OLD",IF(AND(E4573&lt;&gt;"",E4573&lt;&gt;"!!!"),"NEW","")))</f>
        <v> </v>
      </c>
      <c r="G4573" s="24" t="str">
        <f>IF(OR(E4573="",E4573="!!!"),"",IF(OR(J4573=0,AND(J4573=1,K4573=1),AND(J4573=1,I4573="SBJ"),AND(J4573=1,I4573=0)),"?IN_FOCUS",IF(J4573&lt;=2,"?ACTIVATED",IF(J4573&lt;&gt;"","?FAMILIAR",IF(F4573="NEW",IF(ISNA(VLOOKUP(E4573,#REF!,1,FALSE())),"?TYPE_IDENTIFIABLE","?REFERENTIAL"),"_")))))</f>
        <v> </v>
      </c>
      <c r="H4573" s="25" t="str">
        <f>IF(J4573&lt;&gt;1,"",IF(I4573="SBJ","CB","?"))</f>
        <v> </v>
      </c>
      <c r="I4573" s="26" t="str">
        <f>IF(OR(E4573="",E4573="!!!",F4573="NEW"),"",INDEX(B4572:B$2,-1+SUMPRODUCT(MAX(ROW(E4572:E$2)*(E4573=E4572:E$2)))))</f>
        <v> </v>
      </c>
      <c r="J4573" s="26" t="str">
        <f>IF(OR(E4573="",E4573="!!!",F4573="NEW"),"",COUNTBLANK(OFFSET(A$1,,,SUMPRODUCT(MAX(ROW(E$2:E4573)*(E4573=E$2:E4573)))))-COUNTBLANK(OFFSET(A$1,,,SUMPRODUCT(MAX(ROW(E$1:E4572)*(E2=E$1:E4572))))))</f>
        <v> </v>
      </c>
      <c r="K4573" s="26" t="str">
        <f>IF(OR(E4573="",E4573="!!!",F4573="NEW"),"",INDEX(J$1:J4572,SUMPRODUCT(MAX(ROW(E$1:E4572)*(E4573=E$1:E4572)))))</f>
        <v> </v>
      </c>
      <c r="L4573" s="27"/>
    </row>
    <row r="4574" spans="1:12">
      <c r="A4574" s="20" t="s">
        <v>1204</v>
      </c>
      <c r="E4574" s="22">
        <f>IF(D4574="?OLD","!!!","")</f>
        <v/>
      </c>
      <c r="F4574" s="23" t="str">
        <f>IF(OR(E4574="",E4574="!!!"),"",IF(NOT(ISNA(VLOOKUP(E4574,E$1:E4573,1,FALSE()))),"OLD",IF(AND(E4574&lt;&gt;"",E4574&lt;&gt;"!!!"),"NEW","")))</f>
        <v> </v>
      </c>
      <c r="G4574" s="24" t="str">
        <f>IF(OR(E4574="",E4574="!!!"),"",IF(OR(J4574=0,AND(J4574=1,K4574=1),AND(J4574=1,I4574="SBJ"),AND(J4574=1,I4574=0)),"?IN_FOCUS",IF(J4574&lt;=2,"?ACTIVATED",IF(J4574&lt;&gt;"","?FAMILIAR",IF(F4574="NEW",IF(ISNA(VLOOKUP(E4574,#REF!,1,FALSE())),"?TYPE_IDENTIFIABLE","?REFERENTIAL"),"_")))))</f>
        <v> </v>
      </c>
      <c r="H4574" s="25" t="str">
        <f>IF(J4574&lt;&gt;1,"",IF(I4574="SBJ","CB","?"))</f>
        <v> </v>
      </c>
      <c r="I4574" s="26" t="str">
        <f>IF(OR(E4574="",E4574="!!!",F4574="NEW"),"",INDEX(B4573:B$2,-1+SUMPRODUCT(MAX(ROW(E4573:E$2)*(E4574=E4573:E$2)))))</f>
        <v> </v>
      </c>
      <c r="J4574" s="26" t="str">
        <f>IF(OR(E4574="",E4574="!!!",F4574="NEW"),"",COUNTBLANK(OFFSET(A$1,,,SUMPRODUCT(MAX(ROW(E$2:E4574)*(E4574=E$2:E4574)))))-COUNTBLANK(OFFSET(A$1,,,SUMPRODUCT(MAX(ROW(E$1:E4573)*(E2=E$1:E4573))))))</f>
        <v> </v>
      </c>
      <c r="K4574" s="26" t="str">
        <f>IF(OR(E4574="",E4574="!!!",F4574="NEW"),"",INDEX(J$1:J4573,SUMPRODUCT(MAX(ROW(E$1:E4573)*(E4574=E$1:E4573)))))</f>
        <v> </v>
      </c>
      <c r="L4574" s="27"/>
    </row>
    <row r="4575" spans="1:12">
      <c r="A4575" s="20" t="s">
        <v>2179</v>
      </c>
      <c r="B4575" s="21" t="s">
        <v>1104</v>
      </c>
      <c r="C4575" s="21" t="s">
        <v>1092</v>
      </c>
      <c r="D4575" s="21" t="s">
        <v>1060</v>
      </c>
      <c r="E4575" s="22">
        <f>IF(D4575="?OLD","!!!","")</f>
        <v/>
      </c>
      <c r="F4575" s="23" t="str">
        <f>IF(OR(E4575="",E4575="!!!"),"",IF(NOT(ISNA(VLOOKUP(E4575,E$1:E4574,1,FALSE()))),"OLD",IF(AND(E4575&lt;&gt;"",E4575&lt;&gt;"!!!"),"NEW","")))</f>
        <v> </v>
      </c>
      <c r="G4575" s="24" t="str">
        <f>IF(OR(E4575="",E4575="!!!"),"",IF(OR(J4575=0,AND(J4575=1,K4575=1),AND(J4575=1,I4575="SBJ"),AND(J4575=1,I4575=0)),"?IN_FOCUS",IF(J4575&lt;=2,"?ACTIVATED",IF(J4575&lt;&gt;"","?FAMILIAR",IF(F4575="NEW",IF(ISNA(VLOOKUP(E4575,#REF!,1,FALSE())),"?TYPE_IDENTIFIABLE","?REFERENTIAL"),"_")))))</f>
        <v> </v>
      </c>
      <c r="H4575" s="25" t="str">
        <f>IF(J4575&lt;&gt;1,"",IF(I4575="SBJ","CB","?"))</f>
        <v> </v>
      </c>
      <c r="I4575" s="26" t="str">
        <f>IF(OR(E4575="",E4575="!!!",F4575="NEW"),"",INDEX(B4574:B$2,-1+SUMPRODUCT(MAX(ROW(E4574:E$2)*(E4575=E4574:E$2)))))</f>
        <v> </v>
      </c>
      <c r="J4575" s="26" t="str">
        <f>IF(OR(E4575="",E4575="!!!",F4575="NEW"),"",COUNTBLANK(OFFSET(A$1,,,SUMPRODUCT(MAX(ROW(E$2:E4575)*(E4575=E$2:E4575)))))-COUNTBLANK(OFFSET(A$1,,,SUMPRODUCT(MAX(ROW(E$1:E4574)*(E2=E$1:E4574))))))</f>
        <v> </v>
      </c>
      <c r="K4575" s="26" t="str">
        <f>IF(OR(E4575="",E4575="!!!",F4575="NEW"),"",INDEX(J$1:J4574,SUMPRODUCT(MAX(ROW(E$1:E4574)*(E4575=E$1:E4574)))))</f>
        <v> </v>
      </c>
      <c r="L4575" s="27"/>
    </row>
    <row r="4576" spans="1:12">
      <c r="A4576" s="20" t="s">
        <v>2210</v>
      </c>
      <c r="B4576" s="21" t="s">
        <v>1091</v>
      </c>
      <c r="C4576" s="21" t="s">
        <v>1059</v>
      </c>
      <c r="D4576" s="21" t="s">
        <v>1060</v>
      </c>
      <c r="E4576" s="22">
        <f>IF(D4576="?OLD","!!!","")</f>
        <v/>
      </c>
      <c r="F4576" s="23" t="str">
        <f>IF(OR(E4576="",E4576="!!!"),"",IF(NOT(ISNA(VLOOKUP(E4576,E$1:E4575,1,FALSE()))),"OLD",IF(AND(E4576&lt;&gt;"",E4576&lt;&gt;"!!!"),"NEW","")))</f>
        <v> </v>
      </c>
      <c r="G4576" s="24" t="str">
        <f>IF(OR(E4576="",E4576="!!!"),"",IF(OR(J4576=0,AND(J4576=1,K4576=1),AND(J4576=1,I4576="SBJ"),AND(J4576=1,I4576=0)),"?IN_FOCUS",IF(J4576&lt;=2,"?ACTIVATED",IF(J4576&lt;&gt;"","?FAMILIAR",IF(F4576="NEW",IF(ISNA(VLOOKUP(E4576,#REF!,1,FALSE())),"?TYPE_IDENTIFIABLE","?REFERENTIAL"),"_")))))</f>
        <v> </v>
      </c>
      <c r="H4576" s="25" t="str">
        <f>IF(J4576&lt;&gt;1,"",IF(I4576="SBJ","CB","?"))</f>
        <v> </v>
      </c>
      <c r="I4576" s="26" t="str">
        <f>IF(OR(E4576="",E4576="!!!",F4576="NEW"),"",INDEX(B4575:B$2,-1+SUMPRODUCT(MAX(ROW(E4575:E$2)*(E4576=E4575:E$2)))))</f>
        <v> </v>
      </c>
      <c r="J4576" s="26" t="str">
        <f>IF(OR(E4576="",E4576="!!!",F4576="NEW"),"",COUNTBLANK(OFFSET(A$1,,,SUMPRODUCT(MAX(ROW(E$2:E4576)*(E4576=E$2:E4576)))))-COUNTBLANK(OFFSET(A$1,,,SUMPRODUCT(MAX(ROW(E$1:E4575)*(E2=E$1:E4575))))))</f>
        <v> </v>
      </c>
      <c r="K4576" s="26" t="str">
        <f>IF(OR(E4576="",E4576="!!!",F4576="NEW"),"",INDEX(J$1:J4575,SUMPRODUCT(MAX(ROW(E$1:E4575)*(E4576=E$1:E4575)))))</f>
        <v> </v>
      </c>
      <c r="L4576" s="27"/>
    </row>
    <row r="4577" spans="1:12">
      <c r="A4577" s="20" t="s">
        <v>1066</v>
      </c>
      <c r="E4577" s="22">
        <f>IF(D4577="?OLD","!!!","")</f>
        <v/>
      </c>
      <c r="F4577" s="23" t="str">
        <f>IF(OR(E4577="",E4577="!!!"),"",IF(NOT(ISNA(VLOOKUP(E4577,E$1:E4576,1,FALSE()))),"OLD",IF(AND(E4577&lt;&gt;"",E4577&lt;&gt;"!!!"),"NEW","")))</f>
        <v> </v>
      </c>
      <c r="G4577" s="24" t="str">
        <f>IF(OR(E4577="",E4577="!!!"),"",IF(OR(J4577=0,AND(J4577=1,K4577=1),AND(J4577=1,I4577="SBJ"),AND(J4577=1,I4577=0)),"?IN_FOCUS",IF(J4577&lt;=2,"?ACTIVATED",IF(J4577&lt;&gt;"","?FAMILIAR",IF(F4577="NEW",IF(ISNA(VLOOKUP(E4577,#REF!,1,FALSE())),"?TYPE_IDENTIFIABLE","?REFERENTIAL"),"_")))))</f>
        <v> </v>
      </c>
      <c r="H4577" s="25" t="str">
        <f>IF(J4577&lt;&gt;1,"",IF(I4577="SBJ","CB","?"))</f>
        <v> </v>
      </c>
      <c r="I4577" s="26" t="str">
        <f>IF(OR(E4577="",E4577="!!!",F4577="NEW"),"",INDEX(B4576:B$2,-1+SUMPRODUCT(MAX(ROW(E4576:E$2)*(E4577=E4576:E$2)))))</f>
        <v> </v>
      </c>
      <c r="J4577" s="26" t="str">
        <f>IF(OR(E4577="",E4577="!!!",F4577="NEW"),"",COUNTBLANK(OFFSET(A$1,,,SUMPRODUCT(MAX(ROW(E$2:E4577)*(E4577=E$2:E4577)))))-COUNTBLANK(OFFSET(A$1,,,SUMPRODUCT(MAX(ROW(E$1:E4576)*(E2=E$1:E4576))))))</f>
        <v> </v>
      </c>
      <c r="K4577" s="26" t="str">
        <f>IF(OR(E4577="",E4577="!!!",F4577="NEW"),"",INDEX(J$1:J4576,SUMPRODUCT(MAX(ROW(E$1:E4576)*(E4577=E$1:E4576)))))</f>
        <v> </v>
      </c>
      <c r="L4577" s="27"/>
    </row>
    <row r="4578" spans="1:12">
      <c r="A4578" s="20" t="s">
        <v>1351</v>
      </c>
      <c r="B4578" s="21" t="s">
        <v>1099</v>
      </c>
      <c r="C4578" s="21" t="s">
        <v>1059</v>
      </c>
      <c r="D4578" s="21" t="s">
        <v>1060</v>
      </c>
      <c r="E4578" s="22">
        <f>IF(D4578="?OLD","!!!","")</f>
        <v/>
      </c>
      <c r="F4578" s="23" t="str">
        <f>IF(OR(E4578="",E4578="!!!"),"",IF(NOT(ISNA(VLOOKUP(E4578,E$1:E4577,1,FALSE()))),"OLD",IF(AND(E4578&lt;&gt;"",E4578&lt;&gt;"!!!"),"NEW","")))</f>
        <v> </v>
      </c>
      <c r="G4578" s="24" t="str">
        <f>IF(OR(E4578="",E4578="!!!"),"",IF(OR(J4578=0,AND(J4578=1,K4578=1),AND(J4578=1,I4578="SBJ"),AND(J4578=1,I4578=0)),"?IN_FOCUS",IF(J4578&lt;=2,"?ACTIVATED",IF(J4578&lt;&gt;"","?FAMILIAR",IF(F4578="NEW",IF(ISNA(VLOOKUP(E4578,#REF!,1,FALSE())),"?TYPE_IDENTIFIABLE","?REFERENTIAL"),"_")))))</f>
        <v> </v>
      </c>
      <c r="H4578" s="25" t="str">
        <f>IF(J4578&lt;&gt;1,"",IF(I4578="SBJ","CB","?"))</f>
        <v> </v>
      </c>
      <c r="I4578" s="26" t="str">
        <f>IF(OR(E4578="",E4578="!!!",F4578="NEW"),"",INDEX(B4577:B$2,-1+SUMPRODUCT(MAX(ROW(E4577:E$2)*(E4578=E4577:E$2)))))</f>
        <v> </v>
      </c>
      <c r="J4578" s="26" t="str">
        <f>IF(OR(E4578="",E4578="!!!",F4578="NEW"),"",COUNTBLANK(OFFSET(A$1,,,SUMPRODUCT(MAX(ROW(E$2:E4578)*(E4578=E$2:E4578)))))-COUNTBLANK(OFFSET(A$1,,,SUMPRODUCT(MAX(ROW(E$1:E4577)*(E2=E$1:E4577))))))</f>
        <v> </v>
      </c>
      <c r="K4578" s="26" t="str">
        <f>IF(OR(E4578="",E4578="!!!",F4578="NEW"),"",INDEX(J$1:J4577,SUMPRODUCT(MAX(ROW(E$1:E4577)*(E4578=E$1:E4577)))))</f>
        <v> </v>
      </c>
      <c r="L4578" s="27"/>
    </row>
    <row r="4579" spans="1:12">
      <c r="A4579" s="20" t="s">
        <v>923</v>
      </c>
      <c r="E4579" s="22">
        <f>IF(D4579="?OLD","!!!","")</f>
        <v/>
      </c>
      <c r="F4579" s="23" t="str">
        <f>IF(OR(E4579="",E4579="!!!"),"",IF(NOT(ISNA(VLOOKUP(E4579,E$1:E4578,1,FALSE()))),"OLD",IF(AND(E4579&lt;&gt;"",E4579&lt;&gt;"!!!"),"NEW","")))</f>
        <v> </v>
      </c>
      <c r="G4579" s="24" t="str">
        <f>IF(OR(E4579="",E4579="!!!"),"",IF(OR(J4579=0,AND(J4579=1,K4579=1),AND(J4579=1,I4579="SBJ"),AND(J4579=1,I4579=0)),"?IN_FOCUS",IF(J4579&lt;=2,"?ACTIVATED",IF(J4579&lt;&gt;"","?FAMILIAR",IF(F4579="NEW",IF(ISNA(VLOOKUP(E4579,#REF!,1,FALSE())),"?TYPE_IDENTIFIABLE","?REFERENTIAL"),"_")))))</f>
        <v> </v>
      </c>
      <c r="H4579" s="25" t="str">
        <f>IF(J4579&lt;&gt;1,"",IF(I4579="SBJ","CB","?"))</f>
        <v> </v>
      </c>
      <c r="I4579" s="26" t="str">
        <f>IF(OR(E4579="",E4579="!!!",F4579="NEW"),"",INDEX(B4578:B$2,-1+SUMPRODUCT(MAX(ROW(E4578:E$2)*(E4579=E4578:E$2)))))</f>
        <v> </v>
      </c>
      <c r="J4579" s="26" t="str">
        <f>IF(OR(E4579="",E4579="!!!",F4579="NEW"),"",COUNTBLANK(OFFSET(A$1,,,SUMPRODUCT(MAX(ROW(E$2:E4579)*(E4579=E$2:E4579)))))-COUNTBLANK(OFFSET(A$1,,,SUMPRODUCT(MAX(ROW(E$1:E4578)*(E2=E$1:E4578))))))</f>
        <v> </v>
      </c>
      <c r="K4579" s="26" t="str">
        <f>IF(OR(E4579="",E4579="!!!",F4579="NEW"),"",INDEX(J$1:J4578,SUMPRODUCT(MAX(ROW(E$1:E4578)*(E4579=E$1:E4578)))))</f>
        <v> </v>
      </c>
      <c r="L4579" s="27"/>
    </row>
    <row r="4580" spans="1:12">
      <c r="A4580" s="20"/>
    </row>
    <row r="4581" spans="1:12">
      <c r="A4581" s="20" t="s">
        <v>2356</v>
      </c>
    </row>
    <row r="4582" spans="1:12">
      <c r="A4582" s="20" t="s">
        <v>1254</v>
      </c>
      <c r="B4582" s="21" t="s">
        <v>1058</v>
      </c>
      <c r="C4582" s="21" t="s">
        <v>1076</v>
      </c>
      <c r="D4582" s="21" t="s">
        <v>1060</v>
      </c>
      <c r="E4582" s="22">
        <f>IF(D4582="?OLD","!!!","")</f>
        <v/>
      </c>
      <c r="F4582" s="23" t="str">
        <f>IF(OR(E4582="",E4582="!!!"),"",IF(NOT(ISNA(VLOOKUP(E4582,E$1:E4581,1,FALSE()))),"OLD",IF(AND(E4582&lt;&gt;"",E4582&lt;&gt;"!!!"),"NEW","")))</f>
        <v> </v>
      </c>
      <c r="G4582" s="24" t="str">
        <f>IF(OR(E4582="",E4582="!!!"),"",IF(OR(J4582=0,AND(J4582=1,K4582=1),AND(J4582=1,I4582="SBJ"),AND(J4582=1,I4582=0)),"?IN_FOCUS",IF(J4582&lt;=2,"?ACTIVATED",IF(J4582&lt;&gt;"","?FAMILIAR",IF(F4582="NEW",IF(ISNA(VLOOKUP(E4582,#REF!,1,FALSE())),"?TYPE_IDENTIFIABLE","?REFERENTIAL"),"_")))))</f>
        <v> </v>
      </c>
      <c r="H4582" s="25" t="str">
        <f>IF(J4582&lt;&gt;1,"",IF(I4582="SBJ","CB","?"))</f>
        <v> </v>
      </c>
      <c r="I4582" s="26" t="str">
        <f>IF(OR(E4582="",E4582="!!!",F4582="NEW"),"",INDEX(B4581:B$2,-1+SUMPRODUCT(MAX(ROW(E4581:E$2)*(E4582=E4581:E$2)))))</f>
        <v> </v>
      </c>
      <c r="J4582" s="26" t="str">
        <f>IF(OR(E4582="",E4582="!!!",F4582="NEW"),"",COUNTBLANK(OFFSET(A$1,,,SUMPRODUCT(MAX(ROW(E$2:E4582)*(E4582=E$2:E4582)))))-COUNTBLANK(OFFSET(A$1,,,SUMPRODUCT(MAX(ROW(E$1:E4581)*(E2=E$1:E4581))))))</f>
        <v> </v>
      </c>
      <c r="K4582" s="26" t="str">
        <f>IF(OR(E4582="",E4582="!!!",F4582="NEW"),"",INDEX(J$1:J4581,SUMPRODUCT(MAX(ROW(E$1:E4581)*(E4582=E$1:E4581)))))</f>
        <v> </v>
      </c>
      <c r="L4582" s="27"/>
    </row>
    <row r="4583" spans="1:12">
      <c r="A4583" s="20" t="s">
        <v>1475</v>
      </c>
      <c r="E4583" s="22">
        <f>IF(D4583="?OLD","!!!","")</f>
        <v/>
      </c>
      <c r="F4583" s="23" t="str">
        <f>IF(OR(E4583="",E4583="!!!"),"",IF(NOT(ISNA(VLOOKUP(E4583,E$1:E4582,1,FALSE()))),"OLD",IF(AND(E4583&lt;&gt;"",E4583&lt;&gt;"!!!"),"NEW","")))</f>
        <v> </v>
      </c>
      <c r="G4583" s="24" t="str">
        <f>IF(OR(E4583="",E4583="!!!"),"",IF(OR(J4583=0,AND(J4583=1,K4583=1),AND(J4583=1,I4583="SBJ"),AND(J4583=1,I4583=0)),"?IN_FOCUS",IF(J4583&lt;=2,"?ACTIVATED",IF(J4583&lt;&gt;"","?FAMILIAR",IF(F4583="NEW",IF(ISNA(VLOOKUP(E4583,#REF!,1,FALSE())),"?TYPE_IDENTIFIABLE","?REFERENTIAL"),"_")))))</f>
        <v> </v>
      </c>
      <c r="H4583" s="25" t="str">
        <f>IF(J4583&lt;&gt;1,"",IF(I4583="SBJ","CB","?"))</f>
        <v> </v>
      </c>
      <c r="I4583" s="26" t="str">
        <f>IF(OR(E4583="",E4583="!!!",F4583="NEW"),"",INDEX(B4582:B$2,-1+SUMPRODUCT(MAX(ROW(E4582:E$2)*(E4583=E4582:E$2)))))</f>
        <v> </v>
      </c>
      <c r="J4583" s="26" t="str">
        <f>IF(OR(E4583="",E4583="!!!",F4583="NEW"),"",COUNTBLANK(OFFSET(A$1,,,SUMPRODUCT(MAX(ROW(E$2:E4583)*(E4583=E$2:E4583)))))-COUNTBLANK(OFFSET(A$1,,,SUMPRODUCT(MAX(ROW(E$1:E4582)*(E2=E$1:E4582))))))</f>
        <v> </v>
      </c>
      <c r="K4583" s="26" t="str">
        <f>IF(OR(E4583="",E4583="!!!",F4583="NEW"),"",INDEX(J$1:J4582,SUMPRODUCT(MAX(ROW(E$1:E4582)*(E4583=E$1:E4582)))))</f>
        <v> </v>
      </c>
      <c r="L4583" s="27"/>
    </row>
    <row r="4584" spans="1:12">
      <c r="A4584" s="20" t="s">
        <v>2179</v>
      </c>
      <c r="B4584" s="21" t="s">
        <v>1075</v>
      </c>
      <c r="C4584" s="21" t="s">
        <v>1076</v>
      </c>
      <c r="D4584" s="21" t="s">
        <v>1060</v>
      </c>
      <c r="E4584" s="22">
        <f>IF(D4584="?OLD","!!!","")</f>
        <v/>
      </c>
      <c r="F4584" s="23" t="str">
        <f>IF(OR(E4584="",E4584="!!!"),"",IF(NOT(ISNA(VLOOKUP(E4584,E$1:E4583,1,FALSE()))),"OLD",IF(AND(E4584&lt;&gt;"",E4584&lt;&gt;"!!!"),"NEW","")))</f>
        <v> </v>
      </c>
      <c r="G4584" s="24" t="str">
        <f>IF(OR(E4584="",E4584="!!!"),"",IF(OR(J4584=0,AND(J4584=1,K4584=1),AND(J4584=1,I4584="SBJ"),AND(J4584=1,I4584=0)),"?IN_FOCUS",IF(J4584&lt;=2,"?ACTIVATED",IF(J4584&lt;&gt;"","?FAMILIAR",IF(F4584="NEW",IF(ISNA(VLOOKUP(E4584,#REF!,1,FALSE())),"?TYPE_IDENTIFIABLE","?REFERENTIAL"),"_")))))</f>
        <v> </v>
      </c>
      <c r="H4584" s="25" t="str">
        <f>IF(J4584&lt;&gt;1,"",IF(I4584="SBJ","CB","?"))</f>
        <v> </v>
      </c>
      <c r="I4584" s="26" t="str">
        <f>IF(OR(E4584="",E4584="!!!",F4584="NEW"),"",INDEX(B4583:B$2,-1+SUMPRODUCT(MAX(ROW(E4583:E$2)*(E4584=E4583:E$2)))))</f>
        <v> </v>
      </c>
      <c r="J4584" s="26" t="str">
        <f>IF(OR(E4584="",E4584="!!!",F4584="NEW"),"",COUNTBLANK(OFFSET(A$1,,,SUMPRODUCT(MAX(ROW(E$2:E4584)*(E4584=E$2:E4584)))))-COUNTBLANK(OFFSET(A$1,,,SUMPRODUCT(MAX(ROW(E$1:E4583)*(E2=E$1:E4583))))))</f>
        <v> </v>
      </c>
      <c r="K4584" s="26" t="str">
        <f>IF(OR(E4584="",E4584="!!!",F4584="NEW"),"",INDEX(J$1:J4583,SUMPRODUCT(MAX(ROW(E$1:E4583)*(E4584=E$1:E4583)))))</f>
        <v> </v>
      </c>
      <c r="L4584" s="27"/>
    </row>
    <row r="4585" spans="1:12">
      <c r="A4585" s="20" t="s">
        <v>1649</v>
      </c>
      <c r="E4585" s="22">
        <f>IF(D4585="?OLD","!!!","")</f>
        <v/>
      </c>
      <c r="F4585" s="23" t="str">
        <f>IF(OR(E4585="",E4585="!!!"),"",IF(NOT(ISNA(VLOOKUP(E4585,E$1:E4584,1,FALSE()))),"OLD",IF(AND(E4585&lt;&gt;"",E4585&lt;&gt;"!!!"),"NEW","")))</f>
        <v> </v>
      </c>
      <c r="G4585" s="24" t="str">
        <f>IF(OR(E4585="",E4585="!!!"),"",IF(OR(J4585=0,AND(J4585=1,K4585=1),AND(J4585=1,I4585="SBJ"),AND(J4585=1,I4585=0)),"?IN_FOCUS",IF(J4585&lt;=2,"?ACTIVATED",IF(J4585&lt;&gt;"","?FAMILIAR",IF(F4585="NEW",IF(ISNA(VLOOKUP(E4585,#REF!,1,FALSE())),"?TYPE_IDENTIFIABLE","?REFERENTIAL"),"_")))))</f>
        <v> </v>
      </c>
      <c r="H4585" s="25" t="str">
        <f>IF(J4585&lt;&gt;1,"",IF(I4585="SBJ","CB","?"))</f>
        <v> </v>
      </c>
      <c r="I4585" s="26" t="str">
        <f>IF(OR(E4585="",E4585="!!!",F4585="NEW"),"",INDEX(B4584:B$2,-1+SUMPRODUCT(MAX(ROW(E4584:E$2)*(E4585=E4584:E$2)))))</f>
        <v> </v>
      </c>
      <c r="J4585" s="26" t="str">
        <f>IF(OR(E4585="",E4585="!!!",F4585="NEW"),"",COUNTBLANK(OFFSET(A$1,,,SUMPRODUCT(MAX(ROW(E$2:E4585)*(E4585=E$2:E4585)))))-COUNTBLANK(OFFSET(A$1,,,SUMPRODUCT(MAX(ROW(E$1:E4584)*(E2=E$1:E4584))))))</f>
        <v> </v>
      </c>
      <c r="K4585" s="26" t="str">
        <f>IF(OR(E4585="",E4585="!!!",F4585="NEW"),"",INDEX(J$1:J4584,SUMPRODUCT(MAX(ROW(E$1:E4584)*(E4585=E$1:E4584)))))</f>
        <v> </v>
      </c>
      <c r="L4585" s="27"/>
    </row>
    <row r="4586" spans="1:12">
      <c r="A4586" s="20" t="s">
        <v>1199</v>
      </c>
      <c r="E4586" s="22">
        <f>IF(D4586="?OLD","!!!","")</f>
        <v/>
      </c>
      <c r="F4586" s="23" t="str">
        <f>IF(OR(E4586="",E4586="!!!"),"",IF(NOT(ISNA(VLOOKUP(E4586,E$1:E4585,1,FALSE()))),"OLD",IF(AND(E4586&lt;&gt;"",E4586&lt;&gt;"!!!"),"NEW","")))</f>
        <v> </v>
      </c>
      <c r="G4586" s="24" t="str">
        <f>IF(OR(E4586="",E4586="!!!"),"",IF(OR(J4586=0,AND(J4586=1,K4586=1),AND(J4586=1,I4586="SBJ"),AND(J4586=1,I4586=0)),"?IN_FOCUS",IF(J4586&lt;=2,"?ACTIVATED",IF(J4586&lt;&gt;"","?FAMILIAR",IF(F4586="NEW",IF(ISNA(VLOOKUP(E4586,#REF!,1,FALSE())),"?TYPE_IDENTIFIABLE","?REFERENTIAL"),"_")))))</f>
        <v> </v>
      </c>
      <c r="H4586" s="25" t="str">
        <f>IF(J4586&lt;&gt;1,"",IF(I4586="SBJ","CB","?"))</f>
        <v> </v>
      </c>
      <c r="I4586" s="26" t="str">
        <f>IF(OR(E4586="",E4586="!!!",F4586="NEW"),"",INDEX(B4585:B$2,-1+SUMPRODUCT(MAX(ROW(E4585:E$2)*(E4586=E4585:E$2)))))</f>
        <v> </v>
      </c>
      <c r="J4586" s="26" t="str">
        <f>IF(OR(E4586="",E4586="!!!",F4586="NEW"),"",COUNTBLANK(OFFSET(A$1,,,SUMPRODUCT(MAX(ROW(E$2:E4586)*(E4586=E$2:E4586)))))-COUNTBLANK(OFFSET(A$1,,,SUMPRODUCT(MAX(ROW(E$1:E4585)*(E2=E$1:E4585))))))</f>
        <v> </v>
      </c>
      <c r="K4586" s="26" t="str">
        <f>IF(OR(E4586="",E4586="!!!",F4586="NEW"),"",INDEX(J$1:J4585,SUMPRODUCT(MAX(ROW(E$1:E4585)*(E4586=E$1:E4585)))))</f>
        <v> </v>
      </c>
      <c r="L4586" s="27"/>
    </row>
    <row r="4587" spans="1:12">
      <c r="A4587" s="20" t="s">
        <v>1101</v>
      </c>
      <c r="E4587" s="22">
        <f>IF(D4587="?OLD","!!!","")</f>
        <v/>
      </c>
      <c r="F4587" s="23" t="str">
        <f>IF(OR(E4587="",E4587="!!!"),"",IF(NOT(ISNA(VLOOKUP(E4587,E$1:E4586,1,FALSE()))),"OLD",IF(AND(E4587&lt;&gt;"",E4587&lt;&gt;"!!!"),"NEW","")))</f>
        <v> </v>
      </c>
      <c r="G4587" s="24" t="str">
        <f>IF(OR(E4587="",E4587="!!!"),"",IF(OR(J4587=0,AND(J4587=1,K4587=1),AND(J4587=1,I4587="SBJ"),AND(J4587=1,I4587=0)),"?IN_FOCUS",IF(J4587&lt;=2,"?ACTIVATED",IF(J4587&lt;&gt;"","?FAMILIAR",IF(F4587="NEW",IF(ISNA(VLOOKUP(E4587,#REF!,1,FALSE())),"?TYPE_IDENTIFIABLE","?REFERENTIAL"),"_")))))</f>
        <v> </v>
      </c>
      <c r="H4587" s="25" t="str">
        <f>IF(J4587&lt;&gt;1,"",IF(I4587="SBJ","CB","?"))</f>
        <v> </v>
      </c>
      <c r="I4587" s="26" t="str">
        <f>IF(OR(E4587="",E4587="!!!",F4587="NEW"),"",INDEX(B4586:B$2,-1+SUMPRODUCT(MAX(ROW(E4586:E$2)*(E4587=E4586:E$2)))))</f>
        <v> </v>
      </c>
      <c r="J4587" s="26" t="str">
        <f>IF(OR(E4587="",E4587="!!!",F4587="NEW"),"",COUNTBLANK(OFFSET(A$1,,,SUMPRODUCT(MAX(ROW(E$2:E4587)*(E4587=E$2:E4587)))))-COUNTBLANK(OFFSET(A$1,,,SUMPRODUCT(MAX(ROW(E$1:E4586)*(E2=E$1:E4586))))))</f>
        <v> </v>
      </c>
      <c r="K4587" s="26" t="str">
        <f>IF(OR(E4587="",E4587="!!!",F4587="NEW"),"",INDEX(J$1:J4586,SUMPRODUCT(MAX(ROW(E$1:E4586)*(E4587=E$1:E4586)))))</f>
        <v> </v>
      </c>
      <c r="L4587" s="27"/>
    </row>
    <row r="4588" spans="1:12">
      <c r="A4588" s="20" t="s">
        <v>1640</v>
      </c>
      <c r="E4588" s="22">
        <f>IF(D4588="?OLD","!!!","")</f>
        <v/>
      </c>
      <c r="F4588" s="23" t="str">
        <f>IF(OR(E4588="",E4588="!!!"),"",IF(NOT(ISNA(VLOOKUP(E4588,E$1:E4587,1,FALSE()))),"OLD",IF(AND(E4588&lt;&gt;"",E4588&lt;&gt;"!!!"),"NEW","")))</f>
        <v> </v>
      </c>
      <c r="G4588" s="24" t="str">
        <f>IF(OR(E4588="",E4588="!!!"),"",IF(OR(J4588=0,AND(J4588=1,K4588=1),AND(J4588=1,I4588="SBJ"),AND(J4588=1,I4588=0)),"?IN_FOCUS",IF(J4588&lt;=2,"?ACTIVATED",IF(J4588&lt;&gt;"","?FAMILIAR",IF(F4588="NEW",IF(ISNA(VLOOKUP(E4588,#REF!,1,FALSE())),"?TYPE_IDENTIFIABLE","?REFERENTIAL"),"_")))))</f>
        <v> </v>
      </c>
      <c r="H4588" s="25" t="str">
        <f>IF(J4588&lt;&gt;1,"",IF(I4588="SBJ","CB","?"))</f>
        <v> </v>
      </c>
      <c r="I4588" s="26" t="str">
        <f>IF(OR(E4588="",E4588="!!!",F4588="NEW"),"",INDEX(B4587:B$2,-1+SUMPRODUCT(MAX(ROW(E4587:E$2)*(E4588=E4587:E$2)))))</f>
        <v> </v>
      </c>
      <c r="J4588" s="26" t="str">
        <f>IF(OR(E4588="",E4588="!!!",F4588="NEW"),"",COUNTBLANK(OFFSET(A$1,,,SUMPRODUCT(MAX(ROW(E$2:E4588)*(E4588=E$2:E4588)))))-COUNTBLANK(OFFSET(A$1,,,SUMPRODUCT(MAX(ROW(E$1:E4587)*(E2=E$1:E4587))))))</f>
        <v> </v>
      </c>
      <c r="K4588" s="26" t="str">
        <f>IF(OR(E4588="",E4588="!!!",F4588="NEW"),"",INDEX(J$1:J4587,SUMPRODUCT(MAX(ROW(E$1:E4587)*(E4588=E$1:E4587)))))</f>
        <v> </v>
      </c>
      <c r="L4588" s="27"/>
    </row>
    <row r="4589" spans="1:12">
      <c r="A4589" s="20" t="s">
        <v>2357</v>
      </c>
      <c r="B4589" s="21" t="s">
        <v>1068</v>
      </c>
      <c r="C4589" s="21" t="s">
        <v>1140</v>
      </c>
      <c r="D4589" s="21" t="s">
        <v>1060</v>
      </c>
      <c r="E4589" s="22">
        <f>IF(D4589="?OLD","!!!","")</f>
        <v/>
      </c>
      <c r="F4589" s="23" t="str">
        <f>IF(OR(E4589="",E4589="!!!"),"",IF(NOT(ISNA(VLOOKUP(E4589,E$1:E4588,1,FALSE()))),"OLD",IF(AND(E4589&lt;&gt;"",E4589&lt;&gt;"!!!"),"NEW","")))</f>
        <v> </v>
      </c>
      <c r="G4589" s="24" t="str">
        <f>IF(OR(E4589="",E4589="!!!"),"",IF(OR(J4589=0,AND(J4589=1,K4589=1),AND(J4589=1,I4589="SBJ"),AND(J4589=1,I4589=0)),"?IN_FOCUS",IF(J4589&lt;=2,"?ACTIVATED",IF(J4589&lt;&gt;"","?FAMILIAR",IF(F4589="NEW",IF(ISNA(VLOOKUP(E4589,#REF!,1,FALSE())),"?TYPE_IDENTIFIABLE","?REFERENTIAL"),"_")))))</f>
        <v> </v>
      </c>
      <c r="H4589" s="25" t="str">
        <f>IF(J4589&lt;&gt;1,"",IF(I4589="SBJ","CB","?"))</f>
        <v> </v>
      </c>
      <c r="I4589" s="26" t="str">
        <f>IF(OR(E4589="",E4589="!!!",F4589="NEW"),"",INDEX(B4588:B$2,-1+SUMPRODUCT(MAX(ROW(E4588:E$2)*(E4589=E4588:E$2)))))</f>
        <v> </v>
      </c>
      <c r="J4589" s="26" t="str">
        <f>IF(OR(E4589="",E4589="!!!",F4589="NEW"),"",COUNTBLANK(OFFSET(A$1,,,SUMPRODUCT(MAX(ROW(E$2:E4589)*(E4589=E$2:E4589)))))-COUNTBLANK(OFFSET(A$1,,,SUMPRODUCT(MAX(ROW(E$1:E4588)*(E2=E$1:E4588))))))</f>
        <v> </v>
      </c>
      <c r="K4589" s="26" t="str">
        <f>IF(OR(E4589="",E4589="!!!",F4589="NEW"),"",INDEX(J$1:J4588,SUMPRODUCT(MAX(ROW(E$1:E4588)*(E4589=E$1:E4588)))))</f>
        <v> </v>
      </c>
      <c r="L4589" s="27"/>
    </row>
    <row r="4590" spans="1:12">
      <c r="A4590" s="20" t="s">
        <v>1061</v>
      </c>
      <c r="E4590" s="22">
        <f>IF(D4590="?OLD","!!!","")</f>
        <v/>
      </c>
      <c r="F4590" s="23" t="str">
        <f>IF(OR(E4590="",E4590="!!!"),"",IF(NOT(ISNA(VLOOKUP(E4590,E$1:E4589,1,FALSE()))),"OLD",IF(AND(E4590&lt;&gt;"",E4590&lt;&gt;"!!!"),"NEW","")))</f>
        <v> </v>
      </c>
      <c r="G4590" s="24" t="str">
        <f>IF(OR(E4590="",E4590="!!!"),"",IF(OR(J4590=0,AND(J4590=1,K4590=1),AND(J4590=1,I4590="SBJ"),AND(J4590=1,I4590=0)),"?IN_FOCUS",IF(J4590&lt;=2,"?ACTIVATED",IF(J4590&lt;&gt;"","?FAMILIAR",IF(F4590="NEW",IF(ISNA(VLOOKUP(E4590,#REF!,1,FALSE())),"?TYPE_IDENTIFIABLE","?REFERENTIAL"),"_")))))</f>
        <v> </v>
      </c>
      <c r="H4590" s="25" t="str">
        <f>IF(J4590&lt;&gt;1,"",IF(I4590="SBJ","CB","?"))</f>
        <v> </v>
      </c>
      <c r="I4590" s="26" t="str">
        <f>IF(OR(E4590="",E4590="!!!",F4590="NEW"),"",INDEX(B4589:B$2,-1+SUMPRODUCT(MAX(ROW(E4589:E$2)*(E4590=E4589:E$2)))))</f>
        <v> </v>
      </c>
      <c r="J4590" s="26" t="str">
        <f>IF(OR(E4590="",E4590="!!!",F4590="NEW"),"",COUNTBLANK(OFFSET(A$1,,,SUMPRODUCT(MAX(ROW(E$2:E4590)*(E4590=E$2:E4590)))))-COUNTBLANK(OFFSET(A$1,,,SUMPRODUCT(MAX(ROW(E$1:E4589)*(E2=E$1:E4589))))))</f>
        <v> </v>
      </c>
      <c r="K4590" s="26" t="str">
        <f>IF(OR(E4590="",E4590="!!!",F4590="NEW"),"",INDEX(J$1:J4589,SUMPRODUCT(MAX(ROW(E$1:E4589)*(E4590=E$1:E4589)))))</f>
        <v> </v>
      </c>
      <c r="L4590" s="27"/>
    </row>
    <row r="4591" spans="1:12">
      <c r="A4591" s="20" t="s">
        <v>2358</v>
      </c>
      <c r="B4591" s="21" t="s">
        <v>1064</v>
      </c>
      <c r="C4591" s="21" t="s">
        <v>1149</v>
      </c>
      <c r="E4591" s="22">
        <f>IF(D4591="?OLD","!!!","")</f>
        <v/>
      </c>
      <c r="F4591" s="23" t="str">
        <f>IF(OR(E4591="",E4591="!!!"),"",IF(NOT(ISNA(VLOOKUP(E4591,E$1:E4590,1,FALSE()))),"OLD",IF(AND(E4591&lt;&gt;"",E4591&lt;&gt;"!!!"),"NEW","")))</f>
        <v> </v>
      </c>
      <c r="G4591" s="24" t="str">
        <f>IF(OR(E4591="",E4591="!!!"),"",IF(OR(J4591=0,AND(J4591=1,K4591=1),AND(J4591=1,I4591="SBJ"),AND(J4591=1,I4591=0)),"?IN_FOCUS",IF(J4591&lt;=2,"?ACTIVATED",IF(J4591&lt;&gt;"","?FAMILIAR",IF(F4591="NEW",IF(ISNA(VLOOKUP(E4591,#REF!,1,FALSE())),"?TYPE_IDENTIFIABLE","?REFERENTIAL"),"_")))))</f>
        <v> </v>
      </c>
      <c r="H4591" s="25" t="str">
        <f>IF(J4591&lt;&gt;1,"",IF(I4591="SBJ","CB","?"))</f>
        <v> </v>
      </c>
      <c r="I4591" s="26" t="str">
        <f>IF(OR(E4591="",E4591="!!!",F4591="NEW"),"",INDEX(B4590:B$2,-1+SUMPRODUCT(MAX(ROW(E4590:E$2)*(E4591=E4590:E$2)))))</f>
        <v> </v>
      </c>
      <c r="J4591" s="26" t="str">
        <f>IF(OR(E4591="",E4591="!!!",F4591="NEW"),"",COUNTBLANK(OFFSET(A$1,,,SUMPRODUCT(MAX(ROW(E$2:E4591)*(E4591=E$2:E4591)))))-COUNTBLANK(OFFSET(A$1,,,SUMPRODUCT(MAX(ROW(E$1:E4590)*(E2=E$1:E4590))))))</f>
        <v> </v>
      </c>
      <c r="K4591" s="26" t="str">
        <f>IF(OR(E4591="",E4591="!!!",F4591="NEW"),"",INDEX(J$1:J4590,SUMPRODUCT(MAX(ROW(E$1:E4590)*(E4591=E$1:E4590)))))</f>
        <v> </v>
      </c>
      <c r="L4591" s="27"/>
    </row>
    <row r="4592" spans="1:12">
      <c r="A4592" s="20" t="s">
        <v>1070</v>
      </c>
      <c r="E4592" s="22">
        <f>IF(D4592="?OLD","!!!","")</f>
        <v/>
      </c>
      <c r="F4592" s="23" t="str">
        <f>IF(OR(E4592="",E4592="!!!"),"",IF(NOT(ISNA(VLOOKUP(E4592,E$1:E4591,1,FALSE()))),"OLD",IF(AND(E4592&lt;&gt;"",E4592&lt;&gt;"!!!"),"NEW","")))</f>
        <v> </v>
      </c>
      <c r="G4592" s="24" t="str">
        <f>IF(OR(E4592="",E4592="!!!"),"",IF(OR(J4592=0,AND(J4592=1,K4592=1),AND(J4592=1,I4592="SBJ"),AND(J4592=1,I4592=0)),"?IN_FOCUS",IF(J4592&lt;=2,"?ACTIVATED",IF(J4592&lt;&gt;"","?FAMILIAR",IF(F4592="NEW",IF(ISNA(VLOOKUP(E4592,#REF!,1,FALSE())),"?TYPE_IDENTIFIABLE","?REFERENTIAL"),"_")))))</f>
        <v> </v>
      </c>
      <c r="H4592" s="25" t="str">
        <f>IF(J4592&lt;&gt;1,"",IF(I4592="SBJ","CB","?"))</f>
        <v> </v>
      </c>
      <c r="I4592" s="26" t="str">
        <f>IF(OR(E4592="",E4592="!!!",F4592="NEW"),"",INDEX(B4591:B$2,-1+SUMPRODUCT(MAX(ROW(E4591:E$2)*(E4592=E4591:E$2)))))</f>
        <v> </v>
      </c>
      <c r="J4592" s="26" t="str">
        <f>IF(OR(E4592="",E4592="!!!",F4592="NEW"),"",COUNTBLANK(OFFSET(A$1,,,SUMPRODUCT(MAX(ROW(E$2:E4592)*(E4592=E$2:E4592)))))-COUNTBLANK(OFFSET(A$1,,,SUMPRODUCT(MAX(ROW(E$1:E4591)*(E2=E$1:E4591))))))</f>
        <v> </v>
      </c>
      <c r="K4592" s="26" t="str">
        <f>IF(OR(E4592="",E4592="!!!",F4592="NEW"),"",INDEX(J$1:J4591,SUMPRODUCT(MAX(ROW(E$1:E4591)*(E4592=E$1:E4591)))))</f>
        <v> </v>
      </c>
      <c r="L4592" s="27"/>
    </row>
    <row r="4593" spans="1:12">
      <c r="A4593" s="20" t="s">
        <v>2359</v>
      </c>
      <c r="E4593" s="22">
        <f>IF(D4593="?OLD","!!!","")</f>
        <v/>
      </c>
      <c r="F4593" s="23" t="str">
        <f>IF(OR(E4593="",E4593="!!!"),"",IF(NOT(ISNA(VLOOKUP(E4593,E$1:E4592,1,FALSE()))),"OLD",IF(AND(E4593&lt;&gt;"",E4593&lt;&gt;"!!!"),"NEW","")))</f>
        <v> </v>
      </c>
      <c r="G4593" s="24" t="str">
        <f>IF(OR(E4593="",E4593="!!!"),"",IF(OR(J4593=0,AND(J4593=1,K4593=1),AND(J4593=1,I4593="SBJ"),AND(J4593=1,I4593=0)),"?IN_FOCUS",IF(J4593&lt;=2,"?ACTIVATED",IF(J4593&lt;&gt;"","?FAMILIAR",IF(F4593="NEW",IF(ISNA(VLOOKUP(E4593,#REF!,1,FALSE())),"?TYPE_IDENTIFIABLE","?REFERENTIAL"),"_")))))</f>
        <v> </v>
      </c>
      <c r="H4593" s="25" t="str">
        <f>IF(J4593&lt;&gt;1,"",IF(I4593="SBJ","CB","?"))</f>
        <v> </v>
      </c>
      <c r="I4593" s="26" t="str">
        <f>IF(OR(E4593="",E4593="!!!",F4593="NEW"),"",INDEX(B4592:B$2,-1+SUMPRODUCT(MAX(ROW(E4592:E$2)*(E4593=E4592:E$2)))))</f>
        <v> </v>
      </c>
      <c r="J4593" s="26" t="str">
        <f>IF(OR(E4593="",E4593="!!!",F4593="NEW"),"",COUNTBLANK(OFFSET(A$1,,,SUMPRODUCT(MAX(ROW(E$2:E4593)*(E4593=E$2:E4593)))))-COUNTBLANK(OFFSET(A$1,,,SUMPRODUCT(MAX(ROW(E$1:E4592)*(E2=E$1:E4592))))))</f>
        <v> </v>
      </c>
      <c r="K4593" s="26" t="str">
        <f>IF(OR(E4593="",E4593="!!!",F4593="NEW"),"",INDEX(J$1:J4592,SUMPRODUCT(MAX(ROW(E$1:E4592)*(E4593=E$1:E4592)))))</f>
        <v> </v>
      </c>
      <c r="L4593" s="27"/>
    </row>
    <row r="4594" spans="1:12">
      <c r="A4594" s="20" t="s">
        <v>2360</v>
      </c>
      <c r="B4594" s="21" t="s">
        <v>1064</v>
      </c>
      <c r="C4594" s="21" t="s">
        <v>1149</v>
      </c>
      <c r="E4594" s="22">
        <f>IF(D4594="?OLD","!!!","")</f>
        <v/>
      </c>
      <c r="F4594" s="23" t="str">
        <f>IF(OR(E4594="",E4594="!!!"),"",IF(NOT(ISNA(VLOOKUP(E4594,E$1:E4593,1,FALSE()))),"OLD",IF(AND(E4594&lt;&gt;"",E4594&lt;&gt;"!!!"),"NEW","")))</f>
        <v> </v>
      </c>
      <c r="G4594" s="24" t="str">
        <f>IF(OR(E4594="",E4594="!!!"),"",IF(OR(J4594=0,AND(J4594=1,K4594=1),AND(J4594=1,I4594="SBJ"),AND(J4594=1,I4594=0)),"?IN_FOCUS",IF(J4594&lt;=2,"?ACTIVATED",IF(J4594&lt;&gt;"","?FAMILIAR",IF(F4594="NEW",IF(ISNA(VLOOKUP(E4594,#REF!,1,FALSE())),"?TYPE_IDENTIFIABLE","?REFERENTIAL"),"_")))))</f>
        <v> </v>
      </c>
      <c r="H4594" s="25" t="str">
        <f>IF(J4594&lt;&gt;1,"",IF(I4594="SBJ","CB","?"))</f>
        <v> </v>
      </c>
      <c r="I4594" s="26" t="str">
        <f>IF(OR(E4594="",E4594="!!!",F4594="NEW"),"",INDEX(B4593:B$2,-1+SUMPRODUCT(MAX(ROW(E4593:E$2)*(E4594=E4593:E$2)))))</f>
        <v> </v>
      </c>
      <c r="J4594" s="26" t="str">
        <f>IF(OR(E4594="",E4594="!!!",F4594="NEW"),"",COUNTBLANK(OFFSET(A$1,,,SUMPRODUCT(MAX(ROW(E$2:E4594)*(E4594=E$2:E4594)))))-COUNTBLANK(OFFSET(A$1,,,SUMPRODUCT(MAX(ROW(E$1:E4593)*(E2=E$1:E4593))))))</f>
        <v> </v>
      </c>
      <c r="K4594" s="26" t="str">
        <f>IF(OR(E4594="",E4594="!!!",F4594="NEW"),"",INDEX(J$1:J4593,SUMPRODUCT(MAX(ROW(E$1:E4593)*(E4594=E$1:E4593)))))</f>
        <v> </v>
      </c>
      <c r="L4594" s="27"/>
    </row>
    <row r="4595" spans="1:12">
      <c r="A4595" s="20" t="s">
        <v>1115</v>
      </c>
      <c r="B4595" s="21" t="s">
        <v>1331</v>
      </c>
      <c r="E4595" s="22">
        <f>IF(D4595="?OLD","!!!","")</f>
        <v/>
      </c>
      <c r="F4595" s="23" t="str">
        <f>IF(OR(E4595="",E4595="!!!"),"",IF(NOT(ISNA(VLOOKUP(E4595,E$1:E4594,1,FALSE()))),"OLD",IF(AND(E4595&lt;&gt;"",E4595&lt;&gt;"!!!"),"NEW","")))</f>
        <v> </v>
      </c>
      <c r="G4595" s="24" t="str">
        <f>IF(OR(E4595="",E4595="!!!"),"",IF(OR(J4595=0,AND(J4595=1,K4595=1),AND(J4595=1,I4595="SBJ"),AND(J4595=1,I4595=0)),"?IN_FOCUS",IF(J4595&lt;=2,"?ACTIVATED",IF(J4595&lt;&gt;"","?FAMILIAR",IF(F4595="NEW",IF(ISNA(VLOOKUP(E4595,#REF!,1,FALSE())),"?TYPE_IDENTIFIABLE","?REFERENTIAL"),"_")))))</f>
        <v> </v>
      </c>
      <c r="H4595" s="25" t="str">
        <f>IF(J4595&lt;&gt;1,"",IF(I4595="SBJ","CB","?"))</f>
        <v> </v>
      </c>
      <c r="I4595" s="26" t="str">
        <f>IF(OR(E4595="",E4595="!!!",F4595="NEW"),"",INDEX(B4594:B$2,-1+SUMPRODUCT(MAX(ROW(E4594:E$2)*(E4595=E4594:E$2)))))</f>
        <v> </v>
      </c>
      <c r="J4595" s="26" t="str">
        <f>IF(OR(E4595="",E4595="!!!",F4595="NEW"),"",COUNTBLANK(OFFSET(A$1,,,SUMPRODUCT(MAX(ROW(E$2:E4595)*(E4595=E$2:E4595)))))-COUNTBLANK(OFFSET(A$1,,,SUMPRODUCT(MAX(ROW(E$1:E4594)*(E2=E$1:E4594))))))</f>
        <v> </v>
      </c>
      <c r="K4595" s="26" t="str">
        <f>IF(OR(E4595="",E4595="!!!",F4595="NEW"),"",INDEX(J$1:J4594,SUMPRODUCT(MAX(ROW(E$1:E4594)*(E4595=E$1:E4594)))))</f>
        <v> </v>
      </c>
      <c r="L4595" s="27"/>
    </row>
    <row r="4596" spans="1:12">
      <c r="A4596" s="20" t="s">
        <v>2361</v>
      </c>
      <c r="E4596" s="22">
        <f>IF(D4596="?OLD","!!!","")</f>
        <v/>
      </c>
      <c r="F4596" s="23" t="str">
        <f>IF(OR(E4596="",E4596="!!!"),"",IF(NOT(ISNA(VLOOKUP(E4596,E$1:E4595,1,FALSE()))),"OLD",IF(AND(E4596&lt;&gt;"",E4596&lt;&gt;"!!!"),"NEW","")))</f>
        <v> </v>
      </c>
      <c r="G4596" s="24" t="str">
        <f>IF(OR(E4596="",E4596="!!!"),"",IF(OR(J4596=0,AND(J4596=1,K4596=1),AND(J4596=1,I4596="SBJ"),AND(J4596=1,I4596=0)),"?IN_FOCUS",IF(J4596&lt;=2,"?ACTIVATED",IF(J4596&lt;&gt;"","?FAMILIAR",IF(F4596="NEW",IF(ISNA(VLOOKUP(E4596,#REF!,1,FALSE())),"?TYPE_IDENTIFIABLE","?REFERENTIAL"),"_")))))</f>
        <v> </v>
      </c>
      <c r="H4596" s="25" t="str">
        <f>IF(J4596&lt;&gt;1,"",IF(I4596="SBJ","CB","?"))</f>
        <v> </v>
      </c>
      <c r="I4596" s="26" t="str">
        <f>IF(OR(E4596="",E4596="!!!",F4596="NEW"),"",INDEX(B4595:B$2,-1+SUMPRODUCT(MAX(ROW(E4595:E$2)*(E4596=E4595:E$2)))))</f>
        <v> </v>
      </c>
      <c r="J4596" s="26" t="str">
        <f>IF(OR(E4596="",E4596="!!!",F4596="NEW"),"",COUNTBLANK(OFFSET(A$1,,,SUMPRODUCT(MAX(ROW(E$2:E4596)*(E4596=E$2:E4596)))))-COUNTBLANK(OFFSET(A$1,,,SUMPRODUCT(MAX(ROW(E$1:E4595)*(E2=E$1:E4595))))))</f>
        <v> </v>
      </c>
      <c r="K4596" s="26" t="str">
        <f>IF(OR(E4596="",E4596="!!!",F4596="NEW"),"",INDEX(J$1:J4595,SUMPRODUCT(MAX(ROW(E$1:E4595)*(E4596=E$1:E4595)))))</f>
        <v> </v>
      </c>
      <c r="L4596" s="27"/>
    </row>
    <row r="4597" spans="1:12">
      <c r="A4597" s="20" t="s">
        <v>1497</v>
      </c>
      <c r="E4597" s="22">
        <f>IF(D4597="?OLD","!!!","")</f>
        <v/>
      </c>
      <c r="F4597" s="23" t="str">
        <f>IF(OR(E4597="",E4597="!!!"),"",IF(NOT(ISNA(VLOOKUP(E4597,E$1:E4596,1,FALSE()))),"OLD",IF(AND(E4597&lt;&gt;"",E4597&lt;&gt;"!!!"),"NEW","")))</f>
        <v> </v>
      </c>
      <c r="G4597" s="24" t="str">
        <f>IF(OR(E4597="",E4597="!!!"),"",IF(OR(J4597=0,AND(J4597=1,K4597=1),AND(J4597=1,I4597="SBJ"),AND(J4597=1,I4597=0)),"?IN_FOCUS",IF(J4597&lt;=2,"?ACTIVATED",IF(J4597&lt;&gt;"","?FAMILIAR",IF(F4597="NEW",IF(ISNA(VLOOKUP(E4597,#REF!,1,FALSE())),"?TYPE_IDENTIFIABLE","?REFERENTIAL"),"_")))))</f>
        <v> </v>
      </c>
      <c r="H4597" s="25" t="str">
        <f>IF(J4597&lt;&gt;1,"",IF(I4597="SBJ","CB","?"))</f>
        <v> </v>
      </c>
      <c r="I4597" s="26" t="str">
        <f>IF(OR(E4597="",E4597="!!!",F4597="NEW"),"",INDEX(B4596:B$2,-1+SUMPRODUCT(MAX(ROW(E4596:E$2)*(E4597=E4596:E$2)))))</f>
        <v> </v>
      </c>
      <c r="J4597" s="26" t="str">
        <f>IF(OR(E4597="",E4597="!!!",F4597="NEW"),"",COUNTBLANK(OFFSET(A$1,,,SUMPRODUCT(MAX(ROW(E$2:E4597)*(E4597=E$2:E4597)))))-COUNTBLANK(OFFSET(A$1,,,SUMPRODUCT(MAX(ROW(E$1:E4596)*(E2=E$1:E4596))))))</f>
        <v> </v>
      </c>
      <c r="K4597" s="26" t="str">
        <f>IF(OR(E4597="",E4597="!!!",F4597="NEW"),"",INDEX(J$1:J4596,SUMPRODUCT(MAX(ROW(E$1:E4596)*(E4597=E$1:E4596)))))</f>
        <v> </v>
      </c>
      <c r="L4597" s="27"/>
    </row>
    <row r="4598" spans="1:12">
      <c r="A4598" s="20" t="s">
        <v>1376</v>
      </c>
      <c r="E4598" s="22">
        <f>IF(D4598="?OLD","!!!","")</f>
        <v/>
      </c>
      <c r="F4598" s="23" t="str">
        <f>IF(OR(E4598="",E4598="!!!"),"",IF(NOT(ISNA(VLOOKUP(E4598,E$1:E4597,1,FALSE()))),"OLD",IF(AND(E4598&lt;&gt;"",E4598&lt;&gt;"!!!"),"NEW","")))</f>
        <v> </v>
      </c>
      <c r="G4598" s="24" t="str">
        <f>IF(OR(E4598="",E4598="!!!"),"",IF(OR(J4598=0,AND(J4598=1,K4598=1),AND(J4598=1,I4598="SBJ"),AND(J4598=1,I4598=0)),"?IN_FOCUS",IF(J4598&lt;=2,"?ACTIVATED",IF(J4598&lt;&gt;"","?FAMILIAR",IF(F4598="NEW",IF(ISNA(VLOOKUP(E4598,#REF!,1,FALSE())),"?TYPE_IDENTIFIABLE","?REFERENTIAL"),"_")))))</f>
        <v> </v>
      </c>
      <c r="H4598" s="25" t="str">
        <f>IF(J4598&lt;&gt;1,"",IF(I4598="SBJ","CB","?"))</f>
        <v> </v>
      </c>
      <c r="I4598" s="26" t="str">
        <f>IF(OR(E4598="",E4598="!!!",F4598="NEW"),"",INDEX(B4597:B$2,-1+SUMPRODUCT(MAX(ROW(E4597:E$2)*(E4598=E4597:E$2)))))</f>
        <v> </v>
      </c>
      <c r="J4598" s="26" t="str">
        <f>IF(OR(E4598="",E4598="!!!",F4598="NEW"),"",COUNTBLANK(OFFSET(A$1,,,SUMPRODUCT(MAX(ROW(E$2:E4598)*(E4598=E$2:E4598)))))-COUNTBLANK(OFFSET(A$1,,,SUMPRODUCT(MAX(ROW(E$1:E4597)*(E2=E$1:E4597))))))</f>
        <v> </v>
      </c>
      <c r="K4598" s="26" t="str">
        <f>IF(OR(E4598="",E4598="!!!",F4598="NEW"),"",INDEX(J$1:J4597,SUMPRODUCT(MAX(ROW(E$1:E4597)*(E4598=E$1:E4597)))))</f>
        <v> </v>
      </c>
      <c r="L4598" s="27"/>
    </row>
    <row r="4599" spans="1:12">
      <c r="A4599" s="20" t="s">
        <v>1101</v>
      </c>
      <c r="E4599" s="22">
        <f>IF(D4599="?OLD","!!!","")</f>
        <v/>
      </c>
      <c r="F4599" s="23" t="str">
        <f>IF(OR(E4599="",E4599="!!!"),"",IF(NOT(ISNA(VLOOKUP(E4599,E$1:E4598,1,FALSE()))),"OLD",IF(AND(E4599&lt;&gt;"",E4599&lt;&gt;"!!!"),"NEW","")))</f>
        <v> </v>
      </c>
      <c r="G4599" s="24" t="str">
        <f>IF(OR(E4599="",E4599="!!!"),"",IF(OR(J4599=0,AND(J4599=1,K4599=1),AND(J4599=1,I4599="SBJ"),AND(J4599=1,I4599=0)),"?IN_FOCUS",IF(J4599&lt;=2,"?ACTIVATED",IF(J4599&lt;&gt;"","?FAMILIAR",IF(F4599="NEW",IF(ISNA(VLOOKUP(E4599,#REF!,1,FALSE())),"?TYPE_IDENTIFIABLE","?REFERENTIAL"),"_")))))</f>
        <v> </v>
      </c>
      <c r="H4599" s="25" t="str">
        <f>IF(J4599&lt;&gt;1,"",IF(I4599="SBJ","CB","?"))</f>
        <v> </v>
      </c>
      <c r="I4599" s="26" t="str">
        <f>IF(OR(E4599="",E4599="!!!",F4599="NEW"),"",INDEX(B4598:B$2,-1+SUMPRODUCT(MAX(ROW(E4598:E$2)*(E4599=E4598:E$2)))))</f>
        <v> </v>
      </c>
      <c r="J4599" s="26" t="str">
        <f>IF(OR(E4599="",E4599="!!!",F4599="NEW"),"",COUNTBLANK(OFFSET(A$1,,,SUMPRODUCT(MAX(ROW(E$2:E4599)*(E4599=E$2:E4599)))))-COUNTBLANK(OFFSET(A$1,,,SUMPRODUCT(MAX(ROW(E$1:E4598)*(E2=E$1:E4598))))))</f>
        <v> </v>
      </c>
      <c r="K4599" s="26" t="str">
        <f>IF(OR(E4599="",E4599="!!!",F4599="NEW"),"",INDEX(J$1:J4598,SUMPRODUCT(MAX(ROW(E$1:E4598)*(E4599=E$1:E4598)))))</f>
        <v> </v>
      </c>
      <c r="L4599" s="27"/>
    </row>
    <row r="4600" spans="1:12">
      <c r="A4600" s="20" t="s">
        <v>2362</v>
      </c>
      <c r="E4600" s="22">
        <f>IF(D4600="?OLD","!!!","")</f>
        <v/>
      </c>
      <c r="F4600" s="23" t="str">
        <f>IF(OR(E4600="",E4600="!!!"),"",IF(NOT(ISNA(VLOOKUP(E4600,E$1:E4599,1,FALSE()))),"OLD",IF(AND(E4600&lt;&gt;"",E4600&lt;&gt;"!!!"),"NEW","")))</f>
        <v> </v>
      </c>
      <c r="G4600" s="24" t="str">
        <f>IF(OR(E4600="",E4600="!!!"),"",IF(OR(J4600=0,AND(J4600=1,K4600=1),AND(J4600=1,I4600="SBJ"),AND(J4600=1,I4600=0)),"?IN_FOCUS",IF(J4600&lt;=2,"?ACTIVATED",IF(J4600&lt;&gt;"","?FAMILIAR",IF(F4600="NEW",IF(ISNA(VLOOKUP(E4600,#REF!,1,FALSE())),"?TYPE_IDENTIFIABLE","?REFERENTIAL"),"_")))))</f>
        <v> </v>
      </c>
      <c r="H4600" s="25" t="str">
        <f>IF(J4600&lt;&gt;1,"",IF(I4600="SBJ","CB","?"))</f>
        <v> </v>
      </c>
      <c r="I4600" s="26" t="str">
        <f>IF(OR(E4600="",E4600="!!!",F4600="NEW"),"",INDEX(B4599:B$2,-1+SUMPRODUCT(MAX(ROW(E4599:E$2)*(E4600=E4599:E$2)))))</f>
        <v> </v>
      </c>
      <c r="J4600" s="26" t="str">
        <f>IF(OR(E4600="",E4600="!!!",F4600="NEW"),"",COUNTBLANK(OFFSET(A$1,,,SUMPRODUCT(MAX(ROW(E$2:E4600)*(E4600=E$2:E4600)))))-COUNTBLANK(OFFSET(A$1,,,SUMPRODUCT(MAX(ROW(E$1:E4599)*(E2=E$1:E4599))))))</f>
        <v> </v>
      </c>
      <c r="K4600" s="26" t="str">
        <f>IF(OR(E4600="",E4600="!!!",F4600="NEW"),"",INDEX(J$1:J4599,SUMPRODUCT(MAX(ROW(E$1:E4599)*(E4600=E$1:E4599)))))</f>
        <v> </v>
      </c>
      <c r="L4600" s="27"/>
    </row>
    <row r="4601" spans="1:12">
      <c r="A4601" s="20" t="s">
        <v>2351</v>
      </c>
      <c r="B4601" s="21" t="s">
        <v>1091</v>
      </c>
      <c r="C4601" s="21" t="s">
        <v>1140</v>
      </c>
      <c r="D4601" s="21" t="s">
        <v>1060</v>
      </c>
      <c r="E4601" s="22">
        <f>IF(D4601="?OLD","!!!","")</f>
        <v/>
      </c>
      <c r="F4601" s="23" t="str">
        <f>IF(OR(E4601="",E4601="!!!"),"",IF(NOT(ISNA(VLOOKUP(E4601,E$1:E4600,1,FALSE()))),"OLD",IF(AND(E4601&lt;&gt;"",E4601&lt;&gt;"!!!"),"NEW","")))</f>
        <v> </v>
      </c>
      <c r="G4601" s="24" t="str">
        <f>IF(OR(E4601="",E4601="!!!"),"",IF(OR(J4601=0,AND(J4601=1,K4601=1),AND(J4601=1,I4601="SBJ"),AND(J4601=1,I4601=0)),"?IN_FOCUS",IF(J4601&lt;=2,"?ACTIVATED",IF(J4601&lt;&gt;"","?FAMILIAR",IF(F4601="NEW",IF(ISNA(VLOOKUP(E4601,#REF!,1,FALSE())),"?TYPE_IDENTIFIABLE","?REFERENTIAL"),"_")))))</f>
        <v> </v>
      </c>
      <c r="H4601" s="25" t="str">
        <f>IF(J4601&lt;&gt;1,"",IF(I4601="SBJ","CB","?"))</f>
        <v> </v>
      </c>
      <c r="I4601" s="26" t="str">
        <f>IF(OR(E4601="",E4601="!!!",F4601="NEW"),"",INDEX(B4600:B$2,-1+SUMPRODUCT(MAX(ROW(E4600:E$2)*(E4601=E4600:E$2)))))</f>
        <v> </v>
      </c>
      <c r="J4601" s="26" t="str">
        <f>IF(OR(E4601="",E4601="!!!",F4601="NEW"),"",COUNTBLANK(OFFSET(A$1,,,SUMPRODUCT(MAX(ROW(E$2:E4601)*(E4601=E$2:E4601)))))-COUNTBLANK(OFFSET(A$1,,,SUMPRODUCT(MAX(ROW(E$1:E4600)*(E2=E$1:E4600))))))</f>
        <v> </v>
      </c>
      <c r="K4601" s="26" t="str">
        <f>IF(OR(E4601="",E4601="!!!",F4601="NEW"),"",INDEX(J$1:J4600,SUMPRODUCT(MAX(ROW(E$1:E4600)*(E4601=E$1:E4600)))))</f>
        <v> </v>
      </c>
      <c r="L4601" s="27"/>
    </row>
    <row r="4602" spans="1:12">
      <c r="A4602" s="20" t="s">
        <v>923</v>
      </c>
      <c r="E4602" s="22">
        <f>IF(D4602="?OLD","!!!","")</f>
        <v/>
      </c>
      <c r="F4602" s="23" t="str">
        <f>IF(OR(E4602="",E4602="!!!"),"",IF(NOT(ISNA(VLOOKUP(E4602,E$1:E4601,1,FALSE()))),"OLD",IF(AND(E4602&lt;&gt;"",E4602&lt;&gt;"!!!"),"NEW","")))</f>
        <v> </v>
      </c>
      <c r="G4602" s="24" t="str">
        <f>IF(OR(E4602="",E4602="!!!"),"",IF(OR(J4602=0,AND(J4602=1,K4602=1),AND(J4602=1,I4602="SBJ"),AND(J4602=1,I4602=0)),"?IN_FOCUS",IF(J4602&lt;=2,"?ACTIVATED",IF(J4602&lt;&gt;"","?FAMILIAR",IF(F4602="NEW",IF(ISNA(VLOOKUP(E4602,#REF!,1,FALSE())),"?TYPE_IDENTIFIABLE","?REFERENTIAL"),"_")))))</f>
        <v> </v>
      </c>
      <c r="H4602" s="25" t="str">
        <f>IF(J4602&lt;&gt;1,"",IF(I4602="SBJ","CB","?"))</f>
        <v> </v>
      </c>
      <c r="I4602" s="26" t="str">
        <f>IF(OR(E4602="",E4602="!!!",F4602="NEW"),"",INDEX(B4601:B$2,-1+SUMPRODUCT(MAX(ROW(E4601:E$2)*(E4602=E4601:E$2)))))</f>
        <v> </v>
      </c>
      <c r="J4602" s="26" t="str">
        <f>IF(OR(E4602="",E4602="!!!",F4602="NEW"),"",COUNTBLANK(OFFSET(A$1,,,SUMPRODUCT(MAX(ROW(E$2:E4602)*(E4602=E$2:E4602)))))-COUNTBLANK(OFFSET(A$1,,,SUMPRODUCT(MAX(ROW(E$1:E4601)*(E2=E$1:E4601))))))</f>
        <v> </v>
      </c>
      <c r="K4602" s="26" t="str">
        <f>IF(OR(E4602="",E4602="!!!",F4602="NEW"),"",INDEX(J$1:J4601,SUMPRODUCT(MAX(ROW(E$1:E4601)*(E4602=E$1:E4601)))))</f>
        <v> </v>
      </c>
      <c r="L4602" s="27"/>
    </row>
    <row r="4603" spans="1:12">
      <c r="A4603" s="20"/>
    </row>
    <row r="4604" spans="1:12">
      <c r="A4604" s="20" t="s">
        <v>2363</v>
      </c>
    </row>
    <row r="4605" spans="1:12">
      <c r="A4605" s="20" t="s">
        <v>2364</v>
      </c>
      <c r="E4605" s="22">
        <f>IF(D4605="?OLD","!!!","")</f>
        <v/>
      </c>
      <c r="F4605" s="23" t="str">
        <f>IF(OR(E4605="",E4605="!!!"),"",IF(NOT(ISNA(VLOOKUP(E4605,E$1:E4604,1,FALSE()))),"OLD",IF(AND(E4605&lt;&gt;"",E4605&lt;&gt;"!!!"),"NEW","")))</f>
        <v> </v>
      </c>
      <c r="G4605" s="24" t="str">
        <f>IF(OR(E4605="",E4605="!!!"),"",IF(OR(J4605=0,AND(J4605=1,K4605=1),AND(J4605=1,I4605="SBJ"),AND(J4605=1,I4605=0)),"?IN_FOCUS",IF(J4605&lt;=2,"?ACTIVATED",IF(J4605&lt;&gt;"","?FAMILIAR",IF(F4605="NEW",IF(ISNA(VLOOKUP(E4605,#REF!,1,FALSE())),"?TYPE_IDENTIFIABLE","?REFERENTIAL"),"_")))))</f>
        <v> </v>
      </c>
      <c r="H4605" s="25" t="str">
        <f>IF(J4605&lt;&gt;1,"",IF(I4605="SBJ","CB","?"))</f>
        <v> </v>
      </c>
      <c r="I4605" s="26" t="str">
        <f>IF(OR(E4605="",E4605="!!!",F4605="NEW"),"",INDEX(B4604:B$2,-1+SUMPRODUCT(MAX(ROW(E4604:E$2)*(E4605=E4604:E$2)))))</f>
        <v> </v>
      </c>
      <c r="J4605" s="26" t="str">
        <f>IF(OR(E4605="",E4605="!!!",F4605="NEW"),"",COUNTBLANK(OFFSET(A$1,,,SUMPRODUCT(MAX(ROW(E$2:E4605)*(E4605=E$2:E4605)))))-COUNTBLANK(OFFSET(A$1,,,SUMPRODUCT(MAX(ROW(E$1:E4604)*(E2=E$1:E4604))))))</f>
        <v> </v>
      </c>
      <c r="K4605" s="26" t="str">
        <f>IF(OR(E4605="",E4605="!!!",F4605="NEW"),"",INDEX(J$1:J4604,SUMPRODUCT(MAX(ROW(E$1:E4604)*(E4605=E$1:E4604)))))</f>
        <v> </v>
      </c>
      <c r="L4605" s="27"/>
    </row>
    <row r="4606" spans="1:12">
      <c r="A4606" s="20" t="s">
        <v>1101</v>
      </c>
      <c r="E4606" s="22">
        <f>IF(D4606="?OLD","!!!","")</f>
        <v/>
      </c>
      <c r="F4606" s="23" t="str">
        <f>IF(OR(E4606="",E4606="!!!"),"",IF(NOT(ISNA(VLOOKUP(E4606,E$1:E4605,1,FALSE()))),"OLD",IF(AND(E4606&lt;&gt;"",E4606&lt;&gt;"!!!"),"NEW","")))</f>
        <v> </v>
      </c>
      <c r="G4606" s="24" t="str">
        <f>IF(OR(E4606="",E4606="!!!"),"",IF(OR(J4606=0,AND(J4606=1,K4606=1),AND(J4606=1,I4606="SBJ"),AND(J4606=1,I4606=0)),"?IN_FOCUS",IF(J4606&lt;=2,"?ACTIVATED",IF(J4606&lt;&gt;"","?FAMILIAR",IF(F4606="NEW",IF(ISNA(VLOOKUP(E4606,#REF!,1,FALSE())),"?TYPE_IDENTIFIABLE","?REFERENTIAL"),"_")))))</f>
        <v> </v>
      </c>
      <c r="H4606" s="25" t="str">
        <f>IF(J4606&lt;&gt;1,"",IF(I4606="SBJ","CB","?"))</f>
        <v> </v>
      </c>
      <c r="I4606" s="26" t="str">
        <f>IF(OR(E4606="",E4606="!!!",F4606="NEW"),"",INDEX(B4605:B$2,-1+SUMPRODUCT(MAX(ROW(E4605:E$2)*(E4606=E4605:E$2)))))</f>
        <v> </v>
      </c>
      <c r="J4606" s="26" t="str">
        <f>IF(OR(E4606="",E4606="!!!",F4606="NEW"),"",COUNTBLANK(OFFSET(A$1,,,SUMPRODUCT(MAX(ROW(E$2:E4606)*(E4606=E$2:E4606)))))-COUNTBLANK(OFFSET(A$1,,,SUMPRODUCT(MAX(ROW(E$1:E4605)*(E2=E$1:E4605))))))</f>
        <v> </v>
      </c>
      <c r="K4606" s="26" t="str">
        <f>IF(OR(E4606="",E4606="!!!",F4606="NEW"),"",INDEX(J$1:J4605,SUMPRODUCT(MAX(ROW(E$1:E4605)*(E4606=E$1:E4605)))))</f>
        <v> </v>
      </c>
      <c r="L4606" s="27"/>
    </row>
    <row r="4607" spans="1:12">
      <c r="A4607" s="20" t="s">
        <v>1341</v>
      </c>
      <c r="B4607" s="21" t="s">
        <v>1097</v>
      </c>
      <c r="C4607" s="21" t="s">
        <v>1059</v>
      </c>
      <c r="D4607" s="21" t="s">
        <v>1060</v>
      </c>
      <c r="E4607" s="22">
        <f>IF(D4607="?OLD","!!!","")</f>
        <v/>
      </c>
      <c r="F4607" s="23" t="str">
        <f>IF(OR(E4607="",E4607="!!!"),"",IF(NOT(ISNA(VLOOKUP(E4607,E$1:E4606,1,FALSE()))),"OLD",IF(AND(E4607&lt;&gt;"",E4607&lt;&gt;"!!!"),"NEW","")))</f>
        <v> </v>
      </c>
      <c r="G4607" s="24" t="str">
        <f>IF(OR(E4607="",E4607="!!!"),"",IF(OR(J4607=0,AND(J4607=1,K4607=1),AND(J4607=1,I4607="SBJ"),AND(J4607=1,I4607=0)),"?IN_FOCUS",IF(J4607&lt;=2,"?ACTIVATED",IF(J4607&lt;&gt;"","?FAMILIAR",IF(F4607="NEW",IF(ISNA(VLOOKUP(E4607,#REF!,1,FALSE())),"?TYPE_IDENTIFIABLE","?REFERENTIAL"),"_")))))</f>
        <v> </v>
      </c>
      <c r="H4607" s="25" t="str">
        <f>IF(J4607&lt;&gt;1,"",IF(I4607="SBJ","CB","?"))</f>
        <v> </v>
      </c>
      <c r="I4607" s="26" t="str">
        <f>IF(OR(E4607="",E4607="!!!",F4607="NEW"),"",INDEX(B4606:B$2,-1+SUMPRODUCT(MAX(ROW(E4606:E$2)*(E4607=E4606:E$2)))))</f>
        <v> </v>
      </c>
      <c r="J4607" s="26" t="str">
        <f>IF(OR(E4607="",E4607="!!!",F4607="NEW"),"",COUNTBLANK(OFFSET(A$1,,,SUMPRODUCT(MAX(ROW(E$2:E4607)*(E4607=E$2:E4607)))))-COUNTBLANK(OFFSET(A$1,,,SUMPRODUCT(MAX(ROW(E$1:E4606)*(E2=E$1:E4606))))))</f>
        <v> </v>
      </c>
      <c r="K4607" s="26" t="str">
        <f>IF(OR(E4607="",E4607="!!!",F4607="NEW"),"",INDEX(J$1:J4606,SUMPRODUCT(MAX(ROW(E$1:E4606)*(E4607=E$1:E4606)))))</f>
        <v> </v>
      </c>
      <c r="L4607" s="27"/>
    </row>
    <row r="4608" spans="1:12">
      <c r="A4608" s="20" t="s">
        <v>1061</v>
      </c>
      <c r="E4608" s="22">
        <f>IF(D4608="?OLD","!!!","")</f>
        <v/>
      </c>
      <c r="F4608" s="23" t="str">
        <f>IF(OR(E4608="",E4608="!!!"),"",IF(NOT(ISNA(VLOOKUP(E4608,E$1:E4607,1,FALSE()))),"OLD",IF(AND(E4608&lt;&gt;"",E4608&lt;&gt;"!!!"),"NEW","")))</f>
        <v> </v>
      </c>
      <c r="G4608" s="24" t="str">
        <f>IF(OR(E4608="",E4608="!!!"),"",IF(OR(J4608=0,AND(J4608=1,K4608=1),AND(J4608=1,I4608="SBJ"),AND(J4608=1,I4608=0)),"?IN_FOCUS",IF(J4608&lt;=2,"?ACTIVATED",IF(J4608&lt;&gt;"","?FAMILIAR",IF(F4608="NEW",IF(ISNA(VLOOKUP(E4608,#REF!,1,FALSE())),"?TYPE_IDENTIFIABLE","?REFERENTIAL"),"_")))))</f>
        <v> </v>
      </c>
      <c r="H4608" s="25" t="str">
        <f>IF(J4608&lt;&gt;1,"",IF(I4608="SBJ","CB","?"))</f>
        <v> </v>
      </c>
      <c r="I4608" s="26" t="str">
        <f>IF(OR(E4608="",E4608="!!!",F4608="NEW"),"",INDEX(B4607:B$2,-1+SUMPRODUCT(MAX(ROW(E4607:E$2)*(E4608=E4607:E$2)))))</f>
        <v> </v>
      </c>
      <c r="J4608" s="26" t="str">
        <f>IF(OR(E4608="",E4608="!!!",F4608="NEW"),"",COUNTBLANK(OFFSET(A$1,,,SUMPRODUCT(MAX(ROW(E$2:E4608)*(E4608=E$2:E4608)))))-COUNTBLANK(OFFSET(A$1,,,SUMPRODUCT(MAX(ROW(E$1:E4607)*(E2=E$1:E4607))))))</f>
        <v> </v>
      </c>
      <c r="K4608" s="26" t="str">
        <f>IF(OR(E4608="",E4608="!!!",F4608="NEW"),"",INDEX(J$1:J4607,SUMPRODUCT(MAX(ROW(E$1:E4607)*(E4608=E$1:E4607)))))</f>
        <v> </v>
      </c>
      <c r="L4608" s="27"/>
    </row>
    <row r="4609" spans="1:12">
      <c r="A4609" s="20" t="s">
        <v>1074</v>
      </c>
      <c r="B4609" s="21" t="s">
        <v>1068</v>
      </c>
      <c r="C4609" s="21" t="s">
        <v>1076</v>
      </c>
      <c r="D4609" s="21" t="s">
        <v>1060</v>
      </c>
      <c r="E4609" s="22">
        <f>IF(D4609="?OLD","!!!","")</f>
        <v/>
      </c>
      <c r="F4609" s="23" t="str">
        <f>IF(OR(E4609="",E4609="!!!"),"",IF(NOT(ISNA(VLOOKUP(E4609,E$1:E4608,1,FALSE()))),"OLD",IF(AND(E4609&lt;&gt;"",E4609&lt;&gt;"!!!"),"NEW","")))</f>
        <v> </v>
      </c>
      <c r="G4609" s="24" t="str">
        <f>IF(OR(E4609="",E4609="!!!"),"",IF(OR(J4609=0,AND(J4609=1,K4609=1),AND(J4609=1,I4609="SBJ"),AND(J4609=1,I4609=0)),"?IN_FOCUS",IF(J4609&lt;=2,"?ACTIVATED",IF(J4609&lt;&gt;"","?FAMILIAR",IF(F4609="NEW",IF(ISNA(VLOOKUP(E4609,#REF!,1,FALSE())),"?TYPE_IDENTIFIABLE","?REFERENTIAL"),"_")))))</f>
        <v> </v>
      </c>
      <c r="H4609" s="25" t="str">
        <f>IF(J4609&lt;&gt;1,"",IF(I4609="SBJ","CB","?"))</f>
        <v> </v>
      </c>
      <c r="I4609" s="26" t="str">
        <f>IF(OR(E4609="",E4609="!!!",F4609="NEW"),"",INDEX(B4608:B$2,-1+SUMPRODUCT(MAX(ROW(E4608:E$2)*(E4609=E4608:E$2)))))</f>
        <v> </v>
      </c>
      <c r="J4609" s="26" t="str">
        <f>IF(OR(E4609="",E4609="!!!",F4609="NEW"),"",COUNTBLANK(OFFSET(A$1,,,SUMPRODUCT(MAX(ROW(E$2:E4609)*(E4609=E$2:E4609)))))-COUNTBLANK(OFFSET(A$1,,,SUMPRODUCT(MAX(ROW(E$1:E4608)*(E2=E$1:E4608))))))</f>
        <v> </v>
      </c>
      <c r="K4609" s="26" t="str">
        <f>IF(OR(E4609="",E4609="!!!",F4609="NEW"),"",INDEX(J$1:J4608,SUMPRODUCT(MAX(ROW(E$1:E4608)*(E4609=E$1:E4608)))))</f>
        <v> </v>
      </c>
      <c r="L4609" s="27"/>
    </row>
    <row r="4610" spans="1:12">
      <c r="A4610" s="20" t="s">
        <v>1077</v>
      </c>
      <c r="E4610" s="22">
        <f>IF(D4610="?OLD","!!!","")</f>
        <v/>
      </c>
      <c r="F4610" s="23" t="str">
        <f>IF(OR(E4610="",E4610="!!!"),"",IF(NOT(ISNA(VLOOKUP(E4610,E$1:E4609,1,FALSE()))),"OLD",IF(AND(E4610&lt;&gt;"",E4610&lt;&gt;"!!!"),"NEW","")))</f>
        <v> </v>
      </c>
      <c r="G4610" s="24" t="str">
        <f>IF(OR(E4610="",E4610="!!!"),"",IF(OR(J4610=0,AND(J4610=1,K4610=1),AND(J4610=1,I4610="SBJ"),AND(J4610=1,I4610=0)),"?IN_FOCUS",IF(J4610&lt;=2,"?ACTIVATED",IF(J4610&lt;&gt;"","?FAMILIAR",IF(F4610="NEW",IF(ISNA(VLOOKUP(E4610,#REF!,1,FALSE())),"?TYPE_IDENTIFIABLE","?REFERENTIAL"),"_")))))</f>
        <v> </v>
      </c>
      <c r="H4610" s="25" t="str">
        <f>IF(J4610&lt;&gt;1,"",IF(I4610="SBJ","CB","?"))</f>
        <v> </v>
      </c>
      <c r="I4610" s="26" t="str">
        <f>IF(OR(E4610="",E4610="!!!",F4610="NEW"),"",INDEX(B4609:B$2,-1+SUMPRODUCT(MAX(ROW(E4609:E$2)*(E4610=E4609:E$2)))))</f>
        <v> </v>
      </c>
      <c r="J4610" s="26" t="str">
        <f>IF(OR(E4610="",E4610="!!!",F4610="NEW"),"",COUNTBLANK(OFFSET(A$1,,,SUMPRODUCT(MAX(ROW(E$2:E4610)*(E4610=E$2:E4610)))))-COUNTBLANK(OFFSET(A$1,,,SUMPRODUCT(MAX(ROW(E$1:E4609)*(E2=E$1:E4609))))))</f>
        <v> </v>
      </c>
      <c r="K4610" s="26" t="str">
        <f>IF(OR(E4610="",E4610="!!!",F4610="NEW"),"",INDEX(J$1:J4609,SUMPRODUCT(MAX(ROW(E$1:E4609)*(E4610=E$1:E4609)))))</f>
        <v> </v>
      </c>
      <c r="L4610" s="27"/>
    </row>
    <row r="4611" spans="1:12">
      <c r="A4611" s="20" t="s">
        <v>1970</v>
      </c>
      <c r="E4611" s="22">
        <f>IF(D4611="?OLD","!!!","")</f>
        <v/>
      </c>
      <c r="F4611" s="23" t="str">
        <f>IF(OR(E4611="",E4611="!!!"),"",IF(NOT(ISNA(VLOOKUP(E4611,E$1:E4610,1,FALSE()))),"OLD",IF(AND(E4611&lt;&gt;"",E4611&lt;&gt;"!!!"),"NEW","")))</f>
        <v> </v>
      </c>
      <c r="G4611" s="24" t="str">
        <f>IF(OR(E4611="",E4611="!!!"),"",IF(OR(J4611=0,AND(J4611=1,K4611=1),AND(J4611=1,I4611="SBJ"),AND(J4611=1,I4611=0)),"?IN_FOCUS",IF(J4611&lt;=2,"?ACTIVATED",IF(J4611&lt;&gt;"","?FAMILIAR",IF(F4611="NEW",IF(ISNA(VLOOKUP(E4611,#REF!,1,FALSE())),"?TYPE_IDENTIFIABLE","?REFERENTIAL"),"_")))))</f>
        <v> </v>
      </c>
      <c r="H4611" s="25" t="str">
        <f>IF(J4611&lt;&gt;1,"",IF(I4611="SBJ","CB","?"))</f>
        <v> </v>
      </c>
      <c r="I4611" s="26" t="str">
        <f>IF(OR(E4611="",E4611="!!!",F4611="NEW"),"",INDEX(B4610:B$2,-1+SUMPRODUCT(MAX(ROW(E4610:E$2)*(E4611=E4610:E$2)))))</f>
        <v> </v>
      </c>
      <c r="J4611" s="26" t="str">
        <f>IF(OR(E4611="",E4611="!!!",F4611="NEW"),"",COUNTBLANK(OFFSET(A$1,,,SUMPRODUCT(MAX(ROW(E$2:E4611)*(E4611=E$2:E4611)))))-COUNTBLANK(OFFSET(A$1,,,SUMPRODUCT(MAX(ROW(E$1:E4610)*(E2=E$1:E4610))))))</f>
        <v> </v>
      </c>
      <c r="K4611" s="26" t="str">
        <f>IF(OR(E4611="",E4611="!!!",F4611="NEW"),"",INDEX(J$1:J4610,SUMPRODUCT(MAX(ROW(E$1:E4610)*(E4611=E$1:E4610)))))</f>
        <v> </v>
      </c>
      <c r="L4611" s="27"/>
    </row>
    <row r="4612" spans="1:12">
      <c r="A4612" s="20" t="s">
        <v>908</v>
      </c>
      <c r="B4612" s="21" t="s">
        <v>1097</v>
      </c>
      <c r="C4612" s="21" t="s">
        <v>1080</v>
      </c>
      <c r="E4612" s="22">
        <f>IF(D4612="?OLD","!!!","")</f>
        <v/>
      </c>
      <c r="F4612" s="23" t="str">
        <f>IF(OR(E4612="",E4612="!!!"),"",IF(NOT(ISNA(VLOOKUP(E4612,E$1:E4611,1,FALSE()))),"OLD",IF(AND(E4612&lt;&gt;"",E4612&lt;&gt;"!!!"),"NEW","")))</f>
        <v> </v>
      </c>
      <c r="G4612" s="24" t="str">
        <f>IF(OR(E4612="",E4612="!!!"),"",IF(OR(J4612=0,AND(J4612=1,K4612=1),AND(J4612=1,I4612="SBJ"),AND(J4612=1,I4612=0)),"?IN_FOCUS",IF(J4612&lt;=2,"?ACTIVATED",IF(J4612&lt;&gt;"","?FAMILIAR",IF(F4612="NEW",IF(ISNA(VLOOKUP(E4612,#REF!,1,FALSE())),"?TYPE_IDENTIFIABLE","?REFERENTIAL"),"_")))))</f>
        <v> </v>
      </c>
      <c r="H4612" s="25" t="str">
        <f>IF(J4612&lt;&gt;1,"",IF(I4612="SBJ","CB","?"))</f>
        <v> </v>
      </c>
      <c r="I4612" s="26" t="str">
        <f>IF(OR(E4612="",E4612="!!!",F4612="NEW"),"",INDEX(B4611:B$2,-1+SUMPRODUCT(MAX(ROW(E4611:E$2)*(E4612=E4611:E$2)))))</f>
        <v> </v>
      </c>
      <c r="J4612" s="26" t="str">
        <f>IF(OR(E4612="",E4612="!!!",F4612="NEW"),"",COUNTBLANK(OFFSET(A$1,,,SUMPRODUCT(MAX(ROW(E$2:E4612)*(E4612=E$2:E4612)))))-COUNTBLANK(OFFSET(A$1,,,SUMPRODUCT(MAX(ROW(E$1:E4611)*(E2=E$1:E4611))))))</f>
        <v> </v>
      </c>
      <c r="K4612" s="26" t="str">
        <f>IF(OR(E4612="",E4612="!!!",F4612="NEW"),"",INDEX(J$1:J4611,SUMPRODUCT(MAX(ROW(E$1:E4611)*(E4612=E$1:E4611)))))</f>
        <v> </v>
      </c>
      <c r="L4612" s="27"/>
    </row>
    <row r="4613" spans="1:12">
      <c r="A4613" s="20" t="s">
        <v>2290</v>
      </c>
      <c r="E4613" s="22">
        <f>IF(D4613="?OLD","!!!","")</f>
        <v/>
      </c>
      <c r="F4613" s="23" t="str">
        <f>IF(OR(E4613="",E4613="!!!"),"",IF(NOT(ISNA(VLOOKUP(E4613,E$1:E4612,1,FALSE()))),"OLD",IF(AND(E4613&lt;&gt;"",E4613&lt;&gt;"!!!"),"NEW","")))</f>
        <v> </v>
      </c>
      <c r="G4613" s="24" t="str">
        <f>IF(OR(E4613="",E4613="!!!"),"",IF(OR(J4613=0,AND(J4613=1,K4613=1),AND(J4613=1,I4613="SBJ"),AND(J4613=1,I4613=0)),"?IN_FOCUS",IF(J4613&lt;=2,"?ACTIVATED",IF(J4613&lt;&gt;"","?FAMILIAR",IF(F4613="NEW",IF(ISNA(VLOOKUP(E4613,#REF!,1,FALSE())),"?TYPE_IDENTIFIABLE","?REFERENTIAL"),"_")))))</f>
        <v> </v>
      </c>
      <c r="H4613" s="25" t="str">
        <f>IF(J4613&lt;&gt;1,"",IF(I4613="SBJ","CB","?"))</f>
        <v> </v>
      </c>
      <c r="I4613" s="26" t="str">
        <f>IF(OR(E4613="",E4613="!!!",F4613="NEW"),"",INDEX(B4612:B$2,-1+SUMPRODUCT(MAX(ROW(E4612:E$2)*(E4613=E4612:E$2)))))</f>
        <v> </v>
      </c>
      <c r="J4613" s="26" t="str">
        <f>IF(OR(E4613="",E4613="!!!",F4613="NEW"),"",COUNTBLANK(OFFSET(A$1,,,SUMPRODUCT(MAX(ROW(E$2:E4613)*(E4613=E$2:E4613)))))-COUNTBLANK(OFFSET(A$1,,,SUMPRODUCT(MAX(ROW(E$1:E4612)*(E2=E$1:E4612))))))</f>
        <v> </v>
      </c>
      <c r="K4613" s="26" t="str">
        <f>IF(OR(E4613="",E4613="!!!",F4613="NEW"),"",INDEX(J$1:J4612,SUMPRODUCT(MAX(ROW(E$1:E4612)*(E4613=E$1:E4612)))))</f>
        <v> </v>
      </c>
      <c r="L4613" s="27"/>
    </row>
    <row r="4614" spans="1:12">
      <c r="A4614" s="20" t="s">
        <v>728</v>
      </c>
      <c r="E4614" s="22">
        <f>IF(D4614="?OLD","!!!","")</f>
        <v/>
      </c>
      <c r="F4614" s="23" t="str">
        <f>IF(OR(E4614="",E4614="!!!"),"",IF(NOT(ISNA(VLOOKUP(E4614,E$1:E4613,1,FALSE()))),"OLD",IF(AND(E4614&lt;&gt;"",E4614&lt;&gt;"!!!"),"NEW","")))</f>
        <v> </v>
      </c>
      <c r="G4614" s="24" t="str">
        <f>IF(OR(E4614="",E4614="!!!"),"",IF(OR(J4614=0,AND(J4614=1,K4614=1),AND(J4614=1,I4614="SBJ"),AND(J4614=1,I4614=0)),"?IN_FOCUS",IF(J4614&lt;=2,"?ACTIVATED",IF(J4614&lt;&gt;"","?FAMILIAR",IF(F4614="NEW",IF(ISNA(VLOOKUP(E4614,#REF!,1,FALSE())),"?TYPE_IDENTIFIABLE","?REFERENTIAL"),"_")))))</f>
        <v> </v>
      </c>
      <c r="H4614" s="25" t="str">
        <f>IF(J4614&lt;&gt;1,"",IF(I4614="SBJ","CB","?"))</f>
        <v> </v>
      </c>
      <c r="I4614" s="26" t="str">
        <f>IF(OR(E4614="",E4614="!!!",F4614="NEW"),"",INDEX(B4613:B$2,-1+SUMPRODUCT(MAX(ROW(E4613:E$2)*(E4614=E4613:E$2)))))</f>
        <v> </v>
      </c>
      <c r="J4614" s="26" t="str">
        <f>IF(OR(E4614="",E4614="!!!",F4614="NEW"),"",COUNTBLANK(OFFSET(A$1,,,SUMPRODUCT(MAX(ROW(E$2:E4614)*(E4614=E$2:E4614)))))-COUNTBLANK(OFFSET(A$1,,,SUMPRODUCT(MAX(ROW(E$1:E4613)*(E2=E$1:E4613))))))</f>
        <v> </v>
      </c>
      <c r="K4614" s="26" t="str">
        <f>IF(OR(E4614="",E4614="!!!",F4614="NEW"),"",INDEX(J$1:J4613,SUMPRODUCT(MAX(ROW(E$1:E4613)*(E4614=E$1:E4613)))))</f>
        <v> </v>
      </c>
      <c r="L4614" s="27"/>
    </row>
    <row r="4615" spans="1:12">
      <c r="A4615" s="20" t="s">
        <v>1118</v>
      </c>
      <c r="E4615" s="22">
        <f>IF(D4615="?OLD","!!!","")</f>
        <v/>
      </c>
      <c r="F4615" s="23" t="str">
        <f>IF(OR(E4615="",E4615="!!!"),"",IF(NOT(ISNA(VLOOKUP(E4615,E$1:E4614,1,FALSE()))),"OLD",IF(AND(E4615&lt;&gt;"",E4615&lt;&gt;"!!!"),"NEW","")))</f>
        <v> </v>
      </c>
      <c r="G4615" s="24" t="str">
        <f>IF(OR(E4615="",E4615="!!!"),"",IF(OR(J4615=0,AND(J4615=1,K4615=1),AND(J4615=1,I4615="SBJ"),AND(J4615=1,I4615=0)),"?IN_FOCUS",IF(J4615&lt;=2,"?ACTIVATED",IF(J4615&lt;&gt;"","?FAMILIAR",IF(F4615="NEW",IF(ISNA(VLOOKUP(E4615,#REF!,1,FALSE())),"?TYPE_IDENTIFIABLE","?REFERENTIAL"),"_")))))</f>
        <v> </v>
      </c>
      <c r="H4615" s="25" t="str">
        <f>IF(J4615&lt;&gt;1,"",IF(I4615="SBJ","CB","?"))</f>
        <v> </v>
      </c>
      <c r="I4615" s="26" t="str">
        <f>IF(OR(E4615="",E4615="!!!",F4615="NEW"),"",INDEX(B4614:B$2,-1+SUMPRODUCT(MAX(ROW(E4614:E$2)*(E4615=E4614:E$2)))))</f>
        <v> </v>
      </c>
      <c r="J4615" s="26" t="str">
        <f>IF(OR(E4615="",E4615="!!!",F4615="NEW"),"",COUNTBLANK(OFFSET(A$1,,,SUMPRODUCT(MAX(ROW(E$2:E4615)*(E4615=E$2:E4615)))))-COUNTBLANK(OFFSET(A$1,,,SUMPRODUCT(MAX(ROW(E$1:E4614)*(E2=E$1:E4614))))))</f>
        <v> </v>
      </c>
      <c r="K4615" s="26" t="str">
        <f>IF(OR(E4615="",E4615="!!!",F4615="NEW"),"",INDEX(J$1:J4614,SUMPRODUCT(MAX(ROW(E$1:E4614)*(E4615=E$1:E4614)))))</f>
        <v> </v>
      </c>
      <c r="L4615" s="27"/>
    </row>
    <row r="4616" spans="1:12">
      <c r="A4616" s="20" t="s">
        <v>1502</v>
      </c>
      <c r="E4616" s="22">
        <f>IF(D4616="?OLD","!!!","")</f>
        <v/>
      </c>
      <c r="F4616" s="23" t="str">
        <f>IF(OR(E4616="",E4616="!!!"),"",IF(NOT(ISNA(VLOOKUP(E4616,E$1:E4615,1,FALSE()))),"OLD",IF(AND(E4616&lt;&gt;"",E4616&lt;&gt;"!!!"),"NEW","")))</f>
        <v> </v>
      </c>
      <c r="G4616" s="24" t="str">
        <f>IF(OR(E4616="",E4616="!!!"),"",IF(OR(J4616=0,AND(J4616=1,K4616=1),AND(J4616=1,I4616="SBJ"),AND(J4616=1,I4616=0)),"?IN_FOCUS",IF(J4616&lt;=2,"?ACTIVATED",IF(J4616&lt;&gt;"","?FAMILIAR",IF(F4616="NEW",IF(ISNA(VLOOKUP(E4616,#REF!,1,FALSE())),"?TYPE_IDENTIFIABLE","?REFERENTIAL"),"_")))))</f>
        <v> </v>
      </c>
      <c r="H4616" s="25" t="str">
        <f>IF(J4616&lt;&gt;1,"",IF(I4616="SBJ","CB","?"))</f>
        <v> </v>
      </c>
      <c r="I4616" s="26" t="str">
        <f>IF(OR(E4616="",E4616="!!!",F4616="NEW"),"",INDEX(B4615:B$2,-1+SUMPRODUCT(MAX(ROW(E4615:E$2)*(E4616=E4615:E$2)))))</f>
        <v> </v>
      </c>
      <c r="J4616" s="26" t="str">
        <f>IF(OR(E4616="",E4616="!!!",F4616="NEW"),"",COUNTBLANK(OFFSET(A$1,,,SUMPRODUCT(MAX(ROW(E$2:E4616)*(E4616=E$2:E4616)))))-COUNTBLANK(OFFSET(A$1,,,SUMPRODUCT(MAX(ROW(E$1:E4615)*(E2=E$1:E4615))))))</f>
        <v> </v>
      </c>
      <c r="K4616" s="26" t="str">
        <f>IF(OR(E4616="",E4616="!!!",F4616="NEW"),"",INDEX(J$1:J4615,SUMPRODUCT(MAX(ROW(E$1:E4615)*(E4616=E$1:E4615)))))</f>
        <v> </v>
      </c>
      <c r="L4616" s="27"/>
    </row>
    <row r="4617" spans="1:12">
      <c r="A4617" s="20" t="s">
        <v>1851</v>
      </c>
      <c r="E4617" s="22">
        <f>IF(D4617="?OLD","!!!","")</f>
        <v/>
      </c>
      <c r="F4617" s="23" t="str">
        <f>IF(OR(E4617="",E4617="!!!"),"",IF(NOT(ISNA(VLOOKUP(E4617,E$1:E4616,1,FALSE()))),"OLD",IF(AND(E4617&lt;&gt;"",E4617&lt;&gt;"!!!"),"NEW","")))</f>
        <v> </v>
      </c>
      <c r="G4617" s="24" t="str">
        <f>IF(OR(E4617="",E4617="!!!"),"",IF(OR(J4617=0,AND(J4617=1,K4617=1),AND(J4617=1,I4617="SBJ"),AND(J4617=1,I4617=0)),"?IN_FOCUS",IF(J4617&lt;=2,"?ACTIVATED",IF(J4617&lt;&gt;"","?FAMILIAR",IF(F4617="NEW",IF(ISNA(VLOOKUP(E4617,#REF!,1,FALSE())),"?TYPE_IDENTIFIABLE","?REFERENTIAL"),"_")))))</f>
        <v> </v>
      </c>
      <c r="H4617" s="25" t="str">
        <f>IF(J4617&lt;&gt;1,"",IF(I4617="SBJ","CB","?"))</f>
        <v> </v>
      </c>
      <c r="I4617" s="26" t="str">
        <f>IF(OR(E4617="",E4617="!!!",F4617="NEW"),"",INDEX(B4616:B$2,-1+SUMPRODUCT(MAX(ROW(E4616:E$2)*(E4617=E4616:E$2)))))</f>
        <v> </v>
      </c>
      <c r="J4617" s="26" t="str">
        <f>IF(OR(E4617="",E4617="!!!",F4617="NEW"),"",COUNTBLANK(OFFSET(A$1,,,SUMPRODUCT(MAX(ROW(E$2:E4617)*(E4617=E$2:E4617)))))-COUNTBLANK(OFFSET(A$1,,,SUMPRODUCT(MAX(ROW(E$1:E4616)*(E2=E$1:E4616))))))</f>
        <v> </v>
      </c>
      <c r="K4617" s="26" t="str">
        <f>IF(OR(E4617="",E4617="!!!",F4617="NEW"),"",INDEX(J$1:J4616,SUMPRODUCT(MAX(ROW(E$1:E4616)*(E4617=E$1:E4616)))))</f>
        <v> </v>
      </c>
      <c r="L4617" s="27"/>
    </row>
    <row r="4618" spans="1:12">
      <c r="A4618" s="20" t="s">
        <v>1516</v>
      </c>
      <c r="E4618" s="22">
        <f>IF(D4618="?OLD","!!!","")</f>
        <v/>
      </c>
      <c r="F4618" s="23" t="str">
        <f>IF(OR(E4618="",E4618="!!!"),"",IF(NOT(ISNA(VLOOKUP(E4618,E$1:E4617,1,FALSE()))),"OLD",IF(AND(E4618&lt;&gt;"",E4618&lt;&gt;"!!!"),"NEW","")))</f>
        <v> </v>
      </c>
      <c r="G4618" s="24" t="str">
        <f>IF(OR(E4618="",E4618="!!!"),"",IF(OR(J4618=0,AND(J4618=1,K4618=1),AND(J4618=1,I4618="SBJ"),AND(J4618=1,I4618=0)),"?IN_FOCUS",IF(J4618&lt;=2,"?ACTIVATED",IF(J4618&lt;&gt;"","?FAMILIAR",IF(F4618="NEW",IF(ISNA(VLOOKUP(E4618,#REF!,1,FALSE())),"?TYPE_IDENTIFIABLE","?REFERENTIAL"),"_")))))</f>
        <v> </v>
      </c>
      <c r="H4618" s="25" t="str">
        <f>IF(J4618&lt;&gt;1,"",IF(I4618="SBJ","CB","?"))</f>
        <v> </v>
      </c>
      <c r="I4618" s="26" t="str">
        <f>IF(OR(E4618="",E4618="!!!",F4618="NEW"),"",INDEX(B4617:B$2,-1+SUMPRODUCT(MAX(ROW(E4617:E$2)*(E4618=E4617:E$2)))))</f>
        <v> </v>
      </c>
      <c r="J4618" s="26" t="str">
        <f>IF(OR(E4618="",E4618="!!!",F4618="NEW"),"",COUNTBLANK(OFFSET(A$1,,,SUMPRODUCT(MAX(ROW(E$2:E4618)*(E4618=E$2:E4618)))))-COUNTBLANK(OFFSET(A$1,,,SUMPRODUCT(MAX(ROW(E$1:E4617)*(E2=E$1:E4617))))))</f>
        <v> </v>
      </c>
      <c r="K4618" s="26" t="str">
        <f>IF(OR(E4618="",E4618="!!!",F4618="NEW"),"",INDEX(J$1:J4617,SUMPRODUCT(MAX(ROW(E$1:E4617)*(E4618=E$1:E4617)))))</f>
        <v> </v>
      </c>
      <c r="L4618" s="27"/>
    </row>
    <row r="4619" spans="1:12">
      <c r="A4619" s="20" t="s">
        <v>1101</v>
      </c>
      <c r="E4619" s="22">
        <f>IF(D4619="?OLD","!!!","")</f>
        <v/>
      </c>
      <c r="F4619" s="23" t="str">
        <f>IF(OR(E4619="",E4619="!!!"),"",IF(NOT(ISNA(VLOOKUP(E4619,E$1:E4618,1,FALSE()))),"OLD",IF(AND(E4619&lt;&gt;"",E4619&lt;&gt;"!!!"),"NEW","")))</f>
        <v> </v>
      </c>
      <c r="G4619" s="24" t="str">
        <f>IF(OR(E4619="",E4619="!!!"),"",IF(OR(J4619=0,AND(J4619=1,K4619=1),AND(J4619=1,I4619="SBJ"),AND(J4619=1,I4619=0)),"?IN_FOCUS",IF(J4619&lt;=2,"?ACTIVATED",IF(J4619&lt;&gt;"","?FAMILIAR",IF(F4619="NEW",IF(ISNA(VLOOKUP(E4619,#REF!,1,FALSE())),"?TYPE_IDENTIFIABLE","?REFERENTIAL"),"_")))))</f>
        <v> </v>
      </c>
      <c r="H4619" s="25" t="str">
        <f>IF(J4619&lt;&gt;1,"",IF(I4619="SBJ","CB","?"))</f>
        <v> </v>
      </c>
      <c r="I4619" s="26" t="str">
        <f>IF(OR(E4619="",E4619="!!!",F4619="NEW"),"",INDEX(B4618:B$2,-1+SUMPRODUCT(MAX(ROW(E4618:E$2)*(E4619=E4618:E$2)))))</f>
        <v> </v>
      </c>
      <c r="J4619" s="26" t="str">
        <f>IF(OR(E4619="",E4619="!!!",F4619="NEW"),"",COUNTBLANK(OFFSET(A$1,,,SUMPRODUCT(MAX(ROW(E$2:E4619)*(E4619=E$2:E4619)))))-COUNTBLANK(OFFSET(A$1,,,SUMPRODUCT(MAX(ROW(E$1:E4618)*(E2=E$1:E4618))))))</f>
        <v> </v>
      </c>
      <c r="K4619" s="26" t="str">
        <f>IF(OR(E4619="",E4619="!!!",F4619="NEW"),"",INDEX(J$1:J4618,SUMPRODUCT(MAX(ROW(E$1:E4618)*(E4619=E$1:E4618)))))</f>
        <v> </v>
      </c>
      <c r="L4619" s="27"/>
    </row>
    <row r="4620" spans="1:12">
      <c r="A4620" s="20" t="s">
        <v>1420</v>
      </c>
      <c r="B4620" s="21" t="s">
        <v>1084</v>
      </c>
      <c r="C4620" s="21" t="s">
        <v>1140</v>
      </c>
      <c r="D4620" s="21" t="s">
        <v>1060</v>
      </c>
      <c r="E4620" s="22">
        <f>IF(D4620="?OLD","!!!","")</f>
        <v/>
      </c>
      <c r="F4620" s="23" t="str">
        <f>IF(OR(E4620="",E4620="!!!"),"",IF(NOT(ISNA(VLOOKUP(E4620,E$1:E4619,1,FALSE()))),"OLD",IF(AND(E4620&lt;&gt;"",E4620&lt;&gt;"!!!"),"NEW","")))</f>
        <v> </v>
      </c>
      <c r="G4620" s="24" t="str">
        <f>IF(OR(E4620="",E4620="!!!"),"",IF(OR(J4620=0,AND(J4620=1,K4620=1),AND(J4620=1,I4620="SBJ"),AND(J4620=1,I4620=0)),"?IN_FOCUS",IF(J4620&lt;=2,"?ACTIVATED",IF(J4620&lt;&gt;"","?FAMILIAR",IF(F4620="NEW",IF(ISNA(VLOOKUP(E4620,#REF!,1,FALSE())),"?TYPE_IDENTIFIABLE","?REFERENTIAL"),"_")))))</f>
        <v> </v>
      </c>
      <c r="H4620" s="25" t="str">
        <f>IF(J4620&lt;&gt;1,"",IF(I4620="SBJ","CB","?"))</f>
        <v> </v>
      </c>
      <c r="I4620" s="26" t="str">
        <f>IF(OR(E4620="",E4620="!!!",F4620="NEW"),"",INDEX(B4619:B$2,-1+SUMPRODUCT(MAX(ROW(E4619:E$2)*(E4620=E4619:E$2)))))</f>
        <v> </v>
      </c>
      <c r="J4620" s="26" t="str">
        <f>IF(OR(E4620="",E4620="!!!",F4620="NEW"),"",COUNTBLANK(OFFSET(A$1,,,SUMPRODUCT(MAX(ROW(E$2:E4620)*(E4620=E$2:E4620)))))-COUNTBLANK(OFFSET(A$1,,,SUMPRODUCT(MAX(ROW(E$1:E4619)*(E2=E$1:E4619))))))</f>
        <v> </v>
      </c>
      <c r="K4620" s="26" t="str">
        <f>IF(OR(E4620="",E4620="!!!",F4620="NEW"),"",INDEX(J$1:J4619,SUMPRODUCT(MAX(ROW(E$1:E4619)*(E4620=E$1:E4619)))))</f>
        <v> </v>
      </c>
      <c r="L4620" s="27"/>
    </row>
    <row r="4621" spans="1:12">
      <c r="A4621" s="20" t="s">
        <v>2365</v>
      </c>
      <c r="E4621" s="22">
        <f>IF(D4621="?OLD","!!!","")</f>
        <v/>
      </c>
      <c r="F4621" s="23" t="str">
        <f>IF(OR(E4621="",E4621="!!!"),"",IF(NOT(ISNA(VLOOKUP(E4621,E$1:E4620,1,FALSE()))),"OLD",IF(AND(E4621&lt;&gt;"",E4621&lt;&gt;"!!!"),"NEW","")))</f>
        <v> </v>
      </c>
      <c r="G4621" s="24" t="str">
        <f>IF(OR(E4621="",E4621="!!!"),"",IF(OR(J4621=0,AND(J4621=1,K4621=1),AND(J4621=1,I4621="SBJ"),AND(J4621=1,I4621=0)),"?IN_FOCUS",IF(J4621&lt;=2,"?ACTIVATED",IF(J4621&lt;&gt;"","?FAMILIAR",IF(F4621="NEW",IF(ISNA(VLOOKUP(E4621,#REF!,1,FALSE())),"?TYPE_IDENTIFIABLE","?REFERENTIAL"),"_")))))</f>
        <v> </v>
      </c>
      <c r="H4621" s="25" t="str">
        <f>IF(J4621&lt;&gt;1,"",IF(I4621="SBJ","CB","?"))</f>
        <v> </v>
      </c>
      <c r="I4621" s="26" t="str">
        <f>IF(OR(E4621="",E4621="!!!",F4621="NEW"),"",INDEX(B4620:B$2,-1+SUMPRODUCT(MAX(ROW(E4620:E$2)*(E4621=E4620:E$2)))))</f>
        <v> </v>
      </c>
      <c r="J4621" s="26" t="str">
        <f>IF(OR(E4621="",E4621="!!!",F4621="NEW"),"",COUNTBLANK(OFFSET(A$1,,,SUMPRODUCT(MAX(ROW(E$2:E4621)*(E4621=E$2:E4621)))))-COUNTBLANK(OFFSET(A$1,,,SUMPRODUCT(MAX(ROW(E$1:E4620)*(E2=E$1:E4620))))))</f>
        <v> </v>
      </c>
      <c r="K4621" s="26" t="str">
        <f>IF(OR(E4621="",E4621="!!!",F4621="NEW"),"",INDEX(J$1:J4620,SUMPRODUCT(MAX(ROW(E$1:E4620)*(E4621=E$1:E4620)))))</f>
        <v> </v>
      </c>
      <c r="L4621" s="27"/>
    </row>
    <row r="4622" spans="1:12">
      <c r="A4622" s="20" t="s">
        <v>1111</v>
      </c>
      <c r="E4622" s="22">
        <f>IF(D4622="?OLD","!!!","")</f>
        <v/>
      </c>
      <c r="F4622" s="23" t="str">
        <f>IF(OR(E4622="",E4622="!!!"),"",IF(NOT(ISNA(VLOOKUP(E4622,E$1:E4621,1,FALSE()))),"OLD",IF(AND(E4622&lt;&gt;"",E4622&lt;&gt;"!!!"),"NEW","")))</f>
        <v> </v>
      </c>
      <c r="G4622" s="24" t="str">
        <f>IF(OR(E4622="",E4622="!!!"),"",IF(OR(J4622=0,AND(J4622=1,K4622=1),AND(J4622=1,I4622="SBJ"),AND(J4622=1,I4622=0)),"?IN_FOCUS",IF(J4622&lt;=2,"?ACTIVATED",IF(J4622&lt;&gt;"","?FAMILIAR",IF(F4622="NEW",IF(ISNA(VLOOKUP(E4622,#REF!,1,FALSE())),"?TYPE_IDENTIFIABLE","?REFERENTIAL"),"_")))))</f>
        <v> </v>
      </c>
      <c r="H4622" s="25" t="str">
        <f>IF(J4622&lt;&gt;1,"",IF(I4622="SBJ","CB","?"))</f>
        <v> </v>
      </c>
      <c r="I4622" s="26" t="str">
        <f>IF(OR(E4622="",E4622="!!!",F4622="NEW"),"",INDEX(B4621:B$2,-1+SUMPRODUCT(MAX(ROW(E4621:E$2)*(E4622=E4621:E$2)))))</f>
        <v> </v>
      </c>
      <c r="J4622" s="26" t="str">
        <f>IF(OR(E4622="",E4622="!!!",F4622="NEW"),"",COUNTBLANK(OFFSET(A$1,,,SUMPRODUCT(MAX(ROW(E$2:E4622)*(E4622=E$2:E4622)))))-COUNTBLANK(OFFSET(A$1,,,SUMPRODUCT(MAX(ROW(E$1:E4621)*(E2=E$1:E4621))))))</f>
        <v> </v>
      </c>
      <c r="K4622" s="26" t="str">
        <f>IF(OR(E4622="",E4622="!!!",F4622="NEW"),"",INDEX(J$1:J4621,SUMPRODUCT(MAX(ROW(E$1:E4621)*(E4622=E$1:E4621)))))</f>
        <v> </v>
      </c>
      <c r="L4622" s="27"/>
    </row>
    <row r="4623" spans="1:12">
      <c r="A4623" s="20" t="s">
        <v>2366</v>
      </c>
      <c r="B4623" s="21" t="s">
        <v>1091</v>
      </c>
      <c r="C4623" s="21" t="s">
        <v>1149</v>
      </c>
      <c r="E4623" s="22">
        <f>IF(D4623="?OLD","!!!","")</f>
        <v/>
      </c>
      <c r="F4623" s="23" t="str">
        <f>IF(OR(E4623="",E4623="!!!"),"",IF(NOT(ISNA(VLOOKUP(E4623,E$1:E4622,1,FALSE()))),"OLD",IF(AND(E4623&lt;&gt;"",E4623&lt;&gt;"!!!"),"NEW","")))</f>
        <v> </v>
      </c>
      <c r="G4623" s="24" t="str">
        <f>IF(OR(E4623="",E4623="!!!"),"",IF(OR(J4623=0,AND(J4623=1,K4623=1),AND(J4623=1,I4623="SBJ"),AND(J4623=1,I4623=0)),"?IN_FOCUS",IF(J4623&lt;=2,"?ACTIVATED",IF(J4623&lt;&gt;"","?FAMILIAR",IF(F4623="NEW",IF(ISNA(VLOOKUP(E4623,#REF!,1,FALSE())),"?TYPE_IDENTIFIABLE","?REFERENTIAL"),"_")))))</f>
        <v> </v>
      </c>
      <c r="H4623" s="25" t="str">
        <f>IF(J4623&lt;&gt;1,"",IF(I4623="SBJ","CB","?"))</f>
        <v> </v>
      </c>
      <c r="I4623" s="26" t="str">
        <f>IF(OR(E4623="",E4623="!!!",F4623="NEW"),"",INDEX(B4622:B$2,-1+SUMPRODUCT(MAX(ROW(E4622:E$2)*(E4623=E4622:E$2)))))</f>
        <v> </v>
      </c>
      <c r="J4623" s="26" t="str">
        <f>IF(OR(E4623="",E4623="!!!",F4623="NEW"),"",COUNTBLANK(OFFSET(A$1,,,SUMPRODUCT(MAX(ROW(E$2:E4623)*(E4623=E$2:E4623)))))-COUNTBLANK(OFFSET(A$1,,,SUMPRODUCT(MAX(ROW(E$1:E4622)*(E2=E$1:E4622))))))</f>
        <v> </v>
      </c>
      <c r="K4623" s="26" t="str">
        <f>IF(OR(E4623="",E4623="!!!",F4623="NEW"),"",INDEX(J$1:J4622,SUMPRODUCT(MAX(ROW(E$1:E4622)*(E4623=E$1:E4622)))))</f>
        <v> </v>
      </c>
      <c r="L4623" s="27"/>
    </row>
    <row r="4624" spans="1:12">
      <c r="A4624" s="20" t="s">
        <v>1088</v>
      </c>
      <c r="E4624" s="22">
        <f>IF(D4624="?OLD","!!!","")</f>
        <v/>
      </c>
      <c r="F4624" s="23" t="str">
        <f>IF(OR(E4624="",E4624="!!!"),"",IF(NOT(ISNA(VLOOKUP(E4624,E$1:E4623,1,FALSE()))),"OLD",IF(AND(E4624&lt;&gt;"",E4624&lt;&gt;"!!!"),"NEW","")))</f>
        <v> </v>
      </c>
      <c r="G4624" s="24" t="str">
        <f>IF(OR(E4624="",E4624="!!!"),"",IF(OR(J4624=0,AND(J4624=1,K4624=1),AND(J4624=1,I4624="SBJ"),AND(J4624=1,I4624=0)),"?IN_FOCUS",IF(J4624&lt;=2,"?ACTIVATED",IF(J4624&lt;&gt;"","?FAMILIAR",IF(F4624="NEW",IF(ISNA(VLOOKUP(E4624,#REF!,1,FALSE())),"?TYPE_IDENTIFIABLE","?REFERENTIAL"),"_")))))</f>
        <v> </v>
      </c>
      <c r="H4624" s="25" t="str">
        <f>IF(J4624&lt;&gt;1,"",IF(I4624="SBJ","CB","?"))</f>
        <v> </v>
      </c>
      <c r="I4624" s="26" t="str">
        <f>IF(OR(E4624="",E4624="!!!",F4624="NEW"),"",INDEX(B4623:B$2,-1+SUMPRODUCT(MAX(ROW(E4623:E$2)*(E4624=E4623:E$2)))))</f>
        <v> </v>
      </c>
      <c r="J4624" s="26" t="str">
        <f>IF(OR(E4624="",E4624="!!!",F4624="NEW"),"",COUNTBLANK(OFFSET(A$1,,,SUMPRODUCT(MAX(ROW(E$2:E4624)*(E4624=E$2:E4624)))))-COUNTBLANK(OFFSET(A$1,,,SUMPRODUCT(MAX(ROW(E$1:E4623)*(E2=E$1:E4623))))))</f>
        <v> </v>
      </c>
      <c r="K4624" s="26" t="str">
        <f>IF(OR(E4624="",E4624="!!!",F4624="NEW"),"",INDEX(J$1:J4623,SUMPRODUCT(MAX(ROW(E$1:E4623)*(E4624=E$1:E4623)))))</f>
        <v> </v>
      </c>
      <c r="L4624" s="27"/>
    </row>
    <row r="4625" spans="1:12">
      <c r="A4625" s="20" t="s">
        <v>2366</v>
      </c>
      <c r="B4625" s="21" t="s">
        <v>1091</v>
      </c>
      <c r="C4625" s="21" t="s">
        <v>1149</v>
      </c>
      <c r="E4625" s="22">
        <f>IF(D4625="?OLD","!!!","")</f>
        <v/>
      </c>
      <c r="F4625" s="23" t="str">
        <f>IF(OR(E4625="",E4625="!!!"),"",IF(NOT(ISNA(VLOOKUP(E4625,E$1:E4624,1,FALSE()))),"OLD",IF(AND(E4625&lt;&gt;"",E4625&lt;&gt;"!!!"),"NEW","")))</f>
        <v> </v>
      </c>
      <c r="G4625" s="24" t="str">
        <f>IF(OR(E4625="",E4625="!!!"),"",IF(OR(J4625=0,AND(J4625=1,K4625=1),AND(J4625=1,I4625="SBJ"),AND(J4625=1,I4625=0)),"?IN_FOCUS",IF(J4625&lt;=2,"?ACTIVATED",IF(J4625&lt;&gt;"","?FAMILIAR",IF(F4625="NEW",IF(ISNA(VLOOKUP(E4625,#REF!,1,FALSE())),"?TYPE_IDENTIFIABLE","?REFERENTIAL"),"_")))))</f>
        <v> </v>
      </c>
      <c r="H4625" s="25" t="str">
        <f>IF(J4625&lt;&gt;1,"",IF(I4625="SBJ","CB","?"))</f>
        <v> </v>
      </c>
      <c r="I4625" s="26" t="str">
        <f>IF(OR(E4625="",E4625="!!!",F4625="NEW"),"",INDEX(B4624:B$2,-1+SUMPRODUCT(MAX(ROW(E4624:E$2)*(E4625=E4624:E$2)))))</f>
        <v> </v>
      </c>
      <c r="J4625" s="26" t="str">
        <f>IF(OR(E4625="",E4625="!!!",F4625="NEW"),"",COUNTBLANK(OFFSET(A$1,,,SUMPRODUCT(MAX(ROW(E$2:E4625)*(E4625=E$2:E4625)))))-COUNTBLANK(OFFSET(A$1,,,SUMPRODUCT(MAX(ROW(E$1:E4624)*(E2=E$1:E4624))))))</f>
        <v> </v>
      </c>
      <c r="K4625" s="26" t="str">
        <f>IF(OR(E4625="",E4625="!!!",F4625="NEW"),"",INDEX(J$1:J4624,SUMPRODUCT(MAX(ROW(E$1:E4624)*(E4625=E$1:E4624)))))</f>
        <v> </v>
      </c>
      <c r="L4625" s="27"/>
    </row>
    <row r="4626" spans="1:12">
      <c r="A4626" s="20" t="s">
        <v>1061</v>
      </c>
      <c r="E4626" s="22">
        <f>IF(D4626="?OLD","!!!","")</f>
        <v/>
      </c>
      <c r="F4626" s="23" t="str">
        <f>IF(OR(E4626="",E4626="!!!"),"",IF(NOT(ISNA(VLOOKUP(E4626,E$1:E4625,1,FALSE()))),"OLD",IF(AND(E4626&lt;&gt;"",E4626&lt;&gt;"!!!"),"NEW","")))</f>
        <v> </v>
      </c>
      <c r="G4626" s="24" t="str">
        <f>IF(OR(E4626="",E4626="!!!"),"",IF(OR(J4626=0,AND(J4626=1,K4626=1),AND(J4626=1,I4626="SBJ"),AND(J4626=1,I4626=0)),"?IN_FOCUS",IF(J4626&lt;=2,"?ACTIVATED",IF(J4626&lt;&gt;"","?FAMILIAR",IF(F4626="NEW",IF(ISNA(VLOOKUP(E4626,#REF!,1,FALSE())),"?TYPE_IDENTIFIABLE","?REFERENTIAL"),"_")))))</f>
        <v> </v>
      </c>
      <c r="H4626" s="25" t="str">
        <f>IF(J4626&lt;&gt;1,"",IF(I4626="SBJ","CB","?"))</f>
        <v> </v>
      </c>
      <c r="I4626" s="26" t="str">
        <f>IF(OR(E4626="",E4626="!!!",F4626="NEW"),"",INDEX(B4625:B$2,-1+SUMPRODUCT(MAX(ROW(E4625:E$2)*(E4626=E4625:E$2)))))</f>
        <v> </v>
      </c>
      <c r="J4626" s="26" t="str">
        <f>IF(OR(E4626="",E4626="!!!",F4626="NEW"),"",COUNTBLANK(OFFSET(A$1,,,SUMPRODUCT(MAX(ROW(E$2:E4626)*(E4626=E$2:E4626)))))-COUNTBLANK(OFFSET(A$1,,,SUMPRODUCT(MAX(ROW(E$1:E4625)*(E2=E$1:E4625))))))</f>
        <v> </v>
      </c>
      <c r="K4626" s="26" t="str">
        <f>IF(OR(E4626="",E4626="!!!",F4626="NEW"),"",INDEX(J$1:J4625,SUMPRODUCT(MAX(ROW(E$1:E4625)*(E4626=E$1:E4625)))))</f>
        <v> </v>
      </c>
      <c r="L4626" s="27"/>
    </row>
    <row r="4627" spans="1:12">
      <c r="A4627" s="20" t="s">
        <v>2367</v>
      </c>
      <c r="B4627" s="21" t="s">
        <v>1104</v>
      </c>
      <c r="C4627" s="21" t="s">
        <v>1149</v>
      </c>
      <c r="E4627" s="22">
        <f>IF(D4627="?OLD","!!!","")</f>
        <v/>
      </c>
      <c r="F4627" s="23" t="str">
        <f>IF(OR(E4627="",E4627="!!!"),"",IF(NOT(ISNA(VLOOKUP(E4627,E$1:E4626,1,FALSE()))),"OLD",IF(AND(E4627&lt;&gt;"",E4627&lt;&gt;"!!!"),"NEW","")))</f>
        <v> </v>
      </c>
      <c r="G4627" s="24" t="str">
        <f>IF(OR(E4627="",E4627="!!!"),"",IF(OR(J4627=0,AND(J4627=1,K4627=1),AND(J4627=1,I4627="SBJ"),AND(J4627=1,I4627=0)),"?IN_FOCUS",IF(J4627&lt;=2,"?ACTIVATED",IF(J4627&lt;&gt;"","?FAMILIAR",IF(F4627="NEW",IF(ISNA(VLOOKUP(E4627,#REF!,1,FALSE())),"?TYPE_IDENTIFIABLE","?REFERENTIAL"),"_")))))</f>
        <v> </v>
      </c>
      <c r="H4627" s="25" t="str">
        <f>IF(J4627&lt;&gt;1,"",IF(I4627="SBJ","CB","?"))</f>
        <v> </v>
      </c>
      <c r="I4627" s="26" t="str">
        <f>IF(OR(E4627="",E4627="!!!",F4627="NEW"),"",INDEX(B4626:B$2,-1+SUMPRODUCT(MAX(ROW(E4626:E$2)*(E4627=E4626:E$2)))))</f>
        <v> </v>
      </c>
      <c r="J4627" s="26" t="str">
        <f>IF(OR(E4627="",E4627="!!!",F4627="NEW"),"",COUNTBLANK(OFFSET(A$1,,,SUMPRODUCT(MAX(ROW(E$2:E4627)*(E4627=E$2:E4627)))))-COUNTBLANK(OFFSET(A$1,,,SUMPRODUCT(MAX(ROW(E$1:E4626)*(E2=E$1:E4626))))))</f>
        <v> </v>
      </c>
      <c r="K4627" s="26" t="str">
        <f>IF(OR(E4627="",E4627="!!!",F4627="NEW"),"",INDEX(J$1:J4626,SUMPRODUCT(MAX(ROW(E$1:E4626)*(E4627=E$1:E4626)))))</f>
        <v> </v>
      </c>
      <c r="L4627" s="27"/>
    </row>
    <row r="4628" spans="1:12">
      <c r="A4628" s="20" t="s">
        <v>1723</v>
      </c>
      <c r="E4628" s="22">
        <f>IF(D4628="?OLD","!!!","")</f>
        <v/>
      </c>
      <c r="F4628" s="23" t="str">
        <f>IF(OR(E4628="",E4628="!!!"),"",IF(NOT(ISNA(VLOOKUP(E4628,E$1:E4627,1,FALSE()))),"OLD",IF(AND(E4628&lt;&gt;"",E4628&lt;&gt;"!!!"),"NEW","")))</f>
        <v> </v>
      </c>
      <c r="G4628" s="24" t="str">
        <f>IF(OR(E4628="",E4628="!!!"),"",IF(OR(J4628=0,AND(J4628=1,K4628=1),AND(J4628=1,I4628="SBJ"),AND(J4628=1,I4628=0)),"?IN_FOCUS",IF(J4628&lt;=2,"?ACTIVATED",IF(J4628&lt;&gt;"","?FAMILIAR",IF(F4628="NEW",IF(ISNA(VLOOKUP(E4628,#REF!,1,FALSE())),"?TYPE_IDENTIFIABLE","?REFERENTIAL"),"_")))))</f>
        <v> </v>
      </c>
      <c r="H4628" s="25" t="str">
        <f>IF(J4628&lt;&gt;1,"",IF(I4628="SBJ","CB","?"))</f>
        <v> </v>
      </c>
      <c r="I4628" s="26" t="str">
        <f>IF(OR(E4628="",E4628="!!!",F4628="NEW"),"",INDEX(B4627:B$2,-1+SUMPRODUCT(MAX(ROW(E4627:E$2)*(E4628=E4627:E$2)))))</f>
        <v> </v>
      </c>
      <c r="J4628" s="26" t="str">
        <f>IF(OR(E4628="",E4628="!!!",F4628="NEW"),"",COUNTBLANK(OFFSET(A$1,,,SUMPRODUCT(MAX(ROW(E$2:E4628)*(E4628=E$2:E4628)))))-COUNTBLANK(OFFSET(A$1,,,SUMPRODUCT(MAX(ROW(E$1:E4627)*(E2=E$1:E4627))))))</f>
        <v> </v>
      </c>
      <c r="K4628" s="26" t="str">
        <f>IF(OR(E4628="",E4628="!!!",F4628="NEW"),"",INDEX(J$1:J4627,SUMPRODUCT(MAX(ROW(E$1:E4627)*(E4628=E$1:E4627)))))</f>
        <v> </v>
      </c>
      <c r="L4628" s="27"/>
    </row>
    <row r="4629" spans="1:12">
      <c r="A4629" s="20" t="s">
        <v>1120</v>
      </c>
      <c r="E4629" s="22">
        <f>IF(D4629="?OLD","!!!","")</f>
        <v/>
      </c>
      <c r="F4629" s="23" t="str">
        <f>IF(OR(E4629="",E4629="!!!"),"",IF(NOT(ISNA(VLOOKUP(E4629,E$1:E4628,1,FALSE()))),"OLD",IF(AND(E4629&lt;&gt;"",E4629&lt;&gt;"!!!"),"NEW","")))</f>
        <v> </v>
      </c>
      <c r="G4629" s="24" t="str">
        <f>IF(OR(E4629="",E4629="!!!"),"",IF(OR(J4629=0,AND(J4629=1,K4629=1),AND(J4629=1,I4629="SBJ"),AND(J4629=1,I4629=0)),"?IN_FOCUS",IF(J4629&lt;=2,"?ACTIVATED",IF(J4629&lt;&gt;"","?FAMILIAR",IF(F4629="NEW",IF(ISNA(VLOOKUP(E4629,#REF!,1,FALSE())),"?TYPE_IDENTIFIABLE","?REFERENTIAL"),"_")))))</f>
        <v> </v>
      </c>
      <c r="H4629" s="25" t="str">
        <f>IF(J4629&lt;&gt;1,"",IF(I4629="SBJ","CB","?"))</f>
        <v> </v>
      </c>
      <c r="I4629" s="26" t="str">
        <f>IF(OR(E4629="",E4629="!!!",F4629="NEW"),"",INDEX(B4628:B$2,-1+SUMPRODUCT(MAX(ROW(E4628:E$2)*(E4629=E4628:E$2)))))</f>
        <v> </v>
      </c>
      <c r="J4629" s="26" t="str">
        <f>IF(OR(E4629="",E4629="!!!",F4629="NEW"),"",COUNTBLANK(OFFSET(A$1,,,SUMPRODUCT(MAX(ROW(E$2:E4629)*(E4629=E$2:E4629)))))-COUNTBLANK(OFFSET(A$1,,,SUMPRODUCT(MAX(ROW(E$1:E4628)*(E2=E$1:E4628))))))</f>
        <v> </v>
      </c>
      <c r="K4629" s="26" t="str">
        <f>IF(OR(E4629="",E4629="!!!",F4629="NEW"),"",INDEX(J$1:J4628,SUMPRODUCT(MAX(ROW(E$1:E4628)*(E4629=E$1:E4628)))))</f>
        <v> </v>
      </c>
      <c r="L4629" s="27"/>
    </row>
    <row r="4630" spans="1:12">
      <c r="A4630" s="20" t="s">
        <v>2368</v>
      </c>
      <c r="E4630" s="22">
        <f>IF(D4630="?OLD","!!!","")</f>
        <v/>
      </c>
      <c r="F4630" s="23" t="str">
        <f>IF(OR(E4630="",E4630="!!!"),"",IF(NOT(ISNA(VLOOKUP(E4630,E$1:E4629,1,FALSE()))),"OLD",IF(AND(E4630&lt;&gt;"",E4630&lt;&gt;"!!!"),"NEW","")))</f>
        <v> </v>
      </c>
      <c r="G4630" s="24" t="str">
        <f>IF(OR(E4630="",E4630="!!!"),"",IF(OR(J4630=0,AND(J4630=1,K4630=1),AND(J4630=1,I4630="SBJ"),AND(J4630=1,I4630=0)),"?IN_FOCUS",IF(J4630&lt;=2,"?ACTIVATED",IF(J4630&lt;&gt;"","?FAMILIAR",IF(F4630="NEW",IF(ISNA(VLOOKUP(E4630,#REF!,1,FALSE())),"?TYPE_IDENTIFIABLE","?REFERENTIAL"),"_")))))</f>
        <v> </v>
      </c>
      <c r="H4630" s="25" t="str">
        <f>IF(J4630&lt;&gt;1,"",IF(I4630="SBJ","CB","?"))</f>
        <v> </v>
      </c>
      <c r="I4630" s="26" t="str">
        <f>IF(OR(E4630="",E4630="!!!",F4630="NEW"),"",INDEX(B4629:B$2,-1+SUMPRODUCT(MAX(ROW(E4629:E$2)*(E4630=E4629:E$2)))))</f>
        <v> </v>
      </c>
      <c r="J4630" s="26" t="str">
        <f>IF(OR(E4630="",E4630="!!!",F4630="NEW"),"",COUNTBLANK(OFFSET(A$1,,,SUMPRODUCT(MAX(ROW(E$2:E4630)*(E4630=E$2:E4630)))))-COUNTBLANK(OFFSET(A$1,,,SUMPRODUCT(MAX(ROW(E$1:E4629)*(E2=E$1:E4629))))))</f>
        <v> </v>
      </c>
      <c r="K4630" s="26" t="str">
        <f>IF(OR(E4630="",E4630="!!!",F4630="NEW"),"",INDEX(J$1:J4629,SUMPRODUCT(MAX(ROW(E$1:E4629)*(E4630=E$1:E4629)))))</f>
        <v> </v>
      </c>
      <c r="L4630" s="27"/>
    </row>
    <row r="4631" spans="1:12">
      <c r="A4631" s="20" t="s">
        <v>16</v>
      </c>
      <c r="E4631" s="22">
        <f>IF(D4631="?OLD","!!!","")</f>
        <v/>
      </c>
      <c r="F4631" s="23" t="str">
        <f>IF(OR(E4631="",E4631="!!!"),"",IF(NOT(ISNA(VLOOKUP(E4631,E$1:E4630,1,FALSE()))),"OLD",IF(AND(E4631&lt;&gt;"",E4631&lt;&gt;"!!!"),"NEW","")))</f>
        <v> </v>
      </c>
      <c r="G4631" s="24" t="str">
        <f>IF(OR(E4631="",E4631="!!!"),"",IF(OR(J4631=0,AND(J4631=1,K4631=1),AND(J4631=1,I4631="SBJ"),AND(J4631=1,I4631=0)),"?IN_FOCUS",IF(J4631&lt;=2,"?ACTIVATED",IF(J4631&lt;&gt;"","?FAMILIAR",IF(F4631="NEW",IF(ISNA(VLOOKUP(E4631,#REF!,1,FALSE())),"?TYPE_IDENTIFIABLE","?REFERENTIAL"),"_")))))</f>
        <v> </v>
      </c>
      <c r="H4631" s="25" t="str">
        <f>IF(J4631&lt;&gt;1,"",IF(I4631="SBJ","CB","?"))</f>
        <v> </v>
      </c>
      <c r="I4631" s="26" t="str">
        <f>IF(OR(E4631="",E4631="!!!",F4631="NEW"),"",INDEX(B4630:B$2,-1+SUMPRODUCT(MAX(ROW(E4630:E$2)*(E4631=E4630:E$2)))))</f>
        <v> </v>
      </c>
      <c r="J4631" s="26" t="str">
        <f>IF(OR(E4631="",E4631="!!!",F4631="NEW"),"",COUNTBLANK(OFFSET(A$1,,,SUMPRODUCT(MAX(ROW(E$2:E4631)*(E4631=E$2:E4631)))))-COUNTBLANK(OFFSET(A$1,,,SUMPRODUCT(MAX(ROW(E$1:E4630)*(E2=E$1:E4630))))))</f>
        <v> </v>
      </c>
      <c r="K4631" s="26" t="str">
        <f>IF(OR(E4631="",E4631="!!!",F4631="NEW"),"",INDEX(J$1:J4630,SUMPRODUCT(MAX(ROW(E$1:E4630)*(E4631=E$1:E4630)))))</f>
        <v> </v>
      </c>
      <c r="L4631" s="27"/>
    </row>
    <row r="4632" spans="1:12">
      <c r="A4632" s="20" t="s">
        <v>2369</v>
      </c>
      <c r="E4632" s="22">
        <f>IF(D4632="?OLD","!!!","")</f>
        <v/>
      </c>
      <c r="F4632" s="23" t="str">
        <f>IF(OR(E4632="",E4632="!!!"),"",IF(NOT(ISNA(VLOOKUP(E4632,E$1:E4631,1,FALSE()))),"OLD",IF(AND(E4632&lt;&gt;"",E4632&lt;&gt;"!!!"),"NEW","")))</f>
        <v> </v>
      </c>
      <c r="G4632" s="24" t="str">
        <f>IF(OR(E4632="",E4632="!!!"),"",IF(OR(J4632=0,AND(J4632=1,K4632=1),AND(J4632=1,I4632="SBJ"),AND(J4632=1,I4632=0)),"?IN_FOCUS",IF(J4632&lt;=2,"?ACTIVATED",IF(J4632&lt;&gt;"","?FAMILIAR",IF(F4632="NEW",IF(ISNA(VLOOKUP(E4632,#REF!,1,FALSE())),"?TYPE_IDENTIFIABLE","?REFERENTIAL"),"_")))))</f>
        <v> </v>
      </c>
      <c r="H4632" s="25" t="str">
        <f>IF(J4632&lt;&gt;1,"",IF(I4632="SBJ","CB","?"))</f>
        <v> </v>
      </c>
      <c r="I4632" s="26" t="str">
        <f>IF(OR(E4632="",E4632="!!!",F4632="NEW"),"",INDEX(B4631:B$2,-1+SUMPRODUCT(MAX(ROW(E4631:E$2)*(E4632=E4631:E$2)))))</f>
        <v> </v>
      </c>
      <c r="J4632" s="26" t="str">
        <f>IF(OR(E4632="",E4632="!!!",F4632="NEW"),"",COUNTBLANK(OFFSET(A$1,,,SUMPRODUCT(MAX(ROW(E$2:E4632)*(E4632=E$2:E4632)))))-COUNTBLANK(OFFSET(A$1,,,SUMPRODUCT(MAX(ROW(E$1:E4631)*(E2=E$1:E4631))))))</f>
        <v> </v>
      </c>
      <c r="K4632" s="26" t="str">
        <f>IF(OR(E4632="",E4632="!!!",F4632="NEW"),"",INDEX(J$1:J4631,SUMPRODUCT(MAX(ROW(E$1:E4631)*(E4632=E$1:E4631)))))</f>
        <v> </v>
      </c>
      <c r="L4632" s="27"/>
    </row>
    <row r="4633" spans="1:12">
      <c r="A4633" s="20" t="s">
        <v>2370</v>
      </c>
      <c r="B4633" s="21" t="s">
        <v>1099</v>
      </c>
      <c r="C4633" s="21" t="s">
        <v>1159</v>
      </c>
      <c r="D4633" s="21" t="s">
        <v>1060</v>
      </c>
      <c r="E4633" s="22">
        <f>IF(D4633="?OLD","!!!","")</f>
        <v/>
      </c>
      <c r="F4633" s="23" t="str">
        <f>IF(OR(E4633="",E4633="!!!"),"",IF(NOT(ISNA(VLOOKUP(E4633,E$1:E4632,1,FALSE()))),"OLD",IF(AND(E4633&lt;&gt;"",E4633&lt;&gt;"!!!"),"NEW","")))</f>
        <v> </v>
      </c>
      <c r="G4633" s="24" t="str">
        <f>IF(OR(E4633="",E4633="!!!"),"",IF(OR(J4633=0,AND(J4633=1,K4633=1),AND(J4633=1,I4633="SBJ"),AND(J4633=1,I4633=0)),"?IN_FOCUS",IF(J4633&lt;=2,"?ACTIVATED",IF(J4633&lt;&gt;"","?FAMILIAR",IF(F4633="NEW",IF(ISNA(VLOOKUP(E4633,#REF!,1,FALSE())),"?TYPE_IDENTIFIABLE","?REFERENTIAL"),"_")))))</f>
        <v> </v>
      </c>
      <c r="H4633" s="25" t="str">
        <f>IF(J4633&lt;&gt;1,"",IF(I4633="SBJ","CB","?"))</f>
        <v> </v>
      </c>
      <c r="I4633" s="26" t="str">
        <f>IF(OR(E4633="",E4633="!!!",F4633="NEW"),"",INDEX(B4632:B$2,-1+SUMPRODUCT(MAX(ROW(E4632:E$2)*(E4633=E4632:E$2)))))</f>
        <v> </v>
      </c>
      <c r="J4633" s="26" t="str">
        <f>IF(OR(E4633="",E4633="!!!",F4633="NEW"),"",COUNTBLANK(OFFSET(A$1,,,SUMPRODUCT(MAX(ROW(E$2:E4633)*(E4633=E$2:E4633)))))-COUNTBLANK(OFFSET(A$1,,,SUMPRODUCT(MAX(ROW(E$1:E4632)*(E2=E$1:E4632))))))</f>
        <v> </v>
      </c>
      <c r="K4633" s="26" t="str">
        <f>IF(OR(E4633="",E4633="!!!",F4633="NEW"),"",INDEX(J$1:J4632,SUMPRODUCT(MAX(ROW(E$1:E4632)*(E4633=E$1:E4632)))))</f>
        <v> </v>
      </c>
      <c r="L4633" s="27"/>
    </row>
    <row r="4634" spans="1:12">
      <c r="A4634" s="20" t="s">
        <v>1118</v>
      </c>
      <c r="E4634" s="22">
        <f>IF(D4634="?OLD","!!!","")</f>
        <v/>
      </c>
      <c r="F4634" s="23" t="str">
        <f>IF(OR(E4634="",E4634="!!!"),"",IF(NOT(ISNA(VLOOKUP(E4634,E$1:E4633,1,FALSE()))),"OLD",IF(AND(E4634&lt;&gt;"",E4634&lt;&gt;"!!!"),"NEW","")))</f>
        <v> </v>
      </c>
      <c r="G4634" s="24" t="str">
        <f>IF(OR(E4634="",E4634="!!!"),"",IF(OR(J4634=0,AND(J4634=1,K4634=1),AND(J4634=1,I4634="SBJ"),AND(J4634=1,I4634=0)),"?IN_FOCUS",IF(J4634&lt;=2,"?ACTIVATED",IF(J4634&lt;&gt;"","?FAMILIAR",IF(F4634="NEW",IF(ISNA(VLOOKUP(E4634,#REF!,1,FALSE())),"?TYPE_IDENTIFIABLE","?REFERENTIAL"),"_")))))</f>
        <v> </v>
      </c>
      <c r="H4634" s="25" t="str">
        <f>IF(J4634&lt;&gt;1,"",IF(I4634="SBJ","CB","?"))</f>
        <v> </v>
      </c>
      <c r="I4634" s="26" t="str">
        <f>IF(OR(E4634="",E4634="!!!",F4634="NEW"),"",INDEX(B4633:B$2,-1+SUMPRODUCT(MAX(ROW(E4633:E$2)*(E4634=E4633:E$2)))))</f>
        <v> </v>
      </c>
      <c r="J4634" s="26" t="str">
        <f>IF(OR(E4634="",E4634="!!!",F4634="NEW"),"",COUNTBLANK(OFFSET(A$1,,,SUMPRODUCT(MAX(ROW(E$2:E4634)*(E4634=E$2:E4634)))))-COUNTBLANK(OFFSET(A$1,,,SUMPRODUCT(MAX(ROW(E$1:E4633)*(E2=E$1:E4633))))))</f>
        <v> </v>
      </c>
      <c r="K4634" s="26" t="str">
        <f>IF(OR(E4634="",E4634="!!!",F4634="NEW"),"",INDEX(J$1:J4633,SUMPRODUCT(MAX(ROW(E$1:E4633)*(E4634=E$1:E4633)))))</f>
        <v> </v>
      </c>
      <c r="L4634" s="27"/>
    </row>
    <row r="4635" spans="1:12">
      <c r="A4635" s="20" t="s">
        <v>2371</v>
      </c>
      <c r="E4635" s="22">
        <f>IF(D4635="?OLD","!!!","")</f>
        <v/>
      </c>
      <c r="F4635" s="23" t="str">
        <f>IF(OR(E4635="",E4635="!!!"),"",IF(NOT(ISNA(VLOOKUP(E4635,E$1:E4634,1,FALSE()))),"OLD",IF(AND(E4635&lt;&gt;"",E4635&lt;&gt;"!!!"),"NEW","")))</f>
        <v> </v>
      </c>
      <c r="G4635" s="24" t="str">
        <f>IF(OR(E4635="",E4635="!!!"),"",IF(OR(J4635=0,AND(J4635=1,K4635=1),AND(J4635=1,I4635="SBJ"),AND(J4635=1,I4635=0)),"?IN_FOCUS",IF(J4635&lt;=2,"?ACTIVATED",IF(J4635&lt;&gt;"","?FAMILIAR",IF(F4635="NEW",IF(ISNA(VLOOKUP(E4635,#REF!,1,FALSE())),"?TYPE_IDENTIFIABLE","?REFERENTIAL"),"_")))))</f>
        <v> </v>
      </c>
      <c r="H4635" s="25" t="str">
        <f>IF(J4635&lt;&gt;1,"",IF(I4635="SBJ","CB","?"))</f>
        <v> </v>
      </c>
      <c r="I4635" s="26" t="str">
        <f>IF(OR(E4635="",E4635="!!!",F4635="NEW"),"",INDEX(B4634:B$2,-1+SUMPRODUCT(MAX(ROW(E4634:E$2)*(E4635=E4634:E$2)))))</f>
        <v> </v>
      </c>
      <c r="J4635" s="26" t="str">
        <f>IF(OR(E4635="",E4635="!!!",F4635="NEW"),"",COUNTBLANK(OFFSET(A$1,,,SUMPRODUCT(MAX(ROW(E$2:E4635)*(E4635=E$2:E4635)))))-COUNTBLANK(OFFSET(A$1,,,SUMPRODUCT(MAX(ROW(E$1:E4634)*(E2=E$1:E4634))))))</f>
        <v> </v>
      </c>
      <c r="K4635" s="26" t="str">
        <f>IF(OR(E4635="",E4635="!!!",F4635="NEW"),"",INDEX(J$1:J4634,SUMPRODUCT(MAX(ROW(E$1:E4634)*(E4635=E$1:E4634)))))</f>
        <v> </v>
      </c>
      <c r="L4635" s="27"/>
    </row>
    <row r="4636" spans="1:12">
      <c r="A4636" s="20" t="s">
        <v>2372</v>
      </c>
      <c r="B4636" s="21" t="s">
        <v>1091</v>
      </c>
      <c r="C4636" s="21" t="s">
        <v>1149</v>
      </c>
      <c r="E4636" s="22">
        <f>IF(D4636="?OLD","!!!","")</f>
        <v/>
      </c>
      <c r="F4636" s="23" t="str">
        <f>IF(OR(E4636="",E4636="!!!"),"",IF(NOT(ISNA(VLOOKUP(E4636,E$1:E4635,1,FALSE()))),"OLD",IF(AND(E4636&lt;&gt;"",E4636&lt;&gt;"!!!"),"NEW","")))</f>
        <v> </v>
      </c>
      <c r="G4636" s="24" t="str">
        <f>IF(OR(E4636="",E4636="!!!"),"",IF(OR(J4636=0,AND(J4636=1,K4636=1),AND(J4636=1,I4636="SBJ"),AND(J4636=1,I4636=0)),"?IN_FOCUS",IF(J4636&lt;=2,"?ACTIVATED",IF(J4636&lt;&gt;"","?FAMILIAR",IF(F4636="NEW",IF(ISNA(VLOOKUP(E4636,#REF!,1,FALSE())),"?TYPE_IDENTIFIABLE","?REFERENTIAL"),"_")))))</f>
        <v> </v>
      </c>
      <c r="H4636" s="25" t="str">
        <f>IF(J4636&lt;&gt;1,"",IF(I4636="SBJ","CB","?"))</f>
        <v> </v>
      </c>
      <c r="I4636" s="26" t="str">
        <f>IF(OR(E4636="",E4636="!!!",F4636="NEW"),"",INDEX(B4635:B$2,-1+SUMPRODUCT(MAX(ROW(E4635:E$2)*(E4636=E4635:E$2)))))</f>
        <v> </v>
      </c>
      <c r="J4636" s="26" t="str">
        <f>IF(OR(E4636="",E4636="!!!",F4636="NEW"),"",COUNTBLANK(OFFSET(A$1,,,SUMPRODUCT(MAX(ROW(E$2:E4636)*(E4636=E$2:E4636)))))-COUNTBLANK(OFFSET(A$1,,,SUMPRODUCT(MAX(ROW(E$1:E4635)*(E2=E$1:E4635))))))</f>
        <v> </v>
      </c>
      <c r="K4636" s="26" t="str">
        <f>IF(OR(E4636="",E4636="!!!",F4636="NEW"),"",INDEX(J$1:J4635,SUMPRODUCT(MAX(ROW(E$1:E4635)*(E4636=E$1:E4635)))))</f>
        <v> </v>
      </c>
      <c r="L4636" s="27"/>
    </row>
    <row r="4637" spans="1:12">
      <c r="A4637" s="20" t="s">
        <v>1115</v>
      </c>
      <c r="B4637" s="21" t="s">
        <v>1124</v>
      </c>
      <c r="E4637" s="22">
        <f>IF(D4637="?OLD","!!!","")</f>
        <v/>
      </c>
      <c r="F4637" s="23" t="str">
        <f>IF(OR(E4637="",E4637="!!!"),"",IF(NOT(ISNA(VLOOKUP(E4637,E$1:E4636,1,FALSE()))),"OLD",IF(AND(E4637&lt;&gt;"",E4637&lt;&gt;"!!!"),"NEW","")))</f>
        <v> </v>
      </c>
      <c r="G4637" s="24" t="str">
        <f>IF(OR(E4637="",E4637="!!!"),"",IF(OR(J4637=0,AND(J4637=1,K4637=1),AND(J4637=1,I4637="SBJ"),AND(J4637=1,I4637=0)),"?IN_FOCUS",IF(J4637&lt;=2,"?ACTIVATED",IF(J4637&lt;&gt;"","?FAMILIAR",IF(F4637="NEW",IF(ISNA(VLOOKUP(E4637,#REF!,1,FALSE())),"?TYPE_IDENTIFIABLE","?REFERENTIAL"),"_")))))</f>
        <v> </v>
      </c>
      <c r="H4637" s="25" t="str">
        <f>IF(J4637&lt;&gt;1,"",IF(I4637="SBJ","CB","?"))</f>
        <v> </v>
      </c>
      <c r="I4637" s="26" t="str">
        <f>IF(OR(E4637="",E4637="!!!",F4637="NEW"),"",INDEX(B4636:B$2,-1+SUMPRODUCT(MAX(ROW(E4636:E$2)*(E4637=E4636:E$2)))))</f>
        <v> </v>
      </c>
      <c r="J4637" s="26" t="str">
        <f>IF(OR(E4637="",E4637="!!!",F4637="NEW"),"",COUNTBLANK(OFFSET(A$1,,,SUMPRODUCT(MAX(ROW(E$2:E4637)*(E4637=E$2:E4637)))))-COUNTBLANK(OFFSET(A$1,,,SUMPRODUCT(MAX(ROW(E$1:E4636)*(E2=E$1:E4636))))))</f>
        <v> </v>
      </c>
      <c r="K4637" s="26" t="str">
        <f>IF(OR(E4637="",E4637="!!!",F4637="NEW"),"",INDEX(J$1:J4636,SUMPRODUCT(MAX(ROW(E$1:E4636)*(E4637=E$1:E4636)))))</f>
        <v> </v>
      </c>
      <c r="L4637" s="27"/>
    </row>
    <row r="4638" spans="1:12">
      <c r="A4638" s="20" t="s">
        <v>2373</v>
      </c>
      <c r="E4638" s="22">
        <f>IF(D4638="?OLD","!!!","")</f>
        <v/>
      </c>
      <c r="F4638" s="23" t="str">
        <f>IF(OR(E4638="",E4638="!!!"),"",IF(NOT(ISNA(VLOOKUP(E4638,E$1:E4637,1,FALSE()))),"OLD",IF(AND(E4638&lt;&gt;"",E4638&lt;&gt;"!!!"),"NEW","")))</f>
        <v> </v>
      </c>
      <c r="G4638" s="24" t="str">
        <f>IF(OR(E4638="",E4638="!!!"),"",IF(OR(J4638=0,AND(J4638=1,K4638=1),AND(J4638=1,I4638="SBJ"),AND(J4638=1,I4638=0)),"?IN_FOCUS",IF(J4638&lt;=2,"?ACTIVATED",IF(J4638&lt;&gt;"","?FAMILIAR",IF(F4638="NEW",IF(ISNA(VLOOKUP(E4638,#REF!,1,FALSE())),"?TYPE_IDENTIFIABLE","?REFERENTIAL"),"_")))))</f>
        <v> </v>
      </c>
      <c r="H4638" s="25" t="str">
        <f>IF(J4638&lt;&gt;1,"",IF(I4638="SBJ","CB","?"))</f>
        <v> </v>
      </c>
      <c r="I4638" s="26" t="str">
        <f>IF(OR(E4638="",E4638="!!!",F4638="NEW"),"",INDEX(B4637:B$2,-1+SUMPRODUCT(MAX(ROW(E4637:E$2)*(E4638=E4637:E$2)))))</f>
        <v> </v>
      </c>
      <c r="J4638" s="26" t="str">
        <f>IF(OR(E4638="",E4638="!!!",F4638="NEW"),"",COUNTBLANK(OFFSET(A$1,,,SUMPRODUCT(MAX(ROW(E$2:E4638)*(E4638=E$2:E4638)))))-COUNTBLANK(OFFSET(A$1,,,SUMPRODUCT(MAX(ROW(E$1:E4637)*(E2=E$1:E4637))))))</f>
        <v> </v>
      </c>
      <c r="K4638" s="26" t="str">
        <f>IF(OR(E4638="",E4638="!!!",F4638="NEW"),"",INDEX(J$1:J4637,SUMPRODUCT(MAX(ROW(E$1:E4637)*(E4638=E$1:E4637)))))</f>
        <v> </v>
      </c>
      <c r="L4638" s="27"/>
    </row>
    <row r="4639" spans="1:12">
      <c r="A4639" s="20" t="s">
        <v>1101</v>
      </c>
      <c r="E4639" s="22">
        <f>IF(D4639="?OLD","!!!","")</f>
        <v/>
      </c>
      <c r="F4639" s="23" t="str">
        <f>IF(OR(E4639="",E4639="!!!"),"",IF(NOT(ISNA(VLOOKUP(E4639,E$1:E4638,1,FALSE()))),"OLD",IF(AND(E4639&lt;&gt;"",E4639&lt;&gt;"!!!"),"NEW","")))</f>
        <v> </v>
      </c>
      <c r="G4639" s="24" t="str">
        <f>IF(OR(E4639="",E4639="!!!"),"",IF(OR(J4639=0,AND(J4639=1,K4639=1),AND(J4639=1,I4639="SBJ"),AND(J4639=1,I4639=0)),"?IN_FOCUS",IF(J4639&lt;=2,"?ACTIVATED",IF(J4639&lt;&gt;"","?FAMILIAR",IF(F4639="NEW",IF(ISNA(VLOOKUP(E4639,#REF!,1,FALSE())),"?TYPE_IDENTIFIABLE","?REFERENTIAL"),"_")))))</f>
        <v> </v>
      </c>
      <c r="H4639" s="25" t="str">
        <f>IF(J4639&lt;&gt;1,"",IF(I4639="SBJ","CB","?"))</f>
        <v> </v>
      </c>
      <c r="I4639" s="26" t="str">
        <f>IF(OR(E4639="",E4639="!!!",F4639="NEW"),"",INDEX(B4638:B$2,-1+SUMPRODUCT(MAX(ROW(E4638:E$2)*(E4639=E4638:E$2)))))</f>
        <v> </v>
      </c>
      <c r="J4639" s="26" t="str">
        <f>IF(OR(E4639="",E4639="!!!",F4639="NEW"),"",COUNTBLANK(OFFSET(A$1,,,SUMPRODUCT(MAX(ROW(E$2:E4639)*(E4639=E$2:E4639)))))-COUNTBLANK(OFFSET(A$1,,,SUMPRODUCT(MAX(ROW(E$1:E4638)*(E2=E$1:E4638))))))</f>
        <v> </v>
      </c>
      <c r="K4639" s="26" t="str">
        <f>IF(OR(E4639="",E4639="!!!",F4639="NEW"),"",INDEX(J$1:J4638,SUMPRODUCT(MAX(ROW(E$1:E4638)*(E4639=E$1:E4638)))))</f>
        <v> </v>
      </c>
      <c r="L4639" s="27"/>
    </row>
    <row r="4640" spans="1:12">
      <c r="A4640" s="20" t="s">
        <v>2277</v>
      </c>
      <c r="B4640" s="21" t="s">
        <v>1293</v>
      </c>
      <c r="C4640" s="21" t="s">
        <v>1140</v>
      </c>
      <c r="D4640" s="21" t="s">
        <v>1060</v>
      </c>
      <c r="E4640" s="22">
        <f>IF(D4640="?OLD","!!!","")</f>
        <v/>
      </c>
      <c r="F4640" s="23" t="str">
        <f>IF(OR(E4640="",E4640="!!!"),"",IF(NOT(ISNA(VLOOKUP(E4640,E$1:E4639,1,FALSE()))),"OLD",IF(AND(E4640&lt;&gt;"",E4640&lt;&gt;"!!!"),"NEW","")))</f>
        <v> </v>
      </c>
      <c r="G4640" s="24" t="str">
        <f>IF(OR(E4640="",E4640="!!!"),"",IF(OR(J4640=0,AND(J4640=1,K4640=1),AND(J4640=1,I4640="SBJ"),AND(J4640=1,I4640=0)),"?IN_FOCUS",IF(J4640&lt;=2,"?ACTIVATED",IF(J4640&lt;&gt;"","?FAMILIAR",IF(F4640="NEW",IF(ISNA(VLOOKUP(E4640,#REF!,1,FALSE())),"?TYPE_IDENTIFIABLE","?REFERENTIAL"),"_")))))</f>
        <v> </v>
      </c>
      <c r="H4640" s="25" t="str">
        <f>IF(J4640&lt;&gt;1,"",IF(I4640="SBJ","CB","?"))</f>
        <v> </v>
      </c>
      <c r="I4640" s="26" t="str">
        <f>IF(OR(E4640="",E4640="!!!",F4640="NEW"),"",INDEX(B4639:B$2,-1+SUMPRODUCT(MAX(ROW(E4639:E$2)*(E4640=E4639:E$2)))))</f>
        <v> </v>
      </c>
      <c r="J4640" s="26" t="str">
        <f>IF(OR(E4640="",E4640="!!!",F4640="NEW"),"",COUNTBLANK(OFFSET(A$1,,,SUMPRODUCT(MAX(ROW(E$2:E4640)*(E4640=E$2:E4640)))))-COUNTBLANK(OFFSET(A$1,,,SUMPRODUCT(MAX(ROW(E$1:E4639)*(E2=E$1:E4639))))))</f>
        <v> </v>
      </c>
      <c r="K4640" s="26" t="str">
        <f>IF(OR(E4640="",E4640="!!!",F4640="NEW"),"",INDEX(J$1:J4639,SUMPRODUCT(MAX(ROW(E$1:E4639)*(E4640=E$1:E4639)))))</f>
        <v> </v>
      </c>
      <c r="L4640" s="27"/>
    </row>
    <row r="4641" spans="1:12">
      <c r="A4641" s="20" t="s">
        <v>1088</v>
      </c>
      <c r="E4641" s="22">
        <f>IF(D4641="?OLD","!!!","")</f>
        <v/>
      </c>
      <c r="F4641" s="23" t="str">
        <f>IF(OR(E4641="",E4641="!!!"),"",IF(NOT(ISNA(VLOOKUP(E4641,E$1:E4640,1,FALSE()))),"OLD",IF(AND(E4641&lt;&gt;"",E4641&lt;&gt;"!!!"),"NEW","")))</f>
        <v> </v>
      </c>
      <c r="G4641" s="24" t="str">
        <f>IF(OR(E4641="",E4641="!!!"),"",IF(OR(J4641=0,AND(J4641=1,K4641=1),AND(J4641=1,I4641="SBJ"),AND(J4641=1,I4641=0)),"?IN_FOCUS",IF(J4641&lt;=2,"?ACTIVATED",IF(J4641&lt;&gt;"","?FAMILIAR",IF(F4641="NEW",IF(ISNA(VLOOKUP(E4641,#REF!,1,FALSE())),"?TYPE_IDENTIFIABLE","?REFERENTIAL"),"_")))))</f>
        <v> </v>
      </c>
      <c r="H4641" s="25" t="str">
        <f>IF(J4641&lt;&gt;1,"",IF(I4641="SBJ","CB","?"))</f>
        <v> </v>
      </c>
      <c r="I4641" s="26" t="str">
        <f>IF(OR(E4641="",E4641="!!!",F4641="NEW"),"",INDEX(B4640:B$2,-1+SUMPRODUCT(MAX(ROW(E4640:E$2)*(E4641=E4640:E$2)))))</f>
        <v> </v>
      </c>
      <c r="J4641" s="26" t="str">
        <f>IF(OR(E4641="",E4641="!!!",F4641="NEW"),"",COUNTBLANK(OFFSET(A$1,,,SUMPRODUCT(MAX(ROW(E$2:E4641)*(E4641=E$2:E4641)))))-COUNTBLANK(OFFSET(A$1,,,SUMPRODUCT(MAX(ROW(E$1:E4640)*(E2=E$1:E4640))))))</f>
        <v> </v>
      </c>
      <c r="K4641" s="26" t="str">
        <f>IF(OR(E4641="",E4641="!!!",F4641="NEW"),"",INDEX(J$1:J4640,SUMPRODUCT(MAX(ROW(E$1:E4640)*(E4641=E$1:E4640)))))</f>
        <v> </v>
      </c>
      <c r="L4641" s="27"/>
    </row>
    <row r="4642" spans="1:12">
      <c r="A4642" s="20" t="s">
        <v>1101</v>
      </c>
      <c r="E4642" s="22">
        <f>IF(D4642="?OLD","!!!","")</f>
        <v/>
      </c>
      <c r="F4642" s="23" t="str">
        <f>IF(OR(E4642="",E4642="!!!"),"",IF(NOT(ISNA(VLOOKUP(E4642,E$1:E4641,1,FALSE()))),"OLD",IF(AND(E4642&lt;&gt;"",E4642&lt;&gt;"!!!"),"NEW","")))</f>
        <v> </v>
      </c>
      <c r="G4642" s="24" t="str">
        <f>IF(OR(E4642="",E4642="!!!"),"",IF(OR(J4642=0,AND(J4642=1,K4642=1),AND(J4642=1,I4642="SBJ"),AND(J4642=1,I4642=0)),"?IN_FOCUS",IF(J4642&lt;=2,"?ACTIVATED",IF(J4642&lt;&gt;"","?FAMILIAR",IF(F4642="NEW",IF(ISNA(VLOOKUP(E4642,#REF!,1,FALSE())),"?TYPE_IDENTIFIABLE","?REFERENTIAL"),"_")))))</f>
        <v> </v>
      </c>
      <c r="H4642" s="25" t="str">
        <f>IF(J4642&lt;&gt;1,"",IF(I4642="SBJ","CB","?"))</f>
        <v> </v>
      </c>
      <c r="I4642" s="26" t="str">
        <f>IF(OR(E4642="",E4642="!!!",F4642="NEW"),"",INDEX(B4641:B$2,-1+SUMPRODUCT(MAX(ROW(E4641:E$2)*(E4642=E4641:E$2)))))</f>
        <v> </v>
      </c>
      <c r="J4642" s="26" t="str">
        <f>IF(OR(E4642="",E4642="!!!",F4642="NEW"),"",COUNTBLANK(OFFSET(A$1,,,SUMPRODUCT(MAX(ROW(E$2:E4642)*(E4642=E$2:E4642)))))-COUNTBLANK(OFFSET(A$1,,,SUMPRODUCT(MAX(ROW(E$1:E4641)*(E2=E$1:E4641))))))</f>
        <v> </v>
      </c>
      <c r="K4642" s="26" t="str">
        <f>IF(OR(E4642="",E4642="!!!",F4642="NEW"),"",INDEX(J$1:J4641,SUMPRODUCT(MAX(ROW(E$1:E4641)*(E4642=E$1:E4641)))))</f>
        <v> </v>
      </c>
      <c r="L4642" s="27"/>
    </row>
    <row r="4643" spans="1:12">
      <c r="A4643" s="20" t="s">
        <v>2374</v>
      </c>
      <c r="B4643" s="21" t="s">
        <v>1185</v>
      </c>
      <c r="C4643" s="21" t="s">
        <v>1140</v>
      </c>
      <c r="D4643" s="21" t="s">
        <v>1060</v>
      </c>
      <c r="E4643" s="22">
        <f>IF(D4643="?OLD","!!!","")</f>
        <v/>
      </c>
      <c r="F4643" s="23" t="str">
        <f>IF(OR(E4643="",E4643="!!!"),"",IF(NOT(ISNA(VLOOKUP(E4643,E$1:E4642,1,FALSE()))),"OLD",IF(AND(E4643&lt;&gt;"",E4643&lt;&gt;"!!!"),"NEW","")))</f>
        <v> </v>
      </c>
      <c r="G4643" s="24" t="str">
        <f>IF(OR(E4643="",E4643="!!!"),"",IF(OR(J4643=0,AND(J4643=1,K4643=1),AND(J4643=1,I4643="SBJ"),AND(J4643=1,I4643=0)),"?IN_FOCUS",IF(J4643&lt;=2,"?ACTIVATED",IF(J4643&lt;&gt;"","?FAMILIAR",IF(F4643="NEW",IF(ISNA(VLOOKUP(E4643,#REF!,1,FALSE())),"?TYPE_IDENTIFIABLE","?REFERENTIAL"),"_")))))</f>
        <v> </v>
      </c>
      <c r="H4643" s="25" t="str">
        <f>IF(J4643&lt;&gt;1,"",IF(I4643="SBJ","CB","?"))</f>
        <v> </v>
      </c>
      <c r="I4643" s="26" t="str">
        <f>IF(OR(E4643="",E4643="!!!",F4643="NEW"),"",INDEX(B4642:B$2,-1+SUMPRODUCT(MAX(ROW(E4642:E$2)*(E4643=E4642:E$2)))))</f>
        <v> </v>
      </c>
      <c r="J4643" s="26" t="str">
        <f>IF(OR(E4643="",E4643="!!!",F4643="NEW"),"",COUNTBLANK(OFFSET(A$1,,,SUMPRODUCT(MAX(ROW(E$2:E4643)*(E4643=E$2:E4643)))))-COUNTBLANK(OFFSET(A$1,,,SUMPRODUCT(MAX(ROW(E$1:E4642)*(E2=E$1:E4642))))))</f>
        <v> </v>
      </c>
      <c r="K4643" s="26" t="str">
        <f>IF(OR(E4643="",E4643="!!!",F4643="NEW"),"",INDEX(J$1:J4642,SUMPRODUCT(MAX(ROW(E$1:E4642)*(E4643=E$1:E4642)))))</f>
        <v> </v>
      </c>
      <c r="L4643" s="27"/>
    </row>
    <row r="4644" spans="1:12">
      <c r="A4644" s="20" t="s">
        <v>923</v>
      </c>
      <c r="E4644" s="22">
        <f>IF(D4644="?OLD","!!!","")</f>
        <v/>
      </c>
      <c r="F4644" s="23" t="str">
        <f>IF(OR(E4644="",E4644="!!!"),"",IF(NOT(ISNA(VLOOKUP(E4644,E$1:E4643,1,FALSE()))),"OLD",IF(AND(E4644&lt;&gt;"",E4644&lt;&gt;"!!!"),"NEW","")))</f>
        <v> </v>
      </c>
      <c r="G4644" s="24" t="str">
        <f>IF(OR(E4644="",E4644="!!!"),"",IF(OR(J4644=0,AND(J4644=1,K4644=1),AND(J4644=1,I4644="SBJ"),AND(J4644=1,I4644=0)),"?IN_FOCUS",IF(J4644&lt;=2,"?ACTIVATED",IF(J4644&lt;&gt;"","?FAMILIAR",IF(F4644="NEW",IF(ISNA(VLOOKUP(E4644,#REF!,1,FALSE())),"?TYPE_IDENTIFIABLE","?REFERENTIAL"),"_")))))</f>
        <v> </v>
      </c>
      <c r="H4644" s="25" t="str">
        <f>IF(J4644&lt;&gt;1,"",IF(I4644="SBJ","CB","?"))</f>
        <v> </v>
      </c>
      <c r="I4644" s="26" t="str">
        <f>IF(OR(E4644="",E4644="!!!",F4644="NEW"),"",INDEX(B4643:B$2,-1+SUMPRODUCT(MAX(ROW(E4643:E$2)*(E4644=E4643:E$2)))))</f>
        <v> </v>
      </c>
      <c r="J4644" s="26" t="str">
        <f>IF(OR(E4644="",E4644="!!!",F4644="NEW"),"",COUNTBLANK(OFFSET(A$1,,,SUMPRODUCT(MAX(ROW(E$2:E4644)*(E4644=E$2:E4644)))))-COUNTBLANK(OFFSET(A$1,,,SUMPRODUCT(MAX(ROW(E$1:E4643)*(E2=E$1:E4643))))))</f>
        <v> </v>
      </c>
      <c r="K4644" s="26" t="str">
        <f>IF(OR(E4644="",E4644="!!!",F4644="NEW"),"",INDEX(J$1:J4643,SUMPRODUCT(MAX(ROW(E$1:E4643)*(E4644=E$1:E4643)))))</f>
        <v> </v>
      </c>
      <c r="L4644" s="27"/>
    </row>
    <row r="4645" spans="1:12">
      <c r="A4645" s="20"/>
    </row>
    <row r="4646" spans="1:12">
      <c r="A4646" s="20" t="s">
        <v>2375</v>
      </c>
    </row>
    <row r="4647" spans="1:12">
      <c r="A4647" s="20" t="s">
        <v>2376</v>
      </c>
      <c r="E4647" s="22">
        <f>IF(D4647="?OLD","!!!","")</f>
        <v/>
      </c>
      <c r="F4647" s="23" t="str">
        <f>IF(OR(E4647="",E4647="!!!"),"",IF(NOT(ISNA(VLOOKUP(E4647,E$1:E4646,1,FALSE()))),"OLD",IF(AND(E4647&lt;&gt;"",E4647&lt;&gt;"!!!"),"NEW","")))</f>
        <v> </v>
      </c>
      <c r="G4647" s="24" t="str">
        <f>IF(OR(E4647="",E4647="!!!"),"",IF(OR(J4647=0,AND(J4647=1,K4647=1),AND(J4647=1,I4647="SBJ"),AND(J4647=1,I4647=0)),"?IN_FOCUS",IF(J4647&lt;=2,"?ACTIVATED",IF(J4647&lt;&gt;"","?FAMILIAR",IF(F4647="NEW",IF(ISNA(VLOOKUP(E4647,#REF!,1,FALSE())),"?TYPE_IDENTIFIABLE","?REFERENTIAL"),"_")))))</f>
        <v> </v>
      </c>
      <c r="H4647" s="25" t="str">
        <f>IF(J4647&lt;&gt;1,"",IF(I4647="SBJ","CB","?"))</f>
        <v> </v>
      </c>
      <c r="I4647" s="26" t="str">
        <f>IF(OR(E4647="",E4647="!!!",F4647="NEW"),"",INDEX(B4646:B$2,-1+SUMPRODUCT(MAX(ROW(E4646:E$2)*(E4647=E4646:E$2)))))</f>
        <v> </v>
      </c>
      <c r="J4647" s="26" t="str">
        <f>IF(OR(E4647="",E4647="!!!",F4647="NEW"),"",COUNTBLANK(OFFSET(A$1,,,SUMPRODUCT(MAX(ROW(E$2:E4647)*(E4647=E$2:E4647)))))-COUNTBLANK(OFFSET(A$1,,,SUMPRODUCT(MAX(ROW(E$1:E4646)*(E2=E$1:E4646))))))</f>
        <v> </v>
      </c>
      <c r="K4647" s="26" t="str">
        <f>IF(OR(E4647="",E4647="!!!",F4647="NEW"),"",INDEX(J$1:J4646,SUMPRODUCT(MAX(ROW(E$1:E4646)*(E4647=E$1:E4646)))))</f>
        <v> </v>
      </c>
      <c r="L4647" s="27"/>
    </row>
    <row r="4648" spans="1:12">
      <c r="A4648" s="20" t="s">
        <v>2377</v>
      </c>
      <c r="B4648" s="21" t="s">
        <v>1075</v>
      </c>
      <c r="C4648" s="21" t="s">
        <v>1149</v>
      </c>
      <c r="E4648" s="22">
        <f>IF(D4648="?OLD","!!!","")</f>
        <v/>
      </c>
      <c r="F4648" s="23" t="str">
        <f>IF(OR(E4648="",E4648="!!!"),"",IF(NOT(ISNA(VLOOKUP(E4648,E$1:E4647,1,FALSE()))),"OLD",IF(AND(E4648&lt;&gt;"",E4648&lt;&gt;"!!!"),"NEW","")))</f>
        <v> </v>
      </c>
      <c r="G4648" s="24" t="str">
        <f>IF(OR(E4648="",E4648="!!!"),"",IF(OR(J4648=0,AND(J4648=1,K4648=1),AND(J4648=1,I4648="SBJ"),AND(J4648=1,I4648=0)),"?IN_FOCUS",IF(J4648&lt;=2,"?ACTIVATED",IF(J4648&lt;&gt;"","?FAMILIAR",IF(F4648="NEW",IF(ISNA(VLOOKUP(E4648,#REF!,1,FALSE())),"?TYPE_IDENTIFIABLE","?REFERENTIAL"),"_")))))</f>
        <v> </v>
      </c>
      <c r="H4648" s="25" t="str">
        <f>IF(J4648&lt;&gt;1,"",IF(I4648="SBJ","CB","?"))</f>
        <v> </v>
      </c>
      <c r="I4648" s="26" t="str">
        <f>IF(OR(E4648="",E4648="!!!",F4648="NEW"),"",INDEX(B4647:B$2,-1+SUMPRODUCT(MAX(ROW(E4647:E$2)*(E4648=E4647:E$2)))))</f>
        <v> </v>
      </c>
      <c r="J4648" s="26" t="str">
        <f>IF(OR(E4648="",E4648="!!!",F4648="NEW"),"",COUNTBLANK(OFFSET(A$1,,,SUMPRODUCT(MAX(ROW(E$2:E4648)*(E4648=E$2:E4648)))))-COUNTBLANK(OFFSET(A$1,,,SUMPRODUCT(MAX(ROW(E$1:E4647)*(E2=E$1:E4647))))))</f>
        <v> </v>
      </c>
      <c r="K4648" s="26" t="str">
        <f>IF(OR(E4648="",E4648="!!!",F4648="NEW"),"",INDEX(J$1:J4647,SUMPRODUCT(MAX(ROW(E$1:E4647)*(E4648=E$1:E4647)))))</f>
        <v> </v>
      </c>
      <c r="L4648" s="27"/>
    </row>
    <row r="4649" spans="1:12">
      <c r="A4649" s="20" t="s">
        <v>1118</v>
      </c>
      <c r="E4649" s="22">
        <f>IF(D4649="?OLD","!!!","")</f>
        <v/>
      </c>
      <c r="F4649" s="23" t="str">
        <f>IF(OR(E4649="",E4649="!!!"),"",IF(NOT(ISNA(VLOOKUP(E4649,E$1:E4648,1,FALSE()))),"OLD",IF(AND(E4649&lt;&gt;"",E4649&lt;&gt;"!!!"),"NEW","")))</f>
        <v> </v>
      </c>
      <c r="G4649" s="24" t="str">
        <f>IF(OR(E4649="",E4649="!!!"),"",IF(OR(J4649=0,AND(J4649=1,K4649=1),AND(J4649=1,I4649="SBJ"),AND(J4649=1,I4649=0)),"?IN_FOCUS",IF(J4649&lt;=2,"?ACTIVATED",IF(J4649&lt;&gt;"","?FAMILIAR",IF(F4649="NEW",IF(ISNA(VLOOKUP(E4649,#REF!,1,FALSE())),"?TYPE_IDENTIFIABLE","?REFERENTIAL"),"_")))))</f>
        <v> </v>
      </c>
      <c r="H4649" s="25" t="str">
        <f>IF(J4649&lt;&gt;1,"",IF(I4649="SBJ","CB","?"))</f>
        <v> </v>
      </c>
      <c r="I4649" s="26" t="str">
        <f>IF(OR(E4649="",E4649="!!!",F4649="NEW"),"",INDEX(B4648:B$2,-1+SUMPRODUCT(MAX(ROW(E4648:E$2)*(E4649=E4648:E$2)))))</f>
        <v> </v>
      </c>
      <c r="J4649" s="26" t="str">
        <f>IF(OR(E4649="",E4649="!!!",F4649="NEW"),"",COUNTBLANK(OFFSET(A$1,,,SUMPRODUCT(MAX(ROW(E$2:E4649)*(E4649=E$2:E4649)))))-COUNTBLANK(OFFSET(A$1,,,SUMPRODUCT(MAX(ROW(E$1:E4648)*(E2=E$1:E4648))))))</f>
        <v> </v>
      </c>
      <c r="K4649" s="26" t="str">
        <f>IF(OR(E4649="",E4649="!!!",F4649="NEW"),"",INDEX(J$1:J4648,SUMPRODUCT(MAX(ROW(E$1:E4648)*(E4649=E$1:E4648)))))</f>
        <v> </v>
      </c>
      <c r="L4649" s="27"/>
    </row>
    <row r="4650" spans="1:12">
      <c r="A4650" s="20" t="s">
        <v>2378</v>
      </c>
      <c r="E4650" s="22">
        <f>IF(D4650="?OLD","!!!","")</f>
        <v/>
      </c>
      <c r="F4650" s="23" t="str">
        <f>IF(OR(E4650="",E4650="!!!"),"",IF(NOT(ISNA(VLOOKUP(E4650,E$1:E4649,1,FALSE()))),"OLD",IF(AND(E4650&lt;&gt;"",E4650&lt;&gt;"!!!"),"NEW","")))</f>
        <v> </v>
      </c>
      <c r="G4650" s="24" t="str">
        <f>IF(OR(E4650="",E4650="!!!"),"",IF(OR(J4650=0,AND(J4650=1,K4650=1),AND(J4650=1,I4650="SBJ"),AND(J4650=1,I4650=0)),"?IN_FOCUS",IF(J4650&lt;=2,"?ACTIVATED",IF(J4650&lt;&gt;"","?FAMILIAR",IF(F4650="NEW",IF(ISNA(VLOOKUP(E4650,#REF!,1,FALSE())),"?TYPE_IDENTIFIABLE","?REFERENTIAL"),"_")))))</f>
        <v> </v>
      </c>
      <c r="H4650" s="25" t="str">
        <f>IF(J4650&lt;&gt;1,"",IF(I4650="SBJ","CB","?"))</f>
        <v> </v>
      </c>
      <c r="I4650" s="26" t="str">
        <f>IF(OR(E4650="",E4650="!!!",F4650="NEW"),"",INDEX(B4649:B$2,-1+SUMPRODUCT(MAX(ROW(E4649:E$2)*(E4650=E4649:E$2)))))</f>
        <v> </v>
      </c>
      <c r="J4650" s="26" t="str">
        <f>IF(OR(E4650="",E4650="!!!",F4650="NEW"),"",COUNTBLANK(OFFSET(A$1,,,SUMPRODUCT(MAX(ROW(E$2:E4650)*(E4650=E$2:E4650)))))-COUNTBLANK(OFFSET(A$1,,,SUMPRODUCT(MAX(ROW(E$1:E4649)*(E2=E$1:E4649))))))</f>
        <v> </v>
      </c>
      <c r="K4650" s="26" t="str">
        <f>IF(OR(E4650="",E4650="!!!",F4650="NEW"),"",INDEX(J$1:J4649,SUMPRODUCT(MAX(ROW(E$1:E4649)*(E4650=E$1:E4649)))))</f>
        <v> </v>
      </c>
      <c r="L4650" s="27"/>
    </row>
    <row r="4651" spans="1:12">
      <c r="A4651" s="20" t="s">
        <v>1070</v>
      </c>
      <c r="E4651" s="22">
        <f>IF(D4651="?OLD","!!!","")</f>
        <v/>
      </c>
      <c r="F4651" s="23" t="str">
        <f>IF(OR(E4651="",E4651="!!!"),"",IF(NOT(ISNA(VLOOKUP(E4651,E$1:E4650,1,FALSE()))),"OLD",IF(AND(E4651&lt;&gt;"",E4651&lt;&gt;"!!!"),"NEW","")))</f>
        <v> </v>
      </c>
      <c r="G4651" s="24" t="str">
        <f>IF(OR(E4651="",E4651="!!!"),"",IF(OR(J4651=0,AND(J4651=1,K4651=1),AND(J4651=1,I4651="SBJ"),AND(J4651=1,I4651=0)),"?IN_FOCUS",IF(J4651&lt;=2,"?ACTIVATED",IF(J4651&lt;&gt;"","?FAMILIAR",IF(F4651="NEW",IF(ISNA(VLOOKUP(E4651,#REF!,1,FALSE())),"?TYPE_IDENTIFIABLE","?REFERENTIAL"),"_")))))</f>
        <v> </v>
      </c>
      <c r="H4651" s="25" t="str">
        <f>IF(J4651&lt;&gt;1,"",IF(I4651="SBJ","CB","?"))</f>
        <v> </v>
      </c>
      <c r="I4651" s="26" t="str">
        <f>IF(OR(E4651="",E4651="!!!",F4651="NEW"),"",INDEX(B4650:B$2,-1+SUMPRODUCT(MAX(ROW(E4650:E$2)*(E4651=E4650:E$2)))))</f>
        <v> </v>
      </c>
      <c r="J4651" s="26" t="str">
        <f>IF(OR(E4651="",E4651="!!!",F4651="NEW"),"",COUNTBLANK(OFFSET(A$1,,,SUMPRODUCT(MAX(ROW(E$2:E4651)*(E4651=E$2:E4651)))))-COUNTBLANK(OFFSET(A$1,,,SUMPRODUCT(MAX(ROW(E$1:E4650)*(E2=E$1:E4650))))))</f>
        <v> </v>
      </c>
      <c r="K4651" s="26" t="str">
        <f>IF(OR(E4651="",E4651="!!!",F4651="NEW"),"",INDEX(J$1:J4650,SUMPRODUCT(MAX(ROW(E$1:E4650)*(E4651=E$1:E4650)))))</f>
        <v> </v>
      </c>
      <c r="L4651" s="27"/>
    </row>
    <row r="4652" spans="1:12">
      <c r="A4652" s="20" t="s">
        <v>2379</v>
      </c>
      <c r="E4652" s="22">
        <f>IF(D4652="?OLD","!!!","")</f>
        <v/>
      </c>
      <c r="F4652" s="23" t="str">
        <f>IF(OR(E4652="",E4652="!!!"),"",IF(NOT(ISNA(VLOOKUP(E4652,E$1:E4651,1,FALSE()))),"OLD",IF(AND(E4652&lt;&gt;"",E4652&lt;&gt;"!!!"),"NEW","")))</f>
        <v> </v>
      </c>
      <c r="G4652" s="24" t="str">
        <f>IF(OR(E4652="",E4652="!!!"),"",IF(OR(J4652=0,AND(J4652=1,K4652=1),AND(J4652=1,I4652="SBJ"),AND(J4652=1,I4652=0)),"?IN_FOCUS",IF(J4652&lt;=2,"?ACTIVATED",IF(J4652&lt;&gt;"","?FAMILIAR",IF(F4652="NEW",IF(ISNA(VLOOKUP(E4652,#REF!,1,FALSE())),"?TYPE_IDENTIFIABLE","?REFERENTIAL"),"_")))))</f>
        <v> </v>
      </c>
      <c r="H4652" s="25" t="str">
        <f>IF(J4652&lt;&gt;1,"",IF(I4652="SBJ","CB","?"))</f>
        <v> </v>
      </c>
      <c r="I4652" s="26" t="str">
        <f>IF(OR(E4652="",E4652="!!!",F4652="NEW"),"",INDEX(B4651:B$2,-1+SUMPRODUCT(MAX(ROW(E4651:E$2)*(E4652=E4651:E$2)))))</f>
        <v> </v>
      </c>
      <c r="J4652" s="26" t="str">
        <f>IF(OR(E4652="",E4652="!!!",F4652="NEW"),"",COUNTBLANK(OFFSET(A$1,,,SUMPRODUCT(MAX(ROW(E$2:E4652)*(E4652=E$2:E4652)))))-COUNTBLANK(OFFSET(A$1,,,SUMPRODUCT(MAX(ROW(E$1:E4651)*(E2=E$1:E4651))))))</f>
        <v> </v>
      </c>
      <c r="K4652" s="26" t="str">
        <f>IF(OR(E4652="",E4652="!!!",F4652="NEW"),"",INDEX(J$1:J4651,SUMPRODUCT(MAX(ROW(E$1:E4651)*(E4652=E$1:E4651)))))</f>
        <v> </v>
      </c>
      <c r="L4652" s="27"/>
    </row>
    <row r="4653" spans="1:12">
      <c r="A4653" s="20" t="s">
        <v>2380</v>
      </c>
      <c r="E4653" s="22">
        <f>IF(D4653="?OLD","!!!","")</f>
        <v/>
      </c>
      <c r="F4653" s="23" t="str">
        <f>IF(OR(E4653="",E4653="!!!"),"",IF(NOT(ISNA(VLOOKUP(E4653,E$1:E4652,1,FALSE()))),"OLD",IF(AND(E4653&lt;&gt;"",E4653&lt;&gt;"!!!"),"NEW","")))</f>
        <v> </v>
      </c>
      <c r="G4653" s="24" t="str">
        <f>IF(OR(E4653="",E4653="!!!"),"",IF(OR(J4653=0,AND(J4653=1,K4653=1),AND(J4653=1,I4653="SBJ"),AND(J4653=1,I4653=0)),"?IN_FOCUS",IF(J4653&lt;=2,"?ACTIVATED",IF(J4653&lt;&gt;"","?FAMILIAR",IF(F4653="NEW",IF(ISNA(VLOOKUP(E4653,#REF!,1,FALSE())),"?TYPE_IDENTIFIABLE","?REFERENTIAL"),"_")))))</f>
        <v> </v>
      </c>
      <c r="H4653" s="25" t="str">
        <f>IF(J4653&lt;&gt;1,"",IF(I4653="SBJ","CB","?"))</f>
        <v> </v>
      </c>
      <c r="I4653" s="26" t="str">
        <f>IF(OR(E4653="",E4653="!!!",F4653="NEW"),"",INDEX(B4652:B$2,-1+SUMPRODUCT(MAX(ROW(E4652:E$2)*(E4653=E4652:E$2)))))</f>
        <v> </v>
      </c>
      <c r="J4653" s="26" t="str">
        <f>IF(OR(E4653="",E4653="!!!",F4653="NEW"),"",COUNTBLANK(OFFSET(A$1,,,SUMPRODUCT(MAX(ROW(E$2:E4653)*(E4653=E$2:E4653)))))-COUNTBLANK(OFFSET(A$1,,,SUMPRODUCT(MAX(ROW(E$1:E4652)*(E2=E$1:E4652))))))</f>
        <v> </v>
      </c>
      <c r="K4653" s="26" t="str">
        <f>IF(OR(E4653="",E4653="!!!",F4653="NEW"),"",INDEX(J$1:J4652,SUMPRODUCT(MAX(ROW(E$1:E4652)*(E4653=E$1:E4652)))))</f>
        <v> </v>
      </c>
      <c r="L4653" s="27"/>
    </row>
    <row r="4654" spans="1:12">
      <c r="A4654" s="20" t="s">
        <v>16</v>
      </c>
      <c r="E4654" s="22">
        <f>IF(D4654="?OLD","!!!","")</f>
        <v/>
      </c>
      <c r="F4654" s="23" t="str">
        <f>IF(OR(E4654="",E4654="!!!"),"",IF(NOT(ISNA(VLOOKUP(E4654,E$1:E4653,1,FALSE()))),"OLD",IF(AND(E4654&lt;&gt;"",E4654&lt;&gt;"!!!"),"NEW","")))</f>
        <v> </v>
      </c>
      <c r="G4654" s="24" t="str">
        <f>IF(OR(E4654="",E4654="!!!"),"",IF(OR(J4654=0,AND(J4654=1,K4654=1),AND(J4654=1,I4654="SBJ"),AND(J4654=1,I4654=0)),"?IN_FOCUS",IF(J4654&lt;=2,"?ACTIVATED",IF(J4654&lt;&gt;"","?FAMILIAR",IF(F4654="NEW",IF(ISNA(VLOOKUP(E4654,#REF!,1,FALSE())),"?TYPE_IDENTIFIABLE","?REFERENTIAL"),"_")))))</f>
        <v> </v>
      </c>
      <c r="H4654" s="25" t="str">
        <f>IF(J4654&lt;&gt;1,"",IF(I4654="SBJ","CB","?"))</f>
        <v> </v>
      </c>
      <c r="I4654" s="26" t="str">
        <f>IF(OR(E4654="",E4654="!!!",F4654="NEW"),"",INDEX(B4653:B$2,-1+SUMPRODUCT(MAX(ROW(E4653:E$2)*(E4654=E4653:E$2)))))</f>
        <v> </v>
      </c>
      <c r="J4654" s="26" t="str">
        <f>IF(OR(E4654="",E4654="!!!",F4654="NEW"),"",COUNTBLANK(OFFSET(A$1,,,SUMPRODUCT(MAX(ROW(E$2:E4654)*(E4654=E$2:E4654)))))-COUNTBLANK(OFFSET(A$1,,,SUMPRODUCT(MAX(ROW(E$1:E4653)*(E2=E$1:E4653))))))</f>
        <v> </v>
      </c>
      <c r="K4654" s="26" t="str">
        <f>IF(OR(E4654="",E4654="!!!",F4654="NEW"),"",INDEX(J$1:J4653,SUMPRODUCT(MAX(ROW(E$1:E4653)*(E4654=E$1:E4653)))))</f>
        <v> </v>
      </c>
      <c r="L4654" s="27"/>
    </row>
    <row r="4655" spans="1:12">
      <c r="A4655" s="20" t="s">
        <v>2381</v>
      </c>
      <c r="B4655" s="21" t="s">
        <v>1068</v>
      </c>
      <c r="C4655" s="21" t="s">
        <v>1149</v>
      </c>
      <c r="E4655" s="22">
        <f>IF(D4655="?OLD","!!!","")</f>
        <v/>
      </c>
      <c r="F4655" s="23" t="str">
        <f>IF(OR(E4655="",E4655="!!!"),"",IF(NOT(ISNA(VLOOKUP(E4655,E$1:E4654,1,FALSE()))),"OLD",IF(AND(E4655&lt;&gt;"",E4655&lt;&gt;"!!!"),"NEW","")))</f>
        <v> </v>
      </c>
      <c r="G4655" s="24" t="str">
        <f>IF(OR(E4655="",E4655="!!!"),"",IF(OR(J4655=0,AND(J4655=1,K4655=1),AND(J4655=1,I4655="SBJ"),AND(J4655=1,I4655=0)),"?IN_FOCUS",IF(J4655&lt;=2,"?ACTIVATED",IF(J4655&lt;&gt;"","?FAMILIAR",IF(F4655="NEW",IF(ISNA(VLOOKUP(E4655,#REF!,1,FALSE())),"?TYPE_IDENTIFIABLE","?REFERENTIAL"),"_")))))</f>
        <v> </v>
      </c>
      <c r="H4655" s="25" t="str">
        <f>IF(J4655&lt;&gt;1,"",IF(I4655="SBJ","CB","?"))</f>
        <v> </v>
      </c>
      <c r="I4655" s="26" t="str">
        <f>IF(OR(E4655="",E4655="!!!",F4655="NEW"),"",INDEX(B4654:B$2,-1+SUMPRODUCT(MAX(ROW(E4654:E$2)*(E4655=E4654:E$2)))))</f>
        <v> </v>
      </c>
      <c r="J4655" s="26" t="str">
        <f>IF(OR(E4655="",E4655="!!!",F4655="NEW"),"",COUNTBLANK(OFFSET(A$1,,,SUMPRODUCT(MAX(ROW(E$2:E4655)*(E4655=E$2:E4655)))))-COUNTBLANK(OFFSET(A$1,,,SUMPRODUCT(MAX(ROW(E$1:E4654)*(E2=E$1:E4654))))))</f>
        <v> </v>
      </c>
      <c r="K4655" s="26" t="str">
        <f>IF(OR(E4655="",E4655="!!!",F4655="NEW"),"",INDEX(J$1:J4654,SUMPRODUCT(MAX(ROW(E$1:E4654)*(E4655=E$1:E4654)))))</f>
        <v> </v>
      </c>
      <c r="L4655" s="27"/>
    </row>
    <row r="4656" spans="1:12">
      <c r="A4656" s="20" t="s">
        <v>2382</v>
      </c>
      <c r="E4656" s="22">
        <f>IF(D4656="?OLD","!!!","")</f>
        <v/>
      </c>
      <c r="F4656" s="23" t="str">
        <f>IF(OR(E4656="",E4656="!!!"),"",IF(NOT(ISNA(VLOOKUP(E4656,E$1:E4655,1,FALSE()))),"OLD",IF(AND(E4656&lt;&gt;"",E4656&lt;&gt;"!!!"),"NEW","")))</f>
        <v> </v>
      </c>
      <c r="G4656" s="24" t="str">
        <f>IF(OR(E4656="",E4656="!!!"),"",IF(OR(J4656=0,AND(J4656=1,K4656=1),AND(J4656=1,I4656="SBJ"),AND(J4656=1,I4656=0)),"?IN_FOCUS",IF(J4656&lt;=2,"?ACTIVATED",IF(J4656&lt;&gt;"","?FAMILIAR",IF(F4656="NEW",IF(ISNA(VLOOKUP(E4656,#REF!,1,FALSE())),"?TYPE_IDENTIFIABLE","?REFERENTIAL"),"_")))))</f>
        <v> </v>
      </c>
      <c r="H4656" s="25" t="str">
        <f>IF(J4656&lt;&gt;1,"",IF(I4656="SBJ","CB","?"))</f>
        <v> </v>
      </c>
      <c r="I4656" s="26" t="str">
        <f>IF(OR(E4656="",E4656="!!!",F4656="NEW"),"",INDEX(B4655:B$2,-1+SUMPRODUCT(MAX(ROW(E4655:E$2)*(E4656=E4655:E$2)))))</f>
        <v> </v>
      </c>
      <c r="J4656" s="26" t="str">
        <f>IF(OR(E4656="",E4656="!!!",F4656="NEW"),"",COUNTBLANK(OFFSET(A$1,,,SUMPRODUCT(MAX(ROW(E$2:E4656)*(E4656=E$2:E4656)))))-COUNTBLANK(OFFSET(A$1,,,SUMPRODUCT(MAX(ROW(E$1:E4655)*(E2=E$1:E4655))))))</f>
        <v> </v>
      </c>
      <c r="K4656" s="26" t="str">
        <f>IF(OR(E4656="",E4656="!!!",F4656="NEW"),"",INDEX(J$1:J4655,SUMPRODUCT(MAX(ROW(E$1:E4655)*(E4656=E$1:E4655)))))</f>
        <v> </v>
      </c>
      <c r="L4656" s="27"/>
    </row>
    <row r="4657" spans="1:12">
      <c r="A4657" s="20" t="s">
        <v>1366</v>
      </c>
      <c r="E4657" s="22">
        <f>IF(D4657="?OLD","!!!","")</f>
        <v/>
      </c>
      <c r="F4657" s="23" t="str">
        <f>IF(OR(E4657="",E4657="!!!"),"",IF(NOT(ISNA(VLOOKUP(E4657,E$1:E4656,1,FALSE()))),"OLD",IF(AND(E4657&lt;&gt;"",E4657&lt;&gt;"!!!"),"NEW","")))</f>
        <v> </v>
      </c>
      <c r="G4657" s="24" t="str">
        <f>IF(OR(E4657="",E4657="!!!"),"",IF(OR(J4657=0,AND(J4657=1,K4657=1),AND(J4657=1,I4657="SBJ"),AND(J4657=1,I4657=0)),"?IN_FOCUS",IF(J4657&lt;=2,"?ACTIVATED",IF(J4657&lt;&gt;"","?FAMILIAR",IF(F4657="NEW",IF(ISNA(VLOOKUP(E4657,#REF!,1,FALSE())),"?TYPE_IDENTIFIABLE","?REFERENTIAL"),"_")))))</f>
        <v> </v>
      </c>
      <c r="H4657" s="25" t="str">
        <f>IF(J4657&lt;&gt;1,"",IF(I4657="SBJ","CB","?"))</f>
        <v> </v>
      </c>
      <c r="I4657" s="26" t="str">
        <f>IF(OR(E4657="",E4657="!!!",F4657="NEW"),"",INDEX(B4656:B$2,-1+SUMPRODUCT(MAX(ROW(E4656:E$2)*(E4657=E4656:E$2)))))</f>
        <v> </v>
      </c>
      <c r="J4657" s="26" t="str">
        <f>IF(OR(E4657="",E4657="!!!",F4657="NEW"),"",COUNTBLANK(OFFSET(A$1,,,SUMPRODUCT(MAX(ROW(E$2:E4657)*(E4657=E$2:E4657)))))-COUNTBLANK(OFFSET(A$1,,,SUMPRODUCT(MAX(ROW(E$1:E4656)*(E2=E$1:E4656))))))</f>
        <v> </v>
      </c>
      <c r="K4657" s="26" t="str">
        <f>IF(OR(E4657="",E4657="!!!",F4657="NEW"),"",INDEX(J$1:J4656,SUMPRODUCT(MAX(ROW(E$1:E4656)*(E4657=E$1:E4656)))))</f>
        <v> </v>
      </c>
      <c r="L4657" s="27"/>
    </row>
    <row r="4658" spans="1:12">
      <c r="A4658" s="20" t="s">
        <v>2383</v>
      </c>
      <c r="B4658" s="21" t="s">
        <v>1095</v>
      </c>
      <c r="C4658" s="21" t="s">
        <v>1080</v>
      </c>
      <c r="E4658" s="22">
        <f>IF(D4658="?OLD","!!!","")</f>
        <v/>
      </c>
      <c r="F4658" s="23" t="str">
        <f>IF(OR(E4658="",E4658="!!!"),"",IF(NOT(ISNA(VLOOKUP(E4658,E$1:E4657,1,FALSE()))),"OLD",IF(AND(E4658&lt;&gt;"",E4658&lt;&gt;"!!!"),"NEW","")))</f>
        <v> </v>
      </c>
      <c r="G4658" s="24" t="str">
        <f>IF(OR(E4658="",E4658="!!!"),"",IF(OR(J4658=0,AND(J4658=1,K4658=1),AND(J4658=1,I4658="SBJ"),AND(J4658=1,I4658=0)),"?IN_FOCUS",IF(J4658&lt;=2,"?ACTIVATED",IF(J4658&lt;&gt;"","?FAMILIAR",IF(F4658="NEW",IF(ISNA(VLOOKUP(E4658,#REF!,1,FALSE())),"?TYPE_IDENTIFIABLE","?REFERENTIAL"),"_")))))</f>
        <v> </v>
      </c>
      <c r="H4658" s="25" t="str">
        <f>IF(J4658&lt;&gt;1,"",IF(I4658="SBJ","CB","?"))</f>
        <v> </v>
      </c>
      <c r="I4658" s="26" t="str">
        <f>IF(OR(E4658="",E4658="!!!",F4658="NEW"),"",INDEX(B4657:B$2,-1+SUMPRODUCT(MAX(ROW(E4657:E$2)*(E4658=E4657:E$2)))))</f>
        <v> </v>
      </c>
      <c r="J4658" s="26" t="str">
        <f>IF(OR(E4658="",E4658="!!!",F4658="NEW"),"",COUNTBLANK(OFFSET(A$1,,,SUMPRODUCT(MAX(ROW(E$2:E4658)*(E4658=E$2:E4658)))))-COUNTBLANK(OFFSET(A$1,,,SUMPRODUCT(MAX(ROW(E$1:E4657)*(E2=E$1:E4657))))))</f>
        <v> </v>
      </c>
      <c r="K4658" s="26" t="str">
        <f>IF(OR(E4658="",E4658="!!!",F4658="NEW"),"",INDEX(J$1:J4657,SUMPRODUCT(MAX(ROW(E$1:E4657)*(E4658=E$1:E4657)))))</f>
        <v> </v>
      </c>
      <c r="L4658" s="27"/>
    </row>
    <row r="4659" spans="1:12">
      <c r="A4659" s="20" t="s">
        <v>1061</v>
      </c>
      <c r="E4659" s="22">
        <f>IF(D4659="?OLD","!!!","")</f>
        <v/>
      </c>
      <c r="F4659" s="23" t="str">
        <f>IF(OR(E4659="",E4659="!!!"),"",IF(NOT(ISNA(VLOOKUP(E4659,E$1:E4658,1,FALSE()))),"OLD",IF(AND(E4659&lt;&gt;"",E4659&lt;&gt;"!!!"),"NEW","")))</f>
        <v> </v>
      </c>
      <c r="G4659" s="24" t="str">
        <f>IF(OR(E4659="",E4659="!!!"),"",IF(OR(J4659=0,AND(J4659=1,K4659=1),AND(J4659=1,I4659="SBJ"),AND(J4659=1,I4659=0)),"?IN_FOCUS",IF(J4659&lt;=2,"?ACTIVATED",IF(J4659&lt;&gt;"","?FAMILIAR",IF(F4659="NEW",IF(ISNA(VLOOKUP(E4659,#REF!,1,FALSE())),"?TYPE_IDENTIFIABLE","?REFERENTIAL"),"_")))))</f>
        <v> </v>
      </c>
      <c r="H4659" s="25" t="str">
        <f>IF(J4659&lt;&gt;1,"",IF(I4659="SBJ","CB","?"))</f>
        <v> </v>
      </c>
      <c r="I4659" s="26" t="str">
        <f>IF(OR(E4659="",E4659="!!!",F4659="NEW"),"",INDEX(B4658:B$2,-1+SUMPRODUCT(MAX(ROW(E4658:E$2)*(E4659=E4658:E$2)))))</f>
        <v> </v>
      </c>
      <c r="J4659" s="26" t="str">
        <f>IF(OR(E4659="",E4659="!!!",F4659="NEW"),"",COUNTBLANK(OFFSET(A$1,,,SUMPRODUCT(MAX(ROW(E$2:E4659)*(E4659=E$2:E4659)))))-COUNTBLANK(OFFSET(A$1,,,SUMPRODUCT(MAX(ROW(E$1:E4658)*(E2=E$1:E4658))))))</f>
        <v> </v>
      </c>
      <c r="K4659" s="26" t="str">
        <f>IF(OR(E4659="",E4659="!!!",F4659="NEW"),"",INDEX(J$1:J4658,SUMPRODUCT(MAX(ROW(E$1:E4658)*(E4659=E$1:E4658)))))</f>
        <v> </v>
      </c>
      <c r="L4659" s="27"/>
    </row>
    <row r="4660" spans="1:12">
      <c r="A4660" s="20" t="s">
        <v>2384</v>
      </c>
      <c r="B4660" s="21" t="s">
        <v>1091</v>
      </c>
      <c r="C4660" s="21" t="s">
        <v>1149</v>
      </c>
      <c r="E4660" s="22">
        <f>IF(D4660="?OLD","!!!","")</f>
        <v/>
      </c>
      <c r="F4660" s="23" t="str">
        <f>IF(OR(E4660="",E4660="!!!"),"",IF(NOT(ISNA(VLOOKUP(E4660,E$1:E4659,1,FALSE()))),"OLD",IF(AND(E4660&lt;&gt;"",E4660&lt;&gt;"!!!"),"NEW","")))</f>
        <v> </v>
      </c>
      <c r="G4660" s="24" t="str">
        <f>IF(OR(E4660="",E4660="!!!"),"",IF(OR(J4660=0,AND(J4660=1,K4660=1),AND(J4660=1,I4660="SBJ"),AND(J4660=1,I4660=0)),"?IN_FOCUS",IF(J4660&lt;=2,"?ACTIVATED",IF(J4660&lt;&gt;"","?FAMILIAR",IF(F4660="NEW",IF(ISNA(VLOOKUP(E4660,#REF!,1,FALSE())),"?TYPE_IDENTIFIABLE","?REFERENTIAL"),"_")))))</f>
        <v> </v>
      </c>
      <c r="H4660" s="25" t="str">
        <f>IF(J4660&lt;&gt;1,"",IF(I4660="SBJ","CB","?"))</f>
        <v> </v>
      </c>
      <c r="I4660" s="26" t="str">
        <f>IF(OR(E4660="",E4660="!!!",F4660="NEW"),"",INDEX(B4659:B$2,-1+SUMPRODUCT(MAX(ROW(E4659:E$2)*(E4660=E4659:E$2)))))</f>
        <v> </v>
      </c>
      <c r="J4660" s="26" t="str">
        <f>IF(OR(E4660="",E4660="!!!",F4660="NEW"),"",COUNTBLANK(OFFSET(A$1,,,SUMPRODUCT(MAX(ROW(E$2:E4660)*(E4660=E$2:E4660)))))-COUNTBLANK(OFFSET(A$1,,,SUMPRODUCT(MAX(ROW(E$1:E4659)*(E2=E$1:E4659))))))</f>
        <v> </v>
      </c>
      <c r="K4660" s="26" t="str">
        <f>IF(OR(E4660="",E4660="!!!",F4660="NEW"),"",INDEX(J$1:J4659,SUMPRODUCT(MAX(ROW(E$1:E4659)*(E4660=E$1:E4659)))))</f>
        <v> </v>
      </c>
      <c r="L4660" s="27"/>
    </row>
    <row r="4661" spans="1:12">
      <c r="A4661" s="20" t="s">
        <v>1118</v>
      </c>
      <c r="E4661" s="22">
        <f>IF(D4661="?OLD","!!!","")</f>
        <v/>
      </c>
      <c r="F4661" s="23" t="str">
        <f>IF(OR(E4661="",E4661="!!!"),"",IF(NOT(ISNA(VLOOKUP(E4661,E$1:E4660,1,FALSE()))),"OLD",IF(AND(E4661&lt;&gt;"",E4661&lt;&gt;"!!!"),"NEW","")))</f>
        <v> </v>
      </c>
      <c r="G4661" s="24" t="str">
        <f>IF(OR(E4661="",E4661="!!!"),"",IF(OR(J4661=0,AND(J4661=1,K4661=1),AND(J4661=1,I4661="SBJ"),AND(J4661=1,I4661=0)),"?IN_FOCUS",IF(J4661&lt;=2,"?ACTIVATED",IF(J4661&lt;&gt;"","?FAMILIAR",IF(F4661="NEW",IF(ISNA(VLOOKUP(E4661,#REF!,1,FALSE())),"?TYPE_IDENTIFIABLE","?REFERENTIAL"),"_")))))</f>
        <v> </v>
      </c>
      <c r="H4661" s="25" t="str">
        <f>IF(J4661&lt;&gt;1,"",IF(I4661="SBJ","CB","?"))</f>
        <v> </v>
      </c>
      <c r="I4661" s="26" t="str">
        <f>IF(OR(E4661="",E4661="!!!",F4661="NEW"),"",INDEX(B4660:B$2,-1+SUMPRODUCT(MAX(ROW(E4660:E$2)*(E4661=E4660:E$2)))))</f>
        <v> </v>
      </c>
      <c r="J4661" s="26" t="str">
        <f>IF(OR(E4661="",E4661="!!!",F4661="NEW"),"",COUNTBLANK(OFFSET(A$1,,,SUMPRODUCT(MAX(ROW(E$2:E4661)*(E4661=E$2:E4661)))))-COUNTBLANK(OFFSET(A$1,,,SUMPRODUCT(MAX(ROW(E$1:E4660)*(E2=E$1:E4660))))))</f>
        <v> </v>
      </c>
      <c r="K4661" s="26" t="str">
        <f>IF(OR(E4661="",E4661="!!!",F4661="NEW"),"",INDEX(J$1:J4660,SUMPRODUCT(MAX(ROW(E$1:E4660)*(E4661=E$1:E4660)))))</f>
        <v> </v>
      </c>
      <c r="L4661" s="27"/>
    </row>
    <row r="4662" spans="1:12">
      <c r="A4662" s="20" t="s">
        <v>1077</v>
      </c>
      <c r="E4662" s="22">
        <f>IF(D4662="?OLD","!!!","")</f>
        <v/>
      </c>
      <c r="F4662" s="23" t="str">
        <f>IF(OR(E4662="",E4662="!!!"),"",IF(NOT(ISNA(VLOOKUP(E4662,E$1:E4661,1,FALSE()))),"OLD",IF(AND(E4662&lt;&gt;"",E4662&lt;&gt;"!!!"),"NEW","")))</f>
        <v> </v>
      </c>
      <c r="G4662" s="24" t="str">
        <f>IF(OR(E4662="",E4662="!!!"),"",IF(OR(J4662=0,AND(J4662=1,K4662=1),AND(J4662=1,I4662="SBJ"),AND(J4662=1,I4662=0)),"?IN_FOCUS",IF(J4662&lt;=2,"?ACTIVATED",IF(J4662&lt;&gt;"","?FAMILIAR",IF(F4662="NEW",IF(ISNA(VLOOKUP(E4662,#REF!,1,FALSE())),"?TYPE_IDENTIFIABLE","?REFERENTIAL"),"_")))))</f>
        <v> </v>
      </c>
      <c r="H4662" s="25" t="str">
        <f>IF(J4662&lt;&gt;1,"",IF(I4662="SBJ","CB","?"))</f>
        <v> </v>
      </c>
      <c r="I4662" s="26" t="str">
        <f>IF(OR(E4662="",E4662="!!!",F4662="NEW"),"",INDEX(B4661:B$2,-1+SUMPRODUCT(MAX(ROW(E4661:E$2)*(E4662=E4661:E$2)))))</f>
        <v> </v>
      </c>
      <c r="J4662" s="26" t="str">
        <f>IF(OR(E4662="",E4662="!!!",F4662="NEW"),"",COUNTBLANK(OFFSET(A$1,,,SUMPRODUCT(MAX(ROW(E$2:E4662)*(E4662=E$2:E4662)))))-COUNTBLANK(OFFSET(A$1,,,SUMPRODUCT(MAX(ROW(E$1:E4661)*(E2=E$1:E4661))))))</f>
        <v> </v>
      </c>
      <c r="K4662" s="26" t="str">
        <f>IF(OR(E4662="",E4662="!!!",F4662="NEW"),"",INDEX(J$1:J4661,SUMPRODUCT(MAX(ROW(E$1:E4661)*(E4662=E$1:E4661)))))</f>
        <v> </v>
      </c>
      <c r="L4662" s="27"/>
    </row>
    <row r="4663" spans="1:12">
      <c r="A4663" s="20" t="s">
        <v>2385</v>
      </c>
      <c r="E4663" s="22">
        <f>IF(D4663="?OLD","!!!","")</f>
        <v/>
      </c>
      <c r="F4663" s="23" t="str">
        <f>IF(OR(E4663="",E4663="!!!"),"",IF(NOT(ISNA(VLOOKUP(E4663,E$1:E4662,1,FALSE()))),"OLD",IF(AND(E4663&lt;&gt;"",E4663&lt;&gt;"!!!"),"NEW","")))</f>
        <v> </v>
      </c>
      <c r="G4663" s="24" t="str">
        <f>IF(OR(E4663="",E4663="!!!"),"",IF(OR(J4663=0,AND(J4663=1,K4663=1),AND(J4663=1,I4663="SBJ"),AND(J4663=1,I4663=0)),"?IN_FOCUS",IF(J4663&lt;=2,"?ACTIVATED",IF(J4663&lt;&gt;"","?FAMILIAR",IF(F4663="NEW",IF(ISNA(VLOOKUP(E4663,#REF!,1,FALSE())),"?TYPE_IDENTIFIABLE","?REFERENTIAL"),"_")))))</f>
        <v> </v>
      </c>
      <c r="H4663" s="25" t="str">
        <f>IF(J4663&lt;&gt;1,"",IF(I4663="SBJ","CB","?"))</f>
        <v> </v>
      </c>
      <c r="I4663" s="26" t="str">
        <f>IF(OR(E4663="",E4663="!!!",F4663="NEW"),"",INDEX(B4662:B$2,-1+SUMPRODUCT(MAX(ROW(E4662:E$2)*(E4663=E4662:E$2)))))</f>
        <v> </v>
      </c>
      <c r="J4663" s="26" t="str">
        <f>IF(OR(E4663="",E4663="!!!",F4663="NEW"),"",COUNTBLANK(OFFSET(A$1,,,SUMPRODUCT(MAX(ROW(E$2:E4663)*(E4663=E$2:E4663)))))-COUNTBLANK(OFFSET(A$1,,,SUMPRODUCT(MAX(ROW(E$1:E4662)*(E2=E$1:E4662))))))</f>
        <v> </v>
      </c>
      <c r="K4663" s="26" t="str">
        <f>IF(OR(E4663="",E4663="!!!",F4663="NEW"),"",INDEX(J$1:J4662,SUMPRODUCT(MAX(ROW(E$1:E4662)*(E4663=E$1:E4662)))))</f>
        <v> </v>
      </c>
      <c r="L4663" s="27"/>
    </row>
    <row r="4664" spans="1:12">
      <c r="A4664" s="20" t="s">
        <v>2386</v>
      </c>
      <c r="E4664" s="22">
        <f>IF(D4664="?OLD","!!!","")</f>
        <v/>
      </c>
      <c r="F4664" s="23" t="str">
        <f>IF(OR(E4664="",E4664="!!!"),"",IF(NOT(ISNA(VLOOKUP(E4664,E$1:E4663,1,FALSE()))),"OLD",IF(AND(E4664&lt;&gt;"",E4664&lt;&gt;"!!!"),"NEW","")))</f>
        <v> </v>
      </c>
      <c r="G4664" s="24" t="str">
        <f>IF(OR(E4664="",E4664="!!!"),"",IF(OR(J4664=0,AND(J4664=1,K4664=1),AND(J4664=1,I4664="SBJ"),AND(J4664=1,I4664=0)),"?IN_FOCUS",IF(J4664&lt;=2,"?ACTIVATED",IF(J4664&lt;&gt;"","?FAMILIAR",IF(F4664="NEW",IF(ISNA(VLOOKUP(E4664,#REF!,1,FALSE())),"?TYPE_IDENTIFIABLE","?REFERENTIAL"),"_")))))</f>
        <v> </v>
      </c>
      <c r="H4664" s="25" t="str">
        <f>IF(J4664&lt;&gt;1,"",IF(I4664="SBJ","CB","?"))</f>
        <v> </v>
      </c>
      <c r="I4664" s="26" t="str">
        <f>IF(OR(E4664="",E4664="!!!",F4664="NEW"),"",INDEX(B4663:B$2,-1+SUMPRODUCT(MAX(ROW(E4663:E$2)*(E4664=E4663:E$2)))))</f>
        <v> </v>
      </c>
      <c r="J4664" s="26" t="str">
        <f>IF(OR(E4664="",E4664="!!!",F4664="NEW"),"",COUNTBLANK(OFFSET(A$1,,,SUMPRODUCT(MAX(ROW(E$2:E4664)*(E4664=E$2:E4664)))))-COUNTBLANK(OFFSET(A$1,,,SUMPRODUCT(MAX(ROW(E$1:E4663)*(E2=E$1:E4663))))))</f>
        <v> </v>
      </c>
      <c r="K4664" s="26" t="str">
        <f>IF(OR(E4664="",E4664="!!!",F4664="NEW"),"",INDEX(J$1:J4663,SUMPRODUCT(MAX(ROW(E$1:E4663)*(E4664=E$1:E4663)))))</f>
        <v> </v>
      </c>
      <c r="L4664" s="27"/>
    </row>
    <row r="4665" spans="1:12">
      <c r="A4665" s="20" t="s">
        <v>1651</v>
      </c>
      <c r="B4665" s="21" t="s">
        <v>1091</v>
      </c>
      <c r="C4665" s="21" t="s">
        <v>1080</v>
      </c>
      <c r="E4665" s="22">
        <f>IF(D4665="?OLD","!!!","")</f>
        <v/>
      </c>
      <c r="F4665" s="23" t="str">
        <f>IF(OR(E4665="",E4665="!!!"),"",IF(NOT(ISNA(VLOOKUP(E4665,E$1:E4664,1,FALSE()))),"OLD",IF(AND(E4665&lt;&gt;"",E4665&lt;&gt;"!!!"),"NEW","")))</f>
        <v> </v>
      </c>
      <c r="G4665" s="24" t="str">
        <f>IF(OR(E4665="",E4665="!!!"),"",IF(OR(J4665=0,AND(J4665=1,K4665=1),AND(J4665=1,I4665="SBJ"),AND(J4665=1,I4665=0)),"?IN_FOCUS",IF(J4665&lt;=2,"?ACTIVATED",IF(J4665&lt;&gt;"","?FAMILIAR",IF(F4665="NEW",IF(ISNA(VLOOKUP(E4665,#REF!,1,FALSE())),"?TYPE_IDENTIFIABLE","?REFERENTIAL"),"_")))))</f>
        <v> </v>
      </c>
      <c r="H4665" s="25" t="str">
        <f>IF(J4665&lt;&gt;1,"",IF(I4665="SBJ","CB","?"))</f>
        <v> </v>
      </c>
      <c r="I4665" s="26" t="str">
        <f>IF(OR(E4665="",E4665="!!!",F4665="NEW"),"",INDEX(B4664:B$2,-1+SUMPRODUCT(MAX(ROW(E4664:E$2)*(E4665=E4664:E$2)))))</f>
        <v> </v>
      </c>
      <c r="J4665" s="26" t="str">
        <f>IF(OR(E4665="",E4665="!!!",F4665="NEW"),"",COUNTBLANK(OFFSET(A$1,,,SUMPRODUCT(MAX(ROW(E$2:E4665)*(E4665=E$2:E4665)))))-COUNTBLANK(OFFSET(A$1,,,SUMPRODUCT(MAX(ROW(E$1:E4664)*(E2=E$1:E4664))))))</f>
        <v> </v>
      </c>
      <c r="K4665" s="26" t="str">
        <f>IF(OR(E4665="",E4665="!!!",F4665="NEW"),"",INDEX(J$1:J4664,SUMPRODUCT(MAX(ROW(E$1:E4664)*(E4665=E$1:E4664)))))</f>
        <v> </v>
      </c>
      <c r="L4665" s="27"/>
    </row>
    <row r="4666" spans="1:12">
      <c r="A4666" s="20" t="s">
        <v>2387</v>
      </c>
      <c r="E4666" s="22">
        <f>IF(D4666="?OLD","!!!","")</f>
        <v/>
      </c>
      <c r="F4666" s="23" t="str">
        <f>IF(OR(E4666="",E4666="!!!"),"",IF(NOT(ISNA(VLOOKUP(E4666,E$1:E4665,1,FALSE()))),"OLD",IF(AND(E4666&lt;&gt;"",E4666&lt;&gt;"!!!"),"NEW","")))</f>
        <v> </v>
      </c>
      <c r="G4666" s="24" t="str">
        <f>IF(OR(E4666="",E4666="!!!"),"",IF(OR(J4666=0,AND(J4666=1,K4666=1),AND(J4666=1,I4666="SBJ"),AND(J4666=1,I4666=0)),"?IN_FOCUS",IF(J4666&lt;=2,"?ACTIVATED",IF(J4666&lt;&gt;"","?FAMILIAR",IF(F4666="NEW",IF(ISNA(VLOOKUP(E4666,#REF!,1,FALSE())),"?TYPE_IDENTIFIABLE","?REFERENTIAL"),"_")))))</f>
        <v> </v>
      </c>
      <c r="H4666" s="25" t="str">
        <f>IF(J4666&lt;&gt;1,"",IF(I4666="SBJ","CB","?"))</f>
        <v> </v>
      </c>
      <c r="I4666" s="26" t="str">
        <f>IF(OR(E4666="",E4666="!!!",F4666="NEW"),"",INDEX(B4665:B$2,-1+SUMPRODUCT(MAX(ROW(E4665:E$2)*(E4666=E4665:E$2)))))</f>
        <v> </v>
      </c>
      <c r="J4666" s="26" t="str">
        <f>IF(OR(E4666="",E4666="!!!",F4666="NEW"),"",COUNTBLANK(OFFSET(A$1,,,SUMPRODUCT(MAX(ROW(E$2:E4666)*(E4666=E$2:E4666)))))-COUNTBLANK(OFFSET(A$1,,,SUMPRODUCT(MAX(ROW(E$1:E4665)*(E2=E$1:E4665))))))</f>
        <v> </v>
      </c>
      <c r="K4666" s="26" t="str">
        <f>IF(OR(E4666="",E4666="!!!",F4666="NEW"),"",INDEX(J$1:J4665,SUMPRODUCT(MAX(ROW(E$1:E4665)*(E4666=E$1:E4665)))))</f>
        <v> </v>
      </c>
      <c r="L4666" s="27"/>
    </row>
    <row r="4667" spans="1:12">
      <c r="A4667" s="20" t="s">
        <v>1172</v>
      </c>
      <c r="B4667" s="21" t="s">
        <v>1185</v>
      </c>
      <c r="C4667" s="21" t="s">
        <v>1092</v>
      </c>
      <c r="D4667" s="21" t="s">
        <v>1060</v>
      </c>
      <c r="E4667" s="22">
        <f>IF(D4667="?OLD","!!!","")</f>
        <v/>
      </c>
      <c r="F4667" s="23" t="str">
        <f>IF(OR(E4667="",E4667="!!!"),"",IF(NOT(ISNA(VLOOKUP(E4667,E$1:E4666,1,FALSE()))),"OLD",IF(AND(E4667&lt;&gt;"",E4667&lt;&gt;"!!!"),"NEW","")))</f>
        <v> </v>
      </c>
      <c r="G4667" s="24" t="str">
        <f>IF(OR(E4667="",E4667="!!!"),"",IF(OR(J4667=0,AND(J4667=1,K4667=1),AND(J4667=1,I4667="SBJ"),AND(J4667=1,I4667=0)),"?IN_FOCUS",IF(J4667&lt;=2,"?ACTIVATED",IF(J4667&lt;&gt;"","?FAMILIAR",IF(F4667="NEW",IF(ISNA(VLOOKUP(E4667,#REF!,1,FALSE())),"?TYPE_IDENTIFIABLE","?REFERENTIAL"),"_")))))</f>
        <v> </v>
      </c>
      <c r="H4667" s="25" t="str">
        <f>IF(J4667&lt;&gt;1,"",IF(I4667="SBJ","CB","?"))</f>
        <v> </v>
      </c>
      <c r="I4667" s="26" t="str">
        <f>IF(OR(E4667="",E4667="!!!",F4667="NEW"),"",INDEX(B4666:B$2,-1+SUMPRODUCT(MAX(ROW(E4666:E$2)*(E4667=E4666:E$2)))))</f>
        <v> </v>
      </c>
      <c r="J4667" s="26" t="str">
        <f>IF(OR(E4667="",E4667="!!!",F4667="NEW"),"",COUNTBLANK(OFFSET(A$1,,,SUMPRODUCT(MAX(ROW(E$2:E4667)*(E4667=E$2:E4667)))))-COUNTBLANK(OFFSET(A$1,,,SUMPRODUCT(MAX(ROW(E$1:E4666)*(E2=E$1:E4666))))))</f>
        <v> </v>
      </c>
      <c r="K4667" s="26" t="str">
        <f>IF(OR(E4667="",E4667="!!!",F4667="NEW"),"",INDEX(J$1:J4666,SUMPRODUCT(MAX(ROW(E$1:E4666)*(E4667=E$1:E4666)))))</f>
        <v> </v>
      </c>
      <c r="L4667" s="27"/>
    </row>
    <row r="4668" spans="1:12">
      <c r="A4668" s="20" t="s">
        <v>1200</v>
      </c>
      <c r="B4668" s="21" t="s">
        <v>1104</v>
      </c>
      <c r="C4668" s="21" t="s">
        <v>1059</v>
      </c>
      <c r="D4668" s="21" t="s">
        <v>1060</v>
      </c>
      <c r="E4668" s="22">
        <f>IF(D4668="?OLD","!!!","")</f>
        <v/>
      </c>
      <c r="F4668" s="23" t="str">
        <f>IF(OR(E4668="",E4668="!!!"),"",IF(NOT(ISNA(VLOOKUP(E4668,E$1:E4667,1,FALSE()))),"OLD",IF(AND(E4668&lt;&gt;"",E4668&lt;&gt;"!!!"),"NEW","")))</f>
        <v> </v>
      </c>
      <c r="G4668" s="24" t="str">
        <f>IF(OR(E4668="",E4668="!!!"),"",IF(OR(J4668=0,AND(J4668=1,K4668=1),AND(J4668=1,I4668="SBJ"),AND(J4668=1,I4668=0)),"?IN_FOCUS",IF(J4668&lt;=2,"?ACTIVATED",IF(J4668&lt;&gt;"","?FAMILIAR",IF(F4668="NEW",IF(ISNA(VLOOKUP(E4668,#REF!,1,FALSE())),"?TYPE_IDENTIFIABLE","?REFERENTIAL"),"_")))))</f>
        <v> </v>
      </c>
      <c r="H4668" s="25" t="str">
        <f>IF(J4668&lt;&gt;1,"",IF(I4668="SBJ","CB","?"))</f>
        <v> </v>
      </c>
      <c r="I4668" s="26" t="str">
        <f>IF(OR(E4668="",E4668="!!!",F4668="NEW"),"",INDEX(B4667:B$2,-1+SUMPRODUCT(MAX(ROW(E4667:E$2)*(E4668=E4667:E$2)))))</f>
        <v> </v>
      </c>
      <c r="J4668" s="26" t="str">
        <f>IF(OR(E4668="",E4668="!!!",F4668="NEW"),"",COUNTBLANK(OFFSET(A$1,,,SUMPRODUCT(MAX(ROW(E$2:E4668)*(E4668=E$2:E4668)))))-COUNTBLANK(OFFSET(A$1,,,SUMPRODUCT(MAX(ROW(E$1:E4667)*(E2=E$1:E4667))))))</f>
        <v> </v>
      </c>
      <c r="K4668" s="26" t="str">
        <f>IF(OR(E4668="",E4668="!!!",F4668="NEW"),"",INDEX(J$1:J4667,SUMPRODUCT(MAX(ROW(E$1:E4667)*(E4668=E$1:E4667)))))</f>
        <v> </v>
      </c>
      <c r="L4668" s="27"/>
    </row>
    <row r="4669" spans="1:12">
      <c r="A4669" s="20" t="s">
        <v>1070</v>
      </c>
      <c r="E4669" s="22">
        <f>IF(D4669="?OLD","!!!","")</f>
        <v/>
      </c>
      <c r="F4669" s="23" t="str">
        <f>IF(OR(E4669="",E4669="!!!"),"",IF(NOT(ISNA(VLOOKUP(E4669,E$1:E4668,1,FALSE()))),"OLD",IF(AND(E4669&lt;&gt;"",E4669&lt;&gt;"!!!"),"NEW","")))</f>
        <v> </v>
      </c>
      <c r="G4669" s="24" t="str">
        <f>IF(OR(E4669="",E4669="!!!"),"",IF(OR(J4669=0,AND(J4669=1,K4669=1),AND(J4669=1,I4669="SBJ"),AND(J4669=1,I4669=0)),"?IN_FOCUS",IF(J4669&lt;=2,"?ACTIVATED",IF(J4669&lt;&gt;"","?FAMILIAR",IF(F4669="NEW",IF(ISNA(VLOOKUP(E4669,#REF!,1,FALSE())),"?TYPE_IDENTIFIABLE","?REFERENTIAL"),"_")))))</f>
        <v> </v>
      </c>
      <c r="H4669" s="25" t="str">
        <f>IF(J4669&lt;&gt;1,"",IF(I4669="SBJ","CB","?"))</f>
        <v> </v>
      </c>
      <c r="I4669" s="26" t="str">
        <f>IF(OR(E4669="",E4669="!!!",F4669="NEW"),"",INDEX(B4668:B$2,-1+SUMPRODUCT(MAX(ROW(E4668:E$2)*(E4669=E4668:E$2)))))</f>
        <v> </v>
      </c>
      <c r="J4669" s="26" t="str">
        <f>IF(OR(E4669="",E4669="!!!",F4669="NEW"),"",COUNTBLANK(OFFSET(A$1,,,SUMPRODUCT(MAX(ROW(E$2:E4669)*(E4669=E$2:E4669)))))-COUNTBLANK(OFFSET(A$1,,,SUMPRODUCT(MAX(ROW(E$1:E4668)*(E2=E$1:E4668))))))</f>
        <v> </v>
      </c>
      <c r="K4669" s="26" t="str">
        <f>IF(OR(E4669="",E4669="!!!",F4669="NEW"),"",INDEX(J$1:J4668,SUMPRODUCT(MAX(ROW(E$1:E4668)*(E4669=E$1:E4668)))))</f>
        <v> </v>
      </c>
      <c r="L4669" s="27"/>
    </row>
    <row r="4670" spans="1:12">
      <c r="A4670" s="20" t="s">
        <v>1271</v>
      </c>
      <c r="E4670" s="22">
        <f>IF(D4670="?OLD","!!!","")</f>
        <v/>
      </c>
      <c r="F4670" s="23" t="str">
        <f>IF(OR(E4670="",E4670="!!!"),"",IF(NOT(ISNA(VLOOKUP(E4670,E$1:E4669,1,FALSE()))),"OLD",IF(AND(E4670&lt;&gt;"",E4670&lt;&gt;"!!!"),"NEW","")))</f>
        <v> </v>
      </c>
      <c r="G4670" s="24" t="str">
        <f>IF(OR(E4670="",E4670="!!!"),"",IF(OR(J4670=0,AND(J4670=1,K4670=1),AND(J4670=1,I4670="SBJ"),AND(J4670=1,I4670=0)),"?IN_FOCUS",IF(J4670&lt;=2,"?ACTIVATED",IF(J4670&lt;&gt;"","?FAMILIAR",IF(F4670="NEW",IF(ISNA(VLOOKUP(E4670,#REF!,1,FALSE())),"?TYPE_IDENTIFIABLE","?REFERENTIAL"),"_")))))</f>
        <v> </v>
      </c>
      <c r="H4670" s="25" t="str">
        <f>IF(J4670&lt;&gt;1,"",IF(I4670="SBJ","CB","?"))</f>
        <v> </v>
      </c>
      <c r="I4670" s="26" t="str">
        <f>IF(OR(E4670="",E4670="!!!",F4670="NEW"),"",INDEX(B4669:B$2,-1+SUMPRODUCT(MAX(ROW(E4669:E$2)*(E4670=E4669:E$2)))))</f>
        <v> </v>
      </c>
      <c r="J4670" s="26" t="str">
        <f>IF(OR(E4670="",E4670="!!!",F4670="NEW"),"",COUNTBLANK(OFFSET(A$1,,,SUMPRODUCT(MAX(ROW(E$2:E4670)*(E4670=E$2:E4670)))))-COUNTBLANK(OFFSET(A$1,,,SUMPRODUCT(MAX(ROW(E$1:E4669)*(E2=E$1:E4669))))))</f>
        <v> </v>
      </c>
      <c r="K4670" s="26" t="str">
        <f>IF(OR(E4670="",E4670="!!!",F4670="NEW"),"",INDEX(J$1:J4669,SUMPRODUCT(MAX(ROW(E$1:E4669)*(E4670=E$1:E4669)))))</f>
        <v> </v>
      </c>
      <c r="L4670" s="27"/>
    </row>
    <row r="4671" spans="1:12">
      <c r="A4671" s="20" t="s">
        <v>1077</v>
      </c>
      <c r="E4671" s="22">
        <f>IF(D4671="?OLD","!!!","")</f>
        <v/>
      </c>
      <c r="F4671" s="23" t="str">
        <f>IF(OR(E4671="",E4671="!!!"),"",IF(NOT(ISNA(VLOOKUP(E4671,E$1:E4670,1,FALSE()))),"OLD",IF(AND(E4671&lt;&gt;"",E4671&lt;&gt;"!!!"),"NEW","")))</f>
        <v> </v>
      </c>
      <c r="G4671" s="24" t="str">
        <f>IF(OR(E4671="",E4671="!!!"),"",IF(OR(J4671=0,AND(J4671=1,K4671=1),AND(J4671=1,I4671="SBJ"),AND(J4671=1,I4671=0)),"?IN_FOCUS",IF(J4671&lt;=2,"?ACTIVATED",IF(J4671&lt;&gt;"","?FAMILIAR",IF(F4671="NEW",IF(ISNA(VLOOKUP(E4671,#REF!,1,FALSE())),"?TYPE_IDENTIFIABLE","?REFERENTIAL"),"_")))))</f>
        <v> </v>
      </c>
      <c r="H4671" s="25" t="str">
        <f>IF(J4671&lt;&gt;1,"",IF(I4671="SBJ","CB","?"))</f>
        <v> </v>
      </c>
      <c r="I4671" s="26" t="str">
        <f>IF(OR(E4671="",E4671="!!!",F4671="NEW"),"",INDEX(B4670:B$2,-1+SUMPRODUCT(MAX(ROW(E4670:E$2)*(E4671=E4670:E$2)))))</f>
        <v> </v>
      </c>
      <c r="J4671" s="26" t="str">
        <f>IF(OR(E4671="",E4671="!!!",F4671="NEW"),"",COUNTBLANK(OFFSET(A$1,,,SUMPRODUCT(MAX(ROW(E$2:E4671)*(E4671=E$2:E4671)))))-COUNTBLANK(OFFSET(A$1,,,SUMPRODUCT(MAX(ROW(E$1:E4670)*(E2=E$1:E4670))))))</f>
        <v> </v>
      </c>
      <c r="K4671" s="26" t="str">
        <f>IF(OR(E4671="",E4671="!!!",F4671="NEW"),"",INDEX(J$1:J4670,SUMPRODUCT(MAX(ROW(E$1:E4670)*(E4671=E$1:E4670)))))</f>
        <v> </v>
      </c>
      <c r="L4671" s="27"/>
    </row>
    <row r="4672" spans="1:12">
      <c r="A4672" s="20" t="s">
        <v>2388</v>
      </c>
      <c r="E4672" s="22">
        <f>IF(D4672="?OLD","!!!","")</f>
        <v/>
      </c>
      <c r="F4672" s="23" t="str">
        <f>IF(OR(E4672="",E4672="!!!"),"",IF(NOT(ISNA(VLOOKUP(E4672,E$1:E4671,1,FALSE()))),"OLD",IF(AND(E4672&lt;&gt;"",E4672&lt;&gt;"!!!"),"NEW","")))</f>
        <v> </v>
      </c>
      <c r="G4672" s="24" t="str">
        <f>IF(OR(E4672="",E4672="!!!"),"",IF(OR(J4672=0,AND(J4672=1,K4672=1),AND(J4672=1,I4672="SBJ"),AND(J4672=1,I4672=0)),"?IN_FOCUS",IF(J4672&lt;=2,"?ACTIVATED",IF(J4672&lt;&gt;"","?FAMILIAR",IF(F4672="NEW",IF(ISNA(VLOOKUP(E4672,#REF!,1,FALSE())),"?TYPE_IDENTIFIABLE","?REFERENTIAL"),"_")))))</f>
        <v> </v>
      </c>
      <c r="H4672" s="25" t="str">
        <f>IF(J4672&lt;&gt;1,"",IF(I4672="SBJ","CB","?"))</f>
        <v> </v>
      </c>
      <c r="I4672" s="26" t="str">
        <f>IF(OR(E4672="",E4672="!!!",F4672="NEW"),"",INDEX(B4671:B$2,-1+SUMPRODUCT(MAX(ROW(E4671:E$2)*(E4672=E4671:E$2)))))</f>
        <v> </v>
      </c>
      <c r="J4672" s="26" t="str">
        <f>IF(OR(E4672="",E4672="!!!",F4672="NEW"),"",COUNTBLANK(OFFSET(A$1,,,SUMPRODUCT(MAX(ROW(E$2:E4672)*(E4672=E$2:E4672)))))-COUNTBLANK(OFFSET(A$1,,,SUMPRODUCT(MAX(ROW(E$1:E4671)*(E2=E$1:E4671))))))</f>
        <v> </v>
      </c>
      <c r="K4672" s="26" t="str">
        <f>IF(OR(E4672="",E4672="!!!",F4672="NEW"),"",INDEX(J$1:J4671,SUMPRODUCT(MAX(ROW(E$1:E4671)*(E4672=E$1:E4671)))))</f>
        <v> </v>
      </c>
      <c r="L4672" s="27"/>
    </row>
    <row r="4673" spans="1:12">
      <c r="A4673" s="20" t="s">
        <v>2389</v>
      </c>
      <c r="B4673" s="21" t="s">
        <v>1079</v>
      </c>
      <c r="C4673" s="21" t="s">
        <v>1080</v>
      </c>
      <c r="E4673" s="22">
        <f>IF(D4673="?OLD","!!!","")</f>
        <v/>
      </c>
      <c r="F4673" s="23" t="str">
        <f>IF(OR(E4673="",E4673="!!!"),"",IF(NOT(ISNA(VLOOKUP(E4673,E$1:E4672,1,FALSE()))),"OLD",IF(AND(E4673&lt;&gt;"",E4673&lt;&gt;"!!!"),"NEW","")))</f>
        <v> </v>
      </c>
      <c r="G4673" s="24" t="str">
        <f>IF(OR(E4673="",E4673="!!!"),"",IF(OR(J4673=0,AND(J4673=1,K4673=1),AND(J4673=1,I4673="SBJ"),AND(J4673=1,I4673=0)),"?IN_FOCUS",IF(J4673&lt;=2,"?ACTIVATED",IF(J4673&lt;&gt;"","?FAMILIAR",IF(F4673="NEW",IF(ISNA(VLOOKUP(E4673,#REF!,1,FALSE())),"?TYPE_IDENTIFIABLE","?REFERENTIAL"),"_")))))</f>
        <v> </v>
      </c>
      <c r="H4673" s="25" t="str">
        <f>IF(J4673&lt;&gt;1,"",IF(I4673="SBJ","CB","?"))</f>
        <v> </v>
      </c>
      <c r="I4673" s="26" t="str">
        <f>IF(OR(E4673="",E4673="!!!",F4673="NEW"),"",INDEX(B4672:B$2,-1+SUMPRODUCT(MAX(ROW(E4672:E$2)*(E4673=E4672:E$2)))))</f>
        <v> </v>
      </c>
      <c r="J4673" s="26" t="str">
        <f>IF(OR(E4673="",E4673="!!!",F4673="NEW"),"",COUNTBLANK(OFFSET(A$1,,,SUMPRODUCT(MAX(ROW(E$2:E4673)*(E4673=E$2:E4673)))))-COUNTBLANK(OFFSET(A$1,,,SUMPRODUCT(MAX(ROW(E$1:E4672)*(E2=E$1:E4672))))))</f>
        <v> </v>
      </c>
      <c r="K4673" s="26" t="str">
        <f>IF(OR(E4673="",E4673="!!!",F4673="NEW"),"",INDEX(J$1:J4672,SUMPRODUCT(MAX(ROW(E$1:E4672)*(E4673=E$1:E4672)))))</f>
        <v> </v>
      </c>
      <c r="L4673" s="27"/>
    </row>
    <row r="4674" spans="1:12">
      <c r="A4674" s="20" t="s">
        <v>2390</v>
      </c>
      <c r="E4674" s="22">
        <f>IF(D4674="?OLD","!!!","")</f>
        <v/>
      </c>
      <c r="F4674" s="23" t="str">
        <f>IF(OR(E4674="",E4674="!!!"),"",IF(NOT(ISNA(VLOOKUP(E4674,E$1:E4673,1,FALSE()))),"OLD",IF(AND(E4674&lt;&gt;"",E4674&lt;&gt;"!!!"),"NEW","")))</f>
        <v> </v>
      </c>
      <c r="G4674" s="24" t="str">
        <f>IF(OR(E4674="",E4674="!!!"),"",IF(OR(J4674=0,AND(J4674=1,K4674=1),AND(J4674=1,I4674="SBJ"),AND(J4674=1,I4674=0)),"?IN_FOCUS",IF(J4674&lt;=2,"?ACTIVATED",IF(J4674&lt;&gt;"","?FAMILIAR",IF(F4674="NEW",IF(ISNA(VLOOKUP(E4674,#REF!,1,FALSE())),"?TYPE_IDENTIFIABLE","?REFERENTIAL"),"_")))))</f>
        <v> </v>
      </c>
      <c r="H4674" s="25" t="str">
        <f>IF(J4674&lt;&gt;1,"",IF(I4674="SBJ","CB","?"))</f>
        <v> </v>
      </c>
      <c r="I4674" s="26" t="str">
        <f>IF(OR(E4674="",E4674="!!!",F4674="NEW"),"",INDEX(B4673:B$2,-1+SUMPRODUCT(MAX(ROW(E4673:E$2)*(E4674=E4673:E$2)))))</f>
        <v> </v>
      </c>
      <c r="J4674" s="26" t="str">
        <f>IF(OR(E4674="",E4674="!!!",F4674="NEW"),"",COUNTBLANK(OFFSET(A$1,,,SUMPRODUCT(MAX(ROW(E$2:E4674)*(E4674=E$2:E4674)))))-COUNTBLANK(OFFSET(A$1,,,SUMPRODUCT(MAX(ROW(E$1:E4673)*(E2=E$1:E4673))))))</f>
        <v> </v>
      </c>
      <c r="K4674" s="26" t="str">
        <f>IF(OR(E4674="",E4674="!!!",F4674="NEW"),"",INDEX(J$1:J4673,SUMPRODUCT(MAX(ROW(E$1:E4673)*(E4674=E$1:E4673)))))</f>
        <v> </v>
      </c>
      <c r="L4674" s="27"/>
    </row>
    <row r="4675" spans="1:12">
      <c r="A4675" s="20" t="s">
        <v>1166</v>
      </c>
      <c r="B4675" s="21" t="s">
        <v>1132</v>
      </c>
      <c r="C4675" s="21" t="s">
        <v>1076</v>
      </c>
      <c r="D4675" s="21" t="s">
        <v>1060</v>
      </c>
      <c r="E4675" s="22">
        <f>IF(D4675="?OLD","!!!","")</f>
        <v/>
      </c>
      <c r="F4675" s="23" t="str">
        <f>IF(OR(E4675="",E4675="!!!"),"",IF(NOT(ISNA(VLOOKUP(E4675,E$1:E4674,1,FALSE()))),"OLD",IF(AND(E4675&lt;&gt;"",E4675&lt;&gt;"!!!"),"NEW","")))</f>
        <v> </v>
      </c>
      <c r="G4675" s="24" t="str">
        <f>IF(OR(E4675="",E4675="!!!"),"",IF(OR(J4675=0,AND(J4675=1,K4675=1),AND(J4675=1,I4675="SBJ"),AND(J4675=1,I4675=0)),"?IN_FOCUS",IF(J4675&lt;=2,"?ACTIVATED",IF(J4675&lt;&gt;"","?FAMILIAR",IF(F4675="NEW",IF(ISNA(VLOOKUP(E4675,#REF!,1,FALSE())),"?TYPE_IDENTIFIABLE","?REFERENTIAL"),"_")))))</f>
        <v> </v>
      </c>
      <c r="H4675" s="25" t="str">
        <f>IF(J4675&lt;&gt;1,"",IF(I4675="SBJ","CB","?"))</f>
        <v> </v>
      </c>
      <c r="I4675" s="26" t="str">
        <f>IF(OR(E4675="",E4675="!!!",F4675="NEW"),"",INDEX(B4674:B$2,-1+SUMPRODUCT(MAX(ROW(E4674:E$2)*(E4675=E4674:E$2)))))</f>
        <v> </v>
      </c>
      <c r="J4675" s="26" t="str">
        <f>IF(OR(E4675="",E4675="!!!",F4675="NEW"),"",COUNTBLANK(OFFSET(A$1,,,SUMPRODUCT(MAX(ROW(E$2:E4675)*(E4675=E$2:E4675)))))-COUNTBLANK(OFFSET(A$1,,,SUMPRODUCT(MAX(ROW(E$1:E4674)*(E2=E$1:E4674))))))</f>
        <v> </v>
      </c>
      <c r="K4675" s="26" t="str">
        <f>IF(OR(E4675="",E4675="!!!",F4675="NEW"),"",INDEX(J$1:J4674,SUMPRODUCT(MAX(ROW(E$1:E4674)*(E4675=E$1:E4674)))))</f>
        <v> </v>
      </c>
      <c r="L4675" s="27"/>
    </row>
    <row r="4676" spans="1:12">
      <c r="A4676" s="20" t="s">
        <v>967</v>
      </c>
      <c r="E4676" s="22">
        <f>IF(D4676="?OLD","!!!","")</f>
        <v/>
      </c>
      <c r="F4676" s="23" t="str">
        <f>IF(OR(E4676="",E4676="!!!"),"",IF(NOT(ISNA(VLOOKUP(E4676,E$1:E4675,1,FALSE()))),"OLD",IF(AND(E4676&lt;&gt;"",E4676&lt;&gt;"!!!"),"NEW","")))</f>
        <v> </v>
      </c>
      <c r="G4676" s="24" t="str">
        <f>IF(OR(E4676="",E4676="!!!"),"",IF(OR(J4676=0,AND(J4676=1,K4676=1),AND(J4676=1,I4676="SBJ"),AND(J4676=1,I4676=0)),"?IN_FOCUS",IF(J4676&lt;=2,"?ACTIVATED",IF(J4676&lt;&gt;"","?FAMILIAR",IF(F4676="NEW",IF(ISNA(VLOOKUP(E4676,#REF!,1,FALSE())),"?TYPE_IDENTIFIABLE","?REFERENTIAL"),"_")))))</f>
        <v> </v>
      </c>
      <c r="H4676" s="25" t="str">
        <f>IF(J4676&lt;&gt;1,"",IF(I4676="SBJ","CB","?"))</f>
        <v> </v>
      </c>
      <c r="I4676" s="26" t="str">
        <f>IF(OR(E4676="",E4676="!!!",F4676="NEW"),"",INDEX(B4675:B$2,-1+SUMPRODUCT(MAX(ROW(E4675:E$2)*(E4676=E4675:E$2)))))</f>
        <v> </v>
      </c>
      <c r="J4676" s="26" t="str">
        <f>IF(OR(E4676="",E4676="!!!",F4676="NEW"),"",COUNTBLANK(OFFSET(A$1,,,SUMPRODUCT(MAX(ROW(E$2:E4676)*(E4676=E$2:E4676)))))-COUNTBLANK(OFFSET(A$1,,,SUMPRODUCT(MAX(ROW(E$1:E4675)*(E2=E$1:E4675))))))</f>
        <v> </v>
      </c>
      <c r="K4676" s="26" t="str">
        <f>IF(OR(E4676="",E4676="!!!",F4676="NEW"),"",INDEX(J$1:J4675,SUMPRODUCT(MAX(ROW(E$1:E4675)*(E4676=E$1:E4675)))))</f>
        <v> </v>
      </c>
      <c r="L4676" s="27"/>
    </row>
    <row r="4677" spans="1:12">
      <c r="A4677" s="20" t="s">
        <v>1157</v>
      </c>
      <c r="E4677" s="22">
        <f>IF(D4677="?OLD","!!!","")</f>
        <v/>
      </c>
      <c r="F4677" s="23" t="str">
        <f>IF(OR(E4677="",E4677="!!!"),"",IF(NOT(ISNA(VLOOKUP(E4677,E$1:E4676,1,FALSE()))),"OLD",IF(AND(E4677&lt;&gt;"",E4677&lt;&gt;"!!!"),"NEW","")))</f>
        <v> </v>
      </c>
      <c r="G4677" s="24" t="str">
        <f>IF(OR(E4677="",E4677="!!!"),"",IF(OR(J4677=0,AND(J4677=1,K4677=1),AND(J4677=1,I4677="SBJ"),AND(J4677=1,I4677=0)),"?IN_FOCUS",IF(J4677&lt;=2,"?ACTIVATED",IF(J4677&lt;&gt;"","?FAMILIAR",IF(F4677="NEW",IF(ISNA(VLOOKUP(E4677,#REF!,1,FALSE())),"?TYPE_IDENTIFIABLE","?REFERENTIAL"),"_")))))</f>
        <v> </v>
      </c>
      <c r="H4677" s="25" t="str">
        <f>IF(J4677&lt;&gt;1,"",IF(I4677="SBJ","CB","?"))</f>
        <v> </v>
      </c>
      <c r="I4677" s="26" t="str">
        <f>IF(OR(E4677="",E4677="!!!",F4677="NEW"),"",INDEX(B4676:B$2,-1+SUMPRODUCT(MAX(ROW(E4676:E$2)*(E4677=E4676:E$2)))))</f>
        <v> </v>
      </c>
      <c r="J4677" s="26" t="str">
        <f>IF(OR(E4677="",E4677="!!!",F4677="NEW"),"",COUNTBLANK(OFFSET(A$1,,,SUMPRODUCT(MAX(ROW(E$2:E4677)*(E4677=E$2:E4677)))))-COUNTBLANK(OFFSET(A$1,,,SUMPRODUCT(MAX(ROW(E$1:E4676)*(E2=E$1:E4676))))))</f>
        <v> </v>
      </c>
      <c r="K4677" s="26" t="str">
        <f>IF(OR(E4677="",E4677="!!!",F4677="NEW"),"",INDEX(J$1:J4676,SUMPRODUCT(MAX(ROW(E$1:E4676)*(E4677=E$1:E4676)))))</f>
        <v> </v>
      </c>
      <c r="L4677" s="27"/>
    </row>
    <row r="4678" spans="1:12">
      <c r="A4678" s="20" t="s">
        <v>1214</v>
      </c>
      <c r="E4678" s="22">
        <f>IF(D4678="?OLD","!!!","")</f>
        <v/>
      </c>
      <c r="F4678" s="23" t="str">
        <f>IF(OR(E4678="",E4678="!!!"),"",IF(NOT(ISNA(VLOOKUP(E4678,E$1:E4677,1,FALSE()))),"OLD",IF(AND(E4678&lt;&gt;"",E4678&lt;&gt;"!!!"),"NEW","")))</f>
        <v> </v>
      </c>
      <c r="G4678" s="24" t="str">
        <f>IF(OR(E4678="",E4678="!!!"),"",IF(OR(J4678=0,AND(J4678=1,K4678=1),AND(J4678=1,I4678="SBJ"),AND(J4678=1,I4678=0)),"?IN_FOCUS",IF(J4678&lt;=2,"?ACTIVATED",IF(J4678&lt;&gt;"","?FAMILIAR",IF(F4678="NEW",IF(ISNA(VLOOKUP(E4678,#REF!,1,FALSE())),"?TYPE_IDENTIFIABLE","?REFERENTIAL"),"_")))))</f>
        <v> </v>
      </c>
      <c r="H4678" s="25" t="str">
        <f>IF(J4678&lt;&gt;1,"",IF(I4678="SBJ","CB","?"))</f>
        <v> </v>
      </c>
      <c r="I4678" s="26" t="str">
        <f>IF(OR(E4678="",E4678="!!!",F4678="NEW"),"",INDEX(B4677:B$2,-1+SUMPRODUCT(MAX(ROW(E4677:E$2)*(E4678=E4677:E$2)))))</f>
        <v> </v>
      </c>
      <c r="J4678" s="26" t="str">
        <f>IF(OR(E4678="",E4678="!!!",F4678="NEW"),"",COUNTBLANK(OFFSET(A$1,,,SUMPRODUCT(MAX(ROW(E$2:E4678)*(E4678=E$2:E4678)))))-COUNTBLANK(OFFSET(A$1,,,SUMPRODUCT(MAX(ROW(E$1:E4677)*(E2=E$1:E4677))))))</f>
        <v> </v>
      </c>
      <c r="K4678" s="26" t="str">
        <f>IF(OR(E4678="",E4678="!!!",F4678="NEW"),"",INDEX(J$1:J4677,SUMPRODUCT(MAX(ROW(E$1:E4677)*(E4678=E$1:E4677)))))</f>
        <v> </v>
      </c>
      <c r="L4678" s="27"/>
    </row>
    <row r="4679" spans="1:12">
      <c r="A4679" s="20" t="s">
        <v>2391</v>
      </c>
      <c r="E4679" s="22">
        <f>IF(D4679="?OLD","!!!","")</f>
        <v/>
      </c>
      <c r="F4679" s="23" t="str">
        <f>IF(OR(E4679="",E4679="!!!"),"",IF(NOT(ISNA(VLOOKUP(E4679,E$1:E4678,1,FALSE()))),"OLD",IF(AND(E4679&lt;&gt;"",E4679&lt;&gt;"!!!"),"NEW","")))</f>
        <v> </v>
      </c>
      <c r="G4679" s="24" t="str">
        <f>IF(OR(E4679="",E4679="!!!"),"",IF(OR(J4679=0,AND(J4679=1,K4679=1),AND(J4679=1,I4679="SBJ"),AND(J4679=1,I4679=0)),"?IN_FOCUS",IF(J4679&lt;=2,"?ACTIVATED",IF(J4679&lt;&gt;"","?FAMILIAR",IF(F4679="NEW",IF(ISNA(VLOOKUP(E4679,#REF!,1,FALSE())),"?TYPE_IDENTIFIABLE","?REFERENTIAL"),"_")))))</f>
        <v> </v>
      </c>
      <c r="H4679" s="25" t="str">
        <f>IF(J4679&lt;&gt;1,"",IF(I4679="SBJ","CB","?"))</f>
        <v> </v>
      </c>
      <c r="I4679" s="26" t="str">
        <f>IF(OR(E4679="",E4679="!!!",F4679="NEW"),"",INDEX(B4678:B$2,-1+SUMPRODUCT(MAX(ROW(E4678:E$2)*(E4679=E4678:E$2)))))</f>
        <v> </v>
      </c>
      <c r="J4679" s="26" t="str">
        <f>IF(OR(E4679="",E4679="!!!",F4679="NEW"),"",COUNTBLANK(OFFSET(A$1,,,SUMPRODUCT(MAX(ROW(E$2:E4679)*(E4679=E$2:E4679)))))-COUNTBLANK(OFFSET(A$1,,,SUMPRODUCT(MAX(ROW(E$1:E4678)*(E2=E$1:E4678))))))</f>
        <v> </v>
      </c>
      <c r="K4679" s="26" t="str">
        <f>IF(OR(E4679="",E4679="!!!",F4679="NEW"),"",INDEX(J$1:J4678,SUMPRODUCT(MAX(ROW(E$1:E4678)*(E4679=E$1:E4678)))))</f>
        <v> </v>
      </c>
      <c r="L4679" s="27"/>
    </row>
    <row r="4680" spans="1:12">
      <c r="A4680" s="20" t="s">
        <v>16</v>
      </c>
      <c r="E4680" s="22">
        <f>IF(D4680="?OLD","!!!","")</f>
        <v/>
      </c>
      <c r="F4680" s="23" t="str">
        <f>IF(OR(E4680="",E4680="!!!"),"",IF(NOT(ISNA(VLOOKUP(E4680,E$1:E4679,1,FALSE()))),"OLD",IF(AND(E4680&lt;&gt;"",E4680&lt;&gt;"!!!"),"NEW","")))</f>
        <v> </v>
      </c>
      <c r="G4680" s="24" t="str">
        <f>IF(OR(E4680="",E4680="!!!"),"",IF(OR(J4680=0,AND(J4680=1,K4680=1),AND(J4680=1,I4680="SBJ"),AND(J4680=1,I4680=0)),"?IN_FOCUS",IF(J4680&lt;=2,"?ACTIVATED",IF(J4680&lt;&gt;"","?FAMILIAR",IF(F4680="NEW",IF(ISNA(VLOOKUP(E4680,#REF!,1,FALSE())),"?TYPE_IDENTIFIABLE","?REFERENTIAL"),"_")))))</f>
        <v> </v>
      </c>
      <c r="H4680" s="25" t="str">
        <f>IF(J4680&lt;&gt;1,"",IF(I4680="SBJ","CB","?"))</f>
        <v> </v>
      </c>
      <c r="I4680" s="26" t="str">
        <f>IF(OR(E4680="",E4680="!!!",F4680="NEW"),"",INDEX(B4679:B$2,-1+SUMPRODUCT(MAX(ROW(E4679:E$2)*(E4680=E4679:E$2)))))</f>
        <v> </v>
      </c>
      <c r="J4680" s="26" t="str">
        <f>IF(OR(E4680="",E4680="!!!",F4680="NEW"),"",COUNTBLANK(OFFSET(A$1,,,SUMPRODUCT(MAX(ROW(E$2:E4680)*(E4680=E$2:E4680)))))-COUNTBLANK(OFFSET(A$1,,,SUMPRODUCT(MAX(ROW(E$1:E4679)*(E2=E$1:E4679))))))</f>
        <v> </v>
      </c>
      <c r="K4680" s="26" t="str">
        <f>IF(OR(E4680="",E4680="!!!",F4680="NEW"),"",INDEX(J$1:J4679,SUMPRODUCT(MAX(ROW(E$1:E4679)*(E4680=E$1:E4679)))))</f>
        <v> </v>
      </c>
      <c r="L4680" s="27"/>
    </row>
    <row r="4681" spans="1:12">
      <c r="A4681" s="20" t="s">
        <v>1887</v>
      </c>
      <c r="E4681" s="22">
        <f>IF(D4681="?OLD","!!!","")</f>
        <v/>
      </c>
      <c r="F4681" s="23" t="str">
        <f>IF(OR(E4681="",E4681="!!!"),"",IF(NOT(ISNA(VLOOKUP(E4681,E$1:E4680,1,FALSE()))),"OLD",IF(AND(E4681&lt;&gt;"",E4681&lt;&gt;"!!!"),"NEW","")))</f>
        <v> </v>
      </c>
      <c r="G4681" s="24" t="str">
        <f>IF(OR(E4681="",E4681="!!!"),"",IF(OR(J4681=0,AND(J4681=1,K4681=1),AND(J4681=1,I4681="SBJ"),AND(J4681=1,I4681=0)),"?IN_FOCUS",IF(J4681&lt;=2,"?ACTIVATED",IF(J4681&lt;&gt;"","?FAMILIAR",IF(F4681="NEW",IF(ISNA(VLOOKUP(E4681,#REF!,1,FALSE())),"?TYPE_IDENTIFIABLE","?REFERENTIAL"),"_")))))</f>
        <v> </v>
      </c>
      <c r="H4681" s="25" t="str">
        <f>IF(J4681&lt;&gt;1,"",IF(I4681="SBJ","CB","?"))</f>
        <v> </v>
      </c>
      <c r="I4681" s="26" t="str">
        <f>IF(OR(E4681="",E4681="!!!",F4681="NEW"),"",INDEX(B4680:B$2,-1+SUMPRODUCT(MAX(ROW(E4680:E$2)*(E4681=E4680:E$2)))))</f>
        <v> </v>
      </c>
      <c r="J4681" s="26" t="str">
        <f>IF(OR(E4681="",E4681="!!!",F4681="NEW"),"",COUNTBLANK(OFFSET(A$1,,,SUMPRODUCT(MAX(ROW(E$2:E4681)*(E4681=E$2:E4681)))))-COUNTBLANK(OFFSET(A$1,,,SUMPRODUCT(MAX(ROW(E$1:E4680)*(E2=E$1:E4680))))))</f>
        <v> </v>
      </c>
      <c r="K4681" s="26" t="str">
        <f>IF(OR(E4681="",E4681="!!!",F4681="NEW"),"",INDEX(J$1:J4680,SUMPRODUCT(MAX(ROW(E$1:E4680)*(E4681=E$1:E4680)))))</f>
        <v> </v>
      </c>
      <c r="L4681" s="27"/>
    </row>
    <row r="4682" spans="1:12">
      <c r="A4682" s="20" t="s">
        <v>1376</v>
      </c>
      <c r="E4682" s="22">
        <f>IF(D4682="?OLD","!!!","")</f>
        <v/>
      </c>
      <c r="F4682" s="23" t="str">
        <f>IF(OR(E4682="",E4682="!!!"),"",IF(NOT(ISNA(VLOOKUP(E4682,E$1:E4681,1,FALSE()))),"OLD",IF(AND(E4682&lt;&gt;"",E4682&lt;&gt;"!!!"),"NEW","")))</f>
        <v> </v>
      </c>
      <c r="G4682" s="24" t="str">
        <f>IF(OR(E4682="",E4682="!!!"),"",IF(OR(J4682=0,AND(J4682=1,K4682=1),AND(J4682=1,I4682="SBJ"),AND(J4682=1,I4682=0)),"?IN_FOCUS",IF(J4682&lt;=2,"?ACTIVATED",IF(J4682&lt;&gt;"","?FAMILIAR",IF(F4682="NEW",IF(ISNA(VLOOKUP(E4682,#REF!,1,FALSE())),"?TYPE_IDENTIFIABLE","?REFERENTIAL"),"_")))))</f>
        <v> </v>
      </c>
      <c r="H4682" s="25" t="str">
        <f>IF(J4682&lt;&gt;1,"",IF(I4682="SBJ","CB","?"))</f>
        <v> </v>
      </c>
      <c r="I4682" s="26" t="str">
        <f>IF(OR(E4682="",E4682="!!!",F4682="NEW"),"",INDEX(B4681:B$2,-1+SUMPRODUCT(MAX(ROW(E4681:E$2)*(E4682=E4681:E$2)))))</f>
        <v> </v>
      </c>
      <c r="J4682" s="26" t="str">
        <f>IF(OR(E4682="",E4682="!!!",F4682="NEW"),"",COUNTBLANK(OFFSET(A$1,,,SUMPRODUCT(MAX(ROW(E$2:E4682)*(E4682=E$2:E4682)))))-COUNTBLANK(OFFSET(A$1,,,SUMPRODUCT(MAX(ROW(E$1:E4681)*(E2=E$1:E4681))))))</f>
        <v> </v>
      </c>
      <c r="K4682" s="26" t="str">
        <f>IF(OR(E4682="",E4682="!!!",F4682="NEW"),"",INDEX(J$1:J4681,SUMPRODUCT(MAX(ROW(E$1:E4681)*(E4682=E$1:E4681)))))</f>
        <v> </v>
      </c>
      <c r="L4682" s="27"/>
    </row>
    <row r="4683" spans="1:12">
      <c r="A4683" s="20" t="s">
        <v>1101</v>
      </c>
      <c r="E4683" s="22">
        <f>IF(D4683="?OLD","!!!","")</f>
        <v/>
      </c>
      <c r="F4683" s="23" t="str">
        <f>IF(OR(E4683="",E4683="!!!"),"",IF(NOT(ISNA(VLOOKUP(E4683,E$1:E4682,1,FALSE()))),"OLD",IF(AND(E4683&lt;&gt;"",E4683&lt;&gt;"!!!"),"NEW","")))</f>
        <v> </v>
      </c>
      <c r="G4683" s="24" t="str">
        <f>IF(OR(E4683="",E4683="!!!"),"",IF(OR(J4683=0,AND(J4683=1,K4683=1),AND(J4683=1,I4683="SBJ"),AND(J4683=1,I4683=0)),"?IN_FOCUS",IF(J4683&lt;=2,"?ACTIVATED",IF(J4683&lt;&gt;"","?FAMILIAR",IF(F4683="NEW",IF(ISNA(VLOOKUP(E4683,#REF!,1,FALSE())),"?TYPE_IDENTIFIABLE","?REFERENTIAL"),"_")))))</f>
        <v> </v>
      </c>
      <c r="H4683" s="25" t="str">
        <f>IF(J4683&lt;&gt;1,"",IF(I4683="SBJ","CB","?"))</f>
        <v> </v>
      </c>
      <c r="I4683" s="26" t="str">
        <f>IF(OR(E4683="",E4683="!!!",F4683="NEW"),"",INDEX(B4682:B$2,-1+SUMPRODUCT(MAX(ROW(E4682:E$2)*(E4683=E4682:E$2)))))</f>
        <v> </v>
      </c>
      <c r="J4683" s="26" t="str">
        <f>IF(OR(E4683="",E4683="!!!",F4683="NEW"),"",COUNTBLANK(OFFSET(A$1,,,SUMPRODUCT(MAX(ROW(E$2:E4683)*(E4683=E$2:E4683)))))-COUNTBLANK(OFFSET(A$1,,,SUMPRODUCT(MAX(ROW(E$1:E4682)*(E2=E$1:E4682))))))</f>
        <v> </v>
      </c>
      <c r="K4683" s="26" t="str">
        <f>IF(OR(E4683="",E4683="!!!",F4683="NEW"),"",INDEX(J$1:J4682,SUMPRODUCT(MAX(ROW(E$1:E4682)*(E4683=E$1:E4682)))))</f>
        <v> </v>
      </c>
      <c r="L4683" s="27"/>
    </row>
    <row r="4684" spans="1:12">
      <c r="A4684" s="20" t="s">
        <v>1201</v>
      </c>
      <c r="B4684" s="21" t="s">
        <v>1091</v>
      </c>
      <c r="C4684" s="21" t="s">
        <v>1140</v>
      </c>
      <c r="D4684" s="21" t="s">
        <v>1060</v>
      </c>
      <c r="E4684" s="22">
        <f>IF(D4684="?OLD","!!!","")</f>
        <v/>
      </c>
      <c r="F4684" s="23" t="str">
        <f>IF(OR(E4684="",E4684="!!!"),"",IF(NOT(ISNA(VLOOKUP(E4684,E$1:E4683,1,FALSE()))),"OLD",IF(AND(E4684&lt;&gt;"",E4684&lt;&gt;"!!!"),"NEW","")))</f>
        <v> </v>
      </c>
      <c r="G4684" s="24" t="str">
        <f>IF(OR(E4684="",E4684="!!!"),"",IF(OR(J4684=0,AND(J4684=1,K4684=1),AND(J4684=1,I4684="SBJ"),AND(J4684=1,I4684=0)),"?IN_FOCUS",IF(J4684&lt;=2,"?ACTIVATED",IF(J4684&lt;&gt;"","?FAMILIAR",IF(F4684="NEW",IF(ISNA(VLOOKUP(E4684,#REF!,1,FALSE())),"?TYPE_IDENTIFIABLE","?REFERENTIAL"),"_")))))</f>
        <v> </v>
      </c>
      <c r="H4684" s="25" t="str">
        <f>IF(J4684&lt;&gt;1,"",IF(I4684="SBJ","CB","?"))</f>
        <v> </v>
      </c>
      <c r="I4684" s="26" t="str">
        <f>IF(OR(E4684="",E4684="!!!",F4684="NEW"),"",INDEX(B4683:B$2,-1+SUMPRODUCT(MAX(ROW(E4683:E$2)*(E4684=E4683:E$2)))))</f>
        <v> </v>
      </c>
      <c r="J4684" s="26" t="str">
        <f>IF(OR(E4684="",E4684="!!!",F4684="NEW"),"",COUNTBLANK(OFFSET(A$1,,,SUMPRODUCT(MAX(ROW(E$2:E4684)*(E4684=E$2:E4684)))))-COUNTBLANK(OFFSET(A$1,,,SUMPRODUCT(MAX(ROW(E$1:E4683)*(E2=E$1:E4683))))))</f>
        <v> </v>
      </c>
      <c r="K4684" s="26" t="str">
        <f>IF(OR(E4684="",E4684="!!!",F4684="NEW"),"",INDEX(J$1:J4683,SUMPRODUCT(MAX(ROW(E$1:E4683)*(E4684=E$1:E4683)))))</f>
        <v> </v>
      </c>
      <c r="L4684" s="27"/>
    </row>
    <row r="4685" spans="1:12">
      <c r="A4685" s="20" t="s">
        <v>1070</v>
      </c>
      <c r="E4685" s="22">
        <f>IF(D4685="?OLD","!!!","")</f>
        <v/>
      </c>
      <c r="F4685" s="23" t="str">
        <f>IF(OR(E4685="",E4685="!!!"),"",IF(NOT(ISNA(VLOOKUP(E4685,E$1:E4684,1,FALSE()))),"OLD",IF(AND(E4685&lt;&gt;"",E4685&lt;&gt;"!!!"),"NEW","")))</f>
        <v> </v>
      </c>
      <c r="G4685" s="24" t="str">
        <f>IF(OR(E4685="",E4685="!!!"),"",IF(OR(J4685=0,AND(J4685=1,K4685=1),AND(J4685=1,I4685="SBJ"),AND(J4685=1,I4685=0)),"?IN_FOCUS",IF(J4685&lt;=2,"?ACTIVATED",IF(J4685&lt;&gt;"","?FAMILIAR",IF(F4685="NEW",IF(ISNA(VLOOKUP(E4685,#REF!,1,FALSE())),"?TYPE_IDENTIFIABLE","?REFERENTIAL"),"_")))))</f>
        <v> </v>
      </c>
      <c r="H4685" s="25" t="str">
        <f>IF(J4685&lt;&gt;1,"",IF(I4685="SBJ","CB","?"))</f>
        <v> </v>
      </c>
      <c r="I4685" s="26" t="str">
        <f>IF(OR(E4685="",E4685="!!!",F4685="NEW"),"",INDEX(B4684:B$2,-1+SUMPRODUCT(MAX(ROW(E4684:E$2)*(E4685=E4684:E$2)))))</f>
        <v> </v>
      </c>
      <c r="J4685" s="26" t="str">
        <f>IF(OR(E4685="",E4685="!!!",F4685="NEW"),"",COUNTBLANK(OFFSET(A$1,,,SUMPRODUCT(MAX(ROW(E$2:E4685)*(E4685=E$2:E4685)))))-COUNTBLANK(OFFSET(A$1,,,SUMPRODUCT(MAX(ROW(E$1:E4684)*(E2=E$1:E4684))))))</f>
        <v> </v>
      </c>
      <c r="K4685" s="26" t="str">
        <f>IF(OR(E4685="",E4685="!!!",F4685="NEW"),"",INDEX(J$1:J4684,SUMPRODUCT(MAX(ROW(E$1:E4684)*(E4685=E$1:E4684)))))</f>
        <v> </v>
      </c>
      <c r="L4685" s="27"/>
    </row>
    <row r="4686" spans="1:12">
      <c r="A4686" s="20" t="s">
        <v>2392</v>
      </c>
      <c r="E4686" s="22">
        <f>IF(D4686="?OLD","!!!","")</f>
        <v/>
      </c>
      <c r="F4686" s="23" t="str">
        <f>IF(OR(E4686="",E4686="!!!"),"",IF(NOT(ISNA(VLOOKUP(E4686,E$1:E4685,1,FALSE()))),"OLD",IF(AND(E4686&lt;&gt;"",E4686&lt;&gt;"!!!"),"NEW","")))</f>
        <v> </v>
      </c>
      <c r="G4686" s="24" t="str">
        <f>IF(OR(E4686="",E4686="!!!"),"",IF(OR(J4686=0,AND(J4686=1,K4686=1),AND(J4686=1,I4686="SBJ"),AND(J4686=1,I4686=0)),"?IN_FOCUS",IF(J4686&lt;=2,"?ACTIVATED",IF(J4686&lt;&gt;"","?FAMILIAR",IF(F4686="NEW",IF(ISNA(VLOOKUP(E4686,#REF!,1,FALSE())),"?TYPE_IDENTIFIABLE","?REFERENTIAL"),"_")))))</f>
        <v> </v>
      </c>
      <c r="H4686" s="25" t="str">
        <f>IF(J4686&lt;&gt;1,"",IF(I4686="SBJ","CB","?"))</f>
        <v> </v>
      </c>
      <c r="I4686" s="26" t="str">
        <f>IF(OR(E4686="",E4686="!!!",F4686="NEW"),"",INDEX(B4685:B$2,-1+SUMPRODUCT(MAX(ROW(E4685:E$2)*(E4686=E4685:E$2)))))</f>
        <v> </v>
      </c>
      <c r="J4686" s="26" t="str">
        <f>IF(OR(E4686="",E4686="!!!",F4686="NEW"),"",COUNTBLANK(OFFSET(A$1,,,SUMPRODUCT(MAX(ROW(E$2:E4686)*(E4686=E$2:E4686)))))-COUNTBLANK(OFFSET(A$1,,,SUMPRODUCT(MAX(ROW(E$1:E4685)*(E2=E$1:E4685))))))</f>
        <v> </v>
      </c>
      <c r="K4686" s="26" t="str">
        <f>IF(OR(E4686="",E4686="!!!",F4686="NEW"),"",INDEX(J$1:J4685,SUMPRODUCT(MAX(ROW(E$1:E4685)*(E4686=E$1:E4685)))))</f>
        <v> </v>
      </c>
      <c r="L4686" s="27"/>
    </row>
    <row r="4687" spans="1:12">
      <c r="A4687" s="20" t="s">
        <v>2266</v>
      </c>
      <c r="B4687" s="21" t="s">
        <v>1064</v>
      </c>
      <c r="C4687" s="21" t="s">
        <v>1149</v>
      </c>
      <c r="E4687" s="22">
        <f>IF(D4687="?OLD","!!!","")</f>
        <v/>
      </c>
      <c r="F4687" s="23" t="str">
        <f>IF(OR(E4687="",E4687="!!!"),"",IF(NOT(ISNA(VLOOKUP(E4687,E$1:E4686,1,FALSE()))),"OLD",IF(AND(E4687&lt;&gt;"",E4687&lt;&gt;"!!!"),"NEW","")))</f>
        <v> </v>
      </c>
      <c r="G4687" s="24" t="str">
        <f>IF(OR(E4687="",E4687="!!!"),"",IF(OR(J4687=0,AND(J4687=1,K4687=1),AND(J4687=1,I4687="SBJ"),AND(J4687=1,I4687=0)),"?IN_FOCUS",IF(J4687&lt;=2,"?ACTIVATED",IF(J4687&lt;&gt;"","?FAMILIAR",IF(F4687="NEW",IF(ISNA(VLOOKUP(E4687,#REF!,1,FALSE())),"?TYPE_IDENTIFIABLE","?REFERENTIAL"),"_")))))</f>
        <v> </v>
      </c>
      <c r="H4687" s="25" t="str">
        <f>IF(J4687&lt;&gt;1,"",IF(I4687="SBJ","CB","?"))</f>
        <v> </v>
      </c>
      <c r="I4687" s="26" t="str">
        <f>IF(OR(E4687="",E4687="!!!",F4687="NEW"),"",INDEX(B4686:B$2,-1+SUMPRODUCT(MAX(ROW(E4686:E$2)*(E4687=E4686:E$2)))))</f>
        <v> </v>
      </c>
      <c r="J4687" s="26" t="str">
        <f>IF(OR(E4687="",E4687="!!!",F4687="NEW"),"",COUNTBLANK(OFFSET(A$1,,,SUMPRODUCT(MAX(ROW(E$2:E4687)*(E4687=E$2:E4687)))))-COUNTBLANK(OFFSET(A$1,,,SUMPRODUCT(MAX(ROW(E$1:E4686)*(E2=E$1:E4686))))))</f>
        <v> </v>
      </c>
      <c r="K4687" s="26" t="str">
        <f>IF(OR(E4687="",E4687="!!!",F4687="NEW"),"",INDEX(J$1:J4686,SUMPRODUCT(MAX(ROW(E$1:E4686)*(E4687=E$1:E4686)))))</f>
        <v> </v>
      </c>
      <c r="L4687" s="27"/>
    </row>
    <row r="4688" spans="1:12">
      <c r="A4688" s="20" t="s">
        <v>1070</v>
      </c>
      <c r="E4688" s="22">
        <f>IF(D4688="?OLD","!!!","")</f>
        <v/>
      </c>
      <c r="F4688" s="23" t="str">
        <f>IF(OR(E4688="",E4688="!!!"),"",IF(NOT(ISNA(VLOOKUP(E4688,E$1:E4687,1,FALSE()))),"OLD",IF(AND(E4688&lt;&gt;"",E4688&lt;&gt;"!!!"),"NEW","")))</f>
        <v> </v>
      </c>
      <c r="G4688" s="24" t="str">
        <f>IF(OR(E4688="",E4688="!!!"),"",IF(OR(J4688=0,AND(J4688=1,K4688=1),AND(J4688=1,I4688="SBJ"),AND(J4688=1,I4688=0)),"?IN_FOCUS",IF(J4688&lt;=2,"?ACTIVATED",IF(J4688&lt;&gt;"","?FAMILIAR",IF(F4688="NEW",IF(ISNA(VLOOKUP(E4688,#REF!,1,FALSE())),"?TYPE_IDENTIFIABLE","?REFERENTIAL"),"_")))))</f>
        <v> </v>
      </c>
      <c r="H4688" s="25" t="str">
        <f>IF(J4688&lt;&gt;1,"",IF(I4688="SBJ","CB","?"))</f>
        <v> </v>
      </c>
      <c r="I4688" s="26" t="str">
        <f>IF(OR(E4688="",E4688="!!!",F4688="NEW"),"",INDEX(B4687:B$2,-1+SUMPRODUCT(MAX(ROW(E4687:E$2)*(E4688=E4687:E$2)))))</f>
        <v> </v>
      </c>
      <c r="J4688" s="26" t="str">
        <f>IF(OR(E4688="",E4688="!!!",F4688="NEW"),"",COUNTBLANK(OFFSET(A$1,,,SUMPRODUCT(MAX(ROW(E$2:E4688)*(E4688=E$2:E4688)))))-COUNTBLANK(OFFSET(A$1,,,SUMPRODUCT(MAX(ROW(E$1:E4687)*(E2=E$1:E4687))))))</f>
        <v> </v>
      </c>
      <c r="K4688" s="26" t="str">
        <f>IF(OR(E4688="",E4688="!!!",F4688="NEW"),"",INDEX(J$1:J4687,SUMPRODUCT(MAX(ROW(E$1:E4687)*(E4688=E$1:E4687)))))</f>
        <v> </v>
      </c>
      <c r="L4688" s="27"/>
    </row>
    <row r="4689" spans="1:12">
      <c r="A4689" s="20" t="s">
        <v>1115</v>
      </c>
      <c r="B4689" s="21" t="s">
        <v>1331</v>
      </c>
      <c r="E4689" s="22">
        <f>IF(D4689="?OLD","!!!","")</f>
        <v/>
      </c>
      <c r="F4689" s="23" t="str">
        <f>IF(OR(E4689="",E4689="!!!"),"",IF(NOT(ISNA(VLOOKUP(E4689,E$1:E4688,1,FALSE()))),"OLD",IF(AND(E4689&lt;&gt;"",E4689&lt;&gt;"!!!"),"NEW","")))</f>
        <v> </v>
      </c>
      <c r="G4689" s="24" t="str">
        <f>IF(OR(E4689="",E4689="!!!"),"",IF(OR(J4689=0,AND(J4689=1,K4689=1),AND(J4689=1,I4689="SBJ"),AND(J4689=1,I4689=0)),"?IN_FOCUS",IF(J4689&lt;=2,"?ACTIVATED",IF(J4689&lt;&gt;"","?FAMILIAR",IF(F4689="NEW",IF(ISNA(VLOOKUP(E4689,#REF!,1,FALSE())),"?TYPE_IDENTIFIABLE","?REFERENTIAL"),"_")))))</f>
        <v> </v>
      </c>
      <c r="H4689" s="25" t="str">
        <f>IF(J4689&lt;&gt;1,"",IF(I4689="SBJ","CB","?"))</f>
        <v> </v>
      </c>
      <c r="I4689" s="26" t="str">
        <f>IF(OR(E4689="",E4689="!!!",F4689="NEW"),"",INDEX(B4688:B$2,-1+SUMPRODUCT(MAX(ROW(E4688:E$2)*(E4689=E4688:E$2)))))</f>
        <v> </v>
      </c>
      <c r="J4689" s="26" t="str">
        <f>IF(OR(E4689="",E4689="!!!",F4689="NEW"),"",COUNTBLANK(OFFSET(A$1,,,SUMPRODUCT(MAX(ROW(E$2:E4689)*(E4689=E$2:E4689)))))-COUNTBLANK(OFFSET(A$1,,,SUMPRODUCT(MAX(ROW(E$1:E4688)*(E2=E$1:E4688))))))</f>
        <v> </v>
      </c>
      <c r="K4689" s="26" t="str">
        <f>IF(OR(E4689="",E4689="!!!",F4689="NEW"),"",INDEX(J$1:J4688,SUMPRODUCT(MAX(ROW(E$1:E4688)*(E4689=E$1:E4688)))))</f>
        <v> </v>
      </c>
      <c r="L4689" s="27"/>
    </row>
    <row r="4690" spans="1:12">
      <c r="A4690" s="20" t="s">
        <v>2393</v>
      </c>
      <c r="E4690" s="22">
        <f>IF(D4690="?OLD","!!!","")</f>
        <v/>
      </c>
      <c r="F4690" s="23" t="str">
        <f>IF(OR(E4690="",E4690="!!!"),"",IF(NOT(ISNA(VLOOKUP(E4690,E$1:E4689,1,FALSE()))),"OLD",IF(AND(E4690&lt;&gt;"",E4690&lt;&gt;"!!!"),"NEW","")))</f>
        <v> </v>
      </c>
      <c r="G4690" s="24" t="str">
        <f>IF(OR(E4690="",E4690="!!!"),"",IF(OR(J4690=0,AND(J4690=1,K4690=1),AND(J4690=1,I4690="SBJ"),AND(J4690=1,I4690=0)),"?IN_FOCUS",IF(J4690&lt;=2,"?ACTIVATED",IF(J4690&lt;&gt;"","?FAMILIAR",IF(F4690="NEW",IF(ISNA(VLOOKUP(E4690,#REF!,1,FALSE())),"?TYPE_IDENTIFIABLE","?REFERENTIAL"),"_")))))</f>
        <v> </v>
      </c>
      <c r="H4690" s="25" t="str">
        <f>IF(J4690&lt;&gt;1,"",IF(I4690="SBJ","CB","?"))</f>
        <v> </v>
      </c>
      <c r="I4690" s="26" t="str">
        <f>IF(OR(E4690="",E4690="!!!",F4690="NEW"),"",INDEX(B4689:B$2,-1+SUMPRODUCT(MAX(ROW(E4689:E$2)*(E4690=E4689:E$2)))))</f>
        <v> </v>
      </c>
      <c r="J4690" s="26" t="str">
        <f>IF(OR(E4690="",E4690="!!!",F4690="NEW"),"",COUNTBLANK(OFFSET(A$1,,,SUMPRODUCT(MAX(ROW(E$2:E4690)*(E4690=E$2:E4690)))))-COUNTBLANK(OFFSET(A$1,,,SUMPRODUCT(MAX(ROW(E$1:E4689)*(E2=E$1:E4689))))))</f>
        <v> </v>
      </c>
      <c r="K4690" s="26" t="str">
        <f>IF(OR(E4690="",E4690="!!!",F4690="NEW"),"",INDEX(J$1:J4689,SUMPRODUCT(MAX(ROW(E$1:E4689)*(E4690=E$1:E4689)))))</f>
        <v> </v>
      </c>
      <c r="L4690" s="27"/>
    </row>
    <row r="4691" spans="1:12">
      <c r="A4691" s="20" t="s">
        <v>1144</v>
      </c>
      <c r="E4691" s="22">
        <f>IF(D4691="?OLD","!!!","")</f>
        <v/>
      </c>
      <c r="F4691" s="23" t="str">
        <f>IF(OR(E4691="",E4691="!!!"),"",IF(NOT(ISNA(VLOOKUP(E4691,E$1:E4690,1,FALSE()))),"OLD",IF(AND(E4691&lt;&gt;"",E4691&lt;&gt;"!!!"),"NEW","")))</f>
        <v> </v>
      </c>
      <c r="G4691" s="24" t="str">
        <f>IF(OR(E4691="",E4691="!!!"),"",IF(OR(J4691=0,AND(J4691=1,K4691=1),AND(J4691=1,I4691="SBJ"),AND(J4691=1,I4691=0)),"?IN_FOCUS",IF(J4691&lt;=2,"?ACTIVATED",IF(J4691&lt;&gt;"","?FAMILIAR",IF(F4691="NEW",IF(ISNA(VLOOKUP(E4691,#REF!,1,FALSE())),"?TYPE_IDENTIFIABLE","?REFERENTIAL"),"_")))))</f>
        <v> </v>
      </c>
      <c r="H4691" s="25" t="str">
        <f>IF(J4691&lt;&gt;1,"",IF(I4691="SBJ","CB","?"))</f>
        <v> </v>
      </c>
      <c r="I4691" s="26" t="str">
        <f>IF(OR(E4691="",E4691="!!!",F4691="NEW"),"",INDEX(B4690:B$2,-1+SUMPRODUCT(MAX(ROW(E4690:E$2)*(E4691=E4690:E$2)))))</f>
        <v> </v>
      </c>
      <c r="J4691" s="26" t="str">
        <f>IF(OR(E4691="",E4691="!!!",F4691="NEW"),"",COUNTBLANK(OFFSET(A$1,,,SUMPRODUCT(MAX(ROW(E$2:E4691)*(E4691=E$2:E4691)))))-COUNTBLANK(OFFSET(A$1,,,SUMPRODUCT(MAX(ROW(E$1:E4690)*(E2=E$1:E4690))))))</f>
        <v> </v>
      </c>
      <c r="K4691" s="26" t="str">
        <f>IF(OR(E4691="",E4691="!!!",F4691="NEW"),"",INDEX(J$1:J4690,SUMPRODUCT(MAX(ROW(E$1:E4690)*(E4691=E$1:E4690)))))</f>
        <v> </v>
      </c>
      <c r="L4691" s="27"/>
    </row>
    <row r="4692" spans="1:12">
      <c r="A4692" s="20" t="s">
        <v>1357</v>
      </c>
      <c r="B4692" s="21" t="s">
        <v>1091</v>
      </c>
      <c r="C4692" s="21" t="s">
        <v>1149</v>
      </c>
      <c r="E4692" s="22">
        <f>IF(D4692="?OLD","!!!","")</f>
        <v/>
      </c>
      <c r="F4692" s="23" t="str">
        <f>IF(OR(E4692="",E4692="!!!"),"",IF(NOT(ISNA(VLOOKUP(E4692,E$1:E4691,1,FALSE()))),"OLD",IF(AND(E4692&lt;&gt;"",E4692&lt;&gt;"!!!"),"NEW","")))</f>
        <v> </v>
      </c>
      <c r="G4692" s="24" t="str">
        <f>IF(OR(E4692="",E4692="!!!"),"",IF(OR(J4692=0,AND(J4692=1,K4692=1),AND(J4692=1,I4692="SBJ"),AND(J4692=1,I4692=0)),"?IN_FOCUS",IF(J4692&lt;=2,"?ACTIVATED",IF(J4692&lt;&gt;"","?FAMILIAR",IF(F4692="NEW",IF(ISNA(VLOOKUP(E4692,#REF!,1,FALSE())),"?TYPE_IDENTIFIABLE","?REFERENTIAL"),"_")))))</f>
        <v> </v>
      </c>
      <c r="H4692" s="25" t="str">
        <f>IF(J4692&lt;&gt;1,"",IF(I4692="SBJ","CB","?"))</f>
        <v> </v>
      </c>
      <c r="I4692" s="26" t="str">
        <f>IF(OR(E4692="",E4692="!!!",F4692="NEW"),"",INDEX(B4691:B$2,-1+SUMPRODUCT(MAX(ROW(E4691:E$2)*(E4692=E4691:E$2)))))</f>
        <v> </v>
      </c>
      <c r="J4692" s="26" t="str">
        <f>IF(OR(E4692="",E4692="!!!",F4692="NEW"),"",COUNTBLANK(OFFSET(A$1,,,SUMPRODUCT(MAX(ROW(E$2:E4692)*(E4692=E$2:E4692)))))-COUNTBLANK(OFFSET(A$1,,,SUMPRODUCT(MAX(ROW(E$1:E4691)*(E2=E$1:E4691))))))</f>
        <v> </v>
      </c>
      <c r="K4692" s="26" t="str">
        <f>IF(OR(E4692="",E4692="!!!",F4692="NEW"),"",INDEX(J$1:J4691,SUMPRODUCT(MAX(ROW(E$1:E4691)*(E4692=E$1:E4691)))))</f>
        <v> </v>
      </c>
      <c r="L4692" s="27"/>
    </row>
    <row r="4693" spans="1:12">
      <c r="A4693" s="20" t="s">
        <v>1160</v>
      </c>
      <c r="E4693" s="22">
        <f>IF(D4693="?OLD","!!!","")</f>
        <v/>
      </c>
      <c r="F4693" s="23" t="str">
        <f>IF(OR(E4693="",E4693="!!!"),"",IF(NOT(ISNA(VLOOKUP(E4693,E$1:E4692,1,FALSE()))),"OLD",IF(AND(E4693&lt;&gt;"",E4693&lt;&gt;"!!!"),"NEW","")))</f>
        <v> </v>
      </c>
      <c r="G4693" s="24" t="str">
        <f>IF(OR(E4693="",E4693="!!!"),"",IF(OR(J4693=0,AND(J4693=1,K4693=1),AND(J4693=1,I4693="SBJ"),AND(J4693=1,I4693=0)),"?IN_FOCUS",IF(J4693&lt;=2,"?ACTIVATED",IF(J4693&lt;&gt;"","?FAMILIAR",IF(F4693="NEW",IF(ISNA(VLOOKUP(E4693,#REF!,1,FALSE())),"?TYPE_IDENTIFIABLE","?REFERENTIAL"),"_")))))</f>
        <v> </v>
      </c>
      <c r="H4693" s="25" t="str">
        <f>IF(J4693&lt;&gt;1,"",IF(I4693="SBJ","CB","?"))</f>
        <v> </v>
      </c>
      <c r="I4693" s="26" t="str">
        <f>IF(OR(E4693="",E4693="!!!",F4693="NEW"),"",INDEX(B4692:B$2,-1+SUMPRODUCT(MAX(ROW(E4692:E$2)*(E4693=E4692:E$2)))))</f>
        <v> </v>
      </c>
      <c r="J4693" s="26" t="str">
        <f>IF(OR(E4693="",E4693="!!!",F4693="NEW"),"",COUNTBLANK(OFFSET(A$1,,,SUMPRODUCT(MAX(ROW(E$2:E4693)*(E4693=E$2:E4693)))))-COUNTBLANK(OFFSET(A$1,,,SUMPRODUCT(MAX(ROW(E$1:E4692)*(E2=E$1:E4692))))))</f>
        <v> </v>
      </c>
      <c r="K4693" s="26" t="str">
        <f>IF(OR(E4693="",E4693="!!!",F4693="NEW"),"",INDEX(J$1:J4692,SUMPRODUCT(MAX(ROW(E$1:E4692)*(E4693=E$1:E4692)))))</f>
        <v> </v>
      </c>
      <c r="L4693" s="27"/>
    </row>
    <row r="4694" spans="1:12">
      <c r="A4694" s="20" t="s">
        <v>1599</v>
      </c>
      <c r="E4694" s="22">
        <f>IF(D4694="?OLD","!!!","")</f>
        <v/>
      </c>
      <c r="F4694" s="23" t="str">
        <f>IF(OR(E4694="",E4694="!!!"),"",IF(NOT(ISNA(VLOOKUP(E4694,E$1:E4693,1,FALSE()))),"OLD",IF(AND(E4694&lt;&gt;"",E4694&lt;&gt;"!!!"),"NEW","")))</f>
        <v> </v>
      </c>
      <c r="G4694" s="24" t="str">
        <f>IF(OR(E4694="",E4694="!!!"),"",IF(OR(J4694=0,AND(J4694=1,K4694=1),AND(J4694=1,I4694="SBJ"),AND(J4694=1,I4694=0)),"?IN_FOCUS",IF(J4694&lt;=2,"?ACTIVATED",IF(J4694&lt;&gt;"","?FAMILIAR",IF(F4694="NEW",IF(ISNA(VLOOKUP(E4694,#REF!,1,FALSE())),"?TYPE_IDENTIFIABLE","?REFERENTIAL"),"_")))))</f>
        <v> </v>
      </c>
      <c r="H4694" s="25" t="str">
        <f>IF(J4694&lt;&gt;1,"",IF(I4694="SBJ","CB","?"))</f>
        <v> </v>
      </c>
      <c r="I4694" s="26" t="str">
        <f>IF(OR(E4694="",E4694="!!!",F4694="NEW"),"",INDEX(B4693:B$2,-1+SUMPRODUCT(MAX(ROW(E4693:E$2)*(E4694=E4693:E$2)))))</f>
        <v> </v>
      </c>
      <c r="J4694" s="26" t="str">
        <f>IF(OR(E4694="",E4694="!!!",F4694="NEW"),"",COUNTBLANK(OFFSET(A$1,,,SUMPRODUCT(MAX(ROW(E$2:E4694)*(E4694=E$2:E4694)))))-COUNTBLANK(OFFSET(A$1,,,SUMPRODUCT(MAX(ROW(E$1:E4693)*(E2=E$1:E4693))))))</f>
        <v> </v>
      </c>
      <c r="K4694" s="26" t="str">
        <f>IF(OR(E4694="",E4694="!!!",F4694="NEW"),"",INDEX(J$1:J4693,SUMPRODUCT(MAX(ROW(E$1:E4693)*(E4694=E$1:E4693)))))</f>
        <v> </v>
      </c>
      <c r="L4694" s="27"/>
    </row>
    <row r="4695" spans="1:12">
      <c r="A4695" s="20" t="s">
        <v>2394</v>
      </c>
      <c r="B4695" s="21" t="s">
        <v>1104</v>
      </c>
      <c r="C4695" s="21" t="s">
        <v>1149</v>
      </c>
      <c r="E4695" s="22">
        <f>IF(D4695="?OLD","!!!","")</f>
        <v/>
      </c>
      <c r="F4695" s="23" t="str">
        <f>IF(OR(E4695="",E4695="!!!"),"",IF(NOT(ISNA(VLOOKUP(E4695,E$1:E4694,1,FALSE()))),"OLD",IF(AND(E4695&lt;&gt;"",E4695&lt;&gt;"!!!"),"NEW","")))</f>
        <v> </v>
      </c>
      <c r="G4695" s="24" t="str">
        <f>IF(OR(E4695="",E4695="!!!"),"",IF(OR(J4695=0,AND(J4695=1,K4695=1),AND(J4695=1,I4695="SBJ"),AND(J4695=1,I4695=0)),"?IN_FOCUS",IF(J4695&lt;=2,"?ACTIVATED",IF(J4695&lt;&gt;"","?FAMILIAR",IF(F4695="NEW",IF(ISNA(VLOOKUP(E4695,#REF!,1,FALSE())),"?TYPE_IDENTIFIABLE","?REFERENTIAL"),"_")))))</f>
        <v> </v>
      </c>
      <c r="H4695" s="25" t="str">
        <f>IF(J4695&lt;&gt;1,"",IF(I4695="SBJ","CB","?"))</f>
        <v> </v>
      </c>
      <c r="I4695" s="26" t="str">
        <f>IF(OR(E4695="",E4695="!!!",F4695="NEW"),"",INDEX(B4694:B$2,-1+SUMPRODUCT(MAX(ROW(E4694:E$2)*(E4695=E4694:E$2)))))</f>
        <v> </v>
      </c>
      <c r="J4695" s="26" t="str">
        <f>IF(OR(E4695="",E4695="!!!",F4695="NEW"),"",COUNTBLANK(OFFSET(A$1,,,SUMPRODUCT(MAX(ROW(E$2:E4695)*(E4695=E$2:E4695)))))-COUNTBLANK(OFFSET(A$1,,,SUMPRODUCT(MAX(ROW(E$1:E4694)*(E2=E$1:E4694))))))</f>
        <v> </v>
      </c>
      <c r="K4695" s="26" t="str">
        <f>IF(OR(E4695="",E4695="!!!",F4695="NEW"),"",INDEX(J$1:J4694,SUMPRODUCT(MAX(ROW(E$1:E4694)*(E4695=E$1:E4694)))))</f>
        <v> </v>
      </c>
      <c r="L4695" s="27"/>
    </row>
    <row r="4696" spans="1:12">
      <c r="A4696" s="20" t="s">
        <v>1126</v>
      </c>
      <c r="E4696" s="22">
        <f>IF(D4696="?OLD","!!!","")</f>
        <v/>
      </c>
      <c r="F4696" s="23" t="str">
        <f>IF(OR(E4696="",E4696="!!!"),"",IF(NOT(ISNA(VLOOKUP(E4696,E$1:E4695,1,FALSE()))),"OLD",IF(AND(E4696&lt;&gt;"",E4696&lt;&gt;"!!!"),"NEW","")))</f>
        <v> </v>
      </c>
      <c r="G4696" s="24" t="str">
        <f>IF(OR(E4696="",E4696="!!!"),"",IF(OR(J4696=0,AND(J4696=1,K4696=1),AND(J4696=1,I4696="SBJ"),AND(J4696=1,I4696=0)),"?IN_FOCUS",IF(J4696&lt;=2,"?ACTIVATED",IF(J4696&lt;&gt;"","?FAMILIAR",IF(F4696="NEW",IF(ISNA(VLOOKUP(E4696,#REF!,1,FALSE())),"?TYPE_IDENTIFIABLE","?REFERENTIAL"),"_")))))</f>
        <v> </v>
      </c>
      <c r="H4696" s="25" t="str">
        <f>IF(J4696&lt;&gt;1,"",IF(I4696="SBJ","CB","?"))</f>
        <v> </v>
      </c>
      <c r="I4696" s="26" t="str">
        <f>IF(OR(E4696="",E4696="!!!",F4696="NEW"),"",INDEX(B4695:B$2,-1+SUMPRODUCT(MAX(ROW(E4695:E$2)*(E4696=E4695:E$2)))))</f>
        <v> </v>
      </c>
      <c r="J4696" s="26" t="str">
        <f>IF(OR(E4696="",E4696="!!!",F4696="NEW"),"",COUNTBLANK(OFFSET(A$1,,,SUMPRODUCT(MAX(ROW(E$2:E4696)*(E4696=E$2:E4696)))))-COUNTBLANK(OFFSET(A$1,,,SUMPRODUCT(MAX(ROW(E$1:E4695)*(E2=E$1:E4695))))))</f>
        <v> </v>
      </c>
      <c r="K4696" s="26" t="str">
        <f>IF(OR(E4696="",E4696="!!!",F4696="NEW"),"",INDEX(J$1:J4695,SUMPRODUCT(MAX(ROW(E$1:E4695)*(E4696=E$1:E4695)))))</f>
        <v> </v>
      </c>
      <c r="L4696" s="27"/>
    </row>
    <row r="4697" spans="1:12">
      <c r="A4697" s="20" t="s">
        <v>1172</v>
      </c>
      <c r="B4697" s="21" t="s">
        <v>1802</v>
      </c>
      <c r="C4697" s="21" t="s">
        <v>1092</v>
      </c>
      <c r="D4697" s="21" t="s">
        <v>1060</v>
      </c>
      <c r="E4697" s="22">
        <f>IF(D4697="?OLD","!!!","")</f>
        <v/>
      </c>
      <c r="F4697" s="23" t="str">
        <f>IF(OR(E4697="",E4697="!!!"),"",IF(NOT(ISNA(VLOOKUP(E4697,E$1:E4696,1,FALSE()))),"OLD",IF(AND(E4697&lt;&gt;"",E4697&lt;&gt;"!!!"),"NEW","")))</f>
        <v> </v>
      </c>
      <c r="G4697" s="24" t="str">
        <f>IF(OR(E4697="",E4697="!!!"),"",IF(OR(J4697=0,AND(J4697=1,K4697=1),AND(J4697=1,I4697="SBJ"),AND(J4697=1,I4697=0)),"?IN_FOCUS",IF(J4697&lt;=2,"?ACTIVATED",IF(J4697&lt;&gt;"","?FAMILIAR",IF(F4697="NEW",IF(ISNA(VLOOKUP(E4697,#REF!,1,FALSE())),"?TYPE_IDENTIFIABLE","?REFERENTIAL"),"_")))))</f>
        <v> </v>
      </c>
      <c r="H4697" s="25" t="str">
        <f>IF(J4697&lt;&gt;1,"",IF(I4697="SBJ","CB","?"))</f>
        <v> </v>
      </c>
      <c r="I4697" s="26" t="str">
        <f>IF(OR(E4697="",E4697="!!!",F4697="NEW"),"",INDEX(B4696:B$2,-1+SUMPRODUCT(MAX(ROW(E4696:E$2)*(E4697=E4696:E$2)))))</f>
        <v> </v>
      </c>
      <c r="J4697" s="26" t="str">
        <f>IF(OR(E4697="",E4697="!!!",F4697="NEW"),"",COUNTBLANK(OFFSET(A$1,,,SUMPRODUCT(MAX(ROW(E$2:E4697)*(E4697=E$2:E4697)))))-COUNTBLANK(OFFSET(A$1,,,SUMPRODUCT(MAX(ROW(E$1:E4696)*(E2=E$1:E4696))))))</f>
        <v> </v>
      </c>
      <c r="K4697" s="26" t="str">
        <f>IF(OR(E4697="",E4697="!!!",F4697="NEW"),"",INDEX(J$1:J4696,SUMPRODUCT(MAX(ROW(E$1:E4696)*(E4697=E$1:E4696)))))</f>
        <v> </v>
      </c>
      <c r="L4697" s="27"/>
    </row>
    <row r="4698" spans="1:12">
      <c r="A4698" s="20" t="s">
        <v>1671</v>
      </c>
      <c r="B4698" s="21" t="s">
        <v>1185</v>
      </c>
      <c r="C4698" s="21" t="s">
        <v>1059</v>
      </c>
      <c r="D4698" s="21" t="s">
        <v>1060</v>
      </c>
      <c r="E4698" s="22">
        <f>IF(D4698="?OLD","!!!","")</f>
        <v/>
      </c>
      <c r="F4698" s="23" t="str">
        <f>IF(OR(E4698="",E4698="!!!"),"",IF(NOT(ISNA(VLOOKUP(E4698,E$1:E4697,1,FALSE()))),"OLD",IF(AND(E4698&lt;&gt;"",E4698&lt;&gt;"!!!"),"NEW","")))</f>
        <v> </v>
      </c>
      <c r="G4698" s="24" t="str">
        <f>IF(OR(E4698="",E4698="!!!"),"",IF(OR(J4698=0,AND(J4698=1,K4698=1),AND(J4698=1,I4698="SBJ"),AND(J4698=1,I4698=0)),"?IN_FOCUS",IF(J4698&lt;=2,"?ACTIVATED",IF(J4698&lt;&gt;"","?FAMILIAR",IF(F4698="NEW",IF(ISNA(VLOOKUP(E4698,#REF!,1,FALSE())),"?TYPE_IDENTIFIABLE","?REFERENTIAL"),"_")))))</f>
        <v> </v>
      </c>
      <c r="H4698" s="25" t="str">
        <f>IF(J4698&lt;&gt;1,"",IF(I4698="SBJ","CB","?"))</f>
        <v> </v>
      </c>
      <c r="I4698" s="26" t="str">
        <f>IF(OR(E4698="",E4698="!!!",F4698="NEW"),"",INDEX(B4697:B$2,-1+SUMPRODUCT(MAX(ROW(E4697:E$2)*(E4698=E4697:E$2)))))</f>
        <v> </v>
      </c>
      <c r="J4698" s="26" t="str">
        <f>IF(OR(E4698="",E4698="!!!",F4698="NEW"),"",COUNTBLANK(OFFSET(A$1,,,SUMPRODUCT(MAX(ROW(E$2:E4698)*(E4698=E$2:E4698)))))-COUNTBLANK(OFFSET(A$1,,,SUMPRODUCT(MAX(ROW(E$1:E4697)*(E2=E$1:E4697))))))</f>
        <v> </v>
      </c>
      <c r="K4698" s="26" t="str">
        <f>IF(OR(E4698="",E4698="!!!",F4698="NEW"),"",INDEX(J$1:J4697,SUMPRODUCT(MAX(ROW(E$1:E4697)*(E4698=E$1:E4697)))))</f>
        <v> </v>
      </c>
      <c r="L4698" s="27"/>
    </row>
    <row r="4699" spans="1:12">
      <c r="A4699" s="20" t="s">
        <v>923</v>
      </c>
      <c r="E4699" s="22">
        <f>IF(D4699="?OLD","!!!","")</f>
        <v/>
      </c>
      <c r="F4699" s="23" t="str">
        <f>IF(OR(E4699="",E4699="!!!"),"",IF(NOT(ISNA(VLOOKUP(E4699,E$1:E4698,1,FALSE()))),"OLD",IF(AND(E4699&lt;&gt;"",E4699&lt;&gt;"!!!"),"NEW","")))</f>
        <v> </v>
      </c>
      <c r="G4699" s="24" t="str">
        <f>IF(OR(E4699="",E4699="!!!"),"",IF(OR(J4699=0,AND(J4699=1,K4699=1),AND(J4699=1,I4699="SBJ"),AND(J4699=1,I4699=0)),"?IN_FOCUS",IF(J4699&lt;=2,"?ACTIVATED",IF(J4699&lt;&gt;"","?FAMILIAR",IF(F4699="NEW",IF(ISNA(VLOOKUP(E4699,#REF!,1,FALSE())),"?TYPE_IDENTIFIABLE","?REFERENTIAL"),"_")))))</f>
        <v> </v>
      </c>
      <c r="H4699" s="25" t="str">
        <f>IF(J4699&lt;&gt;1,"",IF(I4699="SBJ","CB","?"))</f>
        <v> </v>
      </c>
      <c r="I4699" s="26" t="str">
        <f>IF(OR(E4699="",E4699="!!!",F4699="NEW"),"",INDEX(B4698:B$2,-1+SUMPRODUCT(MAX(ROW(E4698:E$2)*(E4699=E4698:E$2)))))</f>
        <v> </v>
      </c>
      <c r="J4699" s="26" t="str">
        <f>IF(OR(E4699="",E4699="!!!",F4699="NEW"),"",COUNTBLANK(OFFSET(A$1,,,SUMPRODUCT(MAX(ROW(E$2:E4699)*(E4699=E$2:E4699)))))-COUNTBLANK(OFFSET(A$1,,,SUMPRODUCT(MAX(ROW(E$1:E4698)*(E2=E$1:E4698))))))</f>
        <v> </v>
      </c>
      <c r="K4699" s="26" t="str">
        <f>IF(OR(E4699="",E4699="!!!",F4699="NEW"),"",INDEX(J$1:J4698,SUMPRODUCT(MAX(ROW(E$1:E4698)*(E4699=E$1:E4698)))))</f>
        <v> </v>
      </c>
      <c r="L4699" s="27"/>
    </row>
    <row r="4700" spans="1:12">
      <c r="A4700" s="20"/>
    </row>
    <row r="4701" spans="1:12">
      <c r="A4701" s="20" t="s">
        <v>2395</v>
      </c>
    </row>
    <row r="4702" spans="1:12">
      <c r="A4702" s="20" t="s">
        <v>1240</v>
      </c>
      <c r="B4702" s="21" t="s">
        <v>1058</v>
      </c>
      <c r="C4702" s="21" t="s">
        <v>1076</v>
      </c>
      <c r="D4702" s="21" t="s">
        <v>1060</v>
      </c>
      <c r="E4702" s="22">
        <f>IF(D4702="?OLD","!!!","")</f>
        <v/>
      </c>
      <c r="F4702" s="23" t="str">
        <f>IF(OR(E4702="",E4702="!!!"),"",IF(NOT(ISNA(VLOOKUP(E4702,E$1:E4701,1,FALSE()))),"OLD",IF(AND(E4702&lt;&gt;"",E4702&lt;&gt;"!!!"),"NEW","")))</f>
        <v> </v>
      </c>
      <c r="G4702" s="24" t="str">
        <f>IF(OR(E4702="",E4702="!!!"),"",IF(OR(J4702=0,AND(J4702=1,K4702=1),AND(J4702=1,I4702="SBJ"),AND(J4702=1,I4702=0)),"?IN_FOCUS",IF(J4702&lt;=2,"?ACTIVATED",IF(J4702&lt;&gt;"","?FAMILIAR",IF(F4702="NEW",IF(ISNA(VLOOKUP(E4702,#REF!,1,FALSE())),"?TYPE_IDENTIFIABLE","?REFERENTIAL"),"_")))))</f>
        <v> </v>
      </c>
      <c r="H4702" s="25" t="str">
        <f>IF(J4702&lt;&gt;1,"",IF(I4702="SBJ","CB","?"))</f>
        <v> </v>
      </c>
      <c r="I4702" s="26" t="str">
        <f>IF(OR(E4702="",E4702="!!!",F4702="NEW"),"",INDEX(B4701:B$2,-1+SUMPRODUCT(MAX(ROW(E4701:E$2)*(E4702=E4701:E$2)))))</f>
        <v> </v>
      </c>
      <c r="J4702" s="26" t="str">
        <f>IF(OR(E4702="",E4702="!!!",F4702="NEW"),"",COUNTBLANK(OFFSET(A$1,,,SUMPRODUCT(MAX(ROW(E$2:E4702)*(E4702=E$2:E4702)))))-COUNTBLANK(OFFSET(A$1,,,SUMPRODUCT(MAX(ROW(E$1:E4701)*(E2=E$1:E4701))))))</f>
        <v> </v>
      </c>
      <c r="K4702" s="26" t="str">
        <f>IF(OR(E4702="",E4702="!!!",F4702="NEW"),"",INDEX(J$1:J4701,SUMPRODUCT(MAX(ROW(E$1:E4701)*(E4702=E$1:E4701)))))</f>
        <v> </v>
      </c>
      <c r="L4702" s="27"/>
    </row>
    <row r="4703" spans="1:12">
      <c r="A4703" s="20" t="s">
        <v>1430</v>
      </c>
      <c r="E4703" s="22">
        <f>IF(D4703="?OLD","!!!","")</f>
        <v/>
      </c>
      <c r="F4703" s="23" t="str">
        <f>IF(OR(E4703="",E4703="!!!"),"",IF(NOT(ISNA(VLOOKUP(E4703,E$1:E4702,1,FALSE()))),"OLD",IF(AND(E4703&lt;&gt;"",E4703&lt;&gt;"!!!"),"NEW","")))</f>
        <v> </v>
      </c>
      <c r="G4703" s="24" t="str">
        <f>IF(OR(E4703="",E4703="!!!"),"",IF(OR(J4703=0,AND(J4703=1,K4703=1),AND(J4703=1,I4703="SBJ"),AND(J4703=1,I4703=0)),"?IN_FOCUS",IF(J4703&lt;=2,"?ACTIVATED",IF(J4703&lt;&gt;"","?FAMILIAR",IF(F4703="NEW",IF(ISNA(VLOOKUP(E4703,#REF!,1,FALSE())),"?TYPE_IDENTIFIABLE","?REFERENTIAL"),"_")))))</f>
        <v> </v>
      </c>
      <c r="H4703" s="25" t="str">
        <f>IF(J4703&lt;&gt;1,"",IF(I4703="SBJ","CB","?"))</f>
        <v> </v>
      </c>
      <c r="I4703" s="26" t="str">
        <f>IF(OR(E4703="",E4703="!!!",F4703="NEW"),"",INDEX(B4702:B$2,-1+SUMPRODUCT(MAX(ROW(E4702:E$2)*(E4703=E4702:E$2)))))</f>
        <v> </v>
      </c>
      <c r="J4703" s="26" t="str">
        <f>IF(OR(E4703="",E4703="!!!",F4703="NEW"),"",COUNTBLANK(OFFSET(A$1,,,SUMPRODUCT(MAX(ROW(E$2:E4703)*(E4703=E$2:E4703)))))-COUNTBLANK(OFFSET(A$1,,,SUMPRODUCT(MAX(ROW(E$1:E4702)*(E2=E$1:E4702))))))</f>
        <v> </v>
      </c>
      <c r="K4703" s="26" t="str">
        <f>IF(OR(E4703="",E4703="!!!",F4703="NEW"),"",INDEX(J$1:J4702,SUMPRODUCT(MAX(ROW(E$1:E4702)*(E4703=E$1:E4702)))))</f>
        <v> </v>
      </c>
      <c r="L4703" s="27"/>
    </row>
    <row r="4704" spans="1:12">
      <c r="A4704" s="20" t="s">
        <v>2396</v>
      </c>
      <c r="E4704" s="22">
        <f>IF(D4704="?OLD","!!!","")</f>
        <v/>
      </c>
      <c r="F4704" s="23" t="str">
        <f>IF(OR(E4704="",E4704="!!!"),"",IF(NOT(ISNA(VLOOKUP(E4704,E$1:E4703,1,FALSE()))),"OLD",IF(AND(E4704&lt;&gt;"",E4704&lt;&gt;"!!!"),"NEW","")))</f>
        <v> </v>
      </c>
      <c r="G4704" s="24" t="str">
        <f>IF(OR(E4704="",E4704="!!!"),"",IF(OR(J4704=0,AND(J4704=1,K4704=1),AND(J4704=1,I4704="SBJ"),AND(J4704=1,I4704=0)),"?IN_FOCUS",IF(J4704&lt;=2,"?ACTIVATED",IF(J4704&lt;&gt;"","?FAMILIAR",IF(F4704="NEW",IF(ISNA(VLOOKUP(E4704,#REF!,1,FALSE())),"?TYPE_IDENTIFIABLE","?REFERENTIAL"),"_")))))</f>
        <v> </v>
      </c>
      <c r="H4704" s="25" t="str">
        <f>IF(J4704&lt;&gt;1,"",IF(I4704="SBJ","CB","?"))</f>
        <v> </v>
      </c>
      <c r="I4704" s="26" t="str">
        <f>IF(OR(E4704="",E4704="!!!",F4704="NEW"),"",INDEX(B4703:B$2,-1+SUMPRODUCT(MAX(ROW(E4703:E$2)*(E4704=E4703:E$2)))))</f>
        <v> </v>
      </c>
      <c r="J4704" s="26" t="str">
        <f>IF(OR(E4704="",E4704="!!!",F4704="NEW"),"",COUNTBLANK(OFFSET(A$1,,,SUMPRODUCT(MAX(ROW(E$2:E4704)*(E4704=E$2:E4704)))))-COUNTBLANK(OFFSET(A$1,,,SUMPRODUCT(MAX(ROW(E$1:E4703)*(E2=E$1:E4703))))))</f>
        <v> </v>
      </c>
      <c r="K4704" s="26" t="str">
        <f>IF(OR(E4704="",E4704="!!!",F4704="NEW"),"",INDEX(J$1:J4703,SUMPRODUCT(MAX(ROW(E$1:E4703)*(E4704=E$1:E4703)))))</f>
        <v> </v>
      </c>
      <c r="L4704" s="27"/>
    </row>
    <row r="4705" spans="1:12">
      <c r="A4705" s="20" t="s">
        <v>2397</v>
      </c>
      <c r="B4705" s="21" t="s">
        <v>1097</v>
      </c>
      <c r="C4705" s="21" t="s">
        <v>1149</v>
      </c>
      <c r="E4705" s="22">
        <f>IF(D4705="?OLD","!!!","")</f>
        <v/>
      </c>
      <c r="F4705" s="23" t="str">
        <f>IF(OR(E4705="",E4705="!!!"),"",IF(NOT(ISNA(VLOOKUP(E4705,E$1:E4704,1,FALSE()))),"OLD",IF(AND(E4705&lt;&gt;"",E4705&lt;&gt;"!!!"),"NEW","")))</f>
        <v> </v>
      </c>
      <c r="G4705" s="24" t="str">
        <f>IF(OR(E4705="",E4705="!!!"),"",IF(OR(J4705=0,AND(J4705=1,K4705=1),AND(J4705=1,I4705="SBJ"),AND(J4705=1,I4705=0)),"?IN_FOCUS",IF(J4705&lt;=2,"?ACTIVATED",IF(J4705&lt;&gt;"","?FAMILIAR",IF(F4705="NEW",IF(ISNA(VLOOKUP(E4705,#REF!,1,FALSE())),"?TYPE_IDENTIFIABLE","?REFERENTIAL"),"_")))))</f>
        <v> </v>
      </c>
      <c r="H4705" s="25" t="str">
        <f>IF(J4705&lt;&gt;1,"",IF(I4705="SBJ","CB","?"))</f>
        <v> </v>
      </c>
      <c r="I4705" s="26" t="str">
        <f>IF(OR(E4705="",E4705="!!!",F4705="NEW"),"",INDEX(B4704:B$2,-1+SUMPRODUCT(MAX(ROW(E4704:E$2)*(E4705=E4704:E$2)))))</f>
        <v> </v>
      </c>
      <c r="J4705" s="26" t="str">
        <f>IF(OR(E4705="",E4705="!!!",F4705="NEW"),"",COUNTBLANK(OFFSET(A$1,,,SUMPRODUCT(MAX(ROW(E$2:E4705)*(E4705=E$2:E4705)))))-COUNTBLANK(OFFSET(A$1,,,SUMPRODUCT(MAX(ROW(E$1:E4704)*(E2=E$1:E4704))))))</f>
        <v> </v>
      </c>
      <c r="K4705" s="26" t="str">
        <f>IF(OR(E4705="",E4705="!!!",F4705="NEW"),"",INDEX(J$1:J4704,SUMPRODUCT(MAX(ROW(E$1:E4704)*(E4705=E$1:E4704)))))</f>
        <v> </v>
      </c>
      <c r="L4705" s="27"/>
    </row>
    <row r="4706" spans="1:12">
      <c r="A4706" s="20" t="s">
        <v>2294</v>
      </c>
      <c r="E4706" s="22">
        <f>IF(D4706="?OLD","!!!","")</f>
        <v/>
      </c>
      <c r="F4706" s="23" t="str">
        <f>IF(OR(E4706="",E4706="!!!"),"",IF(NOT(ISNA(VLOOKUP(E4706,E$1:E4705,1,FALSE()))),"OLD",IF(AND(E4706&lt;&gt;"",E4706&lt;&gt;"!!!"),"NEW","")))</f>
        <v> </v>
      </c>
      <c r="G4706" s="24" t="str">
        <f>IF(OR(E4706="",E4706="!!!"),"",IF(OR(J4706=0,AND(J4706=1,K4706=1),AND(J4706=1,I4706="SBJ"),AND(J4706=1,I4706=0)),"?IN_FOCUS",IF(J4706&lt;=2,"?ACTIVATED",IF(J4706&lt;&gt;"","?FAMILIAR",IF(F4706="NEW",IF(ISNA(VLOOKUP(E4706,#REF!,1,FALSE())),"?TYPE_IDENTIFIABLE","?REFERENTIAL"),"_")))))</f>
        <v> </v>
      </c>
      <c r="H4706" s="25" t="str">
        <f>IF(J4706&lt;&gt;1,"",IF(I4706="SBJ","CB","?"))</f>
        <v> </v>
      </c>
      <c r="I4706" s="26" t="str">
        <f>IF(OR(E4706="",E4706="!!!",F4706="NEW"),"",INDEX(B4705:B$2,-1+SUMPRODUCT(MAX(ROW(E4705:E$2)*(E4706=E4705:E$2)))))</f>
        <v> </v>
      </c>
      <c r="J4706" s="26" t="str">
        <f>IF(OR(E4706="",E4706="!!!",F4706="NEW"),"",COUNTBLANK(OFFSET(A$1,,,SUMPRODUCT(MAX(ROW(E$2:E4706)*(E4706=E$2:E4706)))))-COUNTBLANK(OFFSET(A$1,,,SUMPRODUCT(MAX(ROW(E$1:E4705)*(E2=E$1:E4705))))))</f>
        <v> </v>
      </c>
      <c r="K4706" s="26" t="str">
        <f>IF(OR(E4706="",E4706="!!!",F4706="NEW"),"",INDEX(J$1:J4705,SUMPRODUCT(MAX(ROW(E$1:E4705)*(E4706=E$1:E4705)))))</f>
        <v> </v>
      </c>
      <c r="L4706" s="27"/>
    </row>
    <row r="4707" spans="1:12">
      <c r="A4707" s="20" t="s">
        <v>1168</v>
      </c>
      <c r="E4707" s="22">
        <f>IF(D4707="?OLD","!!!","")</f>
        <v/>
      </c>
      <c r="F4707" s="23" t="str">
        <f>IF(OR(E4707="",E4707="!!!"),"",IF(NOT(ISNA(VLOOKUP(E4707,E$1:E4706,1,FALSE()))),"OLD",IF(AND(E4707&lt;&gt;"",E4707&lt;&gt;"!!!"),"NEW","")))</f>
        <v> </v>
      </c>
      <c r="G4707" s="24" t="str">
        <f>IF(OR(E4707="",E4707="!!!"),"",IF(OR(J4707=0,AND(J4707=1,K4707=1),AND(J4707=1,I4707="SBJ"),AND(J4707=1,I4707=0)),"?IN_FOCUS",IF(J4707&lt;=2,"?ACTIVATED",IF(J4707&lt;&gt;"","?FAMILIAR",IF(F4707="NEW",IF(ISNA(VLOOKUP(E4707,#REF!,1,FALSE())),"?TYPE_IDENTIFIABLE","?REFERENTIAL"),"_")))))</f>
        <v> </v>
      </c>
      <c r="H4707" s="25" t="str">
        <f>IF(J4707&lt;&gt;1,"",IF(I4707="SBJ","CB","?"))</f>
        <v> </v>
      </c>
      <c r="I4707" s="26" t="str">
        <f>IF(OR(E4707="",E4707="!!!",F4707="NEW"),"",INDEX(B4706:B$2,-1+SUMPRODUCT(MAX(ROW(E4706:E$2)*(E4707=E4706:E$2)))))</f>
        <v> </v>
      </c>
      <c r="J4707" s="26" t="str">
        <f>IF(OR(E4707="",E4707="!!!",F4707="NEW"),"",COUNTBLANK(OFFSET(A$1,,,SUMPRODUCT(MAX(ROW(E$2:E4707)*(E4707=E$2:E4707)))))-COUNTBLANK(OFFSET(A$1,,,SUMPRODUCT(MAX(ROW(E$1:E4706)*(E2=E$1:E4706))))))</f>
        <v> </v>
      </c>
      <c r="K4707" s="26" t="str">
        <f>IF(OR(E4707="",E4707="!!!",F4707="NEW"),"",INDEX(J$1:J4706,SUMPRODUCT(MAX(ROW(E$1:E4706)*(E4707=E$1:E4706)))))</f>
        <v> </v>
      </c>
      <c r="L4707" s="27"/>
    </row>
    <row r="4708" spans="1:12">
      <c r="A4708" s="20" t="s">
        <v>1172</v>
      </c>
      <c r="B4708" s="21" t="s">
        <v>1064</v>
      </c>
      <c r="C4708" s="21" t="s">
        <v>1092</v>
      </c>
      <c r="D4708" s="21" t="s">
        <v>1060</v>
      </c>
      <c r="E4708" s="22">
        <f>IF(D4708="?OLD","!!!","")</f>
        <v/>
      </c>
      <c r="F4708" s="23" t="str">
        <f>IF(OR(E4708="",E4708="!!!"),"",IF(NOT(ISNA(VLOOKUP(E4708,E$1:E4707,1,FALSE()))),"OLD",IF(AND(E4708&lt;&gt;"",E4708&lt;&gt;"!!!"),"NEW","")))</f>
        <v> </v>
      </c>
      <c r="G4708" s="24" t="str">
        <f>IF(OR(E4708="",E4708="!!!"),"",IF(OR(J4708=0,AND(J4708=1,K4708=1),AND(J4708=1,I4708="SBJ"),AND(J4708=1,I4708=0)),"?IN_FOCUS",IF(J4708&lt;=2,"?ACTIVATED",IF(J4708&lt;&gt;"","?FAMILIAR",IF(F4708="NEW",IF(ISNA(VLOOKUP(E4708,#REF!,1,FALSE())),"?TYPE_IDENTIFIABLE","?REFERENTIAL"),"_")))))</f>
        <v> </v>
      </c>
      <c r="H4708" s="25" t="str">
        <f>IF(J4708&lt;&gt;1,"",IF(I4708="SBJ","CB","?"))</f>
        <v> </v>
      </c>
      <c r="I4708" s="26" t="str">
        <f>IF(OR(E4708="",E4708="!!!",F4708="NEW"),"",INDEX(B4707:B$2,-1+SUMPRODUCT(MAX(ROW(E4707:E$2)*(E4708=E4707:E$2)))))</f>
        <v> </v>
      </c>
      <c r="J4708" s="26" t="str">
        <f>IF(OR(E4708="",E4708="!!!",F4708="NEW"),"",COUNTBLANK(OFFSET(A$1,,,SUMPRODUCT(MAX(ROW(E$2:E4708)*(E4708=E$2:E4708)))))-COUNTBLANK(OFFSET(A$1,,,SUMPRODUCT(MAX(ROW(E$1:E4707)*(E2=E$1:E4707))))))</f>
        <v> </v>
      </c>
      <c r="K4708" s="26" t="str">
        <f>IF(OR(E4708="",E4708="!!!",F4708="NEW"),"",INDEX(J$1:J4707,SUMPRODUCT(MAX(ROW(E$1:E4707)*(E4708=E$1:E4707)))))</f>
        <v> </v>
      </c>
      <c r="L4708" s="27"/>
    </row>
    <row r="4709" spans="1:12">
      <c r="A4709" s="20" t="s">
        <v>2398</v>
      </c>
      <c r="B4709" s="21" t="s">
        <v>1068</v>
      </c>
      <c r="C4709" s="21" t="s">
        <v>1059</v>
      </c>
      <c r="D4709" s="21" t="s">
        <v>1060</v>
      </c>
      <c r="E4709" s="22">
        <f>IF(D4709="?OLD","!!!","")</f>
        <v/>
      </c>
      <c r="F4709" s="23" t="str">
        <f>IF(OR(E4709="",E4709="!!!"),"",IF(NOT(ISNA(VLOOKUP(E4709,E$1:E4708,1,FALSE()))),"OLD",IF(AND(E4709&lt;&gt;"",E4709&lt;&gt;"!!!"),"NEW","")))</f>
        <v> </v>
      </c>
      <c r="G4709" s="24" t="str">
        <f>IF(OR(E4709="",E4709="!!!"),"",IF(OR(J4709=0,AND(J4709=1,K4709=1),AND(J4709=1,I4709="SBJ"),AND(J4709=1,I4709=0)),"?IN_FOCUS",IF(J4709&lt;=2,"?ACTIVATED",IF(J4709&lt;&gt;"","?FAMILIAR",IF(F4709="NEW",IF(ISNA(VLOOKUP(E4709,#REF!,1,FALSE())),"?TYPE_IDENTIFIABLE","?REFERENTIAL"),"_")))))</f>
        <v> </v>
      </c>
      <c r="H4709" s="25" t="str">
        <f>IF(J4709&lt;&gt;1,"",IF(I4709="SBJ","CB","?"))</f>
        <v> </v>
      </c>
      <c r="I4709" s="26" t="str">
        <f>IF(OR(E4709="",E4709="!!!",F4709="NEW"),"",INDEX(B4708:B$2,-1+SUMPRODUCT(MAX(ROW(E4708:E$2)*(E4709=E4708:E$2)))))</f>
        <v> </v>
      </c>
      <c r="J4709" s="26" t="str">
        <f>IF(OR(E4709="",E4709="!!!",F4709="NEW"),"",COUNTBLANK(OFFSET(A$1,,,SUMPRODUCT(MAX(ROW(E$2:E4709)*(E4709=E$2:E4709)))))-COUNTBLANK(OFFSET(A$1,,,SUMPRODUCT(MAX(ROW(E$1:E4708)*(E2=E$1:E4708))))))</f>
        <v> </v>
      </c>
      <c r="K4709" s="26" t="str">
        <f>IF(OR(E4709="",E4709="!!!",F4709="NEW"),"",INDEX(J$1:J4708,SUMPRODUCT(MAX(ROW(E$1:E4708)*(E4709=E$1:E4708)))))</f>
        <v> </v>
      </c>
      <c r="L4709" s="27"/>
    </row>
    <row r="4710" spans="1:12">
      <c r="A4710" s="20" t="s">
        <v>1146</v>
      </c>
      <c r="E4710" s="22">
        <f>IF(D4710="?OLD","!!!","")</f>
        <v/>
      </c>
      <c r="F4710" s="23" t="str">
        <f>IF(OR(E4710="",E4710="!!!"),"",IF(NOT(ISNA(VLOOKUP(E4710,E$1:E4709,1,FALSE()))),"OLD",IF(AND(E4710&lt;&gt;"",E4710&lt;&gt;"!!!"),"NEW","")))</f>
        <v> </v>
      </c>
      <c r="G4710" s="24" t="str">
        <f>IF(OR(E4710="",E4710="!!!"),"",IF(OR(J4710=0,AND(J4710=1,K4710=1),AND(J4710=1,I4710="SBJ"),AND(J4710=1,I4710=0)),"?IN_FOCUS",IF(J4710&lt;=2,"?ACTIVATED",IF(J4710&lt;&gt;"","?FAMILIAR",IF(F4710="NEW",IF(ISNA(VLOOKUP(E4710,#REF!,1,FALSE())),"?TYPE_IDENTIFIABLE","?REFERENTIAL"),"_")))))</f>
        <v> </v>
      </c>
      <c r="H4710" s="25" t="str">
        <f>IF(J4710&lt;&gt;1,"",IF(I4710="SBJ","CB","?"))</f>
        <v> </v>
      </c>
      <c r="I4710" s="26" t="str">
        <f>IF(OR(E4710="",E4710="!!!",F4710="NEW"),"",INDEX(B4709:B$2,-1+SUMPRODUCT(MAX(ROW(E4709:E$2)*(E4710=E4709:E$2)))))</f>
        <v> </v>
      </c>
      <c r="J4710" s="26" t="str">
        <f>IF(OR(E4710="",E4710="!!!",F4710="NEW"),"",COUNTBLANK(OFFSET(A$1,,,SUMPRODUCT(MAX(ROW(E$2:E4710)*(E4710=E$2:E4710)))))-COUNTBLANK(OFFSET(A$1,,,SUMPRODUCT(MAX(ROW(E$1:E4709)*(E2=E$1:E4709))))))</f>
        <v> </v>
      </c>
      <c r="K4710" s="26" t="str">
        <f>IF(OR(E4710="",E4710="!!!",F4710="NEW"),"",INDEX(J$1:J4709,SUMPRODUCT(MAX(ROW(E$1:E4709)*(E4710=E$1:E4709)))))</f>
        <v> </v>
      </c>
      <c r="L4710" s="27"/>
    </row>
    <row r="4711" spans="1:12">
      <c r="A4711" s="20" t="s">
        <v>1170</v>
      </c>
      <c r="B4711" s="21" t="s">
        <v>1079</v>
      </c>
      <c r="C4711" s="21" t="s">
        <v>1076</v>
      </c>
      <c r="D4711" s="21" t="s">
        <v>1060</v>
      </c>
      <c r="E4711" s="22">
        <f>IF(D4711="?OLD","!!!","")</f>
        <v/>
      </c>
      <c r="F4711" s="23" t="str">
        <f>IF(OR(E4711="",E4711="!!!"),"",IF(NOT(ISNA(VLOOKUP(E4711,E$1:E4710,1,FALSE()))),"OLD",IF(AND(E4711&lt;&gt;"",E4711&lt;&gt;"!!!"),"NEW","")))</f>
        <v> </v>
      </c>
      <c r="G4711" s="24" t="str">
        <f>IF(OR(E4711="",E4711="!!!"),"",IF(OR(J4711=0,AND(J4711=1,K4711=1),AND(J4711=1,I4711="SBJ"),AND(J4711=1,I4711=0)),"?IN_FOCUS",IF(J4711&lt;=2,"?ACTIVATED",IF(J4711&lt;&gt;"","?FAMILIAR",IF(F4711="NEW",IF(ISNA(VLOOKUP(E4711,#REF!,1,FALSE())),"?TYPE_IDENTIFIABLE","?REFERENTIAL"),"_")))))</f>
        <v> </v>
      </c>
      <c r="H4711" s="25" t="str">
        <f>IF(J4711&lt;&gt;1,"",IF(I4711="SBJ","CB","?"))</f>
        <v> </v>
      </c>
      <c r="I4711" s="26" t="str">
        <f>IF(OR(E4711="",E4711="!!!",F4711="NEW"),"",INDEX(B4710:B$2,-1+SUMPRODUCT(MAX(ROW(E4710:E$2)*(E4711=E4710:E$2)))))</f>
        <v> </v>
      </c>
      <c r="J4711" s="26" t="str">
        <f>IF(OR(E4711="",E4711="!!!",F4711="NEW"),"",COUNTBLANK(OFFSET(A$1,,,SUMPRODUCT(MAX(ROW(E$2:E4711)*(E4711=E$2:E4711)))))-COUNTBLANK(OFFSET(A$1,,,SUMPRODUCT(MAX(ROW(E$1:E4710)*(E2=E$1:E4710))))))</f>
        <v> </v>
      </c>
      <c r="K4711" s="26" t="str">
        <f>IF(OR(E4711="",E4711="!!!",F4711="NEW"),"",INDEX(J$1:J4710,SUMPRODUCT(MAX(ROW(E$1:E4710)*(E4711=E$1:E4710)))))</f>
        <v> </v>
      </c>
      <c r="L4711" s="27"/>
    </row>
    <row r="4712" spans="1:12">
      <c r="A4712" s="20" t="s">
        <v>1745</v>
      </c>
      <c r="E4712" s="22">
        <f>IF(D4712="?OLD","!!!","")</f>
        <v/>
      </c>
      <c r="F4712" s="23" t="str">
        <f>IF(OR(E4712="",E4712="!!!"),"",IF(NOT(ISNA(VLOOKUP(E4712,E$1:E4711,1,FALSE()))),"OLD",IF(AND(E4712&lt;&gt;"",E4712&lt;&gt;"!!!"),"NEW","")))</f>
        <v> </v>
      </c>
      <c r="G4712" s="24" t="str">
        <f>IF(OR(E4712="",E4712="!!!"),"",IF(OR(J4712=0,AND(J4712=1,K4712=1),AND(J4712=1,I4712="SBJ"),AND(J4712=1,I4712=0)),"?IN_FOCUS",IF(J4712&lt;=2,"?ACTIVATED",IF(J4712&lt;&gt;"","?FAMILIAR",IF(F4712="NEW",IF(ISNA(VLOOKUP(E4712,#REF!,1,FALSE())),"?TYPE_IDENTIFIABLE","?REFERENTIAL"),"_")))))</f>
        <v> </v>
      </c>
      <c r="H4712" s="25" t="str">
        <f>IF(J4712&lt;&gt;1,"",IF(I4712="SBJ","CB","?"))</f>
        <v> </v>
      </c>
      <c r="I4712" s="26" t="str">
        <f>IF(OR(E4712="",E4712="!!!",F4712="NEW"),"",INDEX(B4711:B$2,-1+SUMPRODUCT(MAX(ROW(E4711:E$2)*(E4712=E4711:E$2)))))</f>
        <v> </v>
      </c>
      <c r="J4712" s="26" t="str">
        <f>IF(OR(E4712="",E4712="!!!",F4712="NEW"),"",COUNTBLANK(OFFSET(A$1,,,SUMPRODUCT(MAX(ROW(E$2:E4712)*(E4712=E$2:E4712)))))-COUNTBLANK(OFFSET(A$1,,,SUMPRODUCT(MAX(ROW(E$1:E4711)*(E2=E$1:E4711))))))</f>
        <v> </v>
      </c>
      <c r="K4712" s="26" t="str">
        <f>IF(OR(E4712="",E4712="!!!",F4712="NEW"),"",INDEX(J$1:J4711,SUMPRODUCT(MAX(ROW(E$1:E4711)*(E4712=E$1:E4711)))))</f>
        <v> </v>
      </c>
      <c r="L4712" s="27"/>
    </row>
    <row r="4713" spans="1:12">
      <c r="A4713" s="20" t="s">
        <v>1070</v>
      </c>
      <c r="E4713" s="22">
        <f>IF(D4713="?OLD","!!!","")</f>
        <v/>
      </c>
      <c r="F4713" s="23" t="str">
        <f>IF(OR(E4713="",E4713="!!!"),"",IF(NOT(ISNA(VLOOKUP(E4713,E$1:E4712,1,FALSE()))),"OLD",IF(AND(E4713&lt;&gt;"",E4713&lt;&gt;"!!!"),"NEW","")))</f>
        <v> </v>
      </c>
      <c r="G4713" s="24" t="str">
        <f>IF(OR(E4713="",E4713="!!!"),"",IF(OR(J4713=0,AND(J4713=1,K4713=1),AND(J4713=1,I4713="SBJ"),AND(J4713=1,I4713=0)),"?IN_FOCUS",IF(J4713&lt;=2,"?ACTIVATED",IF(J4713&lt;&gt;"","?FAMILIAR",IF(F4713="NEW",IF(ISNA(VLOOKUP(E4713,#REF!,1,FALSE())),"?TYPE_IDENTIFIABLE","?REFERENTIAL"),"_")))))</f>
        <v> </v>
      </c>
      <c r="H4713" s="25" t="str">
        <f>IF(J4713&lt;&gt;1,"",IF(I4713="SBJ","CB","?"))</f>
        <v> </v>
      </c>
      <c r="I4713" s="26" t="str">
        <f>IF(OR(E4713="",E4713="!!!",F4713="NEW"),"",INDEX(B4712:B$2,-1+SUMPRODUCT(MAX(ROW(E4712:E$2)*(E4713=E4712:E$2)))))</f>
        <v> </v>
      </c>
      <c r="J4713" s="26" t="str">
        <f>IF(OR(E4713="",E4713="!!!",F4713="NEW"),"",COUNTBLANK(OFFSET(A$1,,,SUMPRODUCT(MAX(ROW(E$2:E4713)*(E4713=E$2:E4713)))))-COUNTBLANK(OFFSET(A$1,,,SUMPRODUCT(MAX(ROW(E$1:E4712)*(E2=E$1:E4712))))))</f>
        <v> </v>
      </c>
      <c r="K4713" s="26" t="str">
        <f>IF(OR(E4713="",E4713="!!!",F4713="NEW"),"",INDEX(J$1:J4712,SUMPRODUCT(MAX(ROW(E$1:E4712)*(E4713=E$1:E4712)))))</f>
        <v> </v>
      </c>
      <c r="L4713" s="27"/>
    </row>
    <row r="4714" spans="1:12">
      <c r="A4714" s="20" t="s">
        <v>1118</v>
      </c>
      <c r="E4714" s="22">
        <f>IF(D4714="?OLD","!!!","")</f>
        <v/>
      </c>
      <c r="F4714" s="23" t="str">
        <f>IF(OR(E4714="",E4714="!!!"),"",IF(NOT(ISNA(VLOOKUP(E4714,E$1:E4713,1,FALSE()))),"OLD",IF(AND(E4714&lt;&gt;"",E4714&lt;&gt;"!!!"),"NEW","")))</f>
        <v> </v>
      </c>
      <c r="G4714" s="24" t="str">
        <f>IF(OR(E4714="",E4714="!!!"),"",IF(OR(J4714=0,AND(J4714=1,K4714=1),AND(J4714=1,I4714="SBJ"),AND(J4714=1,I4714=0)),"?IN_FOCUS",IF(J4714&lt;=2,"?ACTIVATED",IF(J4714&lt;&gt;"","?FAMILIAR",IF(F4714="NEW",IF(ISNA(VLOOKUP(E4714,#REF!,1,FALSE())),"?TYPE_IDENTIFIABLE","?REFERENTIAL"),"_")))))</f>
        <v> </v>
      </c>
      <c r="H4714" s="25" t="str">
        <f>IF(J4714&lt;&gt;1,"",IF(I4714="SBJ","CB","?"))</f>
        <v> </v>
      </c>
      <c r="I4714" s="26" t="str">
        <f>IF(OR(E4714="",E4714="!!!",F4714="NEW"),"",INDEX(B4713:B$2,-1+SUMPRODUCT(MAX(ROW(E4713:E$2)*(E4714=E4713:E$2)))))</f>
        <v> </v>
      </c>
      <c r="J4714" s="26" t="str">
        <f>IF(OR(E4714="",E4714="!!!",F4714="NEW"),"",COUNTBLANK(OFFSET(A$1,,,SUMPRODUCT(MAX(ROW(E$2:E4714)*(E4714=E$2:E4714)))))-COUNTBLANK(OFFSET(A$1,,,SUMPRODUCT(MAX(ROW(E$1:E4713)*(E2=E$1:E4713))))))</f>
        <v> </v>
      </c>
      <c r="K4714" s="26" t="str">
        <f>IF(OR(E4714="",E4714="!!!",F4714="NEW"),"",INDEX(J$1:J4713,SUMPRODUCT(MAX(ROW(E$1:E4713)*(E4714=E$1:E4713)))))</f>
        <v> </v>
      </c>
      <c r="L4714" s="27"/>
    </row>
    <row r="4715" spans="1:12">
      <c r="A4715" s="20" t="s">
        <v>1196</v>
      </c>
      <c r="E4715" s="22">
        <f>IF(D4715="?OLD","!!!","")</f>
        <v/>
      </c>
      <c r="F4715" s="23" t="str">
        <f>IF(OR(E4715="",E4715="!!!"),"",IF(NOT(ISNA(VLOOKUP(E4715,E$1:E4714,1,FALSE()))),"OLD",IF(AND(E4715&lt;&gt;"",E4715&lt;&gt;"!!!"),"NEW","")))</f>
        <v> </v>
      </c>
      <c r="G4715" s="24" t="str">
        <f>IF(OR(E4715="",E4715="!!!"),"",IF(OR(J4715=0,AND(J4715=1,K4715=1),AND(J4715=1,I4715="SBJ"),AND(J4715=1,I4715=0)),"?IN_FOCUS",IF(J4715&lt;=2,"?ACTIVATED",IF(J4715&lt;&gt;"","?FAMILIAR",IF(F4715="NEW",IF(ISNA(VLOOKUP(E4715,#REF!,1,FALSE())),"?TYPE_IDENTIFIABLE","?REFERENTIAL"),"_")))))</f>
        <v> </v>
      </c>
      <c r="H4715" s="25" t="str">
        <f>IF(J4715&lt;&gt;1,"",IF(I4715="SBJ","CB","?"))</f>
        <v> </v>
      </c>
      <c r="I4715" s="26" t="str">
        <f>IF(OR(E4715="",E4715="!!!",F4715="NEW"),"",INDEX(B4714:B$2,-1+SUMPRODUCT(MAX(ROW(E4714:E$2)*(E4715=E4714:E$2)))))</f>
        <v> </v>
      </c>
      <c r="J4715" s="26" t="str">
        <f>IF(OR(E4715="",E4715="!!!",F4715="NEW"),"",COUNTBLANK(OFFSET(A$1,,,SUMPRODUCT(MAX(ROW(E$2:E4715)*(E4715=E$2:E4715)))))-COUNTBLANK(OFFSET(A$1,,,SUMPRODUCT(MAX(ROW(E$1:E4714)*(E2=E$1:E4714))))))</f>
        <v> </v>
      </c>
      <c r="K4715" s="26" t="str">
        <f>IF(OR(E4715="",E4715="!!!",F4715="NEW"),"",INDEX(J$1:J4714,SUMPRODUCT(MAX(ROW(E$1:E4714)*(E4715=E$1:E4714)))))</f>
        <v> </v>
      </c>
      <c r="L4715" s="27"/>
    </row>
    <row r="4716" spans="1:12">
      <c r="A4716" s="20" t="s">
        <v>1170</v>
      </c>
      <c r="B4716" s="21" t="s">
        <v>1084</v>
      </c>
      <c r="C4716" s="21" t="s">
        <v>1076</v>
      </c>
      <c r="D4716" s="21" t="s">
        <v>1060</v>
      </c>
      <c r="E4716" s="22">
        <f>IF(D4716="?OLD","!!!","")</f>
        <v/>
      </c>
      <c r="F4716" s="23" t="str">
        <f>IF(OR(E4716="",E4716="!!!"),"",IF(NOT(ISNA(VLOOKUP(E4716,E$1:E4715,1,FALSE()))),"OLD",IF(AND(E4716&lt;&gt;"",E4716&lt;&gt;"!!!"),"NEW","")))</f>
        <v> </v>
      </c>
      <c r="G4716" s="24" t="str">
        <f>IF(OR(E4716="",E4716="!!!"),"",IF(OR(J4716=0,AND(J4716=1,K4716=1),AND(J4716=1,I4716="SBJ"),AND(J4716=1,I4716=0)),"?IN_FOCUS",IF(J4716&lt;=2,"?ACTIVATED",IF(J4716&lt;&gt;"","?FAMILIAR",IF(F4716="NEW",IF(ISNA(VLOOKUP(E4716,#REF!,1,FALSE())),"?TYPE_IDENTIFIABLE","?REFERENTIAL"),"_")))))</f>
        <v> </v>
      </c>
      <c r="H4716" s="25" t="str">
        <f>IF(J4716&lt;&gt;1,"",IF(I4716="SBJ","CB","?"))</f>
        <v> </v>
      </c>
      <c r="I4716" s="26" t="str">
        <f>IF(OR(E4716="",E4716="!!!",F4716="NEW"),"",INDEX(B4715:B$2,-1+SUMPRODUCT(MAX(ROW(E4715:E$2)*(E4716=E4715:E$2)))))</f>
        <v> </v>
      </c>
      <c r="J4716" s="26" t="str">
        <f>IF(OR(E4716="",E4716="!!!",F4716="NEW"),"",COUNTBLANK(OFFSET(A$1,,,SUMPRODUCT(MAX(ROW(E$2:E4716)*(E4716=E$2:E4716)))))-COUNTBLANK(OFFSET(A$1,,,SUMPRODUCT(MAX(ROW(E$1:E4715)*(E2=E$1:E4715))))))</f>
        <v> </v>
      </c>
      <c r="K4716" s="26" t="str">
        <f>IF(OR(E4716="",E4716="!!!",F4716="NEW"),"",INDEX(J$1:J4715,SUMPRODUCT(MAX(ROW(E$1:E4715)*(E4716=E$1:E4715)))))</f>
        <v> </v>
      </c>
      <c r="L4716" s="27"/>
    </row>
    <row r="4717" spans="1:12">
      <c r="A4717" s="20" t="s">
        <v>716</v>
      </c>
      <c r="E4717" s="22">
        <f>IF(D4717="?OLD","!!!","")</f>
        <v/>
      </c>
      <c r="F4717" s="23" t="str">
        <f>IF(OR(E4717="",E4717="!!!"),"",IF(NOT(ISNA(VLOOKUP(E4717,E$1:E4716,1,FALSE()))),"OLD",IF(AND(E4717&lt;&gt;"",E4717&lt;&gt;"!!!"),"NEW","")))</f>
        <v> </v>
      </c>
      <c r="G4717" s="24" t="str">
        <f>IF(OR(E4717="",E4717="!!!"),"",IF(OR(J4717=0,AND(J4717=1,K4717=1),AND(J4717=1,I4717="SBJ"),AND(J4717=1,I4717=0)),"?IN_FOCUS",IF(J4717&lt;=2,"?ACTIVATED",IF(J4717&lt;&gt;"","?FAMILIAR",IF(F4717="NEW",IF(ISNA(VLOOKUP(E4717,#REF!,1,FALSE())),"?TYPE_IDENTIFIABLE","?REFERENTIAL"),"_")))))</f>
        <v> </v>
      </c>
      <c r="H4717" s="25" t="str">
        <f>IF(J4717&lt;&gt;1,"",IF(I4717="SBJ","CB","?"))</f>
        <v> </v>
      </c>
      <c r="I4717" s="26" t="str">
        <f>IF(OR(E4717="",E4717="!!!",F4717="NEW"),"",INDEX(B4716:B$2,-1+SUMPRODUCT(MAX(ROW(E4716:E$2)*(E4717=E4716:E$2)))))</f>
        <v> </v>
      </c>
      <c r="J4717" s="26" t="str">
        <f>IF(OR(E4717="",E4717="!!!",F4717="NEW"),"",COUNTBLANK(OFFSET(A$1,,,SUMPRODUCT(MAX(ROW(E$2:E4717)*(E4717=E$2:E4717)))))-COUNTBLANK(OFFSET(A$1,,,SUMPRODUCT(MAX(ROW(E$1:E4716)*(E2=E$1:E4716))))))</f>
        <v> </v>
      </c>
      <c r="K4717" s="26" t="str">
        <f>IF(OR(E4717="",E4717="!!!",F4717="NEW"),"",INDEX(J$1:J4716,SUMPRODUCT(MAX(ROW(E$1:E4716)*(E4717=E$1:E4716)))))</f>
        <v> </v>
      </c>
      <c r="L4717" s="27"/>
    </row>
    <row r="4718" spans="1:12">
      <c r="A4718" s="20" t="s">
        <v>1376</v>
      </c>
      <c r="E4718" s="22">
        <f>IF(D4718="?OLD","!!!","")</f>
        <v/>
      </c>
      <c r="F4718" s="23" t="str">
        <f>IF(OR(E4718="",E4718="!!!"),"",IF(NOT(ISNA(VLOOKUP(E4718,E$1:E4717,1,FALSE()))),"OLD",IF(AND(E4718&lt;&gt;"",E4718&lt;&gt;"!!!"),"NEW","")))</f>
        <v> </v>
      </c>
      <c r="G4718" s="24" t="str">
        <f>IF(OR(E4718="",E4718="!!!"),"",IF(OR(J4718=0,AND(J4718=1,K4718=1),AND(J4718=1,I4718="SBJ"),AND(J4718=1,I4718=0)),"?IN_FOCUS",IF(J4718&lt;=2,"?ACTIVATED",IF(J4718&lt;&gt;"","?FAMILIAR",IF(F4718="NEW",IF(ISNA(VLOOKUP(E4718,#REF!,1,FALSE())),"?TYPE_IDENTIFIABLE","?REFERENTIAL"),"_")))))</f>
        <v> </v>
      </c>
      <c r="H4718" s="25" t="str">
        <f>IF(J4718&lt;&gt;1,"",IF(I4718="SBJ","CB","?"))</f>
        <v> </v>
      </c>
      <c r="I4718" s="26" t="str">
        <f>IF(OR(E4718="",E4718="!!!",F4718="NEW"),"",INDEX(B4717:B$2,-1+SUMPRODUCT(MAX(ROW(E4717:E$2)*(E4718=E4717:E$2)))))</f>
        <v> </v>
      </c>
      <c r="J4718" s="26" t="str">
        <f>IF(OR(E4718="",E4718="!!!",F4718="NEW"),"",COUNTBLANK(OFFSET(A$1,,,SUMPRODUCT(MAX(ROW(E$2:E4718)*(E4718=E$2:E4718)))))-COUNTBLANK(OFFSET(A$1,,,SUMPRODUCT(MAX(ROW(E$1:E4717)*(E2=E$1:E4717))))))</f>
        <v> </v>
      </c>
      <c r="K4718" s="26" t="str">
        <f>IF(OR(E4718="",E4718="!!!",F4718="NEW"),"",INDEX(J$1:J4717,SUMPRODUCT(MAX(ROW(E$1:E4717)*(E4718=E$1:E4717)))))</f>
        <v> </v>
      </c>
      <c r="L4718" s="27"/>
    </row>
    <row r="4719" spans="1:12">
      <c r="A4719" s="20" t="s">
        <v>1074</v>
      </c>
      <c r="B4719" s="21" t="s">
        <v>1064</v>
      </c>
      <c r="C4719" s="21" t="s">
        <v>1076</v>
      </c>
      <c r="D4719" s="21" t="s">
        <v>1060</v>
      </c>
      <c r="E4719" s="22">
        <f>IF(D4719="?OLD","!!!","")</f>
        <v/>
      </c>
      <c r="F4719" s="23" t="str">
        <f>IF(OR(E4719="",E4719="!!!"),"",IF(NOT(ISNA(VLOOKUP(E4719,E$1:E4718,1,FALSE()))),"OLD",IF(AND(E4719&lt;&gt;"",E4719&lt;&gt;"!!!"),"NEW","")))</f>
        <v> </v>
      </c>
      <c r="G4719" s="24" t="str">
        <f>IF(OR(E4719="",E4719="!!!"),"",IF(OR(J4719=0,AND(J4719=1,K4719=1),AND(J4719=1,I4719="SBJ"),AND(J4719=1,I4719=0)),"?IN_FOCUS",IF(J4719&lt;=2,"?ACTIVATED",IF(J4719&lt;&gt;"","?FAMILIAR",IF(F4719="NEW",IF(ISNA(VLOOKUP(E4719,#REF!,1,FALSE())),"?TYPE_IDENTIFIABLE","?REFERENTIAL"),"_")))))</f>
        <v> </v>
      </c>
      <c r="H4719" s="25" t="str">
        <f>IF(J4719&lt;&gt;1,"",IF(I4719="SBJ","CB","?"))</f>
        <v> </v>
      </c>
      <c r="I4719" s="26" t="str">
        <f>IF(OR(E4719="",E4719="!!!",F4719="NEW"),"",INDEX(B4718:B$2,-1+SUMPRODUCT(MAX(ROW(E4718:E$2)*(E4719=E4718:E$2)))))</f>
        <v> </v>
      </c>
      <c r="J4719" s="26" t="str">
        <f>IF(OR(E4719="",E4719="!!!",F4719="NEW"),"",COUNTBLANK(OFFSET(A$1,,,SUMPRODUCT(MAX(ROW(E$2:E4719)*(E4719=E$2:E4719)))))-COUNTBLANK(OFFSET(A$1,,,SUMPRODUCT(MAX(ROW(E$1:E4718)*(E2=E$1:E4718))))))</f>
        <v> </v>
      </c>
      <c r="K4719" s="26" t="str">
        <f>IF(OR(E4719="",E4719="!!!",F4719="NEW"),"",INDEX(J$1:J4718,SUMPRODUCT(MAX(ROW(E$1:E4718)*(E4719=E$1:E4718)))))</f>
        <v> </v>
      </c>
      <c r="L4719" s="27"/>
    </row>
    <row r="4720" spans="1:12">
      <c r="A4720" s="20" t="s">
        <v>1074</v>
      </c>
      <c r="B4720" s="21" t="s">
        <v>1079</v>
      </c>
      <c r="C4720" s="21" t="s">
        <v>1076</v>
      </c>
      <c r="D4720" s="21" t="s">
        <v>1060</v>
      </c>
      <c r="E4720" s="22">
        <f>IF(D4720="?OLD","!!!","")</f>
        <v/>
      </c>
      <c r="F4720" s="23" t="str">
        <f>IF(OR(E4720="",E4720="!!!"),"",IF(NOT(ISNA(VLOOKUP(E4720,E$1:E4719,1,FALSE()))),"OLD",IF(AND(E4720&lt;&gt;"",E4720&lt;&gt;"!!!"),"NEW","")))</f>
        <v> </v>
      </c>
      <c r="G4720" s="24" t="str">
        <f>IF(OR(E4720="",E4720="!!!"),"",IF(OR(J4720=0,AND(J4720=1,K4720=1),AND(J4720=1,I4720="SBJ"),AND(J4720=1,I4720=0)),"?IN_FOCUS",IF(J4720&lt;=2,"?ACTIVATED",IF(J4720&lt;&gt;"","?FAMILIAR",IF(F4720="NEW",IF(ISNA(VLOOKUP(E4720,#REF!,1,FALSE())),"?TYPE_IDENTIFIABLE","?REFERENTIAL"),"_")))))</f>
        <v> </v>
      </c>
      <c r="H4720" s="25" t="str">
        <f>IF(J4720&lt;&gt;1,"",IF(I4720="SBJ","CB","?"))</f>
        <v> </v>
      </c>
      <c r="I4720" s="26" t="str">
        <f>IF(OR(E4720="",E4720="!!!",F4720="NEW"),"",INDEX(B4719:B$2,-1+SUMPRODUCT(MAX(ROW(E4719:E$2)*(E4720=E4719:E$2)))))</f>
        <v> </v>
      </c>
      <c r="J4720" s="26" t="str">
        <f>IF(OR(E4720="",E4720="!!!",F4720="NEW"),"",COUNTBLANK(OFFSET(A$1,,,SUMPRODUCT(MAX(ROW(E$2:E4720)*(E4720=E$2:E4720)))))-COUNTBLANK(OFFSET(A$1,,,SUMPRODUCT(MAX(ROW(E$1:E4719)*(E2=E$1:E4719))))))</f>
        <v> </v>
      </c>
      <c r="K4720" s="26" t="str">
        <f>IF(OR(E4720="",E4720="!!!",F4720="NEW"),"",INDEX(J$1:J4719,SUMPRODUCT(MAX(ROW(E$1:E4719)*(E4720=E$1:E4719)))))</f>
        <v> </v>
      </c>
      <c r="L4720" s="27"/>
    </row>
    <row r="4721" spans="1:12">
      <c r="A4721" s="20" t="s">
        <v>1085</v>
      </c>
      <c r="E4721" s="22">
        <f>IF(D4721="?OLD","!!!","")</f>
        <v/>
      </c>
      <c r="F4721" s="23" t="str">
        <f>IF(OR(E4721="",E4721="!!!"),"",IF(NOT(ISNA(VLOOKUP(E4721,E$1:E4720,1,FALSE()))),"OLD",IF(AND(E4721&lt;&gt;"",E4721&lt;&gt;"!!!"),"NEW","")))</f>
        <v> </v>
      </c>
      <c r="G4721" s="24" t="str">
        <f>IF(OR(E4721="",E4721="!!!"),"",IF(OR(J4721=0,AND(J4721=1,K4721=1),AND(J4721=1,I4721="SBJ"),AND(J4721=1,I4721=0)),"?IN_FOCUS",IF(J4721&lt;=2,"?ACTIVATED",IF(J4721&lt;&gt;"","?FAMILIAR",IF(F4721="NEW",IF(ISNA(VLOOKUP(E4721,#REF!,1,FALSE())),"?TYPE_IDENTIFIABLE","?REFERENTIAL"),"_")))))</f>
        <v> </v>
      </c>
      <c r="H4721" s="25" t="str">
        <f>IF(J4721&lt;&gt;1,"",IF(I4721="SBJ","CB","?"))</f>
        <v> </v>
      </c>
      <c r="I4721" s="26" t="str">
        <f>IF(OR(E4721="",E4721="!!!",F4721="NEW"),"",INDEX(B4720:B$2,-1+SUMPRODUCT(MAX(ROW(E4720:E$2)*(E4721=E4720:E$2)))))</f>
        <v> </v>
      </c>
      <c r="J4721" s="26" t="str">
        <f>IF(OR(E4721="",E4721="!!!",F4721="NEW"),"",COUNTBLANK(OFFSET(A$1,,,SUMPRODUCT(MAX(ROW(E$2:E4721)*(E4721=E$2:E4721)))))-COUNTBLANK(OFFSET(A$1,,,SUMPRODUCT(MAX(ROW(E$1:E4720)*(E2=E$1:E4720))))))</f>
        <v> </v>
      </c>
      <c r="K4721" s="26" t="str">
        <f>IF(OR(E4721="",E4721="!!!",F4721="NEW"),"",INDEX(J$1:J4720,SUMPRODUCT(MAX(ROW(E$1:E4720)*(E4721=E$1:E4720)))))</f>
        <v> </v>
      </c>
      <c r="L4721" s="27"/>
    </row>
    <row r="4722" spans="1:12">
      <c r="A4722" s="20" t="s">
        <v>1146</v>
      </c>
      <c r="E4722" s="22">
        <f>IF(D4722="?OLD","!!!","")</f>
        <v/>
      </c>
      <c r="F4722" s="23" t="str">
        <f>IF(OR(E4722="",E4722="!!!"),"",IF(NOT(ISNA(VLOOKUP(E4722,E$1:E4721,1,FALSE()))),"OLD",IF(AND(E4722&lt;&gt;"",E4722&lt;&gt;"!!!"),"NEW","")))</f>
        <v> </v>
      </c>
      <c r="G4722" s="24" t="str">
        <f>IF(OR(E4722="",E4722="!!!"),"",IF(OR(J4722=0,AND(J4722=1,K4722=1),AND(J4722=1,I4722="SBJ"),AND(J4722=1,I4722=0)),"?IN_FOCUS",IF(J4722&lt;=2,"?ACTIVATED",IF(J4722&lt;&gt;"","?FAMILIAR",IF(F4722="NEW",IF(ISNA(VLOOKUP(E4722,#REF!,1,FALSE())),"?TYPE_IDENTIFIABLE","?REFERENTIAL"),"_")))))</f>
        <v> </v>
      </c>
      <c r="H4722" s="25" t="str">
        <f>IF(J4722&lt;&gt;1,"",IF(I4722="SBJ","CB","?"))</f>
        <v> </v>
      </c>
      <c r="I4722" s="26" t="str">
        <f>IF(OR(E4722="",E4722="!!!",F4722="NEW"),"",INDEX(B4721:B$2,-1+SUMPRODUCT(MAX(ROW(E4721:E$2)*(E4722=E4721:E$2)))))</f>
        <v> </v>
      </c>
      <c r="J4722" s="26" t="str">
        <f>IF(OR(E4722="",E4722="!!!",F4722="NEW"),"",COUNTBLANK(OFFSET(A$1,,,SUMPRODUCT(MAX(ROW(E$2:E4722)*(E4722=E$2:E4722)))))-COUNTBLANK(OFFSET(A$1,,,SUMPRODUCT(MAX(ROW(E$1:E4721)*(E2=E$1:E4721))))))</f>
        <v> </v>
      </c>
      <c r="K4722" s="26" t="str">
        <f>IF(OR(E4722="",E4722="!!!",F4722="NEW"),"",INDEX(J$1:J4721,SUMPRODUCT(MAX(ROW(E$1:E4721)*(E4722=E$1:E4721)))))</f>
        <v> </v>
      </c>
      <c r="L4722" s="27"/>
    </row>
    <row r="4723" spans="1:12">
      <c r="A4723" s="20" t="s">
        <v>1352</v>
      </c>
      <c r="E4723" s="22">
        <f>IF(D4723="?OLD","!!!","")</f>
        <v/>
      </c>
      <c r="F4723" s="23" t="str">
        <f>IF(OR(E4723="",E4723="!!!"),"",IF(NOT(ISNA(VLOOKUP(E4723,E$1:E4722,1,FALSE()))),"OLD",IF(AND(E4723&lt;&gt;"",E4723&lt;&gt;"!!!"),"NEW","")))</f>
        <v> </v>
      </c>
      <c r="G4723" s="24" t="str">
        <f>IF(OR(E4723="",E4723="!!!"),"",IF(OR(J4723=0,AND(J4723=1,K4723=1),AND(J4723=1,I4723="SBJ"),AND(J4723=1,I4723=0)),"?IN_FOCUS",IF(J4723&lt;=2,"?ACTIVATED",IF(J4723&lt;&gt;"","?FAMILIAR",IF(F4723="NEW",IF(ISNA(VLOOKUP(E4723,#REF!,1,FALSE())),"?TYPE_IDENTIFIABLE","?REFERENTIAL"),"_")))))</f>
        <v> </v>
      </c>
      <c r="H4723" s="25" t="str">
        <f>IF(J4723&lt;&gt;1,"",IF(I4723="SBJ","CB","?"))</f>
        <v> </v>
      </c>
      <c r="I4723" s="26" t="str">
        <f>IF(OR(E4723="",E4723="!!!",F4723="NEW"),"",INDEX(B4722:B$2,-1+SUMPRODUCT(MAX(ROW(E4722:E$2)*(E4723=E4722:E$2)))))</f>
        <v> </v>
      </c>
      <c r="J4723" s="26" t="str">
        <f>IF(OR(E4723="",E4723="!!!",F4723="NEW"),"",COUNTBLANK(OFFSET(A$1,,,SUMPRODUCT(MAX(ROW(E$2:E4723)*(E4723=E$2:E4723)))))-COUNTBLANK(OFFSET(A$1,,,SUMPRODUCT(MAX(ROW(E$1:E4722)*(E2=E$1:E4722))))))</f>
        <v> </v>
      </c>
      <c r="K4723" s="26" t="str">
        <f>IF(OR(E4723="",E4723="!!!",F4723="NEW"),"",INDEX(J$1:J4722,SUMPRODUCT(MAX(ROW(E$1:E4722)*(E4723=E$1:E4722)))))</f>
        <v> </v>
      </c>
      <c r="L4723" s="27"/>
    </row>
    <row r="4724" spans="1:12">
      <c r="A4724" s="20" t="s">
        <v>2064</v>
      </c>
      <c r="E4724" s="22">
        <f>IF(D4724="?OLD","!!!","")</f>
        <v/>
      </c>
      <c r="F4724" s="23" t="str">
        <f>IF(OR(E4724="",E4724="!!!"),"",IF(NOT(ISNA(VLOOKUP(E4724,E$1:E4723,1,FALSE()))),"OLD",IF(AND(E4724&lt;&gt;"",E4724&lt;&gt;"!!!"),"NEW","")))</f>
        <v> </v>
      </c>
      <c r="G4724" s="24" t="str">
        <f>IF(OR(E4724="",E4724="!!!"),"",IF(OR(J4724=0,AND(J4724=1,K4724=1),AND(J4724=1,I4724="SBJ"),AND(J4724=1,I4724=0)),"?IN_FOCUS",IF(J4724&lt;=2,"?ACTIVATED",IF(J4724&lt;&gt;"","?FAMILIAR",IF(F4724="NEW",IF(ISNA(VLOOKUP(E4724,#REF!,1,FALSE())),"?TYPE_IDENTIFIABLE","?REFERENTIAL"),"_")))))</f>
        <v> </v>
      </c>
      <c r="H4724" s="25" t="str">
        <f>IF(J4724&lt;&gt;1,"",IF(I4724="SBJ","CB","?"))</f>
        <v> </v>
      </c>
      <c r="I4724" s="26" t="str">
        <f>IF(OR(E4724="",E4724="!!!",F4724="NEW"),"",INDEX(B4723:B$2,-1+SUMPRODUCT(MAX(ROW(E4723:E$2)*(E4724=E4723:E$2)))))</f>
        <v> </v>
      </c>
      <c r="J4724" s="26" t="str">
        <f>IF(OR(E4724="",E4724="!!!",F4724="NEW"),"",COUNTBLANK(OFFSET(A$1,,,SUMPRODUCT(MAX(ROW(E$2:E4724)*(E4724=E$2:E4724)))))-COUNTBLANK(OFFSET(A$1,,,SUMPRODUCT(MAX(ROW(E$1:E4723)*(E2=E$1:E4723))))))</f>
        <v> </v>
      </c>
      <c r="K4724" s="26" t="str">
        <f>IF(OR(E4724="",E4724="!!!",F4724="NEW"),"",INDEX(J$1:J4723,SUMPRODUCT(MAX(ROW(E$1:E4723)*(E4724=E$1:E4723)))))</f>
        <v> </v>
      </c>
      <c r="L4724" s="27"/>
    </row>
    <row r="4725" spans="1:12">
      <c r="A4725" s="20" t="s">
        <v>2399</v>
      </c>
      <c r="E4725" s="22">
        <f>IF(D4725="?OLD","!!!","")</f>
        <v/>
      </c>
      <c r="F4725" s="23" t="str">
        <f>IF(OR(E4725="",E4725="!!!"),"",IF(NOT(ISNA(VLOOKUP(E4725,E$1:E4724,1,FALSE()))),"OLD",IF(AND(E4725&lt;&gt;"",E4725&lt;&gt;"!!!"),"NEW","")))</f>
        <v> </v>
      </c>
      <c r="G4725" s="24" t="str">
        <f>IF(OR(E4725="",E4725="!!!"),"",IF(OR(J4725=0,AND(J4725=1,K4725=1),AND(J4725=1,I4725="SBJ"),AND(J4725=1,I4725=0)),"?IN_FOCUS",IF(J4725&lt;=2,"?ACTIVATED",IF(J4725&lt;&gt;"","?FAMILIAR",IF(F4725="NEW",IF(ISNA(VLOOKUP(E4725,#REF!,1,FALSE())),"?TYPE_IDENTIFIABLE","?REFERENTIAL"),"_")))))</f>
        <v> </v>
      </c>
      <c r="H4725" s="25" t="str">
        <f>IF(J4725&lt;&gt;1,"",IF(I4725="SBJ","CB","?"))</f>
        <v> </v>
      </c>
      <c r="I4725" s="26" t="str">
        <f>IF(OR(E4725="",E4725="!!!",F4725="NEW"),"",INDEX(B4724:B$2,-1+SUMPRODUCT(MAX(ROW(E4724:E$2)*(E4725=E4724:E$2)))))</f>
        <v> </v>
      </c>
      <c r="J4725" s="26" t="str">
        <f>IF(OR(E4725="",E4725="!!!",F4725="NEW"),"",COUNTBLANK(OFFSET(A$1,,,SUMPRODUCT(MAX(ROW(E$2:E4725)*(E4725=E$2:E4725)))))-COUNTBLANK(OFFSET(A$1,,,SUMPRODUCT(MAX(ROW(E$1:E4724)*(E2=E$1:E4724))))))</f>
        <v> </v>
      </c>
      <c r="K4725" s="26" t="str">
        <f>IF(OR(E4725="",E4725="!!!",F4725="NEW"),"",INDEX(J$1:J4724,SUMPRODUCT(MAX(ROW(E$1:E4724)*(E4725=E$1:E4724)))))</f>
        <v> </v>
      </c>
      <c r="L4725" s="27"/>
    </row>
    <row r="4726" spans="1:12">
      <c r="A4726" s="20" t="s">
        <v>1667</v>
      </c>
      <c r="B4726" s="21" t="s">
        <v>1331</v>
      </c>
      <c r="C4726" s="21" t="s">
        <v>1358</v>
      </c>
      <c r="E4726" s="22">
        <f>IF(D4726="?OLD","!!!","")</f>
        <v/>
      </c>
      <c r="F4726" s="23" t="str">
        <f>IF(OR(E4726="",E4726="!!!"),"",IF(NOT(ISNA(VLOOKUP(E4726,E$1:E4725,1,FALSE()))),"OLD",IF(AND(E4726&lt;&gt;"",E4726&lt;&gt;"!!!"),"NEW","")))</f>
        <v> </v>
      </c>
      <c r="G4726" s="24" t="str">
        <f>IF(OR(E4726="",E4726="!!!"),"",IF(OR(J4726=0,AND(J4726=1,K4726=1),AND(J4726=1,I4726="SBJ"),AND(J4726=1,I4726=0)),"?IN_FOCUS",IF(J4726&lt;=2,"?ACTIVATED",IF(J4726&lt;&gt;"","?FAMILIAR",IF(F4726="NEW",IF(ISNA(VLOOKUP(E4726,#REF!,1,FALSE())),"?TYPE_IDENTIFIABLE","?REFERENTIAL"),"_")))))</f>
        <v> </v>
      </c>
      <c r="H4726" s="25" t="str">
        <f>IF(J4726&lt;&gt;1,"",IF(I4726="SBJ","CB","?"))</f>
        <v> </v>
      </c>
      <c r="I4726" s="26" t="str">
        <f>IF(OR(E4726="",E4726="!!!",F4726="NEW"),"",INDEX(B4725:B$2,-1+SUMPRODUCT(MAX(ROW(E4725:E$2)*(E4726=E4725:E$2)))))</f>
        <v> </v>
      </c>
      <c r="J4726" s="26" t="str">
        <f>IF(OR(E4726="",E4726="!!!",F4726="NEW"),"",COUNTBLANK(OFFSET(A$1,,,SUMPRODUCT(MAX(ROW(E$2:E4726)*(E4726=E$2:E4726)))))-COUNTBLANK(OFFSET(A$1,,,SUMPRODUCT(MAX(ROW(E$1:E4725)*(E2=E$1:E4725))))))</f>
        <v> </v>
      </c>
      <c r="K4726" s="26" t="str">
        <f>IF(OR(E4726="",E4726="!!!",F4726="NEW"),"",INDEX(J$1:J4725,SUMPRODUCT(MAX(ROW(E$1:E4725)*(E4726=E$1:E4725)))))</f>
        <v> </v>
      </c>
      <c r="L4726" s="27"/>
    </row>
    <row r="4727" spans="1:12">
      <c r="A4727" s="20" t="s">
        <v>1085</v>
      </c>
      <c r="E4727" s="22">
        <f>IF(D4727="?OLD","!!!","")</f>
        <v/>
      </c>
      <c r="F4727" s="23" t="str">
        <f>IF(OR(E4727="",E4727="!!!"),"",IF(NOT(ISNA(VLOOKUP(E4727,E$1:E4726,1,FALSE()))),"OLD",IF(AND(E4727&lt;&gt;"",E4727&lt;&gt;"!!!"),"NEW","")))</f>
        <v> </v>
      </c>
      <c r="G4727" s="24" t="str">
        <f>IF(OR(E4727="",E4727="!!!"),"",IF(OR(J4727=0,AND(J4727=1,K4727=1),AND(J4727=1,I4727="SBJ"),AND(J4727=1,I4727=0)),"?IN_FOCUS",IF(J4727&lt;=2,"?ACTIVATED",IF(J4727&lt;&gt;"","?FAMILIAR",IF(F4727="NEW",IF(ISNA(VLOOKUP(E4727,#REF!,1,FALSE())),"?TYPE_IDENTIFIABLE","?REFERENTIAL"),"_")))))</f>
        <v> </v>
      </c>
      <c r="H4727" s="25" t="str">
        <f>IF(J4727&lt;&gt;1,"",IF(I4727="SBJ","CB","?"))</f>
        <v> </v>
      </c>
      <c r="I4727" s="26" t="str">
        <f>IF(OR(E4727="",E4727="!!!",F4727="NEW"),"",INDEX(B4726:B$2,-1+SUMPRODUCT(MAX(ROW(E4726:E$2)*(E4727=E4726:E$2)))))</f>
        <v> </v>
      </c>
      <c r="J4727" s="26" t="str">
        <f>IF(OR(E4727="",E4727="!!!",F4727="NEW"),"",COUNTBLANK(OFFSET(A$1,,,SUMPRODUCT(MAX(ROW(E$2:E4727)*(E4727=E$2:E4727)))))-COUNTBLANK(OFFSET(A$1,,,SUMPRODUCT(MAX(ROW(E$1:E4726)*(E2=E$1:E4726))))))</f>
        <v> </v>
      </c>
      <c r="K4727" s="26" t="str">
        <f>IF(OR(E4727="",E4727="!!!",F4727="NEW"),"",INDEX(J$1:J4726,SUMPRODUCT(MAX(ROW(E$1:E4726)*(E4727=E$1:E4726)))))</f>
        <v> </v>
      </c>
      <c r="L4727" s="27"/>
    </row>
    <row r="4728" spans="1:12">
      <c r="A4728" s="20" t="s">
        <v>2400</v>
      </c>
      <c r="E4728" s="22">
        <f>IF(D4728="?OLD","!!!","")</f>
        <v/>
      </c>
      <c r="F4728" s="23" t="str">
        <f>IF(OR(E4728="",E4728="!!!"),"",IF(NOT(ISNA(VLOOKUP(E4728,E$1:E4727,1,FALSE()))),"OLD",IF(AND(E4728&lt;&gt;"",E4728&lt;&gt;"!!!"),"NEW","")))</f>
        <v> </v>
      </c>
      <c r="G4728" s="24" t="str">
        <f>IF(OR(E4728="",E4728="!!!"),"",IF(OR(J4728=0,AND(J4728=1,K4728=1),AND(J4728=1,I4728="SBJ"),AND(J4728=1,I4728=0)),"?IN_FOCUS",IF(J4728&lt;=2,"?ACTIVATED",IF(J4728&lt;&gt;"","?FAMILIAR",IF(F4728="NEW",IF(ISNA(VLOOKUP(E4728,#REF!,1,FALSE())),"?TYPE_IDENTIFIABLE","?REFERENTIAL"),"_")))))</f>
        <v> </v>
      </c>
      <c r="H4728" s="25" t="str">
        <f>IF(J4728&lt;&gt;1,"",IF(I4728="SBJ","CB","?"))</f>
        <v> </v>
      </c>
      <c r="I4728" s="26" t="str">
        <f>IF(OR(E4728="",E4728="!!!",F4728="NEW"),"",INDEX(B4727:B$2,-1+SUMPRODUCT(MAX(ROW(E4727:E$2)*(E4728=E4727:E$2)))))</f>
        <v> </v>
      </c>
      <c r="J4728" s="26" t="str">
        <f>IF(OR(E4728="",E4728="!!!",F4728="NEW"),"",COUNTBLANK(OFFSET(A$1,,,SUMPRODUCT(MAX(ROW(E$2:E4728)*(E4728=E$2:E4728)))))-COUNTBLANK(OFFSET(A$1,,,SUMPRODUCT(MAX(ROW(E$1:E4727)*(E2=E$1:E4727))))))</f>
        <v> </v>
      </c>
      <c r="K4728" s="26" t="str">
        <f>IF(OR(E4728="",E4728="!!!",F4728="NEW"),"",INDEX(J$1:J4727,SUMPRODUCT(MAX(ROW(E$1:E4727)*(E4728=E$1:E4727)))))</f>
        <v> </v>
      </c>
      <c r="L4728" s="27"/>
    </row>
    <row r="4729" spans="1:12">
      <c r="A4729" s="20" t="s">
        <v>1166</v>
      </c>
      <c r="B4729" s="21" t="s">
        <v>1121</v>
      </c>
      <c r="C4729" s="21" t="s">
        <v>1076</v>
      </c>
      <c r="D4729" s="21" t="s">
        <v>1060</v>
      </c>
      <c r="E4729" s="22">
        <f>IF(D4729="?OLD","!!!","")</f>
        <v/>
      </c>
      <c r="F4729" s="23" t="str">
        <f>IF(OR(E4729="",E4729="!!!"),"",IF(NOT(ISNA(VLOOKUP(E4729,E$1:E4728,1,FALSE()))),"OLD",IF(AND(E4729&lt;&gt;"",E4729&lt;&gt;"!!!"),"NEW","")))</f>
        <v> </v>
      </c>
      <c r="G4729" s="24" t="str">
        <f>IF(OR(E4729="",E4729="!!!"),"",IF(OR(J4729=0,AND(J4729=1,K4729=1),AND(J4729=1,I4729="SBJ"),AND(J4729=1,I4729=0)),"?IN_FOCUS",IF(J4729&lt;=2,"?ACTIVATED",IF(J4729&lt;&gt;"","?FAMILIAR",IF(F4729="NEW",IF(ISNA(VLOOKUP(E4729,#REF!,1,FALSE())),"?TYPE_IDENTIFIABLE","?REFERENTIAL"),"_")))))</f>
        <v> </v>
      </c>
      <c r="H4729" s="25" t="str">
        <f>IF(J4729&lt;&gt;1,"",IF(I4729="SBJ","CB","?"))</f>
        <v> </v>
      </c>
      <c r="I4729" s="26" t="str">
        <f>IF(OR(E4729="",E4729="!!!",F4729="NEW"),"",INDEX(B4728:B$2,-1+SUMPRODUCT(MAX(ROW(E4728:E$2)*(E4729=E4728:E$2)))))</f>
        <v> </v>
      </c>
      <c r="J4729" s="26" t="str">
        <f>IF(OR(E4729="",E4729="!!!",F4729="NEW"),"",COUNTBLANK(OFFSET(A$1,,,SUMPRODUCT(MAX(ROW(E$2:E4729)*(E4729=E$2:E4729)))))-COUNTBLANK(OFFSET(A$1,,,SUMPRODUCT(MAX(ROW(E$1:E4728)*(E2=E$1:E4728))))))</f>
        <v> </v>
      </c>
      <c r="K4729" s="26" t="str">
        <f>IF(OR(E4729="",E4729="!!!",F4729="NEW"),"",INDEX(J$1:J4728,SUMPRODUCT(MAX(ROW(E$1:E4728)*(E4729=E$1:E4728)))))</f>
        <v> </v>
      </c>
      <c r="L4729" s="27"/>
    </row>
    <row r="4730" spans="1:12">
      <c r="A4730" s="20" t="s">
        <v>1260</v>
      </c>
      <c r="E4730" s="22">
        <f>IF(D4730="?OLD","!!!","")</f>
        <v/>
      </c>
      <c r="F4730" s="23" t="str">
        <f>IF(OR(E4730="",E4730="!!!"),"",IF(NOT(ISNA(VLOOKUP(E4730,E$1:E4729,1,FALSE()))),"OLD",IF(AND(E4730&lt;&gt;"",E4730&lt;&gt;"!!!"),"NEW","")))</f>
        <v> </v>
      </c>
      <c r="G4730" s="24" t="str">
        <f>IF(OR(E4730="",E4730="!!!"),"",IF(OR(J4730=0,AND(J4730=1,K4730=1),AND(J4730=1,I4730="SBJ"),AND(J4730=1,I4730=0)),"?IN_FOCUS",IF(J4730&lt;=2,"?ACTIVATED",IF(J4730&lt;&gt;"","?FAMILIAR",IF(F4730="NEW",IF(ISNA(VLOOKUP(E4730,#REF!,1,FALSE())),"?TYPE_IDENTIFIABLE","?REFERENTIAL"),"_")))))</f>
        <v> </v>
      </c>
      <c r="H4730" s="25" t="str">
        <f>IF(J4730&lt;&gt;1,"",IF(I4730="SBJ","CB","?"))</f>
        <v> </v>
      </c>
      <c r="I4730" s="26" t="str">
        <f>IF(OR(E4730="",E4730="!!!",F4730="NEW"),"",INDEX(B4729:B$2,-1+SUMPRODUCT(MAX(ROW(E4729:E$2)*(E4730=E4729:E$2)))))</f>
        <v> </v>
      </c>
      <c r="J4730" s="26" t="str">
        <f>IF(OR(E4730="",E4730="!!!",F4730="NEW"),"",COUNTBLANK(OFFSET(A$1,,,SUMPRODUCT(MAX(ROW(E$2:E4730)*(E4730=E$2:E4730)))))-COUNTBLANK(OFFSET(A$1,,,SUMPRODUCT(MAX(ROW(E$1:E4729)*(E2=E$1:E4729))))))</f>
        <v> </v>
      </c>
      <c r="K4730" s="26" t="str">
        <f>IF(OR(E4730="",E4730="!!!",F4730="NEW"),"",INDEX(J$1:J4729,SUMPRODUCT(MAX(ROW(E$1:E4729)*(E4730=E$1:E4729)))))</f>
        <v> </v>
      </c>
      <c r="L4730" s="27"/>
    </row>
    <row r="4731" spans="1:12">
      <c r="A4731" s="20" t="s">
        <v>1376</v>
      </c>
      <c r="E4731" s="22">
        <f>IF(D4731="?OLD","!!!","")</f>
        <v/>
      </c>
      <c r="F4731" s="23" t="str">
        <f>IF(OR(E4731="",E4731="!!!"),"",IF(NOT(ISNA(VLOOKUP(E4731,E$1:E4730,1,FALSE()))),"OLD",IF(AND(E4731&lt;&gt;"",E4731&lt;&gt;"!!!"),"NEW","")))</f>
        <v> </v>
      </c>
      <c r="G4731" s="24" t="str">
        <f>IF(OR(E4731="",E4731="!!!"),"",IF(OR(J4731=0,AND(J4731=1,K4731=1),AND(J4731=1,I4731="SBJ"),AND(J4731=1,I4731=0)),"?IN_FOCUS",IF(J4731&lt;=2,"?ACTIVATED",IF(J4731&lt;&gt;"","?FAMILIAR",IF(F4731="NEW",IF(ISNA(VLOOKUP(E4731,#REF!,1,FALSE())),"?TYPE_IDENTIFIABLE","?REFERENTIAL"),"_")))))</f>
        <v> </v>
      </c>
      <c r="H4731" s="25" t="str">
        <f>IF(J4731&lt;&gt;1,"",IF(I4731="SBJ","CB","?"))</f>
        <v> </v>
      </c>
      <c r="I4731" s="26" t="str">
        <f>IF(OR(E4731="",E4731="!!!",F4731="NEW"),"",INDEX(B4730:B$2,-1+SUMPRODUCT(MAX(ROW(E4730:E$2)*(E4731=E4730:E$2)))))</f>
        <v> </v>
      </c>
      <c r="J4731" s="26" t="str">
        <f>IF(OR(E4731="",E4731="!!!",F4731="NEW"),"",COUNTBLANK(OFFSET(A$1,,,SUMPRODUCT(MAX(ROW(E$2:E4731)*(E4731=E$2:E4731)))))-COUNTBLANK(OFFSET(A$1,,,SUMPRODUCT(MAX(ROW(E$1:E4730)*(E2=E$1:E4730))))))</f>
        <v> </v>
      </c>
      <c r="K4731" s="26" t="str">
        <f>IF(OR(E4731="",E4731="!!!",F4731="NEW"),"",INDEX(J$1:J4730,SUMPRODUCT(MAX(ROW(E$1:E4730)*(E4731=E$1:E4730)))))</f>
        <v> </v>
      </c>
      <c r="L4731" s="27"/>
    </row>
    <row r="4732" spans="1:12">
      <c r="A4732" s="20" t="s">
        <v>1120</v>
      </c>
      <c r="E4732" s="22">
        <f>IF(D4732="?OLD","!!!","")</f>
        <v/>
      </c>
      <c r="F4732" s="23" t="str">
        <f>IF(OR(E4732="",E4732="!!!"),"",IF(NOT(ISNA(VLOOKUP(E4732,E$1:E4731,1,FALSE()))),"OLD",IF(AND(E4732&lt;&gt;"",E4732&lt;&gt;"!!!"),"NEW","")))</f>
        <v> </v>
      </c>
      <c r="G4732" s="24" t="str">
        <f>IF(OR(E4732="",E4732="!!!"),"",IF(OR(J4732=0,AND(J4732=1,K4732=1),AND(J4732=1,I4732="SBJ"),AND(J4732=1,I4732=0)),"?IN_FOCUS",IF(J4732&lt;=2,"?ACTIVATED",IF(J4732&lt;&gt;"","?FAMILIAR",IF(F4732="NEW",IF(ISNA(VLOOKUP(E4732,#REF!,1,FALSE())),"?TYPE_IDENTIFIABLE","?REFERENTIAL"),"_")))))</f>
        <v> </v>
      </c>
      <c r="H4732" s="25" t="str">
        <f>IF(J4732&lt;&gt;1,"",IF(I4732="SBJ","CB","?"))</f>
        <v> </v>
      </c>
      <c r="I4732" s="26" t="str">
        <f>IF(OR(E4732="",E4732="!!!",F4732="NEW"),"",INDEX(B4731:B$2,-1+SUMPRODUCT(MAX(ROW(E4731:E$2)*(E4732=E4731:E$2)))))</f>
        <v> </v>
      </c>
      <c r="J4732" s="26" t="str">
        <f>IF(OR(E4732="",E4732="!!!",F4732="NEW"),"",COUNTBLANK(OFFSET(A$1,,,SUMPRODUCT(MAX(ROW(E$2:E4732)*(E4732=E$2:E4732)))))-COUNTBLANK(OFFSET(A$1,,,SUMPRODUCT(MAX(ROW(E$1:E4731)*(E2=E$1:E4731))))))</f>
        <v> </v>
      </c>
      <c r="K4732" s="26" t="str">
        <f>IF(OR(E4732="",E4732="!!!",F4732="NEW"),"",INDEX(J$1:J4731,SUMPRODUCT(MAX(ROW(E$1:E4731)*(E4732=E$1:E4731)))))</f>
        <v> </v>
      </c>
      <c r="L4732" s="27"/>
    </row>
    <row r="4733" spans="1:12">
      <c r="A4733" s="20" t="s">
        <v>2401</v>
      </c>
      <c r="E4733" s="22">
        <f>IF(D4733="?OLD","!!!","")</f>
        <v/>
      </c>
      <c r="F4733" s="23" t="str">
        <f>IF(OR(E4733="",E4733="!!!"),"",IF(NOT(ISNA(VLOOKUP(E4733,E$1:E4732,1,FALSE()))),"OLD",IF(AND(E4733&lt;&gt;"",E4733&lt;&gt;"!!!"),"NEW","")))</f>
        <v> </v>
      </c>
      <c r="G4733" s="24" t="str">
        <f>IF(OR(E4733="",E4733="!!!"),"",IF(OR(J4733=0,AND(J4733=1,K4733=1),AND(J4733=1,I4733="SBJ"),AND(J4733=1,I4733=0)),"?IN_FOCUS",IF(J4733&lt;=2,"?ACTIVATED",IF(J4733&lt;&gt;"","?FAMILIAR",IF(F4733="NEW",IF(ISNA(VLOOKUP(E4733,#REF!,1,FALSE())),"?TYPE_IDENTIFIABLE","?REFERENTIAL"),"_")))))</f>
        <v> </v>
      </c>
      <c r="H4733" s="25" t="str">
        <f>IF(J4733&lt;&gt;1,"",IF(I4733="SBJ","CB","?"))</f>
        <v> </v>
      </c>
      <c r="I4733" s="26" t="str">
        <f>IF(OR(E4733="",E4733="!!!",F4733="NEW"),"",INDEX(B4732:B$2,-1+SUMPRODUCT(MAX(ROW(E4732:E$2)*(E4733=E4732:E$2)))))</f>
        <v> </v>
      </c>
      <c r="J4733" s="26" t="str">
        <f>IF(OR(E4733="",E4733="!!!",F4733="NEW"),"",COUNTBLANK(OFFSET(A$1,,,SUMPRODUCT(MAX(ROW(E$2:E4733)*(E4733=E$2:E4733)))))-COUNTBLANK(OFFSET(A$1,,,SUMPRODUCT(MAX(ROW(E$1:E4732)*(E2=E$1:E4732))))))</f>
        <v> </v>
      </c>
      <c r="K4733" s="26" t="str">
        <f>IF(OR(E4733="",E4733="!!!",F4733="NEW"),"",INDEX(J$1:J4732,SUMPRODUCT(MAX(ROW(E$1:E4732)*(E4733=E$1:E4732)))))</f>
        <v> </v>
      </c>
      <c r="L4733" s="27"/>
    </row>
    <row r="4734" spans="1:12">
      <c r="A4734" s="20" t="s">
        <v>2402</v>
      </c>
      <c r="B4734" s="21" t="s">
        <v>1091</v>
      </c>
      <c r="C4734" s="21" t="s">
        <v>1159</v>
      </c>
      <c r="D4734" s="21" t="s">
        <v>1060</v>
      </c>
      <c r="E4734" s="22">
        <f>IF(D4734="?OLD","!!!","")</f>
        <v/>
      </c>
      <c r="F4734" s="23" t="str">
        <f>IF(OR(E4734="",E4734="!!!"),"",IF(NOT(ISNA(VLOOKUP(E4734,E$1:E4733,1,FALSE()))),"OLD",IF(AND(E4734&lt;&gt;"",E4734&lt;&gt;"!!!"),"NEW","")))</f>
        <v> </v>
      </c>
      <c r="G4734" s="24" t="str">
        <f>IF(OR(E4734="",E4734="!!!"),"",IF(OR(J4734=0,AND(J4734=1,K4734=1),AND(J4734=1,I4734="SBJ"),AND(J4734=1,I4734=0)),"?IN_FOCUS",IF(J4734&lt;=2,"?ACTIVATED",IF(J4734&lt;&gt;"","?FAMILIAR",IF(F4734="NEW",IF(ISNA(VLOOKUP(E4734,#REF!,1,FALSE())),"?TYPE_IDENTIFIABLE","?REFERENTIAL"),"_")))))</f>
        <v> </v>
      </c>
      <c r="H4734" s="25" t="str">
        <f>IF(J4734&lt;&gt;1,"",IF(I4734="SBJ","CB","?"))</f>
        <v> </v>
      </c>
      <c r="I4734" s="26" t="str">
        <f>IF(OR(E4734="",E4734="!!!",F4734="NEW"),"",INDEX(B4733:B$2,-1+SUMPRODUCT(MAX(ROW(E4733:E$2)*(E4734=E4733:E$2)))))</f>
        <v> </v>
      </c>
      <c r="J4734" s="26" t="str">
        <f>IF(OR(E4734="",E4734="!!!",F4734="NEW"),"",COUNTBLANK(OFFSET(A$1,,,SUMPRODUCT(MAX(ROW(E$2:E4734)*(E4734=E$2:E4734)))))-COUNTBLANK(OFFSET(A$1,,,SUMPRODUCT(MAX(ROW(E$1:E4733)*(E2=E$1:E4733))))))</f>
        <v> </v>
      </c>
      <c r="K4734" s="26" t="str">
        <f>IF(OR(E4734="",E4734="!!!",F4734="NEW"),"",INDEX(J$1:J4733,SUMPRODUCT(MAX(ROW(E$1:E4733)*(E4734=E$1:E4733)))))</f>
        <v> </v>
      </c>
      <c r="L4734" s="27"/>
    </row>
    <row r="4735" spans="1:12">
      <c r="A4735" s="20" t="s">
        <v>1070</v>
      </c>
      <c r="E4735" s="22">
        <f>IF(D4735="?OLD","!!!","")</f>
        <v/>
      </c>
      <c r="F4735" s="23" t="str">
        <f>IF(OR(E4735="",E4735="!!!"),"",IF(NOT(ISNA(VLOOKUP(E4735,E$1:E4734,1,FALSE()))),"OLD",IF(AND(E4735&lt;&gt;"",E4735&lt;&gt;"!!!"),"NEW","")))</f>
        <v> </v>
      </c>
      <c r="G4735" s="24" t="str">
        <f>IF(OR(E4735="",E4735="!!!"),"",IF(OR(J4735=0,AND(J4735=1,K4735=1),AND(J4735=1,I4735="SBJ"),AND(J4735=1,I4735=0)),"?IN_FOCUS",IF(J4735&lt;=2,"?ACTIVATED",IF(J4735&lt;&gt;"","?FAMILIAR",IF(F4735="NEW",IF(ISNA(VLOOKUP(E4735,#REF!,1,FALSE())),"?TYPE_IDENTIFIABLE","?REFERENTIAL"),"_")))))</f>
        <v> </v>
      </c>
      <c r="H4735" s="25" t="str">
        <f>IF(J4735&lt;&gt;1,"",IF(I4735="SBJ","CB","?"))</f>
        <v> </v>
      </c>
      <c r="I4735" s="26" t="str">
        <f>IF(OR(E4735="",E4735="!!!",F4735="NEW"),"",INDEX(B4734:B$2,-1+SUMPRODUCT(MAX(ROW(E4734:E$2)*(E4735=E4734:E$2)))))</f>
        <v> </v>
      </c>
      <c r="J4735" s="26" t="str">
        <f>IF(OR(E4735="",E4735="!!!",F4735="NEW"),"",COUNTBLANK(OFFSET(A$1,,,SUMPRODUCT(MAX(ROW(E$2:E4735)*(E4735=E$2:E4735)))))-COUNTBLANK(OFFSET(A$1,,,SUMPRODUCT(MAX(ROW(E$1:E4734)*(E2=E$1:E4734))))))</f>
        <v> </v>
      </c>
      <c r="K4735" s="26" t="str">
        <f>IF(OR(E4735="",E4735="!!!",F4735="NEW"),"",INDEX(J$1:J4734,SUMPRODUCT(MAX(ROW(E$1:E4734)*(E4735=E$1:E4734)))))</f>
        <v> </v>
      </c>
      <c r="L4735" s="27"/>
    </row>
    <row r="4736" spans="1:12">
      <c r="A4736" s="20" t="s">
        <v>587</v>
      </c>
      <c r="E4736" s="22">
        <f>IF(D4736="?OLD","!!!","")</f>
        <v/>
      </c>
      <c r="F4736" s="23" t="str">
        <f>IF(OR(E4736="",E4736="!!!"),"",IF(NOT(ISNA(VLOOKUP(E4736,E$1:E4735,1,FALSE()))),"OLD",IF(AND(E4736&lt;&gt;"",E4736&lt;&gt;"!!!"),"NEW","")))</f>
        <v> </v>
      </c>
      <c r="G4736" s="24" t="str">
        <f>IF(OR(E4736="",E4736="!!!"),"",IF(OR(J4736=0,AND(J4736=1,K4736=1),AND(J4736=1,I4736="SBJ"),AND(J4736=1,I4736=0)),"?IN_FOCUS",IF(J4736&lt;=2,"?ACTIVATED",IF(J4736&lt;&gt;"","?FAMILIAR",IF(F4736="NEW",IF(ISNA(VLOOKUP(E4736,#REF!,1,FALSE())),"?TYPE_IDENTIFIABLE","?REFERENTIAL"),"_")))))</f>
        <v> </v>
      </c>
      <c r="H4736" s="25" t="str">
        <f>IF(J4736&lt;&gt;1,"",IF(I4736="SBJ","CB","?"))</f>
        <v> </v>
      </c>
      <c r="I4736" s="26" t="str">
        <f>IF(OR(E4736="",E4736="!!!",F4736="NEW"),"",INDEX(B4735:B$2,-1+SUMPRODUCT(MAX(ROW(E4735:E$2)*(E4736=E4735:E$2)))))</f>
        <v> </v>
      </c>
      <c r="J4736" s="26" t="str">
        <f>IF(OR(E4736="",E4736="!!!",F4736="NEW"),"",COUNTBLANK(OFFSET(A$1,,,SUMPRODUCT(MAX(ROW(E$2:E4736)*(E4736=E$2:E4736)))))-COUNTBLANK(OFFSET(A$1,,,SUMPRODUCT(MAX(ROW(E$1:E4735)*(E2=E$1:E4735))))))</f>
        <v> </v>
      </c>
      <c r="K4736" s="26" t="str">
        <f>IF(OR(E4736="",E4736="!!!",F4736="NEW"),"",INDEX(J$1:J4735,SUMPRODUCT(MAX(ROW(E$1:E4735)*(E4736=E$1:E4735)))))</f>
        <v> </v>
      </c>
      <c r="L4736" s="27"/>
    </row>
    <row r="4737" spans="1:12">
      <c r="A4737" s="20" t="s">
        <v>2403</v>
      </c>
      <c r="B4737" s="21" t="s">
        <v>1084</v>
      </c>
      <c r="E4737" s="22">
        <f>IF(D4737="?OLD","!!!","")</f>
        <v/>
      </c>
      <c r="F4737" s="23" t="str">
        <f>IF(OR(E4737="",E4737="!!!"),"",IF(NOT(ISNA(VLOOKUP(E4737,E$1:E4736,1,FALSE()))),"OLD",IF(AND(E4737&lt;&gt;"",E4737&lt;&gt;"!!!"),"NEW","")))</f>
        <v> </v>
      </c>
      <c r="G4737" s="24" t="str">
        <f>IF(OR(E4737="",E4737="!!!"),"",IF(OR(J4737=0,AND(J4737=1,K4737=1),AND(J4737=1,I4737="SBJ"),AND(J4737=1,I4737=0)),"?IN_FOCUS",IF(J4737&lt;=2,"?ACTIVATED",IF(J4737&lt;&gt;"","?FAMILIAR",IF(F4737="NEW",IF(ISNA(VLOOKUP(E4737,#REF!,1,FALSE())),"?TYPE_IDENTIFIABLE","?REFERENTIAL"),"_")))))</f>
        <v> </v>
      </c>
      <c r="H4737" s="25" t="str">
        <f>IF(J4737&lt;&gt;1,"",IF(I4737="SBJ","CB","?"))</f>
        <v> </v>
      </c>
      <c r="I4737" s="26" t="str">
        <f>IF(OR(E4737="",E4737="!!!",F4737="NEW"),"",INDEX(B4736:B$2,-1+SUMPRODUCT(MAX(ROW(E4736:E$2)*(E4737=E4736:E$2)))))</f>
        <v> </v>
      </c>
      <c r="J4737" s="26" t="str">
        <f>IF(OR(E4737="",E4737="!!!",F4737="NEW"),"",COUNTBLANK(OFFSET(A$1,,,SUMPRODUCT(MAX(ROW(E$2:E4737)*(E4737=E$2:E4737)))))-COUNTBLANK(OFFSET(A$1,,,SUMPRODUCT(MAX(ROW(E$1:E4736)*(E2=E$1:E4736))))))</f>
        <v> </v>
      </c>
      <c r="K4737" s="26" t="str">
        <f>IF(OR(E4737="",E4737="!!!",F4737="NEW"),"",INDEX(J$1:J4736,SUMPRODUCT(MAX(ROW(E$1:E4736)*(E4737=E$1:E4736)))))</f>
        <v> </v>
      </c>
      <c r="L4737" s="27"/>
    </row>
    <row r="4738" spans="1:12">
      <c r="A4738" s="20" t="s">
        <v>1118</v>
      </c>
      <c r="E4738" s="22">
        <f>IF(D4738="?OLD","!!!","")</f>
        <v/>
      </c>
      <c r="F4738" s="23" t="str">
        <f>IF(OR(E4738="",E4738="!!!"),"",IF(NOT(ISNA(VLOOKUP(E4738,E$1:E4737,1,FALSE()))),"OLD",IF(AND(E4738&lt;&gt;"",E4738&lt;&gt;"!!!"),"NEW","")))</f>
        <v> </v>
      </c>
      <c r="G4738" s="24" t="str">
        <f>IF(OR(E4738="",E4738="!!!"),"",IF(OR(J4738=0,AND(J4738=1,K4738=1),AND(J4738=1,I4738="SBJ"),AND(J4738=1,I4738=0)),"?IN_FOCUS",IF(J4738&lt;=2,"?ACTIVATED",IF(J4738&lt;&gt;"","?FAMILIAR",IF(F4738="NEW",IF(ISNA(VLOOKUP(E4738,#REF!,1,FALSE())),"?TYPE_IDENTIFIABLE","?REFERENTIAL"),"_")))))</f>
        <v> </v>
      </c>
      <c r="H4738" s="25" t="str">
        <f>IF(J4738&lt;&gt;1,"",IF(I4738="SBJ","CB","?"))</f>
        <v> </v>
      </c>
      <c r="I4738" s="26" t="str">
        <f>IF(OR(E4738="",E4738="!!!",F4738="NEW"),"",INDEX(B4737:B$2,-1+SUMPRODUCT(MAX(ROW(E4737:E$2)*(E4738=E4737:E$2)))))</f>
        <v> </v>
      </c>
      <c r="J4738" s="26" t="str">
        <f>IF(OR(E4738="",E4738="!!!",F4738="NEW"),"",COUNTBLANK(OFFSET(A$1,,,SUMPRODUCT(MAX(ROW(E$2:E4738)*(E4738=E$2:E4738)))))-COUNTBLANK(OFFSET(A$1,,,SUMPRODUCT(MAX(ROW(E$1:E4737)*(E2=E$1:E4737))))))</f>
        <v> </v>
      </c>
      <c r="K4738" s="26" t="str">
        <f>IF(OR(E4738="",E4738="!!!",F4738="NEW"),"",INDEX(J$1:J4737,SUMPRODUCT(MAX(ROW(E$1:E4737)*(E4738=E$1:E4737)))))</f>
        <v> </v>
      </c>
      <c r="L4738" s="27"/>
    </row>
    <row r="4739" spans="1:12">
      <c r="A4739" s="20" t="s">
        <v>2404</v>
      </c>
      <c r="E4739" s="22">
        <f>IF(D4739="?OLD","!!!","")</f>
        <v/>
      </c>
      <c r="F4739" s="23" t="str">
        <f>IF(OR(E4739="",E4739="!!!"),"",IF(NOT(ISNA(VLOOKUP(E4739,E$1:E4738,1,FALSE()))),"OLD",IF(AND(E4739&lt;&gt;"",E4739&lt;&gt;"!!!"),"NEW","")))</f>
        <v> </v>
      </c>
      <c r="G4739" s="24" t="str">
        <f>IF(OR(E4739="",E4739="!!!"),"",IF(OR(J4739=0,AND(J4739=1,K4739=1),AND(J4739=1,I4739="SBJ"),AND(J4739=1,I4739=0)),"?IN_FOCUS",IF(J4739&lt;=2,"?ACTIVATED",IF(J4739&lt;&gt;"","?FAMILIAR",IF(F4739="NEW",IF(ISNA(VLOOKUP(E4739,#REF!,1,FALSE())),"?TYPE_IDENTIFIABLE","?REFERENTIAL"),"_")))))</f>
        <v> </v>
      </c>
      <c r="H4739" s="25" t="str">
        <f>IF(J4739&lt;&gt;1,"",IF(I4739="SBJ","CB","?"))</f>
        <v> </v>
      </c>
      <c r="I4739" s="26" t="str">
        <f>IF(OR(E4739="",E4739="!!!",F4739="NEW"),"",INDEX(B4738:B$2,-1+SUMPRODUCT(MAX(ROW(E4738:E$2)*(E4739=E4738:E$2)))))</f>
        <v> </v>
      </c>
      <c r="J4739" s="26" t="str">
        <f>IF(OR(E4739="",E4739="!!!",F4739="NEW"),"",COUNTBLANK(OFFSET(A$1,,,SUMPRODUCT(MAX(ROW(E$2:E4739)*(E4739=E$2:E4739)))))-COUNTBLANK(OFFSET(A$1,,,SUMPRODUCT(MAX(ROW(E$1:E4738)*(E2=E$1:E4738))))))</f>
        <v> </v>
      </c>
      <c r="K4739" s="26" t="str">
        <f>IF(OR(E4739="",E4739="!!!",F4739="NEW"),"",INDEX(J$1:J4738,SUMPRODUCT(MAX(ROW(E$1:E4738)*(E4739=E$1:E4738)))))</f>
        <v> </v>
      </c>
      <c r="L4739" s="27"/>
    </row>
    <row r="4740" spans="1:12">
      <c r="A4740" s="20" t="s">
        <v>1085</v>
      </c>
      <c r="E4740" s="22">
        <f>IF(D4740="?OLD","!!!","")</f>
        <v/>
      </c>
      <c r="F4740" s="23" t="str">
        <f>IF(OR(E4740="",E4740="!!!"),"",IF(NOT(ISNA(VLOOKUP(E4740,E$1:E4739,1,FALSE()))),"OLD",IF(AND(E4740&lt;&gt;"",E4740&lt;&gt;"!!!"),"NEW","")))</f>
        <v> </v>
      </c>
      <c r="G4740" s="24" t="str">
        <f>IF(OR(E4740="",E4740="!!!"),"",IF(OR(J4740=0,AND(J4740=1,K4740=1),AND(J4740=1,I4740="SBJ"),AND(J4740=1,I4740=0)),"?IN_FOCUS",IF(J4740&lt;=2,"?ACTIVATED",IF(J4740&lt;&gt;"","?FAMILIAR",IF(F4740="NEW",IF(ISNA(VLOOKUP(E4740,#REF!,1,FALSE())),"?TYPE_IDENTIFIABLE","?REFERENTIAL"),"_")))))</f>
        <v> </v>
      </c>
      <c r="H4740" s="25" t="str">
        <f>IF(J4740&lt;&gt;1,"",IF(I4740="SBJ","CB","?"))</f>
        <v> </v>
      </c>
      <c r="I4740" s="26" t="str">
        <f>IF(OR(E4740="",E4740="!!!",F4740="NEW"),"",INDEX(B4739:B$2,-1+SUMPRODUCT(MAX(ROW(E4739:E$2)*(E4740=E4739:E$2)))))</f>
        <v> </v>
      </c>
      <c r="J4740" s="26" t="str">
        <f>IF(OR(E4740="",E4740="!!!",F4740="NEW"),"",COUNTBLANK(OFFSET(A$1,,,SUMPRODUCT(MAX(ROW(E$2:E4740)*(E4740=E$2:E4740)))))-COUNTBLANK(OFFSET(A$1,,,SUMPRODUCT(MAX(ROW(E$1:E4739)*(E2=E$1:E4739))))))</f>
        <v> </v>
      </c>
      <c r="K4740" s="26" t="str">
        <f>IF(OR(E4740="",E4740="!!!",F4740="NEW"),"",INDEX(J$1:J4739,SUMPRODUCT(MAX(ROW(E$1:E4739)*(E4740=E$1:E4739)))))</f>
        <v> </v>
      </c>
      <c r="L4740" s="27"/>
    </row>
    <row r="4741" spans="1:12">
      <c r="A4741" s="20" t="s">
        <v>1101</v>
      </c>
      <c r="E4741" s="22">
        <f>IF(D4741="?OLD","!!!","")</f>
        <v/>
      </c>
      <c r="F4741" s="23" t="str">
        <f>IF(OR(E4741="",E4741="!!!"),"",IF(NOT(ISNA(VLOOKUP(E4741,E$1:E4740,1,FALSE()))),"OLD",IF(AND(E4741&lt;&gt;"",E4741&lt;&gt;"!!!"),"NEW","")))</f>
        <v> </v>
      </c>
      <c r="G4741" s="24" t="str">
        <f>IF(OR(E4741="",E4741="!!!"),"",IF(OR(J4741=0,AND(J4741=1,K4741=1),AND(J4741=1,I4741="SBJ"),AND(J4741=1,I4741=0)),"?IN_FOCUS",IF(J4741&lt;=2,"?ACTIVATED",IF(J4741&lt;&gt;"","?FAMILIAR",IF(F4741="NEW",IF(ISNA(VLOOKUP(E4741,#REF!,1,FALSE())),"?TYPE_IDENTIFIABLE","?REFERENTIAL"),"_")))))</f>
        <v> </v>
      </c>
      <c r="H4741" s="25" t="str">
        <f>IF(J4741&lt;&gt;1,"",IF(I4741="SBJ","CB","?"))</f>
        <v> </v>
      </c>
      <c r="I4741" s="26" t="str">
        <f>IF(OR(E4741="",E4741="!!!",F4741="NEW"),"",INDEX(B4740:B$2,-1+SUMPRODUCT(MAX(ROW(E4740:E$2)*(E4741=E4740:E$2)))))</f>
        <v> </v>
      </c>
      <c r="J4741" s="26" t="str">
        <f>IF(OR(E4741="",E4741="!!!",F4741="NEW"),"",COUNTBLANK(OFFSET(A$1,,,SUMPRODUCT(MAX(ROW(E$2:E4741)*(E4741=E$2:E4741)))))-COUNTBLANK(OFFSET(A$1,,,SUMPRODUCT(MAX(ROW(E$1:E4740)*(E2=E$1:E4740))))))</f>
        <v> </v>
      </c>
      <c r="K4741" s="26" t="str">
        <f>IF(OR(E4741="",E4741="!!!",F4741="NEW"),"",INDEX(J$1:J4740,SUMPRODUCT(MAX(ROW(E$1:E4740)*(E4741=E$1:E4740)))))</f>
        <v> </v>
      </c>
      <c r="L4741" s="27"/>
    </row>
    <row r="4742" spans="1:12">
      <c r="A4742" s="20" t="s">
        <v>2405</v>
      </c>
      <c r="B4742" s="21" t="s">
        <v>1068</v>
      </c>
      <c r="C4742" s="21" t="s">
        <v>1140</v>
      </c>
      <c r="D4742" s="21" t="s">
        <v>1060</v>
      </c>
      <c r="E4742" s="22">
        <f>IF(D4742="?OLD","!!!","")</f>
        <v/>
      </c>
      <c r="F4742" s="23" t="str">
        <f>IF(OR(E4742="",E4742="!!!"),"",IF(NOT(ISNA(VLOOKUP(E4742,E$1:E4741,1,FALSE()))),"OLD",IF(AND(E4742&lt;&gt;"",E4742&lt;&gt;"!!!"),"NEW","")))</f>
        <v> </v>
      </c>
      <c r="G4742" s="24" t="str">
        <f>IF(OR(E4742="",E4742="!!!"),"",IF(OR(J4742=0,AND(J4742=1,K4742=1),AND(J4742=1,I4742="SBJ"),AND(J4742=1,I4742=0)),"?IN_FOCUS",IF(J4742&lt;=2,"?ACTIVATED",IF(J4742&lt;&gt;"","?FAMILIAR",IF(F4742="NEW",IF(ISNA(VLOOKUP(E4742,#REF!,1,FALSE())),"?TYPE_IDENTIFIABLE","?REFERENTIAL"),"_")))))</f>
        <v> </v>
      </c>
      <c r="H4742" s="25" t="str">
        <f>IF(J4742&lt;&gt;1,"",IF(I4742="SBJ","CB","?"))</f>
        <v> </v>
      </c>
      <c r="I4742" s="26" t="str">
        <f>IF(OR(E4742="",E4742="!!!",F4742="NEW"),"",INDEX(B4741:B$2,-1+SUMPRODUCT(MAX(ROW(E4741:E$2)*(E4742=E4741:E$2)))))</f>
        <v> </v>
      </c>
      <c r="J4742" s="26" t="str">
        <f>IF(OR(E4742="",E4742="!!!",F4742="NEW"),"",COUNTBLANK(OFFSET(A$1,,,SUMPRODUCT(MAX(ROW(E$2:E4742)*(E4742=E$2:E4742)))))-COUNTBLANK(OFFSET(A$1,,,SUMPRODUCT(MAX(ROW(E$1:E4741)*(E2=E$1:E4741))))))</f>
        <v> </v>
      </c>
      <c r="K4742" s="26" t="str">
        <f>IF(OR(E4742="",E4742="!!!",F4742="NEW"),"",INDEX(J$1:J4741,SUMPRODUCT(MAX(ROW(E$1:E4741)*(E4742=E$1:E4741)))))</f>
        <v> </v>
      </c>
      <c r="L4742" s="27"/>
    </row>
    <row r="4743" spans="1:12">
      <c r="A4743" s="20" t="s">
        <v>1160</v>
      </c>
      <c r="E4743" s="22">
        <f>IF(D4743="?OLD","!!!","")</f>
        <v/>
      </c>
      <c r="F4743" s="23" t="str">
        <f>IF(OR(E4743="",E4743="!!!"),"",IF(NOT(ISNA(VLOOKUP(E4743,E$1:E4742,1,FALSE()))),"OLD",IF(AND(E4743&lt;&gt;"",E4743&lt;&gt;"!!!"),"NEW","")))</f>
        <v> </v>
      </c>
      <c r="G4743" s="24" t="str">
        <f>IF(OR(E4743="",E4743="!!!"),"",IF(OR(J4743=0,AND(J4743=1,K4743=1),AND(J4743=1,I4743="SBJ"),AND(J4743=1,I4743=0)),"?IN_FOCUS",IF(J4743&lt;=2,"?ACTIVATED",IF(J4743&lt;&gt;"","?FAMILIAR",IF(F4743="NEW",IF(ISNA(VLOOKUP(E4743,#REF!,1,FALSE())),"?TYPE_IDENTIFIABLE","?REFERENTIAL"),"_")))))</f>
        <v> </v>
      </c>
      <c r="H4743" s="25" t="str">
        <f>IF(J4743&lt;&gt;1,"",IF(I4743="SBJ","CB","?"))</f>
        <v> </v>
      </c>
      <c r="I4743" s="26" t="str">
        <f>IF(OR(E4743="",E4743="!!!",F4743="NEW"),"",INDEX(B4742:B$2,-1+SUMPRODUCT(MAX(ROW(E4742:E$2)*(E4743=E4742:E$2)))))</f>
        <v> </v>
      </c>
      <c r="J4743" s="26" t="str">
        <f>IF(OR(E4743="",E4743="!!!",F4743="NEW"),"",COUNTBLANK(OFFSET(A$1,,,SUMPRODUCT(MAX(ROW(E$2:E4743)*(E4743=E$2:E4743)))))-COUNTBLANK(OFFSET(A$1,,,SUMPRODUCT(MAX(ROW(E$1:E4742)*(E2=E$1:E4742))))))</f>
        <v> </v>
      </c>
      <c r="K4743" s="26" t="str">
        <f>IF(OR(E4743="",E4743="!!!",F4743="NEW"),"",INDEX(J$1:J4742,SUMPRODUCT(MAX(ROW(E$1:E4742)*(E4743=E$1:E4742)))))</f>
        <v> </v>
      </c>
      <c r="L4743" s="27"/>
    </row>
    <row r="4744" spans="1:12">
      <c r="A4744" s="20" t="s">
        <v>1115</v>
      </c>
      <c r="E4744" s="22">
        <f>IF(D4744="?OLD","!!!","")</f>
        <v/>
      </c>
      <c r="F4744" s="23" t="str">
        <f>IF(OR(E4744="",E4744="!!!"),"",IF(NOT(ISNA(VLOOKUP(E4744,E$1:E4743,1,FALSE()))),"OLD",IF(AND(E4744&lt;&gt;"",E4744&lt;&gt;"!!!"),"NEW","")))</f>
        <v> </v>
      </c>
      <c r="G4744" s="24" t="str">
        <f>IF(OR(E4744="",E4744="!!!"),"",IF(OR(J4744=0,AND(J4744=1,K4744=1),AND(J4744=1,I4744="SBJ"),AND(J4744=1,I4744=0)),"?IN_FOCUS",IF(J4744&lt;=2,"?ACTIVATED",IF(J4744&lt;&gt;"","?FAMILIAR",IF(F4744="NEW",IF(ISNA(VLOOKUP(E4744,#REF!,1,FALSE())),"?TYPE_IDENTIFIABLE","?REFERENTIAL"),"_")))))</f>
        <v> </v>
      </c>
      <c r="H4744" s="25" t="str">
        <f>IF(J4744&lt;&gt;1,"",IF(I4744="SBJ","CB","?"))</f>
        <v> </v>
      </c>
      <c r="I4744" s="26" t="str">
        <f>IF(OR(E4744="",E4744="!!!",F4744="NEW"),"",INDEX(B4743:B$2,-1+SUMPRODUCT(MAX(ROW(E4743:E$2)*(E4744=E4743:E$2)))))</f>
        <v> </v>
      </c>
      <c r="J4744" s="26" t="str">
        <f>IF(OR(E4744="",E4744="!!!",F4744="NEW"),"",COUNTBLANK(OFFSET(A$1,,,SUMPRODUCT(MAX(ROW(E$2:E4744)*(E4744=E$2:E4744)))))-COUNTBLANK(OFFSET(A$1,,,SUMPRODUCT(MAX(ROW(E$1:E4743)*(E2=E$1:E4743))))))</f>
        <v> </v>
      </c>
      <c r="K4744" s="26" t="str">
        <f>IF(OR(E4744="",E4744="!!!",F4744="NEW"),"",INDEX(J$1:J4743,SUMPRODUCT(MAX(ROW(E$1:E4743)*(E4744=E$1:E4743)))))</f>
        <v> </v>
      </c>
      <c r="L4744" s="27"/>
    </row>
    <row r="4745" spans="1:12">
      <c r="A4745" s="20" t="s">
        <v>1074</v>
      </c>
      <c r="B4745" s="21" t="s">
        <v>1179</v>
      </c>
      <c r="C4745" s="21" t="s">
        <v>1076</v>
      </c>
      <c r="D4745" s="21" t="s">
        <v>1060</v>
      </c>
      <c r="E4745" s="22">
        <f>IF(D4745="?OLD","!!!","")</f>
        <v/>
      </c>
      <c r="F4745" s="23" t="str">
        <f>IF(OR(E4745="",E4745="!!!"),"",IF(NOT(ISNA(VLOOKUP(E4745,E$1:E4744,1,FALSE()))),"OLD",IF(AND(E4745&lt;&gt;"",E4745&lt;&gt;"!!!"),"NEW","")))</f>
        <v> </v>
      </c>
      <c r="G4745" s="24" t="str">
        <f>IF(OR(E4745="",E4745="!!!"),"",IF(OR(J4745=0,AND(J4745=1,K4745=1),AND(J4745=1,I4745="SBJ"),AND(J4745=1,I4745=0)),"?IN_FOCUS",IF(J4745&lt;=2,"?ACTIVATED",IF(J4745&lt;&gt;"","?FAMILIAR",IF(F4745="NEW",IF(ISNA(VLOOKUP(E4745,#REF!,1,FALSE())),"?TYPE_IDENTIFIABLE","?REFERENTIAL"),"_")))))</f>
        <v> </v>
      </c>
      <c r="H4745" s="25" t="str">
        <f>IF(J4745&lt;&gt;1,"",IF(I4745="SBJ","CB","?"))</f>
        <v> </v>
      </c>
      <c r="I4745" s="26" t="str">
        <f>IF(OR(E4745="",E4745="!!!",F4745="NEW"),"",INDEX(B4744:B$2,-1+SUMPRODUCT(MAX(ROW(E4744:E$2)*(E4745=E4744:E$2)))))</f>
        <v> </v>
      </c>
      <c r="J4745" s="26" t="str">
        <f>IF(OR(E4745="",E4745="!!!",F4745="NEW"),"",COUNTBLANK(OFFSET(A$1,,,SUMPRODUCT(MAX(ROW(E$2:E4745)*(E4745=E$2:E4745)))))-COUNTBLANK(OFFSET(A$1,,,SUMPRODUCT(MAX(ROW(E$1:E4744)*(E2=E$1:E4744))))))</f>
        <v> </v>
      </c>
      <c r="K4745" s="26" t="str">
        <f>IF(OR(E4745="",E4745="!!!",F4745="NEW"),"",INDEX(J$1:J4744,SUMPRODUCT(MAX(ROW(E$1:E4744)*(E4745=E$1:E4744)))))</f>
        <v> </v>
      </c>
      <c r="L4745" s="27"/>
    </row>
    <row r="4746" spans="1:12">
      <c r="A4746" s="20" t="s">
        <v>1986</v>
      </c>
      <c r="E4746" s="22">
        <f>IF(D4746="?OLD","!!!","")</f>
        <v/>
      </c>
      <c r="F4746" s="23" t="str">
        <f>IF(OR(E4746="",E4746="!!!"),"",IF(NOT(ISNA(VLOOKUP(E4746,E$1:E4745,1,FALSE()))),"OLD",IF(AND(E4746&lt;&gt;"",E4746&lt;&gt;"!!!"),"NEW","")))</f>
        <v> </v>
      </c>
      <c r="G4746" s="24" t="str">
        <f>IF(OR(E4746="",E4746="!!!"),"",IF(OR(J4746=0,AND(J4746=1,K4746=1),AND(J4746=1,I4746="SBJ"),AND(J4746=1,I4746=0)),"?IN_FOCUS",IF(J4746&lt;=2,"?ACTIVATED",IF(J4746&lt;&gt;"","?FAMILIAR",IF(F4746="NEW",IF(ISNA(VLOOKUP(E4746,#REF!,1,FALSE())),"?TYPE_IDENTIFIABLE","?REFERENTIAL"),"_")))))</f>
        <v> </v>
      </c>
      <c r="H4746" s="25" t="str">
        <f>IF(J4746&lt;&gt;1,"",IF(I4746="SBJ","CB","?"))</f>
        <v> </v>
      </c>
      <c r="I4746" s="26" t="str">
        <f>IF(OR(E4746="",E4746="!!!",F4746="NEW"),"",INDEX(B4745:B$2,-1+SUMPRODUCT(MAX(ROW(E4745:E$2)*(E4746=E4745:E$2)))))</f>
        <v> </v>
      </c>
      <c r="J4746" s="26" t="str">
        <f>IF(OR(E4746="",E4746="!!!",F4746="NEW"),"",COUNTBLANK(OFFSET(A$1,,,SUMPRODUCT(MAX(ROW(E$2:E4746)*(E4746=E$2:E4746)))))-COUNTBLANK(OFFSET(A$1,,,SUMPRODUCT(MAX(ROW(E$1:E4745)*(E2=E$1:E4745))))))</f>
        <v> </v>
      </c>
      <c r="K4746" s="26" t="str">
        <f>IF(OR(E4746="",E4746="!!!",F4746="NEW"),"",INDEX(J$1:J4745,SUMPRODUCT(MAX(ROW(E$1:E4745)*(E4746=E$1:E4745)))))</f>
        <v> </v>
      </c>
      <c r="L4746" s="27"/>
    </row>
    <row r="4747" spans="1:12">
      <c r="A4747" s="20" t="s">
        <v>1166</v>
      </c>
      <c r="B4747" s="21" t="s">
        <v>1095</v>
      </c>
      <c r="C4747" s="21" t="s">
        <v>1076</v>
      </c>
      <c r="D4747" s="21" t="s">
        <v>1060</v>
      </c>
      <c r="E4747" s="22">
        <f>IF(D4747="?OLD","!!!","")</f>
        <v/>
      </c>
      <c r="F4747" s="23" t="str">
        <f>IF(OR(E4747="",E4747="!!!"),"",IF(NOT(ISNA(VLOOKUP(E4747,E$1:E4746,1,FALSE()))),"OLD",IF(AND(E4747&lt;&gt;"",E4747&lt;&gt;"!!!"),"NEW","")))</f>
        <v> </v>
      </c>
      <c r="G4747" s="24" t="str">
        <f>IF(OR(E4747="",E4747="!!!"),"",IF(OR(J4747=0,AND(J4747=1,K4747=1),AND(J4747=1,I4747="SBJ"),AND(J4747=1,I4747=0)),"?IN_FOCUS",IF(J4747&lt;=2,"?ACTIVATED",IF(J4747&lt;&gt;"","?FAMILIAR",IF(F4747="NEW",IF(ISNA(VLOOKUP(E4747,#REF!,1,FALSE())),"?TYPE_IDENTIFIABLE","?REFERENTIAL"),"_")))))</f>
        <v> </v>
      </c>
      <c r="H4747" s="25" t="str">
        <f>IF(J4747&lt;&gt;1,"",IF(I4747="SBJ","CB","?"))</f>
        <v> </v>
      </c>
      <c r="I4747" s="26" t="str">
        <f>IF(OR(E4747="",E4747="!!!",F4747="NEW"),"",INDEX(B4746:B$2,-1+SUMPRODUCT(MAX(ROW(E4746:E$2)*(E4747=E4746:E$2)))))</f>
        <v> </v>
      </c>
      <c r="J4747" s="26" t="str">
        <f>IF(OR(E4747="",E4747="!!!",F4747="NEW"),"",COUNTBLANK(OFFSET(A$1,,,SUMPRODUCT(MAX(ROW(E$2:E4747)*(E4747=E$2:E4747)))))-COUNTBLANK(OFFSET(A$1,,,SUMPRODUCT(MAX(ROW(E$1:E4746)*(E2=E$1:E4746))))))</f>
        <v> </v>
      </c>
      <c r="K4747" s="26" t="str">
        <f>IF(OR(E4747="",E4747="!!!",F4747="NEW"),"",INDEX(J$1:J4746,SUMPRODUCT(MAX(ROW(E$1:E4746)*(E4747=E$1:E4746)))))</f>
        <v> </v>
      </c>
      <c r="L4747" s="27"/>
    </row>
    <row r="4748" spans="1:12">
      <c r="A4748" s="20" t="s">
        <v>923</v>
      </c>
      <c r="E4748" s="22">
        <f>IF(D4748="?OLD","!!!","")</f>
        <v/>
      </c>
      <c r="F4748" s="23" t="str">
        <f>IF(OR(E4748="",E4748="!!!"),"",IF(NOT(ISNA(VLOOKUP(E4748,E$1:E4747,1,FALSE()))),"OLD",IF(AND(E4748&lt;&gt;"",E4748&lt;&gt;"!!!"),"NEW","")))</f>
        <v> </v>
      </c>
      <c r="G4748" s="24" t="str">
        <f>IF(OR(E4748="",E4748="!!!"),"",IF(OR(J4748=0,AND(J4748=1,K4748=1),AND(J4748=1,I4748="SBJ"),AND(J4748=1,I4748=0)),"?IN_FOCUS",IF(J4748&lt;=2,"?ACTIVATED",IF(J4748&lt;&gt;"","?FAMILIAR",IF(F4748="NEW",IF(ISNA(VLOOKUP(E4748,#REF!,1,FALSE())),"?TYPE_IDENTIFIABLE","?REFERENTIAL"),"_")))))</f>
        <v> </v>
      </c>
      <c r="H4748" s="25" t="str">
        <f>IF(J4748&lt;&gt;1,"",IF(I4748="SBJ","CB","?"))</f>
        <v> </v>
      </c>
      <c r="I4748" s="26" t="str">
        <f>IF(OR(E4748="",E4748="!!!",F4748="NEW"),"",INDEX(B4747:B$2,-1+SUMPRODUCT(MAX(ROW(E4747:E$2)*(E4748=E4747:E$2)))))</f>
        <v> </v>
      </c>
      <c r="J4748" s="26" t="str">
        <f>IF(OR(E4748="",E4748="!!!",F4748="NEW"),"",COUNTBLANK(OFFSET(A$1,,,SUMPRODUCT(MAX(ROW(E$2:E4748)*(E4748=E$2:E4748)))))-COUNTBLANK(OFFSET(A$1,,,SUMPRODUCT(MAX(ROW(E$1:E4747)*(E2=E$1:E4747))))))</f>
        <v> </v>
      </c>
      <c r="K4748" s="26" t="str">
        <f>IF(OR(E4748="",E4748="!!!",F4748="NEW"),"",INDEX(J$1:J4747,SUMPRODUCT(MAX(ROW(E$1:E4747)*(E4748=E$1:E4747)))))</f>
        <v> </v>
      </c>
      <c r="L4748" s="27"/>
    </row>
    <row r="4749" spans="1:12">
      <c r="A4749" s="20"/>
    </row>
    <row r="4750" spans="1:12">
      <c r="A4750" s="20" t="s">
        <v>2406</v>
      </c>
    </row>
    <row r="4751" spans="1:12">
      <c r="A4751" s="20" t="s">
        <v>2407</v>
      </c>
      <c r="E4751" s="22">
        <f>IF(D4751="?OLD","!!!","")</f>
        <v/>
      </c>
      <c r="F4751" s="23" t="str">
        <f>IF(OR(E4751="",E4751="!!!"),"",IF(NOT(ISNA(VLOOKUP(E4751,E$1:E4750,1,FALSE()))),"OLD",IF(AND(E4751&lt;&gt;"",E4751&lt;&gt;"!!!"),"NEW","")))</f>
        <v> </v>
      </c>
      <c r="G4751" s="24" t="str">
        <f>IF(OR(E4751="",E4751="!!!"),"",IF(OR(J4751=0,AND(J4751=1,K4751=1),AND(J4751=1,I4751="SBJ"),AND(J4751=1,I4751=0)),"?IN_FOCUS",IF(J4751&lt;=2,"?ACTIVATED",IF(J4751&lt;&gt;"","?FAMILIAR",IF(F4751="NEW",IF(ISNA(VLOOKUP(E4751,#REF!,1,FALSE())),"?TYPE_IDENTIFIABLE","?REFERENTIAL"),"_")))))</f>
        <v> </v>
      </c>
      <c r="H4751" s="25" t="str">
        <f>IF(J4751&lt;&gt;1,"",IF(I4751="SBJ","CB","?"))</f>
        <v> </v>
      </c>
      <c r="I4751" s="26" t="str">
        <f>IF(OR(E4751="",E4751="!!!",F4751="NEW"),"",INDEX(B4750:B$2,-1+SUMPRODUCT(MAX(ROW(E4750:E$2)*(E4751=E4750:E$2)))))</f>
        <v> </v>
      </c>
      <c r="J4751" s="26" t="str">
        <f>IF(OR(E4751="",E4751="!!!",F4751="NEW"),"",COUNTBLANK(OFFSET(A$1,,,SUMPRODUCT(MAX(ROW(E$2:E4751)*(E4751=E$2:E4751)))))-COUNTBLANK(OFFSET(A$1,,,SUMPRODUCT(MAX(ROW(E$1:E4750)*(E2=E$1:E4750))))))</f>
        <v> </v>
      </c>
      <c r="K4751" s="26" t="str">
        <f>IF(OR(E4751="",E4751="!!!",F4751="NEW"),"",INDEX(J$1:J4750,SUMPRODUCT(MAX(ROW(E$1:E4750)*(E4751=E$1:E4750)))))</f>
        <v> </v>
      </c>
      <c r="L4751" s="27"/>
    </row>
    <row r="4752" spans="1:12">
      <c r="A4752" s="20" t="s">
        <v>1181</v>
      </c>
      <c r="E4752" s="22">
        <f>IF(D4752="?OLD","!!!","")</f>
        <v/>
      </c>
      <c r="F4752" s="23" t="str">
        <f>IF(OR(E4752="",E4752="!!!"),"",IF(NOT(ISNA(VLOOKUP(E4752,E$1:E4751,1,FALSE()))),"OLD",IF(AND(E4752&lt;&gt;"",E4752&lt;&gt;"!!!"),"NEW","")))</f>
        <v> </v>
      </c>
      <c r="G4752" s="24" t="str">
        <f>IF(OR(E4752="",E4752="!!!"),"",IF(OR(J4752=0,AND(J4752=1,K4752=1),AND(J4752=1,I4752="SBJ"),AND(J4752=1,I4752=0)),"?IN_FOCUS",IF(J4752&lt;=2,"?ACTIVATED",IF(J4752&lt;&gt;"","?FAMILIAR",IF(F4752="NEW",IF(ISNA(VLOOKUP(E4752,#REF!,1,FALSE())),"?TYPE_IDENTIFIABLE","?REFERENTIAL"),"_")))))</f>
        <v> </v>
      </c>
      <c r="H4752" s="25" t="str">
        <f>IF(J4752&lt;&gt;1,"",IF(I4752="SBJ","CB","?"))</f>
        <v> </v>
      </c>
      <c r="I4752" s="26" t="str">
        <f>IF(OR(E4752="",E4752="!!!",F4752="NEW"),"",INDEX(B4751:B$2,-1+SUMPRODUCT(MAX(ROW(E4751:E$2)*(E4752=E4751:E$2)))))</f>
        <v> </v>
      </c>
      <c r="J4752" s="26" t="str">
        <f>IF(OR(E4752="",E4752="!!!",F4752="NEW"),"",COUNTBLANK(OFFSET(A$1,,,SUMPRODUCT(MAX(ROW(E$2:E4752)*(E4752=E$2:E4752)))))-COUNTBLANK(OFFSET(A$1,,,SUMPRODUCT(MAX(ROW(E$1:E4751)*(E2=E$1:E4751))))))</f>
        <v> </v>
      </c>
      <c r="K4752" s="26" t="str">
        <f>IF(OR(E4752="",E4752="!!!",F4752="NEW"),"",INDEX(J$1:J4751,SUMPRODUCT(MAX(ROW(E$1:E4751)*(E4752=E$1:E4751)))))</f>
        <v> </v>
      </c>
      <c r="L4752" s="27"/>
    </row>
    <row r="4753" spans="1:12">
      <c r="A4753" s="20" t="s">
        <v>1170</v>
      </c>
      <c r="B4753" s="21" t="s">
        <v>1058</v>
      </c>
      <c r="C4753" s="21" t="s">
        <v>1076</v>
      </c>
      <c r="D4753" s="21" t="s">
        <v>1060</v>
      </c>
      <c r="E4753" s="22">
        <f>IF(D4753="?OLD","!!!","")</f>
        <v/>
      </c>
      <c r="F4753" s="23" t="str">
        <f>IF(OR(E4753="",E4753="!!!"),"",IF(NOT(ISNA(VLOOKUP(E4753,E$1:E4752,1,FALSE()))),"OLD",IF(AND(E4753&lt;&gt;"",E4753&lt;&gt;"!!!"),"NEW","")))</f>
        <v> </v>
      </c>
      <c r="G4753" s="24" t="str">
        <f>IF(OR(E4753="",E4753="!!!"),"",IF(OR(J4753=0,AND(J4753=1,K4753=1),AND(J4753=1,I4753="SBJ"),AND(J4753=1,I4753=0)),"?IN_FOCUS",IF(J4753&lt;=2,"?ACTIVATED",IF(J4753&lt;&gt;"","?FAMILIAR",IF(F4753="NEW",IF(ISNA(VLOOKUP(E4753,#REF!,1,FALSE())),"?TYPE_IDENTIFIABLE","?REFERENTIAL"),"_")))))</f>
        <v> </v>
      </c>
      <c r="H4753" s="25" t="str">
        <f>IF(J4753&lt;&gt;1,"",IF(I4753="SBJ","CB","?"))</f>
        <v> </v>
      </c>
      <c r="I4753" s="26" t="str">
        <f>IF(OR(E4753="",E4753="!!!",F4753="NEW"),"",INDEX(B4752:B$2,-1+SUMPRODUCT(MAX(ROW(E4752:E$2)*(E4753=E4752:E$2)))))</f>
        <v> </v>
      </c>
      <c r="J4753" s="26" t="str">
        <f>IF(OR(E4753="",E4753="!!!",F4753="NEW"),"",COUNTBLANK(OFFSET(A$1,,,SUMPRODUCT(MAX(ROW(E$2:E4753)*(E4753=E$2:E4753)))))-COUNTBLANK(OFFSET(A$1,,,SUMPRODUCT(MAX(ROW(E$1:E4752)*(E2=E$1:E4752))))))</f>
        <v> </v>
      </c>
      <c r="K4753" s="26" t="str">
        <f>IF(OR(E4753="",E4753="!!!",F4753="NEW"),"",INDEX(J$1:J4752,SUMPRODUCT(MAX(ROW(E$1:E4752)*(E4753=E$1:E4752)))))</f>
        <v> </v>
      </c>
      <c r="L4753" s="27"/>
    </row>
    <row r="4754" spans="1:12">
      <c r="A4754" s="20" t="s">
        <v>1495</v>
      </c>
      <c r="E4754" s="22">
        <f>IF(D4754="?OLD","!!!","")</f>
        <v/>
      </c>
      <c r="F4754" s="23" t="str">
        <f>IF(OR(E4754="",E4754="!!!"),"",IF(NOT(ISNA(VLOOKUP(E4754,E$1:E4753,1,FALSE()))),"OLD",IF(AND(E4754&lt;&gt;"",E4754&lt;&gt;"!!!"),"NEW","")))</f>
        <v> </v>
      </c>
      <c r="G4754" s="24" t="str">
        <f>IF(OR(E4754="",E4754="!!!"),"",IF(OR(J4754=0,AND(J4754=1,K4754=1),AND(J4754=1,I4754="SBJ"),AND(J4754=1,I4754=0)),"?IN_FOCUS",IF(J4754&lt;=2,"?ACTIVATED",IF(J4754&lt;&gt;"","?FAMILIAR",IF(F4754="NEW",IF(ISNA(VLOOKUP(E4754,#REF!,1,FALSE())),"?TYPE_IDENTIFIABLE","?REFERENTIAL"),"_")))))</f>
        <v> </v>
      </c>
      <c r="H4754" s="25" t="str">
        <f>IF(J4754&lt;&gt;1,"",IF(I4754="SBJ","CB","?"))</f>
        <v> </v>
      </c>
      <c r="I4754" s="26" t="str">
        <f>IF(OR(E4754="",E4754="!!!",F4754="NEW"),"",INDEX(B4753:B$2,-1+SUMPRODUCT(MAX(ROW(E4753:E$2)*(E4754=E4753:E$2)))))</f>
        <v> </v>
      </c>
      <c r="J4754" s="26" t="str">
        <f>IF(OR(E4754="",E4754="!!!",F4754="NEW"),"",COUNTBLANK(OFFSET(A$1,,,SUMPRODUCT(MAX(ROW(E$2:E4754)*(E4754=E$2:E4754)))))-COUNTBLANK(OFFSET(A$1,,,SUMPRODUCT(MAX(ROW(E$1:E4753)*(E2=E$1:E4753))))))</f>
        <v> </v>
      </c>
      <c r="K4754" s="26" t="str">
        <f>IF(OR(E4754="",E4754="!!!",F4754="NEW"),"",INDEX(J$1:J4753,SUMPRODUCT(MAX(ROW(E$1:E4753)*(E4754=E$1:E4753)))))</f>
        <v> </v>
      </c>
      <c r="L4754" s="27"/>
    </row>
    <row r="4755" spans="1:12">
      <c r="A4755" s="20" t="s">
        <v>1077</v>
      </c>
      <c r="E4755" s="22">
        <f>IF(D4755="?OLD","!!!","")</f>
        <v/>
      </c>
      <c r="F4755" s="23" t="str">
        <f>IF(OR(E4755="",E4755="!!!"),"",IF(NOT(ISNA(VLOOKUP(E4755,E$1:E4754,1,FALSE()))),"OLD",IF(AND(E4755&lt;&gt;"",E4755&lt;&gt;"!!!"),"NEW","")))</f>
        <v> </v>
      </c>
      <c r="G4755" s="24" t="str">
        <f>IF(OR(E4755="",E4755="!!!"),"",IF(OR(J4755=0,AND(J4755=1,K4755=1),AND(J4755=1,I4755="SBJ"),AND(J4755=1,I4755=0)),"?IN_FOCUS",IF(J4755&lt;=2,"?ACTIVATED",IF(J4755&lt;&gt;"","?FAMILIAR",IF(F4755="NEW",IF(ISNA(VLOOKUP(E4755,#REF!,1,FALSE())),"?TYPE_IDENTIFIABLE","?REFERENTIAL"),"_")))))</f>
        <v> </v>
      </c>
      <c r="H4755" s="25" t="str">
        <f>IF(J4755&lt;&gt;1,"",IF(I4755="SBJ","CB","?"))</f>
        <v> </v>
      </c>
      <c r="I4755" s="26" t="str">
        <f>IF(OR(E4755="",E4755="!!!",F4755="NEW"),"",INDEX(B4754:B$2,-1+SUMPRODUCT(MAX(ROW(E4754:E$2)*(E4755=E4754:E$2)))))</f>
        <v> </v>
      </c>
      <c r="J4755" s="26" t="str">
        <f>IF(OR(E4755="",E4755="!!!",F4755="NEW"),"",COUNTBLANK(OFFSET(A$1,,,SUMPRODUCT(MAX(ROW(E$2:E4755)*(E4755=E$2:E4755)))))-COUNTBLANK(OFFSET(A$1,,,SUMPRODUCT(MAX(ROW(E$1:E4754)*(E2=E$1:E4754))))))</f>
        <v> </v>
      </c>
      <c r="K4755" s="26" t="str">
        <f>IF(OR(E4755="",E4755="!!!",F4755="NEW"),"",INDEX(J$1:J4754,SUMPRODUCT(MAX(ROW(E$1:E4754)*(E4755=E$1:E4754)))))</f>
        <v> </v>
      </c>
      <c r="L4755" s="27"/>
    </row>
    <row r="4756" spans="1:12">
      <c r="A4756" s="20" t="s">
        <v>986</v>
      </c>
      <c r="B4756" s="21" t="s">
        <v>1075</v>
      </c>
      <c r="C4756" s="21" t="s">
        <v>1080</v>
      </c>
      <c r="E4756" s="22">
        <f>IF(D4756="?OLD","!!!","")</f>
        <v/>
      </c>
      <c r="F4756" s="23" t="str">
        <f>IF(OR(E4756="",E4756="!!!"),"",IF(NOT(ISNA(VLOOKUP(E4756,E$1:E4755,1,FALSE()))),"OLD",IF(AND(E4756&lt;&gt;"",E4756&lt;&gt;"!!!"),"NEW","")))</f>
        <v> </v>
      </c>
      <c r="G4756" s="24" t="str">
        <f>IF(OR(E4756="",E4756="!!!"),"",IF(OR(J4756=0,AND(J4756=1,K4756=1),AND(J4756=1,I4756="SBJ"),AND(J4756=1,I4756=0)),"?IN_FOCUS",IF(J4756&lt;=2,"?ACTIVATED",IF(J4756&lt;&gt;"","?FAMILIAR",IF(F4756="NEW",IF(ISNA(VLOOKUP(E4756,#REF!,1,FALSE())),"?TYPE_IDENTIFIABLE","?REFERENTIAL"),"_")))))</f>
        <v> </v>
      </c>
      <c r="H4756" s="25" t="str">
        <f>IF(J4756&lt;&gt;1,"",IF(I4756="SBJ","CB","?"))</f>
        <v> </v>
      </c>
      <c r="I4756" s="26" t="str">
        <f>IF(OR(E4756="",E4756="!!!",F4756="NEW"),"",INDEX(B4755:B$2,-1+SUMPRODUCT(MAX(ROW(E4755:E$2)*(E4756=E4755:E$2)))))</f>
        <v> </v>
      </c>
      <c r="J4756" s="26" t="str">
        <f>IF(OR(E4756="",E4756="!!!",F4756="NEW"),"",COUNTBLANK(OFFSET(A$1,,,SUMPRODUCT(MAX(ROW(E$2:E4756)*(E4756=E$2:E4756)))))-COUNTBLANK(OFFSET(A$1,,,SUMPRODUCT(MAX(ROW(E$1:E4755)*(E2=E$1:E4755))))))</f>
        <v> </v>
      </c>
      <c r="K4756" s="26" t="str">
        <f>IF(OR(E4756="",E4756="!!!",F4756="NEW"),"",INDEX(J$1:J4755,SUMPRODUCT(MAX(ROW(E$1:E4755)*(E4756=E$1:E4755)))))</f>
        <v> </v>
      </c>
      <c r="L4756" s="27"/>
    </row>
    <row r="4757" spans="1:12">
      <c r="A4757" s="20" t="s">
        <v>1082</v>
      </c>
      <c r="E4757" s="22">
        <f>IF(D4757="?OLD","!!!","")</f>
        <v/>
      </c>
      <c r="F4757" s="23" t="str">
        <f>IF(OR(E4757="",E4757="!!!"),"",IF(NOT(ISNA(VLOOKUP(E4757,E$1:E4756,1,FALSE()))),"OLD",IF(AND(E4757&lt;&gt;"",E4757&lt;&gt;"!!!"),"NEW","")))</f>
        <v> </v>
      </c>
      <c r="G4757" s="24" t="str">
        <f>IF(OR(E4757="",E4757="!!!"),"",IF(OR(J4757=0,AND(J4757=1,K4757=1),AND(J4757=1,I4757="SBJ"),AND(J4757=1,I4757=0)),"?IN_FOCUS",IF(J4757&lt;=2,"?ACTIVATED",IF(J4757&lt;&gt;"","?FAMILIAR",IF(F4757="NEW",IF(ISNA(VLOOKUP(E4757,#REF!,1,FALSE())),"?TYPE_IDENTIFIABLE","?REFERENTIAL"),"_")))))</f>
        <v> </v>
      </c>
      <c r="H4757" s="25" t="str">
        <f>IF(J4757&lt;&gt;1,"",IF(I4757="SBJ","CB","?"))</f>
        <v> </v>
      </c>
      <c r="I4757" s="26" t="str">
        <f>IF(OR(E4757="",E4757="!!!",F4757="NEW"),"",INDEX(B4756:B$2,-1+SUMPRODUCT(MAX(ROW(E4756:E$2)*(E4757=E4756:E$2)))))</f>
        <v> </v>
      </c>
      <c r="J4757" s="26" t="str">
        <f>IF(OR(E4757="",E4757="!!!",F4757="NEW"),"",COUNTBLANK(OFFSET(A$1,,,SUMPRODUCT(MAX(ROW(E$2:E4757)*(E4757=E$2:E4757)))))-COUNTBLANK(OFFSET(A$1,,,SUMPRODUCT(MAX(ROW(E$1:E4756)*(E2=E$1:E4756))))))</f>
        <v> </v>
      </c>
      <c r="K4757" s="26" t="str">
        <f>IF(OR(E4757="",E4757="!!!",F4757="NEW"),"",INDEX(J$1:J4756,SUMPRODUCT(MAX(ROW(E$1:E4756)*(E4757=E$1:E4756)))))</f>
        <v> </v>
      </c>
      <c r="L4757" s="27"/>
    </row>
    <row r="4758" spans="1:12">
      <c r="A4758" s="20" t="s">
        <v>2097</v>
      </c>
      <c r="B4758" s="21" t="s">
        <v>1084</v>
      </c>
      <c r="C4758" s="21" t="s">
        <v>2098</v>
      </c>
      <c r="E4758" s="22">
        <f>IF(D4758="?OLD","!!!","")</f>
        <v/>
      </c>
      <c r="F4758" s="23" t="str">
        <f>IF(OR(E4758="",E4758="!!!"),"",IF(NOT(ISNA(VLOOKUP(E4758,E$1:E4757,1,FALSE()))),"OLD",IF(AND(E4758&lt;&gt;"",E4758&lt;&gt;"!!!"),"NEW","")))</f>
        <v> </v>
      </c>
      <c r="G4758" s="24" t="str">
        <f>IF(OR(E4758="",E4758="!!!"),"",IF(OR(J4758=0,AND(J4758=1,K4758=1),AND(J4758=1,I4758="SBJ"),AND(J4758=1,I4758=0)),"?IN_FOCUS",IF(J4758&lt;=2,"?ACTIVATED",IF(J4758&lt;&gt;"","?FAMILIAR",IF(F4758="NEW",IF(ISNA(VLOOKUP(E4758,#REF!,1,FALSE())),"?TYPE_IDENTIFIABLE","?REFERENTIAL"),"_")))))</f>
        <v> </v>
      </c>
      <c r="H4758" s="25" t="str">
        <f>IF(J4758&lt;&gt;1,"",IF(I4758="SBJ","CB","?"))</f>
        <v> </v>
      </c>
      <c r="I4758" s="26" t="str">
        <f>IF(OR(E4758="",E4758="!!!",F4758="NEW"),"",INDEX(B4757:B$2,-1+SUMPRODUCT(MAX(ROW(E4757:E$2)*(E4758=E4757:E$2)))))</f>
        <v> </v>
      </c>
      <c r="J4758" s="26" t="str">
        <f>IF(OR(E4758="",E4758="!!!",F4758="NEW"),"",COUNTBLANK(OFFSET(A$1,,,SUMPRODUCT(MAX(ROW(E$2:E4758)*(E4758=E$2:E4758)))))-COUNTBLANK(OFFSET(A$1,,,SUMPRODUCT(MAX(ROW(E$1:E4757)*(E2=E$1:E4757))))))</f>
        <v> </v>
      </c>
      <c r="K4758" s="26" t="str">
        <f>IF(OR(E4758="",E4758="!!!",F4758="NEW"),"",INDEX(J$1:J4757,SUMPRODUCT(MAX(ROW(E$1:E4757)*(E4758=E$1:E4757)))))</f>
        <v> </v>
      </c>
      <c r="L4758" s="27"/>
    </row>
    <row r="4759" spans="1:12">
      <c r="A4759" s="20" t="s">
        <v>1152</v>
      </c>
      <c r="E4759" s="22">
        <f>IF(D4759="?OLD","!!!","")</f>
        <v/>
      </c>
      <c r="F4759" s="23" t="str">
        <f>IF(OR(E4759="",E4759="!!!"),"",IF(NOT(ISNA(VLOOKUP(E4759,E$1:E4758,1,FALSE()))),"OLD",IF(AND(E4759&lt;&gt;"",E4759&lt;&gt;"!!!"),"NEW","")))</f>
        <v> </v>
      </c>
      <c r="G4759" s="24" t="str">
        <f>IF(OR(E4759="",E4759="!!!"),"",IF(OR(J4759=0,AND(J4759=1,K4759=1),AND(J4759=1,I4759="SBJ"),AND(J4759=1,I4759=0)),"?IN_FOCUS",IF(J4759&lt;=2,"?ACTIVATED",IF(J4759&lt;&gt;"","?FAMILIAR",IF(F4759="NEW",IF(ISNA(VLOOKUP(E4759,#REF!,1,FALSE())),"?TYPE_IDENTIFIABLE","?REFERENTIAL"),"_")))))</f>
        <v> </v>
      </c>
      <c r="H4759" s="25" t="str">
        <f>IF(J4759&lt;&gt;1,"",IF(I4759="SBJ","CB","?"))</f>
        <v> </v>
      </c>
      <c r="I4759" s="26" t="str">
        <f>IF(OR(E4759="",E4759="!!!",F4759="NEW"),"",INDEX(B4758:B$2,-1+SUMPRODUCT(MAX(ROW(E4758:E$2)*(E4759=E4758:E$2)))))</f>
        <v> </v>
      </c>
      <c r="J4759" s="26" t="str">
        <f>IF(OR(E4759="",E4759="!!!",F4759="NEW"),"",COUNTBLANK(OFFSET(A$1,,,SUMPRODUCT(MAX(ROW(E$2:E4759)*(E4759=E$2:E4759)))))-COUNTBLANK(OFFSET(A$1,,,SUMPRODUCT(MAX(ROW(E$1:E4758)*(E2=E$1:E4758))))))</f>
        <v> </v>
      </c>
      <c r="K4759" s="26" t="str">
        <f>IF(OR(E4759="",E4759="!!!",F4759="NEW"),"",INDEX(J$1:J4758,SUMPRODUCT(MAX(ROW(E$1:E4758)*(E4759=E$1:E4758)))))</f>
        <v> </v>
      </c>
      <c r="L4759" s="27"/>
    </row>
    <row r="4760" spans="1:12">
      <c r="A4760" s="20" t="s">
        <v>1245</v>
      </c>
      <c r="E4760" s="22">
        <f>IF(D4760="?OLD","!!!","")</f>
        <v/>
      </c>
      <c r="F4760" s="23" t="str">
        <f>IF(OR(E4760="",E4760="!!!"),"",IF(NOT(ISNA(VLOOKUP(E4760,E$1:E4759,1,FALSE()))),"OLD",IF(AND(E4760&lt;&gt;"",E4760&lt;&gt;"!!!"),"NEW","")))</f>
        <v> </v>
      </c>
      <c r="G4760" s="24" t="str">
        <f>IF(OR(E4760="",E4760="!!!"),"",IF(OR(J4760=0,AND(J4760=1,K4760=1),AND(J4760=1,I4760="SBJ"),AND(J4760=1,I4760=0)),"?IN_FOCUS",IF(J4760&lt;=2,"?ACTIVATED",IF(J4760&lt;&gt;"","?FAMILIAR",IF(F4760="NEW",IF(ISNA(VLOOKUP(E4760,#REF!,1,FALSE())),"?TYPE_IDENTIFIABLE","?REFERENTIAL"),"_")))))</f>
        <v> </v>
      </c>
      <c r="H4760" s="25" t="str">
        <f>IF(J4760&lt;&gt;1,"",IF(I4760="SBJ","CB","?"))</f>
        <v> </v>
      </c>
      <c r="I4760" s="26" t="str">
        <f>IF(OR(E4760="",E4760="!!!",F4760="NEW"),"",INDEX(B4759:B$2,-1+SUMPRODUCT(MAX(ROW(E4759:E$2)*(E4760=E4759:E$2)))))</f>
        <v> </v>
      </c>
      <c r="J4760" s="26" t="str">
        <f>IF(OR(E4760="",E4760="!!!",F4760="NEW"),"",COUNTBLANK(OFFSET(A$1,,,SUMPRODUCT(MAX(ROW(E$2:E4760)*(E4760=E$2:E4760)))))-COUNTBLANK(OFFSET(A$1,,,SUMPRODUCT(MAX(ROW(E$1:E4759)*(E2=E$1:E4759))))))</f>
        <v> </v>
      </c>
      <c r="K4760" s="26" t="str">
        <f>IF(OR(E4760="",E4760="!!!",F4760="NEW"),"",INDEX(J$1:J4759,SUMPRODUCT(MAX(ROW(E$1:E4759)*(E4760=E$1:E4759)))))</f>
        <v> </v>
      </c>
      <c r="L4760" s="27"/>
    </row>
    <row r="4761" spans="1:12">
      <c r="A4761" s="20" t="s">
        <v>1082</v>
      </c>
      <c r="E4761" s="22">
        <f>IF(D4761="?OLD","!!!","")</f>
        <v/>
      </c>
      <c r="F4761" s="23" t="str">
        <f>IF(OR(E4761="",E4761="!!!"),"",IF(NOT(ISNA(VLOOKUP(E4761,E$1:E4760,1,FALSE()))),"OLD",IF(AND(E4761&lt;&gt;"",E4761&lt;&gt;"!!!"),"NEW","")))</f>
        <v> </v>
      </c>
      <c r="G4761" s="24" t="str">
        <f>IF(OR(E4761="",E4761="!!!"),"",IF(OR(J4761=0,AND(J4761=1,K4761=1),AND(J4761=1,I4761="SBJ"),AND(J4761=1,I4761=0)),"?IN_FOCUS",IF(J4761&lt;=2,"?ACTIVATED",IF(J4761&lt;&gt;"","?FAMILIAR",IF(F4761="NEW",IF(ISNA(VLOOKUP(E4761,#REF!,1,FALSE())),"?TYPE_IDENTIFIABLE","?REFERENTIAL"),"_")))))</f>
        <v> </v>
      </c>
      <c r="H4761" s="25" t="str">
        <f>IF(J4761&lt;&gt;1,"",IF(I4761="SBJ","CB","?"))</f>
        <v> </v>
      </c>
      <c r="I4761" s="26" t="str">
        <f>IF(OR(E4761="",E4761="!!!",F4761="NEW"),"",INDEX(B4760:B$2,-1+SUMPRODUCT(MAX(ROW(E4760:E$2)*(E4761=E4760:E$2)))))</f>
        <v> </v>
      </c>
      <c r="J4761" s="26" t="str">
        <f>IF(OR(E4761="",E4761="!!!",F4761="NEW"),"",COUNTBLANK(OFFSET(A$1,,,SUMPRODUCT(MAX(ROW(E$2:E4761)*(E4761=E$2:E4761)))))-COUNTBLANK(OFFSET(A$1,,,SUMPRODUCT(MAX(ROW(E$1:E4760)*(E2=E$1:E4760))))))</f>
        <v> </v>
      </c>
      <c r="K4761" s="26" t="str">
        <f>IF(OR(E4761="",E4761="!!!",F4761="NEW"),"",INDEX(J$1:J4760,SUMPRODUCT(MAX(ROW(E$1:E4760)*(E4761=E$1:E4760)))))</f>
        <v> </v>
      </c>
      <c r="L4761" s="27"/>
    </row>
    <row r="4762" spans="1:12">
      <c r="A4762" s="20" t="s">
        <v>2408</v>
      </c>
      <c r="E4762" s="22">
        <f>IF(D4762="?OLD","!!!","")</f>
        <v/>
      </c>
      <c r="F4762" s="23" t="str">
        <f>IF(OR(E4762="",E4762="!!!"),"",IF(NOT(ISNA(VLOOKUP(E4762,E$1:E4761,1,FALSE()))),"OLD",IF(AND(E4762&lt;&gt;"",E4762&lt;&gt;"!!!"),"NEW","")))</f>
        <v> </v>
      </c>
      <c r="G4762" s="24" t="str">
        <f>IF(OR(E4762="",E4762="!!!"),"",IF(OR(J4762=0,AND(J4762=1,K4762=1),AND(J4762=1,I4762="SBJ"),AND(J4762=1,I4762=0)),"?IN_FOCUS",IF(J4762&lt;=2,"?ACTIVATED",IF(J4762&lt;&gt;"","?FAMILIAR",IF(F4762="NEW",IF(ISNA(VLOOKUP(E4762,#REF!,1,FALSE())),"?TYPE_IDENTIFIABLE","?REFERENTIAL"),"_")))))</f>
        <v> </v>
      </c>
      <c r="H4762" s="25" t="str">
        <f>IF(J4762&lt;&gt;1,"",IF(I4762="SBJ","CB","?"))</f>
        <v> </v>
      </c>
      <c r="I4762" s="26" t="str">
        <f>IF(OR(E4762="",E4762="!!!",F4762="NEW"),"",INDEX(B4761:B$2,-1+SUMPRODUCT(MAX(ROW(E4761:E$2)*(E4762=E4761:E$2)))))</f>
        <v> </v>
      </c>
      <c r="J4762" s="26" t="str">
        <f>IF(OR(E4762="",E4762="!!!",F4762="NEW"),"",COUNTBLANK(OFFSET(A$1,,,SUMPRODUCT(MAX(ROW(E$2:E4762)*(E4762=E$2:E4762)))))-COUNTBLANK(OFFSET(A$1,,,SUMPRODUCT(MAX(ROW(E$1:E4761)*(E2=E$1:E4761))))))</f>
        <v> </v>
      </c>
      <c r="K4762" s="26" t="str">
        <f>IF(OR(E4762="",E4762="!!!",F4762="NEW"),"",INDEX(J$1:J4761,SUMPRODUCT(MAX(ROW(E$1:E4761)*(E4762=E$1:E4761)))))</f>
        <v> </v>
      </c>
      <c r="L4762" s="27"/>
    </row>
    <row r="4763" spans="1:12">
      <c r="A4763" s="20" t="s">
        <v>2277</v>
      </c>
      <c r="B4763" s="21" t="s">
        <v>1136</v>
      </c>
      <c r="C4763" s="21" t="s">
        <v>1159</v>
      </c>
      <c r="D4763" s="21" t="s">
        <v>1060</v>
      </c>
      <c r="E4763" s="22">
        <f>IF(D4763="?OLD","!!!","")</f>
        <v/>
      </c>
      <c r="F4763" s="23" t="str">
        <f>IF(OR(E4763="",E4763="!!!"),"",IF(NOT(ISNA(VLOOKUP(E4763,E$1:E4762,1,FALSE()))),"OLD",IF(AND(E4763&lt;&gt;"",E4763&lt;&gt;"!!!"),"NEW","")))</f>
        <v> </v>
      </c>
      <c r="G4763" s="24" t="str">
        <f>IF(OR(E4763="",E4763="!!!"),"",IF(OR(J4763=0,AND(J4763=1,K4763=1),AND(J4763=1,I4763="SBJ"),AND(J4763=1,I4763=0)),"?IN_FOCUS",IF(J4763&lt;=2,"?ACTIVATED",IF(J4763&lt;&gt;"","?FAMILIAR",IF(F4763="NEW",IF(ISNA(VLOOKUP(E4763,#REF!,1,FALSE())),"?TYPE_IDENTIFIABLE","?REFERENTIAL"),"_")))))</f>
        <v> </v>
      </c>
      <c r="H4763" s="25" t="str">
        <f>IF(J4763&lt;&gt;1,"",IF(I4763="SBJ","CB","?"))</f>
        <v> </v>
      </c>
      <c r="I4763" s="26" t="str">
        <f>IF(OR(E4763="",E4763="!!!",F4763="NEW"),"",INDEX(B4762:B$2,-1+SUMPRODUCT(MAX(ROW(E4762:E$2)*(E4763=E4762:E$2)))))</f>
        <v> </v>
      </c>
      <c r="J4763" s="26" t="str">
        <f>IF(OR(E4763="",E4763="!!!",F4763="NEW"),"",COUNTBLANK(OFFSET(A$1,,,SUMPRODUCT(MAX(ROW(E$2:E4763)*(E4763=E$2:E4763)))))-COUNTBLANK(OFFSET(A$1,,,SUMPRODUCT(MAX(ROW(E$1:E4762)*(E2=E$1:E4762))))))</f>
        <v> </v>
      </c>
      <c r="K4763" s="26" t="str">
        <f>IF(OR(E4763="",E4763="!!!",F4763="NEW"),"",INDEX(J$1:J4762,SUMPRODUCT(MAX(ROW(E$1:E4762)*(E4763=E$1:E4762)))))</f>
        <v> </v>
      </c>
      <c r="L4763" s="27"/>
    </row>
    <row r="4764" spans="1:12">
      <c r="A4764" s="20" t="s">
        <v>1588</v>
      </c>
      <c r="E4764" s="22">
        <f>IF(D4764="?OLD","!!!","")</f>
        <v/>
      </c>
      <c r="F4764" s="23" t="str">
        <f>IF(OR(E4764="",E4764="!!!"),"",IF(NOT(ISNA(VLOOKUP(E4764,E$1:E4763,1,FALSE()))),"OLD",IF(AND(E4764&lt;&gt;"",E4764&lt;&gt;"!!!"),"NEW","")))</f>
        <v> </v>
      </c>
      <c r="G4764" s="24" t="str">
        <f>IF(OR(E4764="",E4764="!!!"),"",IF(OR(J4764=0,AND(J4764=1,K4764=1),AND(J4764=1,I4764="SBJ"),AND(J4764=1,I4764=0)),"?IN_FOCUS",IF(J4764&lt;=2,"?ACTIVATED",IF(J4764&lt;&gt;"","?FAMILIAR",IF(F4764="NEW",IF(ISNA(VLOOKUP(E4764,#REF!,1,FALSE())),"?TYPE_IDENTIFIABLE","?REFERENTIAL"),"_")))))</f>
        <v> </v>
      </c>
      <c r="H4764" s="25" t="str">
        <f>IF(J4764&lt;&gt;1,"",IF(I4764="SBJ","CB","?"))</f>
        <v> </v>
      </c>
      <c r="I4764" s="26" t="str">
        <f>IF(OR(E4764="",E4764="!!!",F4764="NEW"),"",INDEX(B4763:B$2,-1+SUMPRODUCT(MAX(ROW(E4763:E$2)*(E4764=E4763:E$2)))))</f>
        <v> </v>
      </c>
      <c r="J4764" s="26" t="str">
        <f>IF(OR(E4764="",E4764="!!!",F4764="NEW"),"",COUNTBLANK(OFFSET(A$1,,,SUMPRODUCT(MAX(ROW(E$2:E4764)*(E4764=E$2:E4764)))))-COUNTBLANK(OFFSET(A$1,,,SUMPRODUCT(MAX(ROW(E$1:E4763)*(E2=E$1:E4763))))))</f>
        <v> </v>
      </c>
      <c r="K4764" s="26" t="str">
        <f>IF(OR(E4764="",E4764="!!!",F4764="NEW"),"",INDEX(J$1:J4763,SUMPRODUCT(MAX(ROW(E$1:E4763)*(E4764=E$1:E4763)))))</f>
        <v> </v>
      </c>
      <c r="L4764" s="27"/>
    </row>
    <row r="4765" spans="1:12">
      <c r="A4765" s="20" t="s">
        <v>1166</v>
      </c>
      <c r="B4765" s="21" t="s">
        <v>1064</v>
      </c>
      <c r="C4765" s="21" t="s">
        <v>1076</v>
      </c>
      <c r="D4765" s="21" t="s">
        <v>1060</v>
      </c>
      <c r="E4765" s="22">
        <f>IF(D4765="?OLD","!!!","")</f>
        <v/>
      </c>
      <c r="F4765" s="23" t="str">
        <f>IF(OR(E4765="",E4765="!!!"),"",IF(NOT(ISNA(VLOOKUP(E4765,E$1:E4764,1,FALSE()))),"OLD",IF(AND(E4765&lt;&gt;"",E4765&lt;&gt;"!!!"),"NEW","")))</f>
        <v> </v>
      </c>
      <c r="G4765" s="24" t="str">
        <f>IF(OR(E4765="",E4765="!!!"),"",IF(OR(J4765=0,AND(J4765=1,K4765=1),AND(J4765=1,I4765="SBJ"),AND(J4765=1,I4765=0)),"?IN_FOCUS",IF(J4765&lt;=2,"?ACTIVATED",IF(J4765&lt;&gt;"","?FAMILIAR",IF(F4765="NEW",IF(ISNA(VLOOKUP(E4765,#REF!,1,FALSE())),"?TYPE_IDENTIFIABLE","?REFERENTIAL"),"_")))))</f>
        <v> </v>
      </c>
      <c r="H4765" s="25" t="str">
        <f>IF(J4765&lt;&gt;1,"",IF(I4765="SBJ","CB","?"))</f>
        <v> </v>
      </c>
      <c r="I4765" s="26" t="str">
        <f>IF(OR(E4765="",E4765="!!!",F4765="NEW"),"",INDEX(B4764:B$2,-1+SUMPRODUCT(MAX(ROW(E4764:E$2)*(E4765=E4764:E$2)))))</f>
        <v> </v>
      </c>
      <c r="J4765" s="26" t="str">
        <f>IF(OR(E4765="",E4765="!!!",F4765="NEW"),"",COUNTBLANK(OFFSET(A$1,,,SUMPRODUCT(MAX(ROW(E$2:E4765)*(E4765=E$2:E4765)))))-COUNTBLANK(OFFSET(A$1,,,SUMPRODUCT(MAX(ROW(E$1:E4764)*(E2=E$1:E4764))))))</f>
        <v> </v>
      </c>
      <c r="K4765" s="26" t="str">
        <f>IF(OR(E4765="",E4765="!!!",F4765="NEW"),"",INDEX(J$1:J4764,SUMPRODUCT(MAX(ROW(E$1:E4764)*(E4765=E$1:E4764)))))</f>
        <v> </v>
      </c>
      <c r="L4765" s="27"/>
    </row>
    <row r="4766" spans="1:12">
      <c r="A4766" s="20" t="s">
        <v>923</v>
      </c>
      <c r="E4766" s="22">
        <f>IF(D4766="?OLD","!!!","")</f>
        <v/>
      </c>
      <c r="F4766" s="23" t="str">
        <f>IF(OR(E4766="",E4766="!!!"),"",IF(NOT(ISNA(VLOOKUP(E4766,E$1:E4765,1,FALSE()))),"OLD",IF(AND(E4766&lt;&gt;"",E4766&lt;&gt;"!!!"),"NEW","")))</f>
        <v> </v>
      </c>
      <c r="G4766" s="24" t="str">
        <f>IF(OR(E4766="",E4766="!!!"),"",IF(OR(J4766=0,AND(J4766=1,K4766=1),AND(J4766=1,I4766="SBJ"),AND(J4766=1,I4766=0)),"?IN_FOCUS",IF(J4766&lt;=2,"?ACTIVATED",IF(J4766&lt;&gt;"","?FAMILIAR",IF(F4766="NEW",IF(ISNA(VLOOKUP(E4766,#REF!,1,FALSE())),"?TYPE_IDENTIFIABLE","?REFERENTIAL"),"_")))))</f>
        <v> </v>
      </c>
      <c r="H4766" s="25" t="str">
        <f>IF(J4766&lt;&gt;1,"",IF(I4766="SBJ","CB","?"))</f>
        <v> </v>
      </c>
      <c r="I4766" s="26" t="str">
        <f>IF(OR(E4766="",E4766="!!!",F4766="NEW"),"",INDEX(B4765:B$2,-1+SUMPRODUCT(MAX(ROW(E4765:E$2)*(E4766=E4765:E$2)))))</f>
        <v> </v>
      </c>
      <c r="J4766" s="26" t="str">
        <f>IF(OR(E4766="",E4766="!!!",F4766="NEW"),"",COUNTBLANK(OFFSET(A$1,,,SUMPRODUCT(MAX(ROW(E$2:E4766)*(E4766=E$2:E4766)))))-COUNTBLANK(OFFSET(A$1,,,SUMPRODUCT(MAX(ROW(E$1:E4765)*(E2=E$1:E4765))))))</f>
        <v> </v>
      </c>
      <c r="K4766" s="26" t="str">
        <f>IF(OR(E4766="",E4766="!!!",F4766="NEW"),"",INDEX(J$1:J4765,SUMPRODUCT(MAX(ROW(E$1:E4765)*(E4766=E$1:E4765)))))</f>
        <v> </v>
      </c>
      <c r="L4766" s="27"/>
    </row>
    <row r="4767" spans="1:12">
      <c r="A4767" s="20"/>
    </row>
    <row r="4768" spans="1:12">
      <c r="A4768" s="20" t="s">
        <v>2409</v>
      </c>
    </row>
    <row r="4769" spans="1:12">
      <c r="A4769" s="20" t="s">
        <v>2364</v>
      </c>
      <c r="E4769" s="22">
        <f>IF(D4769="?OLD","!!!","")</f>
        <v/>
      </c>
      <c r="F4769" s="23" t="str">
        <f>IF(OR(E4769="",E4769="!!!"),"",IF(NOT(ISNA(VLOOKUP(E4769,E$1:E4768,1,FALSE()))),"OLD",IF(AND(E4769&lt;&gt;"",E4769&lt;&gt;"!!!"),"NEW","")))</f>
        <v> </v>
      </c>
      <c r="G4769" s="24" t="str">
        <f>IF(OR(E4769="",E4769="!!!"),"",IF(OR(J4769=0,AND(J4769=1,K4769=1),AND(J4769=1,I4769="SBJ"),AND(J4769=1,I4769=0)),"?IN_FOCUS",IF(J4769&lt;=2,"?ACTIVATED",IF(J4769&lt;&gt;"","?FAMILIAR",IF(F4769="NEW",IF(ISNA(VLOOKUP(E4769,#REF!,1,FALSE())),"?TYPE_IDENTIFIABLE","?REFERENTIAL"),"_")))))</f>
        <v> </v>
      </c>
      <c r="H4769" s="25" t="str">
        <f>IF(J4769&lt;&gt;1,"",IF(I4769="SBJ","CB","?"))</f>
        <v> </v>
      </c>
      <c r="I4769" s="26" t="str">
        <f>IF(OR(E4769="",E4769="!!!",F4769="NEW"),"",INDEX(B4768:B$2,-1+SUMPRODUCT(MAX(ROW(E4768:E$2)*(E4769=E4768:E$2)))))</f>
        <v> </v>
      </c>
      <c r="J4769" s="26" t="str">
        <f>IF(OR(E4769="",E4769="!!!",F4769="NEW"),"",COUNTBLANK(OFFSET(A$1,,,SUMPRODUCT(MAX(ROW(E$2:E4769)*(E4769=E$2:E4769)))))-COUNTBLANK(OFFSET(A$1,,,SUMPRODUCT(MAX(ROW(E$1:E4768)*(E2=E$1:E4768))))))</f>
        <v> </v>
      </c>
      <c r="K4769" s="26" t="str">
        <f>IF(OR(E4769="",E4769="!!!",F4769="NEW"),"",INDEX(J$1:J4768,SUMPRODUCT(MAX(ROW(E$1:E4768)*(E4769=E$1:E4768)))))</f>
        <v> </v>
      </c>
      <c r="L4769" s="27"/>
    </row>
    <row r="4770" spans="1:12">
      <c r="A4770" s="20" t="s">
        <v>2410</v>
      </c>
      <c r="E4770" s="22">
        <f>IF(D4770="?OLD","!!!","")</f>
        <v/>
      </c>
      <c r="F4770" s="23" t="str">
        <f>IF(OR(E4770="",E4770="!!!"),"",IF(NOT(ISNA(VLOOKUP(E4770,E$1:E4769,1,FALSE()))),"OLD",IF(AND(E4770&lt;&gt;"",E4770&lt;&gt;"!!!"),"NEW","")))</f>
        <v> </v>
      </c>
      <c r="G4770" s="24" t="str">
        <f>IF(OR(E4770="",E4770="!!!"),"",IF(OR(J4770=0,AND(J4770=1,K4770=1),AND(J4770=1,I4770="SBJ"),AND(J4770=1,I4770=0)),"?IN_FOCUS",IF(J4770&lt;=2,"?ACTIVATED",IF(J4770&lt;&gt;"","?FAMILIAR",IF(F4770="NEW",IF(ISNA(VLOOKUP(E4770,#REF!,1,FALSE())),"?TYPE_IDENTIFIABLE","?REFERENTIAL"),"_")))))</f>
        <v> </v>
      </c>
      <c r="H4770" s="25" t="str">
        <f>IF(J4770&lt;&gt;1,"",IF(I4770="SBJ","CB","?"))</f>
        <v> </v>
      </c>
      <c r="I4770" s="26" t="str">
        <f>IF(OR(E4770="",E4770="!!!",F4770="NEW"),"",INDEX(B4769:B$2,-1+SUMPRODUCT(MAX(ROW(E4769:E$2)*(E4770=E4769:E$2)))))</f>
        <v> </v>
      </c>
      <c r="J4770" s="26" t="str">
        <f>IF(OR(E4770="",E4770="!!!",F4770="NEW"),"",COUNTBLANK(OFFSET(A$1,,,SUMPRODUCT(MAX(ROW(E$2:E4770)*(E4770=E$2:E4770)))))-COUNTBLANK(OFFSET(A$1,,,SUMPRODUCT(MAX(ROW(E$1:E4769)*(E2=E$1:E4769))))))</f>
        <v> </v>
      </c>
      <c r="K4770" s="26" t="str">
        <f>IF(OR(E4770="",E4770="!!!",F4770="NEW"),"",INDEX(J$1:J4769,SUMPRODUCT(MAX(ROW(E$1:E4769)*(E4770=E$1:E4769)))))</f>
        <v> </v>
      </c>
      <c r="L4770" s="27"/>
    </row>
    <row r="4771" spans="1:12">
      <c r="A4771" s="20" t="s">
        <v>1077</v>
      </c>
      <c r="E4771" s="22">
        <f>IF(D4771="?OLD","!!!","")</f>
        <v/>
      </c>
      <c r="F4771" s="23" t="str">
        <f>IF(OR(E4771="",E4771="!!!"),"",IF(NOT(ISNA(VLOOKUP(E4771,E$1:E4770,1,FALSE()))),"OLD",IF(AND(E4771&lt;&gt;"",E4771&lt;&gt;"!!!"),"NEW","")))</f>
        <v> </v>
      </c>
      <c r="G4771" s="24" t="str">
        <f>IF(OR(E4771="",E4771="!!!"),"",IF(OR(J4771=0,AND(J4771=1,K4771=1),AND(J4771=1,I4771="SBJ"),AND(J4771=1,I4771=0)),"?IN_FOCUS",IF(J4771&lt;=2,"?ACTIVATED",IF(J4771&lt;&gt;"","?FAMILIAR",IF(F4771="NEW",IF(ISNA(VLOOKUP(E4771,#REF!,1,FALSE())),"?TYPE_IDENTIFIABLE","?REFERENTIAL"),"_")))))</f>
        <v> </v>
      </c>
      <c r="H4771" s="25" t="str">
        <f>IF(J4771&lt;&gt;1,"",IF(I4771="SBJ","CB","?"))</f>
        <v> </v>
      </c>
      <c r="I4771" s="26" t="str">
        <f>IF(OR(E4771="",E4771="!!!",F4771="NEW"),"",INDEX(B4770:B$2,-1+SUMPRODUCT(MAX(ROW(E4770:E$2)*(E4771=E4770:E$2)))))</f>
        <v> </v>
      </c>
      <c r="J4771" s="26" t="str">
        <f>IF(OR(E4771="",E4771="!!!",F4771="NEW"),"",COUNTBLANK(OFFSET(A$1,,,SUMPRODUCT(MAX(ROW(E$2:E4771)*(E4771=E$2:E4771)))))-COUNTBLANK(OFFSET(A$1,,,SUMPRODUCT(MAX(ROW(E$1:E4770)*(E2=E$1:E4770))))))</f>
        <v> </v>
      </c>
      <c r="K4771" s="26" t="str">
        <f>IF(OR(E4771="",E4771="!!!",F4771="NEW"),"",INDEX(J$1:J4770,SUMPRODUCT(MAX(ROW(E$1:E4770)*(E4771=E$1:E4770)))))</f>
        <v> </v>
      </c>
      <c r="L4771" s="27"/>
    </row>
    <row r="4772" spans="1:12">
      <c r="A4772" s="20" t="s">
        <v>2366</v>
      </c>
      <c r="B4772" s="21" t="s">
        <v>1097</v>
      </c>
      <c r="C4772" s="21" t="s">
        <v>1080</v>
      </c>
      <c r="E4772" s="22">
        <f>IF(D4772="?OLD","!!!","")</f>
        <v/>
      </c>
      <c r="F4772" s="23" t="str">
        <f>IF(OR(E4772="",E4772="!!!"),"",IF(NOT(ISNA(VLOOKUP(E4772,E$1:E4771,1,FALSE()))),"OLD",IF(AND(E4772&lt;&gt;"",E4772&lt;&gt;"!!!"),"NEW","")))</f>
        <v> </v>
      </c>
      <c r="G4772" s="24" t="str">
        <f>IF(OR(E4772="",E4772="!!!"),"",IF(OR(J4772=0,AND(J4772=1,K4772=1),AND(J4772=1,I4772="SBJ"),AND(J4772=1,I4772=0)),"?IN_FOCUS",IF(J4772&lt;=2,"?ACTIVATED",IF(J4772&lt;&gt;"","?FAMILIAR",IF(F4772="NEW",IF(ISNA(VLOOKUP(E4772,#REF!,1,FALSE())),"?TYPE_IDENTIFIABLE","?REFERENTIAL"),"_")))))</f>
        <v> </v>
      </c>
      <c r="H4772" s="25" t="str">
        <f>IF(J4772&lt;&gt;1,"",IF(I4772="SBJ","CB","?"))</f>
        <v> </v>
      </c>
      <c r="I4772" s="26" t="str">
        <f>IF(OR(E4772="",E4772="!!!",F4772="NEW"),"",INDEX(B4771:B$2,-1+SUMPRODUCT(MAX(ROW(E4771:E$2)*(E4772=E4771:E$2)))))</f>
        <v> </v>
      </c>
      <c r="J4772" s="26" t="str">
        <f>IF(OR(E4772="",E4772="!!!",F4772="NEW"),"",COUNTBLANK(OFFSET(A$1,,,SUMPRODUCT(MAX(ROW(E$2:E4772)*(E4772=E$2:E4772)))))-COUNTBLANK(OFFSET(A$1,,,SUMPRODUCT(MAX(ROW(E$1:E4771)*(E2=E$1:E4771))))))</f>
        <v> </v>
      </c>
      <c r="K4772" s="26" t="str">
        <f>IF(OR(E4772="",E4772="!!!",F4772="NEW"),"",INDEX(J$1:J4771,SUMPRODUCT(MAX(ROW(E$1:E4771)*(E4772=E$1:E4771)))))</f>
        <v> </v>
      </c>
      <c r="L4772" s="27"/>
    </row>
    <row r="4773" spans="1:12">
      <c r="A4773" s="20" t="s">
        <v>1061</v>
      </c>
      <c r="E4773" s="22">
        <f>IF(D4773="?OLD","!!!","")</f>
        <v/>
      </c>
      <c r="F4773" s="23" t="str">
        <f>IF(OR(E4773="",E4773="!!!"),"",IF(NOT(ISNA(VLOOKUP(E4773,E$1:E4772,1,FALSE()))),"OLD",IF(AND(E4773&lt;&gt;"",E4773&lt;&gt;"!!!"),"NEW","")))</f>
        <v> </v>
      </c>
      <c r="G4773" s="24" t="str">
        <f>IF(OR(E4773="",E4773="!!!"),"",IF(OR(J4773=0,AND(J4773=1,K4773=1),AND(J4773=1,I4773="SBJ"),AND(J4773=1,I4773=0)),"?IN_FOCUS",IF(J4773&lt;=2,"?ACTIVATED",IF(J4773&lt;&gt;"","?FAMILIAR",IF(F4773="NEW",IF(ISNA(VLOOKUP(E4773,#REF!,1,FALSE())),"?TYPE_IDENTIFIABLE","?REFERENTIAL"),"_")))))</f>
        <v> </v>
      </c>
      <c r="H4773" s="25" t="str">
        <f>IF(J4773&lt;&gt;1,"",IF(I4773="SBJ","CB","?"))</f>
        <v> </v>
      </c>
      <c r="I4773" s="26" t="str">
        <f>IF(OR(E4773="",E4773="!!!",F4773="NEW"),"",INDEX(B4772:B$2,-1+SUMPRODUCT(MAX(ROW(E4772:E$2)*(E4773=E4772:E$2)))))</f>
        <v> </v>
      </c>
      <c r="J4773" s="26" t="str">
        <f>IF(OR(E4773="",E4773="!!!",F4773="NEW"),"",COUNTBLANK(OFFSET(A$1,,,SUMPRODUCT(MAX(ROW(E$2:E4773)*(E4773=E$2:E4773)))))-COUNTBLANK(OFFSET(A$1,,,SUMPRODUCT(MAX(ROW(E$1:E4772)*(E2=E$1:E4772))))))</f>
        <v> </v>
      </c>
      <c r="K4773" s="26" t="str">
        <f>IF(OR(E4773="",E4773="!!!",F4773="NEW"),"",INDEX(J$1:J4772,SUMPRODUCT(MAX(ROW(E$1:E4772)*(E4773=E$1:E4772)))))</f>
        <v> </v>
      </c>
      <c r="L4773" s="27"/>
    </row>
    <row r="4774" spans="1:12">
      <c r="A4774" s="20" t="s">
        <v>2411</v>
      </c>
      <c r="E4774" s="22">
        <f>IF(D4774="?OLD","!!!","")</f>
        <v/>
      </c>
      <c r="F4774" s="23" t="str">
        <f>IF(OR(E4774="",E4774="!!!"),"",IF(NOT(ISNA(VLOOKUP(E4774,E$1:E4773,1,FALSE()))),"OLD",IF(AND(E4774&lt;&gt;"",E4774&lt;&gt;"!!!"),"NEW","")))</f>
        <v> </v>
      </c>
      <c r="G4774" s="24" t="str">
        <f>IF(OR(E4774="",E4774="!!!"),"",IF(OR(J4774=0,AND(J4774=1,K4774=1),AND(J4774=1,I4774="SBJ"),AND(J4774=1,I4774=0)),"?IN_FOCUS",IF(J4774&lt;=2,"?ACTIVATED",IF(J4774&lt;&gt;"","?FAMILIAR",IF(F4774="NEW",IF(ISNA(VLOOKUP(E4774,#REF!,1,FALSE())),"?TYPE_IDENTIFIABLE","?REFERENTIAL"),"_")))))</f>
        <v> </v>
      </c>
      <c r="H4774" s="25" t="str">
        <f>IF(J4774&lt;&gt;1,"",IF(I4774="SBJ","CB","?"))</f>
        <v> </v>
      </c>
      <c r="I4774" s="26" t="str">
        <f>IF(OR(E4774="",E4774="!!!",F4774="NEW"),"",INDEX(B4773:B$2,-1+SUMPRODUCT(MAX(ROW(E4773:E$2)*(E4774=E4773:E$2)))))</f>
        <v> </v>
      </c>
      <c r="J4774" s="26" t="str">
        <f>IF(OR(E4774="",E4774="!!!",F4774="NEW"),"",COUNTBLANK(OFFSET(A$1,,,SUMPRODUCT(MAX(ROW(E$2:E4774)*(E4774=E$2:E4774)))))-COUNTBLANK(OFFSET(A$1,,,SUMPRODUCT(MAX(ROW(E$1:E4773)*(E2=E$1:E4773))))))</f>
        <v> </v>
      </c>
      <c r="K4774" s="26" t="str">
        <f>IF(OR(E4774="",E4774="!!!",F4774="NEW"),"",INDEX(J$1:J4773,SUMPRODUCT(MAX(ROW(E$1:E4773)*(E4774=E$1:E4773)))))</f>
        <v> </v>
      </c>
      <c r="L4774" s="27"/>
    </row>
    <row r="4775" spans="1:12">
      <c r="A4775" s="20" t="s">
        <v>2412</v>
      </c>
      <c r="B4775" s="21" t="s">
        <v>1068</v>
      </c>
      <c r="C4775" s="21" t="s">
        <v>1149</v>
      </c>
      <c r="E4775" s="22">
        <f>IF(D4775="?OLD","!!!","")</f>
        <v/>
      </c>
      <c r="F4775" s="23" t="str">
        <f>IF(OR(E4775="",E4775="!!!"),"",IF(NOT(ISNA(VLOOKUP(E4775,E$1:E4774,1,FALSE()))),"OLD",IF(AND(E4775&lt;&gt;"",E4775&lt;&gt;"!!!"),"NEW","")))</f>
        <v> </v>
      </c>
      <c r="G4775" s="24" t="str">
        <f>IF(OR(E4775="",E4775="!!!"),"",IF(OR(J4775=0,AND(J4775=1,K4775=1),AND(J4775=1,I4775="SBJ"),AND(J4775=1,I4775=0)),"?IN_FOCUS",IF(J4775&lt;=2,"?ACTIVATED",IF(J4775&lt;&gt;"","?FAMILIAR",IF(F4775="NEW",IF(ISNA(VLOOKUP(E4775,#REF!,1,FALSE())),"?TYPE_IDENTIFIABLE","?REFERENTIAL"),"_")))))</f>
        <v> </v>
      </c>
      <c r="H4775" s="25" t="str">
        <f>IF(J4775&lt;&gt;1,"",IF(I4775="SBJ","CB","?"))</f>
        <v> </v>
      </c>
      <c r="I4775" s="26" t="str">
        <f>IF(OR(E4775="",E4775="!!!",F4775="NEW"),"",INDEX(B4774:B$2,-1+SUMPRODUCT(MAX(ROW(E4774:E$2)*(E4775=E4774:E$2)))))</f>
        <v> </v>
      </c>
      <c r="J4775" s="26" t="str">
        <f>IF(OR(E4775="",E4775="!!!",F4775="NEW"),"",COUNTBLANK(OFFSET(A$1,,,SUMPRODUCT(MAX(ROW(E$2:E4775)*(E4775=E$2:E4775)))))-COUNTBLANK(OFFSET(A$1,,,SUMPRODUCT(MAX(ROW(E$1:E4774)*(E2=E$1:E4774))))))</f>
        <v> </v>
      </c>
      <c r="K4775" s="26" t="str">
        <f>IF(OR(E4775="",E4775="!!!",F4775="NEW"),"",INDEX(J$1:J4774,SUMPRODUCT(MAX(ROW(E$1:E4774)*(E4775=E$1:E4774)))))</f>
        <v> </v>
      </c>
      <c r="L4775" s="27"/>
    </row>
    <row r="4776" spans="1:12">
      <c r="A4776" s="20" t="s">
        <v>1115</v>
      </c>
      <c r="B4776" s="21" t="s">
        <v>1179</v>
      </c>
      <c r="E4776" s="22">
        <f>IF(D4776="?OLD","!!!","")</f>
        <v/>
      </c>
      <c r="F4776" s="23" t="str">
        <f>IF(OR(E4776="",E4776="!!!"),"",IF(NOT(ISNA(VLOOKUP(E4776,E$1:E4775,1,FALSE()))),"OLD",IF(AND(E4776&lt;&gt;"",E4776&lt;&gt;"!!!"),"NEW","")))</f>
        <v> </v>
      </c>
      <c r="G4776" s="24" t="str">
        <f>IF(OR(E4776="",E4776="!!!"),"",IF(OR(J4776=0,AND(J4776=1,K4776=1),AND(J4776=1,I4776="SBJ"),AND(J4776=1,I4776=0)),"?IN_FOCUS",IF(J4776&lt;=2,"?ACTIVATED",IF(J4776&lt;&gt;"","?FAMILIAR",IF(F4776="NEW",IF(ISNA(VLOOKUP(E4776,#REF!,1,FALSE())),"?TYPE_IDENTIFIABLE","?REFERENTIAL"),"_")))))</f>
        <v> </v>
      </c>
      <c r="H4776" s="25" t="str">
        <f>IF(J4776&lt;&gt;1,"",IF(I4776="SBJ","CB","?"))</f>
        <v> </v>
      </c>
      <c r="I4776" s="26" t="str">
        <f>IF(OR(E4776="",E4776="!!!",F4776="NEW"),"",INDEX(B4775:B$2,-1+SUMPRODUCT(MAX(ROW(E4775:E$2)*(E4776=E4775:E$2)))))</f>
        <v> </v>
      </c>
      <c r="J4776" s="26" t="str">
        <f>IF(OR(E4776="",E4776="!!!",F4776="NEW"),"",COUNTBLANK(OFFSET(A$1,,,SUMPRODUCT(MAX(ROW(E$2:E4776)*(E4776=E$2:E4776)))))-COUNTBLANK(OFFSET(A$1,,,SUMPRODUCT(MAX(ROW(E$1:E4775)*(E2=E$1:E4775))))))</f>
        <v> </v>
      </c>
      <c r="K4776" s="26" t="str">
        <f>IF(OR(E4776="",E4776="!!!",F4776="NEW"),"",INDEX(J$1:J4775,SUMPRODUCT(MAX(ROW(E$1:E4775)*(E4776=E$1:E4775)))))</f>
        <v> </v>
      </c>
      <c r="L4776" s="27"/>
    </row>
    <row r="4777" spans="1:12">
      <c r="A4777" s="20" t="s">
        <v>2413</v>
      </c>
      <c r="E4777" s="22">
        <f>IF(D4777="?OLD","!!!","")</f>
        <v/>
      </c>
      <c r="F4777" s="23" t="str">
        <f>IF(OR(E4777="",E4777="!!!"),"",IF(NOT(ISNA(VLOOKUP(E4777,E$1:E4776,1,FALSE()))),"OLD",IF(AND(E4777&lt;&gt;"",E4777&lt;&gt;"!!!"),"NEW","")))</f>
        <v> </v>
      </c>
      <c r="G4777" s="24" t="str">
        <f>IF(OR(E4777="",E4777="!!!"),"",IF(OR(J4777=0,AND(J4777=1,K4777=1),AND(J4777=1,I4777="SBJ"),AND(J4777=1,I4777=0)),"?IN_FOCUS",IF(J4777&lt;=2,"?ACTIVATED",IF(J4777&lt;&gt;"","?FAMILIAR",IF(F4777="NEW",IF(ISNA(VLOOKUP(E4777,#REF!,1,FALSE())),"?TYPE_IDENTIFIABLE","?REFERENTIAL"),"_")))))</f>
        <v> </v>
      </c>
      <c r="H4777" s="25" t="str">
        <f>IF(J4777&lt;&gt;1,"",IF(I4777="SBJ","CB","?"))</f>
        <v> </v>
      </c>
      <c r="I4777" s="26" t="str">
        <f>IF(OR(E4777="",E4777="!!!",F4777="NEW"),"",INDEX(B4776:B$2,-1+SUMPRODUCT(MAX(ROW(E4776:E$2)*(E4777=E4776:E$2)))))</f>
        <v> </v>
      </c>
      <c r="J4777" s="26" t="str">
        <f>IF(OR(E4777="",E4777="!!!",F4777="NEW"),"",COUNTBLANK(OFFSET(A$1,,,SUMPRODUCT(MAX(ROW(E$2:E4777)*(E4777=E$2:E4777)))))-COUNTBLANK(OFFSET(A$1,,,SUMPRODUCT(MAX(ROW(E$1:E4776)*(E2=E$1:E4776))))))</f>
        <v> </v>
      </c>
      <c r="K4777" s="26" t="str">
        <f>IF(OR(E4777="",E4777="!!!",F4777="NEW"),"",INDEX(J$1:J4776,SUMPRODUCT(MAX(ROW(E$1:E4776)*(E4777=E$1:E4776)))))</f>
        <v> </v>
      </c>
      <c r="L4777" s="27"/>
    </row>
    <row r="4778" spans="1:12">
      <c r="A4778" s="20" t="s">
        <v>1074</v>
      </c>
      <c r="B4778" s="21" t="s">
        <v>1095</v>
      </c>
      <c r="C4778" s="21" t="s">
        <v>1076</v>
      </c>
      <c r="D4778" s="21" t="s">
        <v>1060</v>
      </c>
      <c r="E4778" s="22">
        <f>IF(D4778="?OLD","!!!","")</f>
        <v/>
      </c>
      <c r="F4778" s="23" t="str">
        <f>IF(OR(E4778="",E4778="!!!"),"",IF(NOT(ISNA(VLOOKUP(E4778,E$1:E4777,1,FALSE()))),"OLD",IF(AND(E4778&lt;&gt;"",E4778&lt;&gt;"!!!"),"NEW","")))</f>
        <v> </v>
      </c>
      <c r="G4778" s="24" t="str">
        <f>IF(OR(E4778="",E4778="!!!"),"",IF(OR(J4778=0,AND(J4778=1,K4778=1),AND(J4778=1,I4778="SBJ"),AND(J4778=1,I4778=0)),"?IN_FOCUS",IF(J4778&lt;=2,"?ACTIVATED",IF(J4778&lt;&gt;"","?FAMILIAR",IF(F4778="NEW",IF(ISNA(VLOOKUP(E4778,#REF!,1,FALSE())),"?TYPE_IDENTIFIABLE","?REFERENTIAL"),"_")))))</f>
        <v> </v>
      </c>
      <c r="H4778" s="25" t="str">
        <f>IF(J4778&lt;&gt;1,"",IF(I4778="SBJ","CB","?"))</f>
        <v> </v>
      </c>
      <c r="I4778" s="26" t="str">
        <f>IF(OR(E4778="",E4778="!!!",F4778="NEW"),"",INDEX(B4777:B$2,-1+SUMPRODUCT(MAX(ROW(E4777:E$2)*(E4778=E4777:E$2)))))</f>
        <v> </v>
      </c>
      <c r="J4778" s="26" t="str">
        <f>IF(OR(E4778="",E4778="!!!",F4778="NEW"),"",COUNTBLANK(OFFSET(A$1,,,SUMPRODUCT(MAX(ROW(E$2:E4778)*(E4778=E$2:E4778)))))-COUNTBLANK(OFFSET(A$1,,,SUMPRODUCT(MAX(ROW(E$1:E4777)*(E2=E$1:E4777))))))</f>
        <v> </v>
      </c>
      <c r="K4778" s="26" t="str">
        <f>IF(OR(E4778="",E4778="!!!",F4778="NEW"),"",INDEX(J$1:J4777,SUMPRODUCT(MAX(ROW(E$1:E4777)*(E4778=E$1:E4777)))))</f>
        <v> </v>
      </c>
      <c r="L4778" s="27"/>
    </row>
    <row r="4779" spans="1:12">
      <c r="A4779" s="20" t="s">
        <v>1257</v>
      </c>
      <c r="E4779" s="22">
        <f>IF(D4779="?OLD","!!!","")</f>
        <v/>
      </c>
      <c r="F4779" s="23" t="str">
        <f>IF(OR(E4779="",E4779="!!!"),"",IF(NOT(ISNA(VLOOKUP(E4779,E$1:E4778,1,FALSE()))),"OLD",IF(AND(E4779&lt;&gt;"",E4779&lt;&gt;"!!!"),"NEW","")))</f>
        <v> </v>
      </c>
      <c r="G4779" s="24" t="str">
        <f>IF(OR(E4779="",E4779="!!!"),"",IF(OR(J4779=0,AND(J4779=1,K4779=1),AND(J4779=1,I4779="SBJ"),AND(J4779=1,I4779=0)),"?IN_FOCUS",IF(J4779&lt;=2,"?ACTIVATED",IF(J4779&lt;&gt;"","?FAMILIAR",IF(F4779="NEW",IF(ISNA(VLOOKUP(E4779,#REF!,1,FALSE())),"?TYPE_IDENTIFIABLE","?REFERENTIAL"),"_")))))</f>
        <v> </v>
      </c>
      <c r="H4779" s="25" t="str">
        <f>IF(J4779&lt;&gt;1,"",IF(I4779="SBJ","CB","?"))</f>
        <v> </v>
      </c>
      <c r="I4779" s="26" t="str">
        <f>IF(OR(E4779="",E4779="!!!",F4779="NEW"),"",INDEX(B4778:B$2,-1+SUMPRODUCT(MAX(ROW(E4778:E$2)*(E4779=E4778:E$2)))))</f>
        <v> </v>
      </c>
      <c r="J4779" s="26" t="str">
        <f>IF(OR(E4779="",E4779="!!!",F4779="NEW"),"",COUNTBLANK(OFFSET(A$1,,,SUMPRODUCT(MAX(ROW(E$2:E4779)*(E4779=E$2:E4779)))))-COUNTBLANK(OFFSET(A$1,,,SUMPRODUCT(MAX(ROW(E$1:E4778)*(E2=E$1:E4778))))))</f>
        <v> </v>
      </c>
      <c r="K4779" s="26" t="str">
        <f>IF(OR(E4779="",E4779="!!!",F4779="NEW"),"",INDEX(J$1:J4778,SUMPRODUCT(MAX(ROW(E$1:E4778)*(E4779=E$1:E4778)))))</f>
        <v> </v>
      </c>
      <c r="L4779" s="27"/>
    </row>
    <row r="4780" spans="1:12">
      <c r="A4780" s="20" t="s">
        <v>1497</v>
      </c>
      <c r="E4780" s="22">
        <f>IF(D4780="?OLD","!!!","")</f>
        <v/>
      </c>
      <c r="F4780" s="23" t="str">
        <f>IF(OR(E4780="",E4780="!!!"),"",IF(NOT(ISNA(VLOOKUP(E4780,E$1:E4779,1,FALSE()))),"OLD",IF(AND(E4780&lt;&gt;"",E4780&lt;&gt;"!!!"),"NEW","")))</f>
        <v> </v>
      </c>
      <c r="G4780" s="24" t="str">
        <f>IF(OR(E4780="",E4780="!!!"),"",IF(OR(J4780=0,AND(J4780=1,K4780=1),AND(J4780=1,I4780="SBJ"),AND(J4780=1,I4780=0)),"?IN_FOCUS",IF(J4780&lt;=2,"?ACTIVATED",IF(J4780&lt;&gt;"","?FAMILIAR",IF(F4780="NEW",IF(ISNA(VLOOKUP(E4780,#REF!,1,FALSE())),"?TYPE_IDENTIFIABLE","?REFERENTIAL"),"_")))))</f>
        <v> </v>
      </c>
      <c r="H4780" s="25" t="str">
        <f>IF(J4780&lt;&gt;1,"",IF(I4780="SBJ","CB","?"))</f>
        <v> </v>
      </c>
      <c r="I4780" s="26" t="str">
        <f>IF(OR(E4780="",E4780="!!!",F4780="NEW"),"",INDEX(B4779:B$2,-1+SUMPRODUCT(MAX(ROW(E4779:E$2)*(E4780=E4779:E$2)))))</f>
        <v> </v>
      </c>
      <c r="J4780" s="26" t="str">
        <f>IF(OR(E4780="",E4780="!!!",F4780="NEW"),"",COUNTBLANK(OFFSET(A$1,,,SUMPRODUCT(MAX(ROW(E$2:E4780)*(E4780=E$2:E4780)))))-COUNTBLANK(OFFSET(A$1,,,SUMPRODUCT(MAX(ROW(E$1:E4779)*(E2=E$1:E4779))))))</f>
        <v> </v>
      </c>
      <c r="K4780" s="26" t="str">
        <f>IF(OR(E4780="",E4780="!!!",F4780="NEW"),"",INDEX(J$1:J4779,SUMPRODUCT(MAX(ROW(E$1:E4779)*(E4780=E$1:E4779)))))</f>
        <v> </v>
      </c>
      <c r="L4780" s="27"/>
    </row>
    <row r="4781" spans="1:12">
      <c r="A4781" s="20" t="s">
        <v>1061</v>
      </c>
      <c r="E4781" s="22">
        <f>IF(D4781="?OLD","!!!","")</f>
        <v/>
      </c>
      <c r="F4781" s="23" t="str">
        <f>IF(OR(E4781="",E4781="!!!"),"",IF(NOT(ISNA(VLOOKUP(E4781,E$1:E4780,1,FALSE()))),"OLD",IF(AND(E4781&lt;&gt;"",E4781&lt;&gt;"!!!"),"NEW","")))</f>
        <v> </v>
      </c>
      <c r="G4781" s="24" t="str">
        <f>IF(OR(E4781="",E4781="!!!"),"",IF(OR(J4781=0,AND(J4781=1,K4781=1),AND(J4781=1,I4781="SBJ"),AND(J4781=1,I4781=0)),"?IN_FOCUS",IF(J4781&lt;=2,"?ACTIVATED",IF(J4781&lt;&gt;"","?FAMILIAR",IF(F4781="NEW",IF(ISNA(VLOOKUP(E4781,#REF!,1,FALSE())),"?TYPE_IDENTIFIABLE","?REFERENTIAL"),"_")))))</f>
        <v> </v>
      </c>
      <c r="H4781" s="25" t="str">
        <f>IF(J4781&lt;&gt;1,"",IF(I4781="SBJ","CB","?"))</f>
        <v> </v>
      </c>
      <c r="I4781" s="26" t="str">
        <f>IF(OR(E4781="",E4781="!!!",F4781="NEW"),"",INDEX(B4780:B$2,-1+SUMPRODUCT(MAX(ROW(E4780:E$2)*(E4781=E4780:E$2)))))</f>
        <v> </v>
      </c>
      <c r="J4781" s="26" t="str">
        <f>IF(OR(E4781="",E4781="!!!",F4781="NEW"),"",COUNTBLANK(OFFSET(A$1,,,SUMPRODUCT(MAX(ROW(E$2:E4781)*(E4781=E$2:E4781)))))-COUNTBLANK(OFFSET(A$1,,,SUMPRODUCT(MAX(ROW(E$1:E4780)*(E2=E$1:E4780))))))</f>
        <v> </v>
      </c>
      <c r="K4781" s="26" t="str">
        <f>IF(OR(E4781="",E4781="!!!",F4781="NEW"),"",INDEX(J$1:J4780,SUMPRODUCT(MAX(ROW(E$1:E4780)*(E4781=E$1:E4780)))))</f>
        <v> </v>
      </c>
      <c r="L4781" s="27"/>
    </row>
    <row r="4782" spans="1:12">
      <c r="A4782" s="20" t="s">
        <v>1101</v>
      </c>
      <c r="E4782" s="22">
        <f>IF(D4782="?OLD","!!!","")</f>
        <v/>
      </c>
      <c r="F4782" s="23" t="str">
        <f>IF(OR(E4782="",E4782="!!!"),"",IF(NOT(ISNA(VLOOKUP(E4782,E$1:E4781,1,FALSE()))),"OLD",IF(AND(E4782&lt;&gt;"",E4782&lt;&gt;"!!!"),"NEW","")))</f>
        <v> </v>
      </c>
      <c r="G4782" s="24" t="str">
        <f>IF(OR(E4782="",E4782="!!!"),"",IF(OR(J4782=0,AND(J4782=1,K4782=1),AND(J4782=1,I4782="SBJ"),AND(J4782=1,I4782=0)),"?IN_FOCUS",IF(J4782&lt;=2,"?ACTIVATED",IF(J4782&lt;&gt;"","?FAMILIAR",IF(F4782="NEW",IF(ISNA(VLOOKUP(E4782,#REF!,1,FALSE())),"?TYPE_IDENTIFIABLE","?REFERENTIAL"),"_")))))</f>
        <v> </v>
      </c>
      <c r="H4782" s="25" t="str">
        <f>IF(J4782&lt;&gt;1,"",IF(I4782="SBJ","CB","?"))</f>
        <v> </v>
      </c>
      <c r="I4782" s="26" t="str">
        <f>IF(OR(E4782="",E4782="!!!",F4782="NEW"),"",INDEX(B4781:B$2,-1+SUMPRODUCT(MAX(ROW(E4781:E$2)*(E4782=E4781:E$2)))))</f>
        <v> </v>
      </c>
      <c r="J4782" s="26" t="str">
        <f>IF(OR(E4782="",E4782="!!!",F4782="NEW"),"",COUNTBLANK(OFFSET(A$1,,,SUMPRODUCT(MAX(ROW(E$2:E4782)*(E4782=E$2:E4782)))))-COUNTBLANK(OFFSET(A$1,,,SUMPRODUCT(MAX(ROW(E$1:E4781)*(E2=E$1:E4781))))))</f>
        <v> </v>
      </c>
      <c r="K4782" s="26" t="str">
        <f>IF(OR(E4782="",E4782="!!!",F4782="NEW"),"",INDEX(J$1:J4781,SUMPRODUCT(MAX(ROW(E$1:E4781)*(E4782=E$1:E4781)))))</f>
        <v> </v>
      </c>
      <c r="L4782" s="27"/>
    </row>
    <row r="4783" spans="1:12">
      <c r="A4783" s="20" t="s">
        <v>2414</v>
      </c>
      <c r="B4783" s="21" t="s">
        <v>1099</v>
      </c>
      <c r="C4783" s="21" t="s">
        <v>1140</v>
      </c>
      <c r="D4783" s="21" t="s">
        <v>1060</v>
      </c>
      <c r="E4783" s="22">
        <f>IF(D4783="?OLD","!!!","")</f>
        <v/>
      </c>
      <c r="F4783" s="23" t="str">
        <f>IF(OR(E4783="",E4783="!!!"),"",IF(NOT(ISNA(VLOOKUP(E4783,E$1:E4782,1,FALSE()))),"OLD",IF(AND(E4783&lt;&gt;"",E4783&lt;&gt;"!!!"),"NEW","")))</f>
        <v> </v>
      </c>
      <c r="G4783" s="24" t="str">
        <f>IF(OR(E4783="",E4783="!!!"),"",IF(OR(J4783=0,AND(J4783=1,K4783=1),AND(J4783=1,I4783="SBJ"),AND(J4783=1,I4783=0)),"?IN_FOCUS",IF(J4783&lt;=2,"?ACTIVATED",IF(J4783&lt;&gt;"","?FAMILIAR",IF(F4783="NEW",IF(ISNA(VLOOKUP(E4783,#REF!,1,FALSE())),"?TYPE_IDENTIFIABLE","?REFERENTIAL"),"_")))))</f>
        <v> </v>
      </c>
      <c r="H4783" s="25" t="str">
        <f>IF(J4783&lt;&gt;1,"",IF(I4783="SBJ","CB","?"))</f>
        <v> </v>
      </c>
      <c r="I4783" s="26" t="str">
        <f>IF(OR(E4783="",E4783="!!!",F4783="NEW"),"",INDEX(B4782:B$2,-1+SUMPRODUCT(MAX(ROW(E4782:E$2)*(E4783=E4782:E$2)))))</f>
        <v> </v>
      </c>
      <c r="J4783" s="26" t="str">
        <f>IF(OR(E4783="",E4783="!!!",F4783="NEW"),"",COUNTBLANK(OFFSET(A$1,,,SUMPRODUCT(MAX(ROW(E$2:E4783)*(E4783=E$2:E4783)))))-COUNTBLANK(OFFSET(A$1,,,SUMPRODUCT(MAX(ROW(E$1:E4782)*(E2=E$1:E4782))))))</f>
        <v> </v>
      </c>
      <c r="K4783" s="26" t="str">
        <f>IF(OR(E4783="",E4783="!!!",F4783="NEW"),"",INDEX(J$1:J4782,SUMPRODUCT(MAX(ROW(E$1:E4782)*(E4783=E$1:E4782)))))</f>
        <v> </v>
      </c>
      <c r="L4783" s="27"/>
    </row>
    <row r="4784" spans="1:12">
      <c r="A4784" s="20" t="s">
        <v>2064</v>
      </c>
      <c r="E4784" s="22">
        <f>IF(D4784="?OLD","!!!","")</f>
        <v/>
      </c>
      <c r="F4784" s="23" t="str">
        <f>IF(OR(E4784="",E4784="!!!"),"",IF(NOT(ISNA(VLOOKUP(E4784,E$1:E4783,1,FALSE()))),"OLD",IF(AND(E4784&lt;&gt;"",E4784&lt;&gt;"!!!"),"NEW","")))</f>
        <v> </v>
      </c>
      <c r="G4784" s="24" t="str">
        <f>IF(OR(E4784="",E4784="!!!"),"",IF(OR(J4784=0,AND(J4784=1,K4784=1),AND(J4784=1,I4784="SBJ"),AND(J4784=1,I4784=0)),"?IN_FOCUS",IF(J4784&lt;=2,"?ACTIVATED",IF(J4784&lt;&gt;"","?FAMILIAR",IF(F4784="NEW",IF(ISNA(VLOOKUP(E4784,#REF!,1,FALSE())),"?TYPE_IDENTIFIABLE","?REFERENTIAL"),"_")))))</f>
        <v> </v>
      </c>
      <c r="H4784" s="25" t="str">
        <f>IF(J4784&lt;&gt;1,"",IF(I4784="SBJ","CB","?"))</f>
        <v> </v>
      </c>
      <c r="I4784" s="26" t="str">
        <f>IF(OR(E4784="",E4784="!!!",F4784="NEW"),"",INDEX(B4783:B$2,-1+SUMPRODUCT(MAX(ROW(E4783:E$2)*(E4784=E4783:E$2)))))</f>
        <v> </v>
      </c>
      <c r="J4784" s="26" t="str">
        <f>IF(OR(E4784="",E4784="!!!",F4784="NEW"),"",COUNTBLANK(OFFSET(A$1,,,SUMPRODUCT(MAX(ROW(E$2:E4784)*(E4784=E$2:E4784)))))-COUNTBLANK(OFFSET(A$1,,,SUMPRODUCT(MAX(ROW(E$1:E4783)*(E2=E$1:E4783))))))</f>
        <v> </v>
      </c>
      <c r="K4784" s="26" t="str">
        <f>IF(OR(E4784="",E4784="!!!",F4784="NEW"),"",INDEX(J$1:J4783,SUMPRODUCT(MAX(ROW(E$1:E4783)*(E4784=E$1:E4783)))))</f>
        <v> </v>
      </c>
      <c r="L4784" s="27"/>
    </row>
    <row r="4785" spans="1:12">
      <c r="A4785" s="20" t="s">
        <v>1201</v>
      </c>
      <c r="E4785" s="22">
        <f>IF(D4785="?OLD","!!!","")</f>
        <v/>
      </c>
      <c r="F4785" s="23" t="str">
        <f>IF(OR(E4785="",E4785="!!!"),"",IF(NOT(ISNA(VLOOKUP(E4785,E$1:E4784,1,FALSE()))),"OLD",IF(AND(E4785&lt;&gt;"",E4785&lt;&gt;"!!!"),"NEW","")))</f>
        <v> </v>
      </c>
      <c r="G4785" s="24" t="str">
        <f>IF(OR(E4785="",E4785="!!!"),"",IF(OR(J4785=0,AND(J4785=1,K4785=1),AND(J4785=1,I4785="SBJ"),AND(J4785=1,I4785=0)),"?IN_FOCUS",IF(J4785&lt;=2,"?ACTIVATED",IF(J4785&lt;&gt;"","?FAMILIAR",IF(F4785="NEW",IF(ISNA(VLOOKUP(E4785,#REF!,1,FALSE())),"?TYPE_IDENTIFIABLE","?REFERENTIAL"),"_")))))</f>
        <v> </v>
      </c>
      <c r="H4785" s="25" t="str">
        <f>IF(J4785&lt;&gt;1,"",IF(I4785="SBJ","CB","?"))</f>
        <v> </v>
      </c>
      <c r="I4785" s="26" t="str">
        <f>IF(OR(E4785="",E4785="!!!",F4785="NEW"),"",INDEX(B4784:B$2,-1+SUMPRODUCT(MAX(ROW(E4784:E$2)*(E4785=E4784:E$2)))))</f>
        <v> </v>
      </c>
      <c r="J4785" s="26" t="str">
        <f>IF(OR(E4785="",E4785="!!!",F4785="NEW"),"",COUNTBLANK(OFFSET(A$1,,,SUMPRODUCT(MAX(ROW(E$2:E4785)*(E4785=E$2:E4785)))))-COUNTBLANK(OFFSET(A$1,,,SUMPRODUCT(MAX(ROW(E$1:E4784)*(E2=E$1:E4784))))))</f>
        <v> </v>
      </c>
      <c r="K4785" s="26" t="str">
        <f>IF(OR(E4785="",E4785="!!!",F4785="NEW"),"",INDEX(J$1:J4784,SUMPRODUCT(MAX(ROW(E$1:E4784)*(E4785=E$1:E4784)))))</f>
        <v> </v>
      </c>
      <c r="L4785" s="27"/>
    </row>
    <row r="4786" spans="1:12">
      <c r="A4786" s="20" t="s">
        <v>267</v>
      </c>
      <c r="B4786" s="21" t="s">
        <v>1187</v>
      </c>
      <c r="C4786" s="21" t="s">
        <v>1358</v>
      </c>
      <c r="E4786" s="22">
        <f>IF(D4786="?OLD","!!!","")</f>
        <v/>
      </c>
      <c r="F4786" s="23" t="str">
        <f>IF(OR(E4786="",E4786="!!!"),"",IF(NOT(ISNA(VLOOKUP(E4786,E$1:E4785,1,FALSE()))),"OLD",IF(AND(E4786&lt;&gt;"",E4786&lt;&gt;"!!!"),"NEW","")))</f>
        <v> </v>
      </c>
      <c r="G4786" s="24" t="str">
        <f>IF(OR(E4786="",E4786="!!!"),"",IF(OR(J4786=0,AND(J4786=1,K4786=1),AND(J4786=1,I4786="SBJ"),AND(J4786=1,I4786=0)),"?IN_FOCUS",IF(J4786&lt;=2,"?ACTIVATED",IF(J4786&lt;&gt;"","?FAMILIAR",IF(F4786="NEW",IF(ISNA(VLOOKUP(E4786,#REF!,1,FALSE())),"?TYPE_IDENTIFIABLE","?REFERENTIAL"),"_")))))</f>
        <v> </v>
      </c>
      <c r="H4786" s="25" t="str">
        <f>IF(J4786&lt;&gt;1,"",IF(I4786="SBJ","CB","?"))</f>
        <v> </v>
      </c>
      <c r="I4786" s="26" t="str">
        <f>IF(OR(E4786="",E4786="!!!",F4786="NEW"),"",INDEX(B4785:B$2,-1+SUMPRODUCT(MAX(ROW(E4785:E$2)*(E4786=E4785:E$2)))))</f>
        <v> </v>
      </c>
      <c r="J4786" s="26" t="str">
        <f>IF(OR(E4786="",E4786="!!!",F4786="NEW"),"",COUNTBLANK(OFFSET(A$1,,,SUMPRODUCT(MAX(ROW(E$2:E4786)*(E4786=E$2:E4786)))))-COUNTBLANK(OFFSET(A$1,,,SUMPRODUCT(MAX(ROW(E$1:E4785)*(E2=E$1:E4785))))))</f>
        <v> </v>
      </c>
      <c r="K4786" s="26" t="str">
        <f>IF(OR(E4786="",E4786="!!!",F4786="NEW"),"",INDEX(J$1:J4785,SUMPRODUCT(MAX(ROW(E$1:E4785)*(E4786=E$1:E4785)))))</f>
        <v> </v>
      </c>
      <c r="L4786" s="27"/>
    </row>
    <row r="4787" spans="1:12">
      <c r="A4787" s="20" t="s">
        <v>1085</v>
      </c>
      <c r="E4787" s="22">
        <f>IF(D4787="?OLD","!!!","")</f>
        <v/>
      </c>
      <c r="F4787" s="23" t="str">
        <f>IF(OR(E4787="",E4787="!!!"),"",IF(NOT(ISNA(VLOOKUP(E4787,E$1:E4786,1,FALSE()))),"OLD",IF(AND(E4787&lt;&gt;"",E4787&lt;&gt;"!!!"),"NEW","")))</f>
        <v> </v>
      </c>
      <c r="G4787" s="24" t="str">
        <f>IF(OR(E4787="",E4787="!!!"),"",IF(OR(J4787=0,AND(J4787=1,K4787=1),AND(J4787=1,I4787="SBJ"),AND(J4787=1,I4787=0)),"?IN_FOCUS",IF(J4787&lt;=2,"?ACTIVATED",IF(J4787&lt;&gt;"","?FAMILIAR",IF(F4787="NEW",IF(ISNA(VLOOKUP(E4787,#REF!,1,FALSE())),"?TYPE_IDENTIFIABLE","?REFERENTIAL"),"_")))))</f>
        <v> </v>
      </c>
      <c r="H4787" s="25" t="str">
        <f>IF(J4787&lt;&gt;1,"",IF(I4787="SBJ","CB","?"))</f>
        <v> </v>
      </c>
      <c r="I4787" s="26" t="str">
        <f>IF(OR(E4787="",E4787="!!!",F4787="NEW"),"",INDEX(B4786:B$2,-1+SUMPRODUCT(MAX(ROW(E4786:E$2)*(E4787=E4786:E$2)))))</f>
        <v> </v>
      </c>
      <c r="J4787" s="26" t="str">
        <f>IF(OR(E4787="",E4787="!!!",F4787="NEW"),"",COUNTBLANK(OFFSET(A$1,,,SUMPRODUCT(MAX(ROW(E$2:E4787)*(E4787=E$2:E4787)))))-COUNTBLANK(OFFSET(A$1,,,SUMPRODUCT(MAX(ROW(E$1:E4786)*(E2=E$1:E4786))))))</f>
        <v> </v>
      </c>
      <c r="K4787" s="26" t="str">
        <f>IF(OR(E4787="",E4787="!!!",F4787="NEW"),"",INDEX(J$1:J4786,SUMPRODUCT(MAX(ROW(E$1:E4786)*(E4787=E$1:E4786)))))</f>
        <v> </v>
      </c>
      <c r="L4787" s="27"/>
    </row>
    <row r="4788" spans="1:12">
      <c r="A4788" s="20" t="s">
        <v>2415</v>
      </c>
      <c r="E4788" s="22">
        <f>IF(D4788="?OLD","!!!","")</f>
        <v/>
      </c>
      <c r="F4788" s="23" t="str">
        <f>IF(OR(E4788="",E4788="!!!"),"",IF(NOT(ISNA(VLOOKUP(E4788,E$1:E4787,1,FALSE()))),"OLD",IF(AND(E4788&lt;&gt;"",E4788&lt;&gt;"!!!"),"NEW","")))</f>
        <v> </v>
      </c>
      <c r="G4788" s="24" t="str">
        <f>IF(OR(E4788="",E4788="!!!"),"",IF(OR(J4788=0,AND(J4788=1,K4788=1),AND(J4788=1,I4788="SBJ"),AND(J4788=1,I4788=0)),"?IN_FOCUS",IF(J4788&lt;=2,"?ACTIVATED",IF(J4788&lt;&gt;"","?FAMILIAR",IF(F4788="NEW",IF(ISNA(VLOOKUP(E4788,#REF!,1,FALSE())),"?TYPE_IDENTIFIABLE","?REFERENTIAL"),"_")))))</f>
        <v> </v>
      </c>
      <c r="H4788" s="25" t="str">
        <f>IF(J4788&lt;&gt;1,"",IF(I4788="SBJ","CB","?"))</f>
        <v> </v>
      </c>
      <c r="I4788" s="26" t="str">
        <f>IF(OR(E4788="",E4788="!!!",F4788="NEW"),"",INDEX(B4787:B$2,-1+SUMPRODUCT(MAX(ROW(E4787:E$2)*(E4788=E4787:E$2)))))</f>
        <v> </v>
      </c>
      <c r="J4788" s="26" t="str">
        <f>IF(OR(E4788="",E4788="!!!",F4788="NEW"),"",COUNTBLANK(OFFSET(A$1,,,SUMPRODUCT(MAX(ROW(E$2:E4788)*(E4788=E$2:E4788)))))-COUNTBLANK(OFFSET(A$1,,,SUMPRODUCT(MAX(ROW(E$1:E4787)*(E2=E$1:E4787))))))</f>
        <v> </v>
      </c>
      <c r="K4788" s="26" t="str">
        <f>IF(OR(E4788="",E4788="!!!",F4788="NEW"),"",INDEX(J$1:J4787,SUMPRODUCT(MAX(ROW(E$1:E4787)*(E4788=E$1:E4787)))))</f>
        <v> </v>
      </c>
      <c r="L4788" s="27"/>
    </row>
    <row r="4789" spans="1:12">
      <c r="A4789" s="20" t="s">
        <v>923</v>
      </c>
      <c r="E4789" s="22">
        <f>IF(D4789="?OLD","!!!","")</f>
        <v/>
      </c>
      <c r="F4789" s="23" t="str">
        <f>IF(OR(E4789="",E4789="!!!"),"",IF(NOT(ISNA(VLOOKUP(E4789,E$1:E4788,1,FALSE()))),"OLD",IF(AND(E4789&lt;&gt;"",E4789&lt;&gt;"!!!"),"NEW","")))</f>
        <v> </v>
      </c>
      <c r="G4789" s="24" t="str">
        <f>IF(OR(E4789="",E4789="!!!"),"",IF(OR(J4789=0,AND(J4789=1,K4789=1),AND(J4789=1,I4789="SBJ"),AND(J4789=1,I4789=0)),"?IN_FOCUS",IF(J4789&lt;=2,"?ACTIVATED",IF(J4789&lt;&gt;"","?FAMILIAR",IF(F4789="NEW",IF(ISNA(VLOOKUP(E4789,#REF!,1,FALSE())),"?TYPE_IDENTIFIABLE","?REFERENTIAL"),"_")))))</f>
        <v> </v>
      </c>
      <c r="H4789" s="25" t="str">
        <f>IF(J4789&lt;&gt;1,"",IF(I4789="SBJ","CB","?"))</f>
        <v> </v>
      </c>
      <c r="I4789" s="26" t="str">
        <f>IF(OR(E4789="",E4789="!!!",F4789="NEW"),"",INDEX(B4788:B$2,-1+SUMPRODUCT(MAX(ROW(E4788:E$2)*(E4789=E4788:E$2)))))</f>
        <v> </v>
      </c>
      <c r="J4789" s="26" t="str">
        <f>IF(OR(E4789="",E4789="!!!",F4789="NEW"),"",COUNTBLANK(OFFSET(A$1,,,SUMPRODUCT(MAX(ROW(E$2:E4789)*(E4789=E$2:E4789)))))-COUNTBLANK(OFFSET(A$1,,,SUMPRODUCT(MAX(ROW(E$1:E4788)*(E2=E$1:E4788))))))</f>
        <v> </v>
      </c>
      <c r="K4789" s="26" t="str">
        <f>IF(OR(E4789="",E4789="!!!",F4789="NEW"),"",INDEX(J$1:J4788,SUMPRODUCT(MAX(ROW(E$1:E4788)*(E4789=E$1:E4788)))))</f>
        <v> </v>
      </c>
      <c r="L4789" s="27"/>
    </row>
    <row r="4790" spans="1:12">
      <c r="A4790" s="20"/>
    </row>
    <row r="4791" spans="1:12">
      <c r="A4791" s="20" t="s">
        <v>2416</v>
      </c>
    </row>
    <row r="4792" spans="1:12">
      <c r="A4792" s="20" t="s">
        <v>1063</v>
      </c>
      <c r="B4792" s="21" t="s">
        <v>1058</v>
      </c>
      <c r="C4792" s="21" t="s">
        <v>1065</v>
      </c>
      <c r="D4792" s="21" t="s">
        <v>1060</v>
      </c>
      <c r="E4792" s="22">
        <f>IF(D4792="?OLD","!!!","")</f>
        <v/>
      </c>
      <c r="F4792" s="23" t="str">
        <f>IF(OR(E4792="",E4792="!!!"),"",IF(NOT(ISNA(VLOOKUP(E4792,E$1:E4791,1,FALSE()))),"OLD",IF(AND(E4792&lt;&gt;"",E4792&lt;&gt;"!!!"),"NEW","")))</f>
        <v> </v>
      </c>
      <c r="G4792" s="24" t="str">
        <f>IF(OR(E4792="",E4792="!!!"),"",IF(OR(J4792=0,AND(J4792=1,K4792=1),AND(J4792=1,I4792="SBJ"),AND(J4792=1,I4792=0)),"?IN_FOCUS",IF(J4792&lt;=2,"?ACTIVATED",IF(J4792&lt;&gt;"","?FAMILIAR",IF(F4792="NEW",IF(ISNA(VLOOKUP(E4792,#REF!,1,FALSE())),"?TYPE_IDENTIFIABLE","?REFERENTIAL"),"_")))))</f>
        <v> </v>
      </c>
      <c r="H4792" s="25" t="str">
        <f>IF(J4792&lt;&gt;1,"",IF(I4792="SBJ","CB","?"))</f>
        <v> </v>
      </c>
      <c r="I4792" s="26" t="str">
        <f>IF(OR(E4792="",E4792="!!!",F4792="NEW"),"",INDEX(B4791:B$2,-1+SUMPRODUCT(MAX(ROW(E4791:E$2)*(E4792=E4791:E$2)))))</f>
        <v> </v>
      </c>
      <c r="J4792" s="26" t="str">
        <f>IF(OR(E4792="",E4792="!!!",F4792="NEW"),"",COUNTBLANK(OFFSET(A$1,,,SUMPRODUCT(MAX(ROW(E$2:E4792)*(E4792=E$2:E4792)))))-COUNTBLANK(OFFSET(A$1,,,SUMPRODUCT(MAX(ROW(E$1:E4791)*(E2=E$1:E4791))))))</f>
        <v> </v>
      </c>
      <c r="K4792" s="26" t="str">
        <f>IF(OR(E4792="",E4792="!!!",F4792="NEW"),"",INDEX(J$1:J4791,SUMPRODUCT(MAX(ROW(E$1:E4791)*(E4792=E$1:E4791)))))</f>
        <v> </v>
      </c>
      <c r="L4792" s="27"/>
    </row>
    <row r="4793" spans="1:12">
      <c r="A4793" s="20" t="s">
        <v>716</v>
      </c>
      <c r="E4793" s="22">
        <f>IF(D4793="?OLD","!!!","")</f>
        <v/>
      </c>
      <c r="F4793" s="23" t="str">
        <f>IF(OR(E4793="",E4793="!!!"),"",IF(NOT(ISNA(VLOOKUP(E4793,E$1:E4792,1,FALSE()))),"OLD",IF(AND(E4793&lt;&gt;"",E4793&lt;&gt;"!!!"),"NEW","")))</f>
        <v> </v>
      </c>
      <c r="G4793" s="24" t="str">
        <f>IF(OR(E4793="",E4793="!!!"),"",IF(OR(J4793=0,AND(J4793=1,K4793=1),AND(J4793=1,I4793="SBJ"),AND(J4793=1,I4793=0)),"?IN_FOCUS",IF(J4793&lt;=2,"?ACTIVATED",IF(J4793&lt;&gt;"","?FAMILIAR",IF(F4793="NEW",IF(ISNA(VLOOKUP(E4793,#REF!,1,FALSE())),"?TYPE_IDENTIFIABLE","?REFERENTIAL"),"_")))))</f>
        <v> </v>
      </c>
      <c r="H4793" s="25" t="str">
        <f>IF(J4793&lt;&gt;1,"",IF(I4793="SBJ","CB","?"))</f>
        <v> </v>
      </c>
      <c r="I4793" s="26" t="str">
        <f>IF(OR(E4793="",E4793="!!!",F4793="NEW"),"",INDEX(B4792:B$2,-1+SUMPRODUCT(MAX(ROW(E4792:E$2)*(E4793=E4792:E$2)))))</f>
        <v> </v>
      </c>
      <c r="J4793" s="26" t="str">
        <f>IF(OR(E4793="",E4793="!!!",F4793="NEW"),"",COUNTBLANK(OFFSET(A$1,,,SUMPRODUCT(MAX(ROW(E$2:E4793)*(E4793=E$2:E4793)))))-COUNTBLANK(OFFSET(A$1,,,SUMPRODUCT(MAX(ROW(E$1:E4792)*(E2=E$1:E4792))))))</f>
        <v> </v>
      </c>
      <c r="K4793" s="26" t="str">
        <f>IF(OR(E4793="",E4793="!!!",F4793="NEW"),"",INDEX(J$1:J4792,SUMPRODUCT(MAX(ROW(E$1:E4792)*(E4793=E$1:E4792)))))</f>
        <v> </v>
      </c>
      <c r="L4793" s="27"/>
    </row>
    <row r="4794" spans="1:12">
      <c r="A4794" s="20" t="s">
        <v>1088</v>
      </c>
      <c r="E4794" s="22">
        <f>IF(D4794="?OLD","!!!","")</f>
        <v/>
      </c>
      <c r="F4794" s="23" t="str">
        <f>IF(OR(E4794="",E4794="!!!"),"",IF(NOT(ISNA(VLOOKUP(E4794,E$1:E4793,1,FALSE()))),"OLD",IF(AND(E4794&lt;&gt;"",E4794&lt;&gt;"!!!"),"NEW","")))</f>
        <v> </v>
      </c>
      <c r="G4794" s="24" t="str">
        <f>IF(OR(E4794="",E4794="!!!"),"",IF(OR(J4794=0,AND(J4794=1,K4794=1),AND(J4794=1,I4794="SBJ"),AND(J4794=1,I4794=0)),"?IN_FOCUS",IF(J4794&lt;=2,"?ACTIVATED",IF(J4794&lt;&gt;"","?FAMILIAR",IF(F4794="NEW",IF(ISNA(VLOOKUP(E4794,#REF!,1,FALSE())),"?TYPE_IDENTIFIABLE","?REFERENTIAL"),"_")))))</f>
        <v> </v>
      </c>
      <c r="H4794" s="25" t="str">
        <f>IF(J4794&lt;&gt;1,"",IF(I4794="SBJ","CB","?"))</f>
        <v> </v>
      </c>
      <c r="I4794" s="26" t="str">
        <f>IF(OR(E4794="",E4794="!!!",F4794="NEW"),"",INDEX(B4793:B$2,-1+SUMPRODUCT(MAX(ROW(E4793:E$2)*(E4794=E4793:E$2)))))</f>
        <v> </v>
      </c>
      <c r="J4794" s="26" t="str">
        <f>IF(OR(E4794="",E4794="!!!",F4794="NEW"),"",COUNTBLANK(OFFSET(A$1,,,SUMPRODUCT(MAX(ROW(E$2:E4794)*(E4794=E$2:E4794)))))-COUNTBLANK(OFFSET(A$1,,,SUMPRODUCT(MAX(ROW(E$1:E4793)*(E2=E$1:E4793))))))</f>
        <v> </v>
      </c>
      <c r="K4794" s="26" t="str">
        <f>IF(OR(E4794="",E4794="!!!",F4794="NEW"),"",INDEX(J$1:J4793,SUMPRODUCT(MAX(ROW(E$1:E4793)*(E4794=E$1:E4793)))))</f>
        <v> </v>
      </c>
      <c r="L4794" s="27"/>
    </row>
    <row r="4795" spans="1:12">
      <c r="A4795" s="20" t="s">
        <v>1090</v>
      </c>
      <c r="B4795" s="21" t="s">
        <v>1068</v>
      </c>
      <c r="C4795" s="21" t="s">
        <v>1092</v>
      </c>
      <c r="D4795" s="21" t="s">
        <v>1060</v>
      </c>
      <c r="E4795" s="22">
        <f>IF(D4795="?OLD","!!!","")</f>
        <v/>
      </c>
      <c r="F4795" s="23" t="str">
        <f>IF(OR(E4795="",E4795="!!!"),"",IF(NOT(ISNA(VLOOKUP(E4795,E$1:E4794,1,FALSE()))),"OLD",IF(AND(E4795&lt;&gt;"",E4795&lt;&gt;"!!!"),"NEW","")))</f>
        <v> </v>
      </c>
      <c r="G4795" s="24" t="str">
        <f>IF(OR(E4795="",E4795="!!!"),"",IF(OR(J4795=0,AND(J4795=1,K4795=1),AND(J4795=1,I4795="SBJ"),AND(J4795=1,I4795=0)),"?IN_FOCUS",IF(J4795&lt;=2,"?ACTIVATED",IF(J4795&lt;&gt;"","?FAMILIAR",IF(F4795="NEW",IF(ISNA(VLOOKUP(E4795,#REF!,1,FALSE())),"?TYPE_IDENTIFIABLE","?REFERENTIAL"),"_")))))</f>
        <v> </v>
      </c>
      <c r="H4795" s="25" t="str">
        <f>IF(J4795&lt;&gt;1,"",IF(I4795="SBJ","CB","?"))</f>
        <v> </v>
      </c>
      <c r="I4795" s="26" t="str">
        <f>IF(OR(E4795="",E4795="!!!",F4795="NEW"),"",INDEX(B4794:B$2,-1+SUMPRODUCT(MAX(ROW(E4794:E$2)*(E4795=E4794:E$2)))))</f>
        <v> </v>
      </c>
      <c r="J4795" s="26" t="str">
        <f>IF(OR(E4795="",E4795="!!!",F4795="NEW"),"",COUNTBLANK(OFFSET(A$1,,,SUMPRODUCT(MAX(ROW(E$2:E4795)*(E4795=E$2:E4795)))))-COUNTBLANK(OFFSET(A$1,,,SUMPRODUCT(MAX(ROW(E$1:E4794)*(E2=E$1:E4794))))))</f>
        <v> </v>
      </c>
      <c r="K4795" s="26" t="str">
        <f>IF(OR(E4795="",E4795="!!!",F4795="NEW"),"",INDEX(J$1:J4794,SUMPRODUCT(MAX(ROW(E$1:E4794)*(E4795=E$1:E4794)))))</f>
        <v> </v>
      </c>
      <c r="L4795" s="27"/>
    </row>
    <row r="4796" spans="1:12">
      <c r="A4796" s="20" t="s">
        <v>2417</v>
      </c>
      <c r="B4796" s="21" t="s">
        <v>1097</v>
      </c>
      <c r="C4796" s="21" t="s">
        <v>1059</v>
      </c>
      <c r="D4796" s="21" t="s">
        <v>1060</v>
      </c>
      <c r="E4796" s="22">
        <f>IF(D4796="?OLD","!!!","")</f>
        <v/>
      </c>
      <c r="F4796" s="23" t="str">
        <f>IF(OR(E4796="",E4796="!!!"),"",IF(NOT(ISNA(VLOOKUP(E4796,E$1:E4795,1,FALSE()))),"OLD",IF(AND(E4796&lt;&gt;"",E4796&lt;&gt;"!!!"),"NEW","")))</f>
        <v> </v>
      </c>
      <c r="G4796" s="24" t="str">
        <f>IF(OR(E4796="",E4796="!!!"),"",IF(OR(J4796=0,AND(J4796=1,K4796=1),AND(J4796=1,I4796="SBJ"),AND(J4796=1,I4796=0)),"?IN_FOCUS",IF(J4796&lt;=2,"?ACTIVATED",IF(J4796&lt;&gt;"","?FAMILIAR",IF(F4796="NEW",IF(ISNA(VLOOKUP(E4796,#REF!,1,FALSE())),"?TYPE_IDENTIFIABLE","?REFERENTIAL"),"_")))))</f>
        <v> </v>
      </c>
      <c r="H4796" s="25" t="str">
        <f>IF(J4796&lt;&gt;1,"",IF(I4796="SBJ","CB","?"))</f>
        <v> </v>
      </c>
      <c r="I4796" s="26" t="str">
        <f>IF(OR(E4796="",E4796="!!!",F4796="NEW"),"",INDEX(B4795:B$2,-1+SUMPRODUCT(MAX(ROW(E4795:E$2)*(E4796=E4795:E$2)))))</f>
        <v> </v>
      </c>
      <c r="J4796" s="26" t="str">
        <f>IF(OR(E4796="",E4796="!!!",F4796="NEW"),"",COUNTBLANK(OFFSET(A$1,,,SUMPRODUCT(MAX(ROW(E$2:E4796)*(E4796=E$2:E4796)))))-COUNTBLANK(OFFSET(A$1,,,SUMPRODUCT(MAX(ROW(E$1:E4795)*(E2=E$1:E4795))))))</f>
        <v> </v>
      </c>
      <c r="K4796" s="26" t="str">
        <f>IF(OR(E4796="",E4796="!!!",F4796="NEW"),"",INDEX(J$1:J4795,SUMPRODUCT(MAX(ROW(E$1:E4795)*(E4796=E$1:E4795)))))</f>
        <v> </v>
      </c>
      <c r="L4796" s="27"/>
    </row>
    <row r="4797" spans="1:12">
      <c r="A4797" s="20" t="s">
        <v>1146</v>
      </c>
      <c r="E4797" s="22">
        <f>IF(D4797="?OLD","!!!","")</f>
        <v/>
      </c>
      <c r="F4797" s="23" t="str">
        <f>IF(OR(E4797="",E4797="!!!"),"",IF(NOT(ISNA(VLOOKUP(E4797,E$1:E4796,1,FALSE()))),"OLD",IF(AND(E4797&lt;&gt;"",E4797&lt;&gt;"!!!"),"NEW","")))</f>
        <v> </v>
      </c>
      <c r="G4797" s="24" t="str">
        <f>IF(OR(E4797="",E4797="!!!"),"",IF(OR(J4797=0,AND(J4797=1,K4797=1),AND(J4797=1,I4797="SBJ"),AND(J4797=1,I4797=0)),"?IN_FOCUS",IF(J4797&lt;=2,"?ACTIVATED",IF(J4797&lt;&gt;"","?FAMILIAR",IF(F4797="NEW",IF(ISNA(VLOOKUP(E4797,#REF!,1,FALSE())),"?TYPE_IDENTIFIABLE","?REFERENTIAL"),"_")))))</f>
        <v> </v>
      </c>
      <c r="H4797" s="25" t="str">
        <f>IF(J4797&lt;&gt;1,"",IF(I4797="SBJ","CB","?"))</f>
        <v> </v>
      </c>
      <c r="I4797" s="26" t="str">
        <f>IF(OR(E4797="",E4797="!!!",F4797="NEW"),"",INDEX(B4796:B$2,-1+SUMPRODUCT(MAX(ROW(E4796:E$2)*(E4797=E4796:E$2)))))</f>
        <v> </v>
      </c>
      <c r="J4797" s="26" t="str">
        <f>IF(OR(E4797="",E4797="!!!",F4797="NEW"),"",COUNTBLANK(OFFSET(A$1,,,SUMPRODUCT(MAX(ROW(E$2:E4797)*(E4797=E$2:E4797)))))-COUNTBLANK(OFFSET(A$1,,,SUMPRODUCT(MAX(ROW(E$1:E4796)*(E2=E$1:E4796))))))</f>
        <v> </v>
      </c>
      <c r="K4797" s="26" t="str">
        <f>IF(OR(E4797="",E4797="!!!",F4797="NEW"),"",INDEX(J$1:J4796,SUMPRODUCT(MAX(ROW(E$1:E4796)*(E4797=E$1:E4796)))))</f>
        <v> </v>
      </c>
      <c r="L4797" s="27"/>
    </row>
    <row r="4798" spans="1:12">
      <c r="A4798" s="20" t="s">
        <v>1083</v>
      </c>
      <c r="B4798" s="21" t="s">
        <v>1079</v>
      </c>
      <c r="C4798" s="21" t="s">
        <v>1076</v>
      </c>
      <c r="D4798" s="21" t="s">
        <v>1060</v>
      </c>
      <c r="E4798" s="22">
        <f>IF(D4798="?OLD","!!!","")</f>
        <v/>
      </c>
      <c r="F4798" s="23" t="str">
        <f>IF(OR(E4798="",E4798="!!!"),"",IF(NOT(ISNA(VLOOKUP(E4798,E$1:E4797,1,FALSE()))),"OLD",IF(AND(E4798&lt;&gt;"",E4798&lt;&gt;"!!!"),"NEW","")))</f>
        <v> </v>
      </c>
      <c r="G4798" s="24" t="str">
        <f>IF(OR(E4798="",E4798="!!!"),"",IF(OR(J4798=0,AND(J4798=1,K4798=1),AND(J4798=1,I4798="SBJ"),AND(J4798=1,I4798=0)),"?IN_FOCUS",IF(J4798&lt;=2,"?ACTIVATED",IF(J4798&lt;&gt;"","?FAMILIAR",IF(F4798="NEW",IF(ISNA(VLOOKUP(E4798,#REF!,1,FALSE())),"?TYPE_IDENTIFIABLE","?REFERENTIAL"),"_")))))</f>
        <v> </v>
      </c>
      <c r="H4798" s="25" t="str">
        <f>IF(J4798&lt;&gt;1,"",IF(I4798="SBJ","CB","?"))</f>
        <v> </v>
      </c>
      <c r="I4798" s="26" t="str">
        <f>IF(OR(E4798="",E4798="!!!",F4798="NEW"),"",INDEX(B4797:B$2,-1+SUMPRODUCT(MAX(ROW(E4797:E$2)*(E4798=E4797:E$2)))))</f>
        <v> </v>
      </c>
      <c r="J4798" s="26" t="str">
        <f>IF(OR(E4798="",E4798="!!!",F4798="NEW"),"",COUNTBLANK(OFFSET(A$1,,,SUMPRODUCT(MAX(ROW(E$2:E4798)*(E4798=E$2:E4798)))))-COUNTBLANK(OFFSET(A$1,,,SUMPRODUCT(MAX(ROW(E$1:E4797)*(E2=E$1:E4797))))))</f>
        <v> </v>
      </c>
      <c r="K4798" s="26" t="str">
        <f>IF(OR(E4798="",E4798="!!!",F4798="NEW"),"",INDEX(J$1:J4797,SUMPRODUCT(MAX(ROW(E$1:E4797)*(E4798=E$1:E4797)))))</f>
        <v> </v>
      </c>
      <c r="L4798" s="27"/>
    </row>
    <row r="4799" spans="1:12">
      <c r="A4799" s="20" t="s">
        <v>1732</v>
      </c>
      <c r="E4799" s="22">
        <f>IF(D4799="?OLD","!!!","")</f>
        <v/>
      </c>
      <c r="F4799" s="23" t="str">
        <f>IF(OR(E4799="",E4799="!!!"),"",IF(NOT(ISNA(VLOOKUP(E4799,E$1:E4798,1,FALSE()))),"OLD",IF(AND(E4799&lt;&gt;"",E4799&lt;&gt;"!!!"),"NEW","")))</f>
        <v> </v>
      </c>
      <c r="G4799" s="24" t="str">
        <f>IF(OR(E4799="",E4799="!!!"),"",IF(OR(J4799=0,AND(J4799=1,K4799=1),AND(J4799=1,I4799="SBJ"),AND(J4799=1,I4799=0)),"?IN_FOCUS",IF(J4799&lt;=2,"?ACTIVATED",IF(J4799&lt;&gt;"","?FAMILIAR",IF(F4799="NEW",IF(ISNA(VLOOKUP(E4799,#REF!,1,FALSE())),"?TYPE_IDENTIFIABLE","?REFERENTIAL"),"_")))))</f>
        <v> </v>
      </c>
      <c r="H4799" s="25" t="str">
        <f>IF(J4799&lt;&gt;1,"",IF(I4799="SBJ","CB","?"))</f>
        <v> </v>
      </c>
      <c r="I4799" s="26" t="str">
        <f>IF(OR(E4799="",E4799="!!!",F4799="NEW"),"",INDEX(B4798:B$2,-1+SUMPRODUCT(MAX(ROW(E4798:E$2)*(E4799=E4798:E$2)))))</f>
        <v> </v>
      </c>
      <c r="J4799" s="26" t="str">
        <f>IF(OR(E4799="",E4799="!!!",F4799="NEW"),"",COUNTBLANK(OFFSET(A$1,,,SUMPRODUCT(MAX(ROW(E$2:E4799)*(E4799=E$2:E4799)))))-COUNTBLANK(OFFSET(A$1,,,SUMPRODUCT(MAX(ROW(E$1:E4798)*(E2=E$1:E4798))))))</f>
        <v> </v>
      </c>
      <c r="K4799" s="26" t="str">
        <f>IF(OR(E4799="",E4799="!!!",F4799="NEW"),"",INDEX(J$1:J4798,SUMPRODUCT(MAX(ROW(E$1:E4798)*(E4799=E$1:E4798)))))</f>
        <v> </v>
      </c>
      <c r="L4799" s="27"/>
    </row>
    <row r="4800" spans="1:12">
      <c r="A4800" s="20" t="s">
        <v>1111</v>
      </c>
      <c r="E4800" s="22">
        <f>IF(D4800="?OLD","!!!","")</f>
        <v/>
      </c>
      <c r="F4800" s="23" t="str">
        <f>IF(OR(E4800="",E4800="!!!"),"",IF(NOT(ISNA(VLOOKUP(E4800,E$1:E4799,1,FALSE()))),"OLD",IF(AND(E4800&lt;&gt;"",E4800&lt;&gt;"!!!"),"NEW","")))</f>
        <v> </v>
      </c>
      <c r="G4800" s="24" t="str">
        <f>IF(OR(E4800="",E4800="!!!"),"",IF(OR(J4800=0,AND(J4800=1,K4800=1),AND(J4800=1,I4800="SBJ"),AND(J4800=1,I4800=0)),"?IN_FOCUS",IF(J4800&lt;=2,"?ACTIVATED",IF(J4800&lt;&gt;"","?FAMILIAR",IF(F4800="NEW",IF(ISNA(VLOOKUP(E4800,#REF!,1,FALSE())),"?TYPE_IDENTIFIABLE","?REFERENTIAL"),"_")))))</f>
        <v> </v>
      </c>
      <c r="H4800" s="25" t="str">
        <f>IF(J4800&lt;&gt;1,"",IF(I4800="SBJ","CB","?"))</f>
        <v> </v>
      </c>
      <c r="I4800" s="26" t="str">
        <f>IF(OR(E4800="",E4800="!!!",F4800="NEW"),"",INDEX(B4799:B$2,-1+SUMPRODUCT(MAX(ROW(E4799:E$2)*(E4800=E4799:E$2)))))</f>
        <v> </v>
      </c>
      <c r="J4800" s="26" t="str">
        <f>IF(OR(E4800="",E4800="!!!",F4800="NEW"),"",COUNTBLANK(OFFSET(A$1,,,SUMPRODUCT(MAX(ROW(E$2:E4800)*(E4800=E$2:E4800)))))-COUNTBLANK(OFFSET(A$1,,,SUMPRODUCT(MAX(ROW(E$1:E4799)*(E2=E$1:E4799))))))</f>
        <v> </v>
      </c>
      <c r="K4800" s="26" t="str">
        <f>IF(OR(E4800="",E4800="!!!",F4800="NEW"),"",INDEX(J$1:J4799,SUMPRODUCT(MAX(ROW(E$1:E4799)*(E4800=E$1:E4799)))))</f>
        <v> </v>
      </c>
      <c r="L4800" s="27"/>
    </row>
    <row r="4801" spans="1:12">
      <c r="A4801" s="20" t="s">
        <v>1101</v>
      </c>
      <c r="E4801" s="22">
        <f>IF(D4801="?OLD","!!!","")</f>
        <v/>
      </c>
      <c r="F4801" s="23" t="str">
        <f>IF(OR(E4801="",E4801="!!!"),"",IF(NOT(ISNA(VLOOKUP(E4801,E$1:E4800,1,FALSE()))),"OLD",IF(AND(E4801&lt;&gt;"",E4801&lt;&gt;"!!!"),"NEW","")))</f>
        <v> </v>
      </c>
      <c r="G4801" s="24" t="str">
        <f>IF(OR(E4801="",E4801="!!!"),"",IF(OR(J4801=0,AND(J4801=1,K4801=1),AND(J4801=1,I4801="SBJ"),AND(J4801=1,I4801=0)),"?IN_FOCUS",IF(J4801&lt;=2,"?ACTIVATED",IF(J4801&lt;&gt;"","?FAMILIAR",IF(F4801="NEW",IF(ISNA(VLOOKUP(E4801,#REF!,1,FALSE())),"?TYPE_IDENTIFIABLE","?REFERENTIAL"),"_")))))</f>
        <v> </v>
      </c>
      <c r="H4801" s="25" t="str">
        <f>IF(J4801&lt;&gt;1,"",IF(I4801="SBJ","CB","?"))</f>
        <v> </v>
      </c>
      <c r="I4801" s="26" t="str">
        <f>IF(OR(E4801="",E4801="!!!",F4801="NEW"),"",INDEX(B4800:B$2,-1+SUMPRODUCT(MAX(ROW(E4800:E$2)*(E4801=E4800:E$2)))))</f>
        <v> </v>
      </c>
      <c r="J4801" s="26" t="str">
        <f>IF(OR(E4801="",E4801="!!!",F4801="NEW"),"",COUNTBLANK(OFFSET(A$1,,,SUMPRODUCT(MAX(ROW(E$2:E4801)*(E4801=E$2:E4801)))))-COUNTBLANK(OFFSET(A$1,,,SUMPRODUCT(MAX(ROW(E$1:E4800)*(E2=E$1:E4800))))))</f>
        <v> </v>
      </c>
      <c r="K4801" s="26" t="str">
        <f>IF(OR(E4801="",E4801="!!!",F4801="NEW"),"",INDEX(J$1:J4800,SUMPRODUCT(MAX(ROW(E$1:E4800)*(E4801=E$1:E4800)))))</f>
        <v> </v>
      </c>
      <c r="L4801" s="27"/>
    </row>
    <row r="4802" spans="1:12">
      <c r="A4802" s="20" t="s">
        <v>1420</v>
      </c>
      <c r="B4802" s="21" t="s">
        <v>1068</v>
      </c>
      <c r="C4802" s="21" t="s">
        <v>1140</v>
      </c>
      <c r="D4802" s="21" t="s">
        <v>1060</v>
      </c>
      <c r="E4802" s="22">
        <f>IF(D4802="?OLD","!!!","")</f>
        <v/>
      </c>
      <c r="F4802" s="23" t="str">
        <f>IF(OR(E4802="",E4802="!!!"),"",IF(NOT(ISNA(VLOOKUP(E4802,E$1:E4801,1,FALSE()))),"OLD",IF(AND(E4802&lt;&gt;"",E4802&lt;&gt;"!!!"),"NEW","")))</f>
        <v> </v>
      </c>
      <c r="G4802" s="24" t="str">
        <f>IF(OR(E4802="",E4802="!!!"),"",IF(OR(J4802=0,AND(J4802=1,K4802=1),AND(J4802=1,I4802="SBJ"),AND(J4802=1,I4802=0)),"?IN_FOCUS",IF(J4802&lt;=2,"?ACTIVATED",IF(J4802&lt;&gt;"","?FAMILIAR",IF(F4802="NEW",IF(ISNA(VLOOKUP(E4802,#REF!,1,FALSE())),"?TYPE_IDENTIFIABLE","?REFERENTIAL"),"_")))))</f>
        <v> </v>
      </c>
      <c r="H4802" s="25" t="str">
        <f>IF(J4802&lt;&gt;1,"",IF(I4802="SBJ","CB","?"))</f>
        <v> </v>
      </c>
      <c r="I4802" s="26" t="str">
        <f>IF(OR(E4802="",E4802="!!!",F4802="NEW"),"",INDEX(B4801:B$2,-1+SUMPRODUCT(MAX(ROW(E4801:E$2)*(E4802=E4801:E$2)))))</f>
        <v> </v>
      </c>
      <c r="J4802" s="26" t="str">
        <f>IF(OR(E4802="",E4802="!!!",F4802="NEW"),"",COUNTBLANK(OFFSET(A$1,,,SUMPRODUCT(MAX(ROW(E$2:E4802)*(E4802=E$2:E4802)))))-COUNTBLANK(OFFSET(A$1,,,SUMPRODUCT(MAX(ROW(E$1:E4801)*(E2=E$1:E4801))))))</f>
        <v> </v>
      </c>
      <c r="K4802" s="26" t="str">
        <f>IF(OR(E4802="",E4802="!!!",F4802="NEW"),"",INDEX(J$1:J4801,SUMPRODUCT(MAX(ROW(E$1:E4801)*(E4802=E$1:E4801)))))</f>
        <v> </v>
      </c>
      <c r="L4802" s="27"/>
    </row>
    <row r="4803" spans="1:12">
      <c r="A4803" s="20" t="s">
        <v>1088</v>
      </c>
      <c r="E4803" s="22">
        <f>IF(D4803="?OLD","!!!","")</f>
        <v/>
      </c>
      <c r="F4803" s="23" t="str">
        <f>IF(OR(E4803="",E4803="!!!"),"",IF(NOT(ISNA(VLOOKUP(E4803,E$1:E4802,1,FALSE()))),"OLD",IF(AND(E4803&lt;&gt;"",E4803&lt;&gt;"!!!"),"NEW","")))</f>
        <v> </v>
      </c>
      <c r="G4803" s="24" t="str">
        <f>IF(OR(E4803="",E4803="!!!"),"",IF(OR(J4803=0,AND(J4803=1,K4803=1),AND(J4803=1,I4803="SBJ"),AND(J4803=1,I4803=0)),"?IN_FOCUS",IF(J4803&lt;=2,"?ACTIVATED",IF(J4803&lt;&gt;"","?FAMILIAR",IF(F4803="NEW",IF(ISNA(VLOOKUP(E4803,#REF!,1,FALSE())),"?TYPE_IDENTIFIABLE","?REFERENTIAL"),"_")))))</f>
        <v> </v>
      </c>
      <c r="H4803" s="25" t="str">
        <f>IF(J4803&lt;&gt;1,"",IF(I4803="SBJ","CB","?"))</f>
        <v> </v>
      </c>
      <c r="I4803" s="26" t="str">
        <f>IF(OR(E4803="",E4803="!!!",F4803="NEW"),"",INDEX(B4802:B$2,-1+SUMPRODUCT(MAX(ROW(E4802:E$2)*(E4803=E4802:E$2)))))</f>
        <v> </v>
      </c>
      <c r="J4803" s="26" t="str">
        <f>IF(OR(E4803="",E4803="!!!",F4803="NEW"),"",COUNTBLANK(OFFSET(A$1,,,SUMPRODUCT(MAX(ROW(E$2:E4803)*(E4803=E$2:E4803)))))-COUNTBLANK(OFFSET(A$1,,,SUMPRODUCT(MAX(ROW(E$1:E4802)*(E2=E$1:E4802))))))</f>
        <v> </v>
      </c>
      <c r="K4803" s="26" t="str">
        <f>IF(OR(E4803="",E4803="!!!",F4803="NEW"),"",INDEX(J$1:J4802,SUMPRODUCT(MAX(ROW(E$1:E4802)*(E4803=E$1:E4802)))))</f>
        <v> </v>
      </c>
      <c r="L4803" s="27"/>
    </row>
    <row r="4804" spans="1:12">
      <c r="A4804" s="20" t="s">
        <v>2418</v>
      </c>
      <c r="E4804" s="22">
        <f>IF(D4804="?OLD","!!!","")</f>
        <v/>
      </c>
      <c r="F4804" s="23" t="str">
        <f>IF(OR(E4804="",E4804="!!!"),"",IF(NOT(ISNA(VLOOKUP(E4804,E$1:E4803,1,FALSE()))),"OLD",IF(AND(E4804&lt;&gt;"",E4804&lt;&gt;"!!!"),"NEW","")))</f>
        <v> </v>
      </c>
      <c r="G4804" s="24" t="str">
        <f>IF(OR(E4804="",E4804="!!!"),"",IF(OR(J4804=0,AND(J4804=1,K4804=1),AND(J4804=1,I4804="SBJ"),AND(J4804=1,I4804=0)),"?IN_FOCUS",IF(J4804&lt;=2,"?ACTIVATED",IF(J4804&lt;&gt;"","?FAMILIAR",IF(F4804="NEW",IF(ISNA(VLOOKUP(E4804,#REF!,1,FALSE())),"?TYPE_IDENTIFIABLE","?REFERENTIAL"),"_")))))</f>
        <v> </v>
      </c>
      <c r="H4804" s="25" t="str">
        <f>IF(J4804&lt;&gt;1,"",IF(I4804="SBJ","CB","?"))</f>
        <v> </v>
      </c>
      <c r="I4804" s="26" t="str">
        <f>IF(OR(E4804="",E4804="!!!",F4804="NEW"),"",INDEX(B4803:B$2,-1+SUMPRODUCT(MAX(ROW(E4803:E$2)*(E4804=E4803:E$2)))))</f>
        <v> </v>
      </c>
      <c r="J4804" s="26" t="str">
        <f>IF(OR(E4804="",E4804="!!!",F4804="NEW"),"",COUNTBLANK(OFFSET(A$1,,,SUMPRODUCT(MAX(ROW(E$2:E4804)*(E4804=E$2:E4804)))))-COUNTBLANK(OFFSET(A$1,,,SUMPRODUCT(MAX(ROW(E$1:E4803)*(E2=E$1:E4803))))))</f>
        <v> </v>
      </c>
      <c r="K4804" s="26" t="str">
        <f>IF(OR(E4804="",E4804="!!!",F4804="NEW"),"",INDEX(J$1:J4803,SUMPRODUCT(MAX(ROW(E$1:E4803)*(E4804=E$1:E4803)))))</f>
        <v> </v>
      </c>
      <c r="L4804" s="27"/>
    </row>
    <row r="4805" spans="1:12">
      <c r="A4805" s="20" t="s">
        <v>1074</v>
      </c>
      <c r="B4805" s="21" t="s">
        <v>1136</v>
      </c>
      <c r="C4805" s="21" t="s">
        <v>1076</v>
      </c>
      <c r="D4805" s="21" t="s">
        <v>1060</v>
      </c>
      <c r="E4805" s="22">
        <f>IF(D4805="?OLD","!!!","")</f>
        <v/>
      </c>
      <c r="F4805" s="23" t="str">
        <f>IF(OR(E4805="",E4805="!!!"),"",IF(NOT(ISNA(VLOOKUP(E4805,E$1:E4804,1,FALSE()))),"OLD",IF(AND(E4805&lt;&gt;"",E4805&lt;&gt;"!!!"),"NEW","")))</f>
        <v> </v>
      </c>
      <c r="G4805" s="24" t="str">
        <f>IF(OR(E4805="",E4805="!!!"),"",IF(OR(J4805=0,AND(J4805=1,K4805=1),AND(J4805=1,I4805="SBJ"),AND(J4805=1,I4805=0)),"?IN_FOCUS",IF(J4805&lt;=2,"?ACTIVATED",IF(J4805&lt;&gt;"","?FAMILIAR",IF(F4805="NEW",IF(ISNA(VLOOKUP(E4805,#REF!,1,FALSE())),"?TYPE_IDENTIFIABLE","?REFERENTIAL"),"_")))))</f>
        <v> </v>
      </c>
      <c r="H4805" s="25" t="str">
        <f>IF(J4805&lt;&gt;1,"",IF(I4805="SBJ","CB","?"))</f>
        <v> </v>
      </c>
      <c r="I4805" s="26" t="str">
        <f>IF(OR(E4805="",E4805="!!!",F4805="NEW"),"",INDEX(B4804:B$2,-1+SUMPRODUCT(MAX(ROW(E4804:E$2)*(E4805=E4804:E$2)))))</f>
        <v> </v>
      </c>
      <c r="J4805" s="26" t="str">
        <f>IF(OR(E4805="",E4805="!!!",F4805="NEW"),"",COUNTBLANK(OFFSET(A$1,,,SUMPRODUCT(MAX(ROW(E$2:E4805)*(E4805=E$2:E4805)))))-COUNTBLANK(OFFSET(A$1,,,SUMPRODUCT(MAX(ROW(E$1:E4804)*(E2=E$1:E4804))))))</f>
        <v> </v>
      </c>
      <c r="K4805" s="26" t="str">
        <f>IF(OR(E4805="",E4805="!!!",F4805="NEW"),"",INDEX(J$1:J4804,SUMPRODUCT(MAX(ROW(E$1:E4804)*(E4805=E$1:E4804)))))</f>
        <v> </v>
      </c>
      <c r="L4805" s="27"/>
    </row>
    <row r="4806" spans="1:12">
      <c r="A4806" s="20" t="s">
        <v>1070</v>
      </c>
      <c r="E4806" s="22">
        <f>IF(D4806="?OLD","!!!","")</f>
        <v/>
      </c>
      <c r="F4806" s="23" t="str">
        <f>IF(OR(E4806="",E4806="!!!"),"",IF(NOT(ISNA(VLOOKUP(E4806,E$1:E4805,1,FALSE()))),"OLD",IF(AND(E4806&lt;&gt;"",E4806&lt;&gt;"!!!"),"NEW","")))</f>
        <v> </v>
      </c>
      <c r="G4806" s="24" t="str">
        <f>IF(OR(E4806="",E4806="!!!"),"",IF(OR(J4806=0,AND(J4806=1,K4806=1),AND(J4806=1,I4806="SBJ"),AND(J4806=1,I4806=0)),"?IN_FOCUS",IF(J4806&lt;=2,"?ACTIVATED",IF(J4806&lt;&gt;"","?FAMILIAR",IF(F4806="NEW",IF(ISNA(VLOOKUP(E4806,#REF!,1,FALSE())),"?TYPE_IDENTIFIABLE","?REFERENTIAL"),"_")))))</f>
        <v> </v>
      </c>
      <c r="H4806" s="25" t="str">
        <f>IF(J4806&lt;&gt;1,"",IF(I4806="SBJ","CB","?"))</f>
        <v> </v>
      </c>
      <c r="I4806" s="26" t="str">
        <f>IF(OR(E4806="",E4806="!!!",F4806="NEW"),"",INDEX(B4805:B$2,-1+SUMPRODUCT(MAX(ROW(E4805:E$2)*(E4806=E4805:E$2)))))</f>
        <v> </v>
      </c>
      <c r="J4806" s="26" t="str">
        <f>IF(OR(E4806="",E4806="!!!",F4806="NEW"),"",COUNTBLANK(OFFSET(A$1,,,SUMPRODUCT(MAX(ROW(E$2:E4806)*(E4806=E$2:E4806)))))-COUNTBLANK(OFFSET(A$1,,,SUMPRODUCT(MAX(ROW(E$1:E4805)*(E2=E$1:E4805))))))</f>
        <v> </v>
      </c>
      <c r="K4806" s="26" t="str">
        <f>IF(OR(E4806="",E4806="!!!",F4806="NEW"),"",INDEX(J$1:J4805,SUMPRODUCT(MAX(ROW(E$1:E4805)*(E4806=E$1:E4805)))))</f>
        <v> </v>
      </c>
      <c r="L4806" s="27"/>
    </row>
    <row r="4807" spans="1:12">
      <c r="A4807" s="20" t="s">
        <v>1118</v>
      </c>
      <c r="E4807" s="22">
        <f>IF(D4807="?OLD","!!!","")</f>
        <v/>
      </c>
      <c r="F4807" s="23" t="str">
        <f>IF(OR(E4807="",E4807="!!!"),"",IF(NOT(ISNA(VLOOKUP(E4807,E$1:E4806,1,FALSE()))),"OLD",IF(AND(E4807&lt;&gt;"",E4807&lt;&gt;"!!!"),"NEW","")))</f>
        <v> </v>
      </c>
      <c r="G4807" s="24" t="str">
        <f>IF(OR(E4807="",E4807="!!!"),"",IF(OR(J4807=0,AND(J4807=1,K4807=1),AND(J4807=1,I4807="SBJ"),AND(J4807=1,I4807=0)),"?IN_FOCUS",IF(J4807&lt;=2,"?ACTIVATED",IF(J4807&lt;&gt;"","?FAMILIAR",IF(F4807="NEW",IF(ISNA(VLOOKUP(E4807,#REF!,1,FALSE())),"?TYPE_IDENTIFIABLE","?REFERENTIAL"),"_")))))</f>
        <v> </v>
      </c>
      <c r="H4807" s="25" t="str">
        <f>IF(J4807&lt;&gt;1,"",IF(I4807="SBJ","CB","?"))</f>
        <v> </v>
      </c>
      <c r="I4807" s="26" t="str">
        <f>IF(OR(E4807="",E4807="!!!",F4807="NEW"),"",INDEX(B4806:B$2,-1+SUMPRODUCT(MAX(ROW(E4806:E$2)*(E4807=E4806:E$2)))))</f>
        <v> </v>
      </c>
      <c r="J4807" s="26" t="str">
        <f>IF(OR(E4807="",E4807="!!!",F4807="NEW"),"",COUNTBLANK(OFFSET(A$1,,,SUMPRODUCT(MAX(ROW(E$2:E4807)*(E4807=E$2:E4807)))))-COUNTBLANK(OFFSET(A$1,,,SUMPRODUCT(MAX(ROW(E$1:E4806)*(E2=E$1:E4806))))))</f>
        <v> </v>
      </c>
      <c r="K4807" s="26" t="str">
        <f>IF(OR(E4807="",E4807="!!!",F4807="NEW"),"",INDEX(J$1:J4806,SUMPRODUCT(MAX(ROW(E$1:E4806)*(E4807=E$1:E4806)))))</f>
        <v> </v>
      </c>
      <c r="L4807" s="27"/>
    </row>
    <row r="4808" spans="1:12">
      <c r="A4808" s="20" t="s">
        <v>1152</v>
      </c>
      <c r="E4808" s="22">
        <f>IF(D4808="?OLD","!!!","")</f>
        <v/>
      </c>
      <c r="F4808" s="23" t="str">
        <f>IF(OR(E4808="",E4808="!!!"),"",IF(NOT(ISNA(VLOOKUP(E4808,E$1:E4807,1,FALSE()))),"OLD",IF(AND(E4808&lt;&gt;"",E4808&lt;&gt;"!!!"),"NEW","")))</f>
        <v> </v>
      </c>
      <c r="G4808" s="24" t="str">
        <f>IF(OR(E4808="",E4808="!!!"),"",IF(OR(J4808=0,AND(J4808=1,K4808=1),AND(J4808=1,I4808="SBJ"),AND(J4808=1,I4808=0)),"?IN_FOCUS",IF(J4808&lt;=2,"?ACTIVATED",IF(J4808&lt;&gt;"","?FAMILIAR",IF(F4808="NEW",IF(ISNA(VLOOKUP(E4808,#REF!,1,FALSE())),"?TYPE_IDENTIFIABLE","?REFERENTIAL"),"_")))))</f>
        <v> </v>
      </c>
      <c r="H4808" s="25" t="str">
        <f>IF(J4808&lt;&gt;1,"",IF(I4808="SBJ","CB","?"))</f>
        <v> </v>
      </c>
      <c r="I4808" s="26" t="str">
        <f>IF(OR(E4808="",E4808="!!!",F4808="NEW"),"",INDEX(B4807:B$2,-1+SUMPRODUCT(MAX(ROW(E4807:E$2)*(E4808=E4807:E$2)))))</f>
        <v> </v>
      </c>
      <c r="J4808" s="26" t="str">
        <f>IF(OR(E4808="",E4808="!!!",F4808="NEW"),"",COUNTBLANK(OFFSET(A$1,,,SUMPRODUCT(MAX(ROW(E$2:E4808)*(E4808=E$2:E4808)))))-COUNTBLANK(OFFSET(A$1,,,SUMPRODUCT(MAX(ROW(E$1:E4807)*(E2=E$1:E4807))))))</f>
        <v> </v>
      </c>
      <c r="K4808" s="26" t="str">
        <f>IF(OR(E4808="",E4808="!!!",F4808="NEW"),"",INDEX(J$1:J4807,SUMPRODUCT(MAX(ROW(E$1:E4807)*(E4808=E$1:E4807)))))</f>
        <v> </v>
      </c>
      <c r="L4808" s="27"/>
    </row>
    <row r="4809" spans="1:12">
      <c r="A4809" s="20" t="s">
        <v>1170</v>
      </c>
      <c r="B4809" s="21" t="s">
        <v>1079</v>
      </c>
      <c r="C4809" s="21" t="s">
        <v>1076</v>
      </c>
      <c r="D4809" s="21" t="s">
        <v>1060</v>
      </c>
      <c r="E4809" s="22">
        <f>IF(D4809="?OLD","!!!","")</f>
        <v/>
      </c>
      <c r="F4809" s="23" t="str">
        <f>IF(OR(E4809="",E4809="!!!"),"",IF(NOT(ISNA(VLOOKUP(E4809,E$1:E4808,1,FALSE()))),"OLD",IF(AND(E4809&lt;&gt;"",E4809&lt;&gt;"!!!"),"NEW","")))</f>
        <v> </v>
      </c>
      <c r="G4809" s="24" t="str">
        <f>IF(OR(E4809="",E4809="!!!"),"",IF(OR(J4809=0,AND(J4809=1,K4809=1),AND(J4809=1,I4809="SBJ"),AND(J4809=1,I4809=0)),"?IN_FOCUS",IF(J4809&lt;=2,"?ACTIVATED",IF(J4809&lt;&gt;"","?FAMILIAR",IF(F4809="NEW",IF(ISNA(VLOOKUP(E4809,#REF!,1,FALSE())),"?TYPE_IDENTIFIABLE","?REFERENTIAL"),"_")))))</f>
        <v> </v>
      </c>
      <c r="H4809" s="25" t="str">
        <f>IF(J4809&lt;&gt;1,"",IF(I4809="SBJ","CB","?"))</f>
        <v> </v>
      </c>
      <c r="I4809" s="26" t="str">
        <f>IF(OR(E4809="",E4809="!!!",F4809="NEW"),"",INDEX(B4808:B$2,-1+SUMPRODUCT(MAX(ROW(E4808:E$2)*(E4809=E4808:E$2)))))</f>
        <v> </v>
      </c>
      <c r="J4809" s="26" t="str">
        <f>IF(OR(E4809="",E4809="!!!",F4809="NEW"),"",COUNTBLANK(OFFSET(A$1,,,SUMPRODUCT(MAX(ROW(E$2:E4809)*(E4809=E$2:E4809)))))-COUNTBLANK(OFFSET(A$1,,,SUMPRODUCT(MAX(ROW(E$1:E4808)*(E2=E$1:E4808))))))</f>
        <v> </v>
      </c>
      <c r="K4809" s="26" t="str">
        <f>IF(OR(E4809="",E4809="!!!",F4809="NEW"),"",INDEX(J$1:J4808,SUMPRODUCT(MAX(ROW(E$1:E4808)*(E4809=E$1:E4808)))))</f>
        <v> </v>
      </c>
      <c r="L4809" s="27"/>
    </row>
    <row r="4810" spans="1:12">
      <c r="A4810" s="20" t="s">
        <v>1256</v>
      </c>
      <c r="E4810" s="22">
        <f>IF(D4810="?OLD","!!!","")</f>
        <v/>
      </c>
      <c r="F4810" s="23" t="str">
        <f>IF(OR(E4810="",E4810="!!!"),"",IF(NOT(ISNA(VLOOKUP(E4810,E$1:E4809,1,FALSE()))),"OLD",IF(AND(E4810&lt;&gt;"",E4810&lt;&gt;"!!!"),"NEW","")))</f>
        <v> </v>
      </c>
      <c r="G4810" s="24" t="str">
        <f>IF(OR(E4810="",E4810="!!!"),"",IF(OR(J4810=0,AND(J4810=1,K4810=1),AND(J4810=1,I4810="SBJ"),AND(J4810=1,I4810=0)),"?IN_FOCUS",IF(J4810&lt;=2,"?ACTIVATED",IF(J4810&lt;&gt;"","?FAMILIAR",IF(F4810="NEW",IF(ISNA(VLOOKUP(E4810,#REF!,1,FALSE())),"?TYPE_IDENTIFIABLE","?REFERENTIAL"),"_")))))</f>
        <v> </v>
      </c>
      <c r="H4810" s="25" t="str">
        <f>IF(J4810&lt;&gt;1,"",IF(I4810="SBJ","CB","?"))</f>
        <v> </v>
      </c>
      <c r="I4810" s="26" t="str">
        <f>IF(OR(E4810="",E4810="!!!",F4810="NEW"),"",INDEX(B4809:B$2,-1+SUMPRODUCT(MAX(ROW(E4809:E$2)*(E4810=E4809:E$2)))))</f>
        <v> </v>
      </c>
      <c r="J4810" s="26" t="str">
        <f>IF(OR(E4810="",E4810="!!!",F4810="NEW"),"",COUNTBLANK(OFFSET(A$1,,,SUMPRODUCT(MAX(ROW(E$2:E4810)*(E4810=E$2:E4810)))))-COUNTBLANK(OFFSET(A$1,,,SUMPRODUCT(MAX(ROW(E$1:E4809)*(E2=E$1:E4809))))))</f>
        <v> </v>
      </c>
      <c r="K4810" s="26" t="str">
        <f>IF(OR(E4810="",E4810="!!!",F4810="NEW"),"",INDEX(J$1:J4809,SUMPRODUCT(MAX(ROW(E$1:E4809)*(E4810=E$1:E4809)))))</f>
        <v> </v>
      </c>
      <c r="L4810" s="27"/>
    </row>
    <row r="4811" spans="1:12">
      <c r="A4811" s="20" t="s">
        <v>1379</v>
      </c>
      <c r="E4811" s="22">
        <f>IF(D4811="?OLD","!!!","")</f>
        <v/>
      </c>
      <c r="F4811" s="23" t="str">
        <f>IF(OR(E4811="",E4811="!!!"),"",IF(NOT(ISNA(VLOOKUP(E4811,E$1:E4810,1,FALSE()))),"OLD",IF(AND(E4811&lt;&gt;"",E4811&lt;&gt;"!!!"),"NEW","")))</f>
        <v> </v>
      </c>
      <c r="G4811" s="24" t="str">
        <f>IF(OR(E4811="",E4811="!!!"),"",IF(OR(J4811=0,AND(J4811=1,K4811=1),AND(J4811=1,I4811="SBJ"),AND(J4811=1,I4811=0)),"?IN_FOCUS",IF(J4811&lt;=2,"?ACTIVATED",IF(J4811&lt;&gt;"","?FAMILIAR",IF(F4811="NEW",IF(ISNA(VLOOKUP(E4811,#REF!,1,FALSE())),"?TYPE_IDENTIFIABLE","?REFERENTIAL"),"_")))))</f>
        <v> </v>
      </c>
      <c r="H4811" s="25" t="str">
        <f>IF(J4811&lt;&gt;1,"",IF(I4811="SBJ","CB","?"))</f>
        <v> </v>
      </c>
      <c r="I4811" s="26" t="str">
        <f>IF(OR(E4811="",E4811="!!!",F4811="NEW"),"",INDEX(B4810:B$2,-1+SUMPRODUCT(MAX(ROW(E4810:E$2)*(E4811=E4810:E$2)))))</f>
        <v> </v>
      </c>
      <c r="J4811" s="26" t="str">
        <f>IF(OR(E4811="",E4811="!!!",F4811="NEW"),"",COUNTBLANK(OFFSET(A$1,,,SUMPRODUCT(MAX(ROW(E$2:E4811)*(E4811=E$2:E4811)))))-COUNTBLANK(OFFSET(A$1,,,SUMPRODUCT(MAX(ROW(E$1:E4810)*(E2=E$1:E4810))))))</f>
        <v> </v>
      </c>
      <c r="K4811" s="26" t="str">
        <f>IF(OR(E4811="",E4811="!!!",F4811="NEW"),"",INDEX(J$1:J4810,SUMPRODUCT(MAX(ROW(E$1:E4810)*(E4811=E$1:E4810)))))</f>
        <v> </v>
      </c>
      <c r="L4811" s="27"/>
    </row>
    <row r="4812" spans="1:12">
      <c r="A4812" s="20" t="s">
        <v>1502</v>
      </c>
      <c r="B4812" s="21" t="s">
        <v>1097</v>
      </c>
      <c r="C4812" s="21" t="s">
        <v>1522</v>
      </c>
      <c r="D4812" s="21" t="s">
        <v>1060</v>
      </c>
      <c r="E4812" s="22">
        <f>IF(D4812="?OLD","!!!","")</f>
        <v/>
      </c>
      <c r="F4812" s="23" t="str">
        <f>IF(OR(E4812="",E4812="!!!"),"",IF(NOT(ISNA(VLOOKUP(E4812,E$1:E4811,1,FALSE()))),"OLD",IF(AND(E4812&lt;&gt;"",E4812&lt;&gt;"!!!"),"NEW","")))</f>
        <v> </v>
      </c>
      <c r="G4812" s="24" t="str">
        <f>IF(OR(E4812="",E4812="!!!"),"",IF(OR(J4812=0,AND(J4812=1,K4812=1),AND(J4812=1,I4812="SBJ"),AND(J4812=1,I4812=0)),"?IN_FOCUS",IF(J4812&lt;=2,"?ACTIVATED",IF(J4812&lt;&gt;"","?FAMILIAR",IF(F4812="NEW",IF(ISNA(VLOOKUP(E4812,#REF!,1,FALSE())),"?TYPE_IDENTIFIABLE","?REFERENTIAL"),"_")))))</f>
        <v> </v>
      </c>
      <c r="H4812" s="25" t="str">
        <f>IF(J4812&lt;&gt;1,"",IF(I4812="SBJ","CB","?"))</f>
        <v> </v>
      </c>
      <c r="I4812" s="26" t="str">
        <f>IF(OR(E4812="",E4812="!!!",F4812="NEW"),"",INDEX(B4811:B$2,-1+SUMPRODUCT(MAX(ROW(E4811:E$2)*(E4812=E4811:E$2)))))</f>
        <v> </v>
      </c>
      <c r="J4812" s="26" t="str">
        <f>IF(OR(E4812="",E4812="!!!",F4812="NEW"),"",COUNTBLANK(OFFSET(A$1,,,SUMPRODUCT(MAX(ROW(E$2:E4812)*(E4812=E$2:E4812)))))-COUNTBLANK(OFFSET(A$1,,,SUMPRODUCT(MAX(ROW(E$1:E4811)*(E2=E$1:E4811))))))</f>
        <v> </v>
      </c>
      <c r="K4812" s="26" t="str">
        <f>IF(OR(E4812="",E4812="!!!",F4812="NEW"),"",INDEX(J$1:J4811,SUMPRODUCT(MAX(ROW(E$1:E4811)*(E4812=E$1:E4811)))))</f>
        <v> </v>
      </c>
      <c r="L4812" s="27"/>
    </row>
    <row r="4813" spans="1:12">
      <c r="A4813" s="20" t="s">
        <v>1088</v>
      </c>
      <c r="E4813" s="22">
        <f>IF(D4813="?OLD","!!!","")</f>
        <v/>
      </c>
      <c r="F4813" s="23" t="str">
        <f>IF(OR(E4813="",E4813="!!!"),"",IF(NOT(ISNA(VLOOKUP(E4813,E$1:E4812,1,FALSE()))),"OLD",IF(AND(E4813&lt;&gt;"",E4813&lt;&gt;"!!!"),"NEW","")))</f>
        <v> </v>
      </c>
      <c r="G4813" s="24" t="str">
        <f>IF(OR(E4813="",E4813="!!!"),"",IF(OR(J4813=0,AND(J4813=1,K4813=1),AND(J4813=1,I4813="SBJ"),AND(J4813=1,I4813=0)),"?IN_FOCUS",IF(J4813&lt;=2,"?ACTIVATED",IF(J4813&lt;&gt;"","?FAMILIAR",IF(F4813="NEW",IF(ISNA(VLOOKUP(E4813,#REF!,1,FALSE())),"?TYPE_IDENTIFIABLE","?REFERENTIAL"),"_")))))</f>
        <v> </v>
      </c>
      <c r="H4813" s="25" t="str">
        <f>IF(J4813&lt;&gt;1,"",IF(I4813="SBJ","CB","?"))</f>
        <v> </v>
      </c>
      <c r="I4813" s="26" t="str">
        <f>IF(OR(E4813="",E4813="!!!",F4813="NEW"),"",INDEX(B4812:B$2,-1+SUMPRODUCT(MAX(ROW(E4812:E$2)*(E4813=E4812:E$2)))))</f>
        <v> </v>
      </c>
      <c r="J4813" s="26" t="str">
        <f>IF(OR(E4813="",E4813="!!!",F4813="NEW"),"",COUNTBLANK(OFFSET(A$1,,,SUMPRODUCT(MAX(ROW(E$2:E4813)*(E4813=E$2:E4813)))))-COUNTBLANK(OFFSET(A$1,,,SUMPRODUCT(MAX(ROW(E$1:E4812)*(E2=E$1:E4812))))))</f>
        <v> </v>
      </c>
      <c r="K4813" s="26" t="str">
        <f>IF(OR(E4813="",E4813="!!!",F4813="NEW"),"",INDEX(J$1:J4812,SUMPRODUCT(MAX(ROW(E$1:E4812)*(E4813=E$1:E4812)))))</f>
        <v> </v>
      </c>
      <c r="L4813" s="27"/>
    </row>
    <row r="4814" spans="1:12">
      <c r="A4814" s="20" t="s">
        <v>2419</v>
      </c>
      <c r="E4814" s="22">
        <f>IF(D4814="?OLD","!!!","")</f>
        <v/>
      </c>
      <c r="F4814" s="23" t="str">
        <f>IF(OR(E4814="",E4814="!!!"),"",IF(NOT(ISNA(VLOOKUP(E4814,E$1:E4813,1,FALSE()))),"OLD",IF(AND(E4814&lt;&gt;"",E4814&lt;&gt;"!!!"),"NEW","")))</f>
        <v> </v>
      </c>
      <c r="G4814" s="24" t="str">
        <f>IF(OR(E4814="",E4814="!!!"),"",IF(OR(J4814=0,AND(J4814=1,K4814=1),AND(J4814=1,I4814="SBJ"),AND(J4814=1,I4814=0)),"?IN_FOCUS",IF(J4814&lt;=2,"?ACTIVATED",IF(J4814&lt;&gt;"","?FAMILIAR",IF(F4814="NEW",IF(ISNA(VLOOKUP(E4814,#REF!,1,FALSE())),"?TYPE_IDENTIFIABLE","?REFERENTIAL"),"_")))))</f>
        <v> </v>
      </c>
      <c r="H4814" s="25" t="str">
        <f>IF(J4814&lt;&gt;1,"",IF(I4814="SBJ","CB","?"))</f>
        <v> </v>
      </c>
      <c r="I4814" s="26" t="str">
        <f>IF(OR(E4814="",E4814="!!!",F4814="NEW"),"",INDEX(B4813:B$2,-1+SUMPRODUCT(MAX(ROW(E4813:E$2)*(E4814=E4813:E$2)))))</f>
        <v> </v>
      </c>
      <c r="J4814" s="26" t="str">
        <f>IF(OR(E4814="",E4814="!!!",F4814="NEW"),"",COUNTBLANK(OFFSET(A$1,,,SUMPRODUCT(MAX(ROW(E$2:E4814)*(E4814=E$2:E4814)))))-COUNTBLANK(OFFSET(A$1,,,SUMPRODUCT(MAX(ROW(E$1:E4813)*(E2=E$1:E4813))))))</f>
        <v> </v>
      </c>
      <c r="K4814" s="26" t="str">
        <f>IF(OR(E4814="",E4814="!!!",F4814="NEW"),"",INDEX(J$1:J4813,SUMPRODUCT(MAX(ROW(E$1:E4813)*(E4814=E$1:E4813)))))</f>
        <v> </v>
      </c>
      <c r="L4814" s="27"/>
    </row>
    <row r="4815" spans="1:12">
      <c r="A4815" s="20" t="s">
        <v>1127</v>
      </c>
      <c r="B4815" s="21" t="s">
        <v>1136</v>
      </c>
      <c r="C4815" s="21" t="s">
        <v>1076</v>
      </c>
      <c r="D4815" s="21" t="s">
        <v>1060</v>
      </c>
      <c r="E4815" s="22">
        <f>IF(D4815="?OLD","!!!","")</f>
        <v/>
      </c>
      <c r="F4815" s="23" t="str">
        <f>IF(OR(E4815="",E4815="!!!"),"",IF(NOT(ISNA(VLOOKUP(E4815,E$1:E4814,1,FALSE()))),"OLD",IF(AND(E4815&lt;&gt;"",E4815&lt;&gt;"!!!"),"NEW","")))</f>
        <v> </v>
      </c>
      <c r="G4815" s="24" t="str">
        <f>IF(OR(E4815="",E4815="!!!"),"",IF(OR(J4815=0,AND(J4815=1,K4815=1),AND(J4815=1,I4815="SBJ"),AND(J4815=1,I4815=0)),"?IN_FOCUS",IF(J4815&lt;=2,"?ACTIVATED",IF(J4815&lt;&gt;"","?FAMILIAR",IF(F4815="NEW",IF(ISNA(VLOOKUP(E4815,#REF!,1,FALSE())),"?TYPE_IDENTIFIABLE","?REFERENTIAL"),"_")))))</f>
        <v> </v>
      </c>
      <c r="H4815" s="25" t="str">
        <f>IF(J4815&lt;&gt;1,"",IF(I4815="SBJ","CB","?"))</f>
        <v> </v>
      </c>
      <c r="I4815" s="26" t="str">
        <f>IF(OR(E4815="",E4815="!!!",F4815="NEW"),"",INDEX(B4814:B$2,-1+SUMPRODUCT(MAX(ROW(E4814:E$2)*(E4815=E4814:E$2)))))</f>
        <v> </v>
      </c>
      <c r="J4815" s="26" t="str">
        <f>IF(OR(E4815="",E4815="!!!",F4815="NEW"),"",COUNTBLANK(OFFSET(A$1,,,SUMPRODUCT(MAX(ROW(E$2:E4815)*(E4815=E$2:E4815)))))-COUNTBLANK(OFFSET(A$1,,,SUMPRODUCT(MAX(ROW(E$1:E4814)*(E2=E$1:E4814))))))</f>
        <v> </v>
      </c>
      <c r="K4815" s="26" t="str">
        <f>IF(OR(E4815="",E4815="!!!",F4815="NEW"),"",INDEX(J$1:J4814,SUMPRODUCT(MAX(ROW(E$1:E4814)*(E4815=E$1:E4814)))))</f>
        <v> </v>
      </c>
      <c r="L4815" s="27"/>
    </row>
    <row r="4816" spans="1:12">
      <c r="A4816" s="20" t="s">
        <v>1497</v>
      </c>
      <c r="E4816" s="22">
        <f>IF(D4816="?OLD","!!!","")</f>
        <v/>
      </c>
      <c r="F4816" s="23" t="str">
        <f>IF(OR(E4816="",E4816="!!!"),"",IF(NOT(ISNA(VLOOKUP(E4816,E$1:E4815,1,FALSE()))),"OLD",IF(AND(E4816&lt;&gt;"",E4816&lt;&gt;"!!!"),"NEW","")))</f>
        <v> </v>
      </c>
      <c r="G4816" s="24" t="str">
        <f>IF(OR(E4816="",E4816="!!!"),"",IF(OR(J4816=0,AND(J4816=1,K4816=1),AND(J4816=1,I4816="SBJ"),AND(J4816=1,I4816=0)),"?IN_FOCUS",IF(J4816&lt;=2,"?ACTIVATED",IF(J4816&lt;&gt;"","?FAMILIAR",IF(F4816="NEW",IF(ISNA(VLOOKUP(E4816,#REF!,1,FALSE())),"?TYPE_IDENTIFIABLE","?REFERENTIAL"),"_")))))</f>
        <v> </v>
      </c>
      <c r="H4816" s="25" t="str">
        <f>IF(J4816&lt;&gt;1,"",IF(I4816="SBJ","CB","?"))</f>
        <v> </v>
      </c>
      <c r="I4816" s="26" t="str">
        <f>IF(OR(E4816="",E4816="!!!",F4816="NEW"),"",INDEX(B4815:B$2,-1+SUMPRODUCT(MAX(ROW(E4815:E$2)*(E4816=E4815:E$2)))))</f>
        <v> </v>
      </c>
      <c r="J4816" s="26" t="str">
        <f>IF(OR(E4816="",E4816="!!!",F4816="NEW"),"",COUNTBLANK(OFFSET(A$1,,,SUMPRODUCT(MAX(ROW(E$2:E4816)*(E4816=E$2:E4816)))))-COUNTBLANK(OFFSET(A$1,,,SUMPRODUCT(MAX(ROW(E$1:E4815)*(E2=E$1:E4815))))))</f>
        <v> </v>
      </c>
      <c r="K4816" s="26" t="str">
        <f>IF(OR(E4816="",E4816="!!!",F4816="NEW"),"",INDEX(J$1:J4815,SUMPRODUCT(MAX(ROW(E$1:E4815)*(E4816=E$1:E4815)))))</f>
        <v> </v>
      </c>
      <c r="L4816" s="27"/>
    </row>
    <row r="4817" spans="1:12">
      <c r="A4817" s="20" t="s">
        <v>1083</v>
      </c>
      <c r="B4817" s="21" t="s">
        <v>1179</v>
      </c>
      <c r="C4817" s="21" t="s">
        <v>1076</v>
      </c>
      <c r="D4817" s="21" t="s">
        <v>1060</v>
      </c>
      <c r="E4817" s="22">
        <f>IF(D4817="?OLD","!!!","")</f>
        <v/>
      </c>
      <c r="F4817" s="23" t="str">
        <f>IF(OR(E4817="",E4817="!!!"),"",IF(NOT(ISNA(VLOOKUP(E4817,E$1:E4816,1,FALSE()))),"OLD",IF(AND(E4817&lt;&gt;"",E4817&lt;&gt;"!!!"),"NEW","")))</f>
        <v> </v>
      </c>
      <c r="G4817" s="24" t="str">
        <f>IF(OR(E4817="",E4817="!!!"),"",IF(OR(J4817=0,AND(J4817=1,K4817=1),AND(J4817=1,I4817="SBJ"),AND(J4817=1,I4817=0)),"?IN_FOCUS",IF(J4817&lt;=2,"?ACTIVATED",IF(J4817&lt;&gt;"","?FAMILIAR",IF(F4817="NEW",IF(ISNA(VLOOKUP(E4817,#REF!,1,FALSE())),"?TYPE_IDENTIFIABLE","?REFERENTIAL"),"_")))))</f>
        <v> </v>
      </c>
      <c r="H4817" s="25" t="str">
        <f>IF(J4817&lt;&gt;1,"",IF(I4817="SBJ","CB","?"))</f>
        <v> </v>
      </c>
      <c r="I4817" s="26" t="str">
        <f>IF(OR(E4817="",E4817="!!!",F4817="NEW"),"",INDEX(B4816:B$2,-1+SUMPRODUCT(MAX(ROW(E4816:E$2)*(E4817=E4816:E$2)))))</f>
        <v> </v>
      </c>
      <c r="J4817" s="26" t="str">
        <f>IF(OR(E4817="",E4817="!!!",F4817="NEW"),"",COUNTBLANK(OFFSET(A$1,,,SUMPRODUCT(MAX(ROW(E$2:E4817)*(E4817=E$2:E4817)))))-COUNTBLANK(OFFSET(A$1,,,SUMPRODUCT(MAX(ROW(E$1:E4816)*(E2=E$1:E4816))))))</f>
        <v> </v>
      </c>
      <c r="K4817" s="26" t="str">
        <f>IF(OR(E4817="",E4817="!!!",F4817="NEW"),"",INDEX(J$1:J4816,SUMPRODUCT(MAX(ROW(E$1:E4816)*(E4817=E$1:E4816)))))</f>
        <v> </v>
      </c>
      <c r="L4817" s="27"/>
    </row>
    <row r="4818" spans="1:12">
      <c r="A4818" s="20" t="s">
        <v>1180</v>
      </c>
      <c r="E4818" s="22">
        <f>IF(D4818="?OLD","!!!","")</f>
        <v/>
      </c>
      <c r="F4818" s="23" t="str">
        <f>IF(OR(E4818="",E4818="!!!"),"",IF(NOT(ISNA(VLOOKUP(E4818,E$1:E4817,1,FALSE()))),"OLD",IF(AND(E4818&lt;&gt;"",E4818&lt;&gt;"!!!"),"NEW","")))</f>
        <v> </v>
      </c>
      <c r="G4818" s="24" t="str">
        <f>IF(OR(E4818="",E4818="!!!"),"",IF(OR(J4818=0,AND(J4818=1,K4818=1),AND(J4818=1,I4818="SBJ"),AND(J4818=1,I4818=0)),"?IN_FOCUS",IF(J4818&lt;=2,"?ACTIVATED",IF(J4818&lt;&gt;"","?FAMILIAR",IF(F4818="NEW",IF(ISNA(VLOOKUP(E4818,#REF!,1,FALSE())),"?TYPE_IDENTIFIABLE","?REFERENTIAL"),"_")))))</f>
        <v> </v>
      </c>
      <c r="H4818" s="25" t="str">
        <f>IF(J4818&lt;&gt;1,"",IF(I4818="SBJ","CB","?"))</f>
        <v> </v>
      </c>
      <c r="I4818" s="26" t="str">
        <f>IF(OR(E4818="",E4818="!!!",F4818="NEW"),"",INDEX(B4817:B$2,-1+SUMPRODUCT(MAX(ROW(E4817:E$2)*(E4818=E4817:E$2)))))</f>
        <v> </v>
      </c>
      <c r="J4818" s="26" t="str">
        <f>IF(OR(E4818="",E4818="!!!",F4818="NEW"),"",COUNTBLANK(OFFSET(A$1,,,SUMPRODUCT(MAX(ROW(E$2:E4818)*(E4818=E$2:E4818)))))-COUNTBLANK(OFFSET(A$1,,,SUMPRODUCT(MAX(ROW(E$1:E4817)*(E2=E$1:E4817))))))</f>
        <v> </v>
      </c>
      <c r="K4818" s="26" t="str">
        <f>IF(OR(E4818="",E4818="!!!",F4818="NEW"),"",INDEX(J$1:J4817,SUMPRODUCT(MAX(ROW(E$1:E4817)*(E4818=E$1:E4817)))))</f>
        <v> </v>
      </c>
      <c r="L4818" s="27"/>
    </row>
    <row r="4819" spans="1:12">
      <c r="A4819" s="20" t="s">
        <v>1133</v>
      </c>
      <c r="E4819" s="22">
        <f>IF(D4819="?OLD","!!!","")</f>
        <v/>
      </c>
      <c r="F4819" s="23" t="str">
        <f>IF(OR(E4819="",E4819="!!!"),"",IF(NOT(ISNA(VLOOKUP(E4819,E$1:E4818,1,FALSE()))),"OLD",IF(AND(E4819&lt;&gt;"",E4819&lt;&gt;"!!!"),"NEW","")))</f>
        <v> </v>
      </c>
      <c r="G4819" s="24" t="str">
        <f>IF(OR(E4819="",E4819="!!!"),"",IF(OR(J4819=0,AND(J4819=1,K4819=1),AND(J4819=1,I4819="SBJ"),AND(J4819=1,I4819=0)),"?IN_FOCUS",IF(J4819&lt;=2,"?ACTIVATED",IF(J4819&lt;&gt;"","?FAMILIAR",IF(F4819="NEW",IF(ISNA(VLOOKUP(E4819,#REF!,1,FALSE())),"?TYPE_IDENTIFIABLE","?REFERENTIAL"),"_")))))</f>
        <v> </v>
      </c>
      <c r="H4819" s="25" t="str">
        <f>IF(J4819&lt;&gt;1,"",IF(I4819="SBJ","CB","?"))</f>
        <v> </v>
      </c>
      <c r="I4819" s="26" t="str">
        <f>IF(OR(E4819="",E4819="!!!",F4819="NEW"),"",INDEX(B4818:B$2,-1+SUMPRODUCT(MAX(ROW(E4818:E$2)*(E4819=E4818:E$2)))))</f>
        <v> </v>
      </c>
      <c r="J4819" s="26" t="str">
        <f>IF(OR(E4819="",E4819="!!!",F4819="NEW"),"",COUNTBLANK(OFFSET(A$1,,,SUMPRODUCT(MAX(ROW(E$2:E4819)*(E4819=E$2:E4819)))))-COUNTBLANK(OFFSET(A$1,,,SUMPRODUCT(MAX(ROW(E$1:E4818)*(E2=E$1:E4818))))))</f>
        <v> </v>
      </c>
      <c r="K4819" s="26" t="str">
        <f>IF(OR(E4819="",E4819="!!!",F4819="NEW"),"",INDEX(J$1:J4818,SUMPRODUCT(MAX(ROW(E$1:E4818)*(E4819=E$1:E4818)))))</f>
        <v> </v>
      </c>
      <c r="L4819" s="27"/>
    </row>
    <row r="4820" spans="1:12">
      <c r="A4820" s="20" t="s">
        <v>576</v>
      </c>
      <c r="E4820" s="22">
        <f>IF(D4820="?OLD","!!!","")</f>
        <v/>
      </c>
      <c r="F4820" s="23" t="str">
        <f>IF(OR(E4820="",E4820="!!!"),"",IF(NOT(ISNA(VLOOKUP(E4820,E$1:E4819,1,FALSE()))),"OLD",IF(AND(E4820&lt;&gt;"",E4820&lt;&gt;"!!!"),"NEW","")))</f>
        <v> </v>
      </c>
      <c r="G4820" s="24" t="str">
        <f>IF(OR(E4820="",E4820="!!!"),"",IF(OR(J4820=0,AND(J4820=1,K4820=1),AND(J4820=1,I4820="SBJ"),AND(J4820=1,I4820=0)),"?IN_FOCUS",IF(J4820&lt;=2,"?ACTIVATED",IF(J4820&lt;&gt;"","?FAMILIAR",IF(F4820="NEW",IF(ISNA(VLOOKUP(E4820,#REF!,1,FALSE())),"?TYPE_IDENTIFIABLE","?REFERENTIAL"),"_")))))</f>
        <v> </v>
      </c>
      <c r="H4820" s="25" t="str">
        <f>IF(J4820&lt;&gt;1,"",IF(I4820="SBJ","CB","?"))</f>
        <v> </v>
      </c>
      <c r="I4820" s="26" t="str">
        <f>IF(OR(E4820="",E4820="!!!",F4820="NEW"),"",INDEX(B4819:B$2,-1+SUMPRODUCT(MAX(ROW(E4819:E$2)*(E4820=E4819:E$2)))))</f>
        <v> </v>
      </c>
      <c r="J4820" s="26" t="str">
        <f>IF(OR(E4820="",E4820="!!!",F4820="NEW"),"",COUNTBLANK(OFFSET(A$1,,,SUMPRODUCT(MAX(ROW(E$2:E4820)*(E4820=E$2:E4820)))))-COUNTBLANK(OFFSET(A$1,,,SUMPRODUCT(MAX(ROW(E$1:E4819)*(E2=E$1:E4819))))))</f>
        <v> </v>
      </c>
      <c r="K4820" s="26" t="str">
        <f>IF(OR(E4820="",E4820="!!!",F4820="NEW"),"",INDEX(J$1:J4819,SUMPRODUCT(MAX(ROW(E$1:E4819)*(E4820=E$1:E4819)))))</f>
        <v> </v>
      </c>
      <c r="L4820" s="27"/>
    </row>
    <row r="4821" spans="1:12">
      <c r="A4821" s="20" t="s">
        <v>1980</v>
      </c>
      <c r="E4821" s="22">
        <f>IF(D4821="?OLD","!!!","")</f>
        <v/>
      </c>
      <c r="F4821" s="23" t="str">
        <f>IF(OR(E4821="",E4821="!!!"),"",IF(NOT(ISNA(VLOOKUP(E4821,E$1:E4820,1,FALSE()))),"OLD",IF(AND(E4821&lt;&gt;"",E4821&lt;&gt;"!!!"),"NEW","")))</f>
        <v> </v>
      </c>
      <c r="G4821" s="24" t="str">
        <f>IF(OR(E4821="",E4821="!!!"),"",IF(OR(J4821=0,AND(J4821=1,K4821=1),AND(J4821=1,I4821="SBJ"),AND(J4821=1,I4821=0)),"?IN_FOCUS",IF(J4821&lt;=2,"?ACTIVATED",IF(J4821&lt;&gt;"","?FAMILIAR",IF(F4821="NEW",IF(ISNA(VLOOKUP(E4821,#REF!,1,FALSE())),"?TYPE_IDENTIFIABLE","?REFERENTIAL"),"_")))))</f>
        <v> </v>
      </c>
      <c r="H4821" s="25" t="str">
        <f>IF(J4821&lt;&gt;1,"",IF(I4821="SBJ","CB","?"))</f>
        <v> </v>
      </c>
      <c r="I4821" s="26" t="str">
        <f>IF(OR(E4821="",E4821="!!!",F4821="NEW"),"",INDEX(B4820:B$2,-1+SUMPRODUCT(MAX(ROW(E4820:E$2)*(E4821=E4820:E$2)))))</f>
        <v> </v>
      </c>
      <c r="J4821" s="26" t="str">
        <f>IF(OR(E4821="",E4821="!!!",F4821="NEW"),"",COUNTBLANK(OFFSET(A$1,,,SUMPRODUCT(MAX(ROW(E$2:E4821)*(E4821=E$2:E4821)))))-COUNTBLANK(OFFSET(A$1,,,SUMPRODUCT(MAX(ROW(E$1:E4820)*(E2=E$1:E4820))))))</f>
        <v> </v>
      </c>
      <c r="K4821" s="26" t="str">
        <f>IF(OR(E4821="",E4821="!!!",F4821="NEW"),"",INDEX(J$1:J4820,SUMPRODUCT(MAX(ROW(E$1:E4820)*(E4821=E$1:E4820)))))</f>
        <v> </v>
      </c>
      <c r="L4821" s="27"/>
    </row>
    <row r="4822" spans="1:12">
      <c r="A4822" s="20" t="s">
        <v>1090</v>
      </c>
      <c r="B4822" s="21" t="s">
        <v>1091</v>
      </c>
      <c r="C4822" s="21" t="s">
        <v>1092</v>
      </c>
      <c r="D4822" s="21" t="s">
        <v>1060</v>
      </c>
      <c r="E4822" s="22">
        <f>IF(D4822="?OLD","!!!","")</f>
        <v/>
      </c>
      <c r="F4822" s="23" t="str">
        <f>IF(OR(E4822="",E4822="!!!"),"",IF(NOT(ISNA(VLOOKUP(E4822,E$1:E4821,1,FALSE()))),"OLD",IF(AND(E4822&lt;&gt;"",E4822&lt;&gt;"!!!"),"NEW","")))</f>
        <v> </v>
      </c>
      <c r="G4822" s="24" t="str">
        <f>IF(OR(E4822="",E4822="!!!"),"",IF(OR(J4822=0,AND(J4822=1,K4822=1),AND(J4822=1,I4822="SBJ"),AND(J4822=1,I4822=0)),"?IN_FOCUS",IF(J4822&lt;=2,"?ACTIVATED",IF(J4822&lt;&gt;"","?FAMILIAR",IF(F4822="NEW",IF(ISNA(VLOOKUP(E4822,#REF!,1,FALSE())),"?TYPE_IDENTIFIABLE","?REFERENTIAL"),"_")))))</f>
        <v> </v>
      </c>
      <c r="H4822" s="25" t="str">
        <f>IF(J4822&lt;&gt;1,"",IF(I4822="SBJ","CB","?"))</f>
        <v> </v>
      </c>
      <c r="I4822" s="26" t="str">
        <f>IF(OR(E4822="",E4822="!!!",F4822="NEW"),"",INDEX(B4821:B$2,-1+SUMPRODUCT(MAX(ROW(E4821:E$2)*(E4822=E4821:E$2)))))</f>
        <v> </v>
      </c>
      <c r="J4822" s="26" t="str">
        <f>IF(OR(E4822="",E4822="!!!",F4822="NEW"),"",COUNTBLANK(OFFSET(A$1,,,SUMPRODUCT(MAX(ROW(E$2:E4822)*(E4822=E$2:E4822)))))-COUNTBLANK(OFFSET(A$1,,,SUMPRODUCT(MAX(ROW(E$1:E4821)*(E2=E$1:E4821))))))</f>
        <v> </v>
      </c>
      <c r="K4822" s="26" t="str">
        <f>IF(OR(E4822="",E4822="!!!",F4822="NEW"),"",INDEX(J$1:J4821,SUMPRODUCT(MAX(ROW(E$1:E4821)*(E4822=E$1:E4821)))))</f>
        <v> </v>
      </c>
      <c r="L4822" s="27"/>
    </row>
    <row r="4823" spans="1:12">
      <c r="A4823" s="20" t="s">
        <v>1881</v>
      </c>
      <c r="B4823" s="21" t="s">
        <v>1095</v>
      </c>
      <c r="C4823" s="21" t="s">
        <v>1059</v>
      </c>
      <c r="D4823" s="21" t="s">
        <v>1060</v>
      </c>
      <c r="E4823" s="22">
        <f>IF(D4823="?OLD","!!!","")</f>
        <v/>
      </c>
      <c r="F4823" s="23" t="str">
        <f>IF(OR(E4823="",E4823="!!!"),"",IF(NOT(ISNA(VLOOKUP(E4823,E$1:E4822,1,FALSE()))),"OLD",IF(AND(E4823&lt;&gt;"",E4823&lt;&gt;"!!!"),"NEW","")))</f>
        <v> </v>
      </c>
      <c r="G4823" s="24" t="str">
        <f>IF(OR(E4823="",E4823="!!!"),"",IF(OR(J4823=0,AND(J4823=1,K4823=1),AND(J4823=1,I4823="SBJ"),AND(J4823=1,I4823=0)),"?IN_FOCUS",IF(J4823&lt;=2,"?ACTIVATED",IF(J4823&lt;&gt;"","?FAMILIAR",IF(F4823="NEW",IF(ISNA(VLOOKUP(E4823,#REF!,1,FALSE())),"?TYPE_IDENTIFIABLE","?REFERENTIAL"),"_")))))</f>
        <v> </v>
      </c>
      <c r="H4823" s="25" t="str">
        <f>IF(J4823&lt;&gt;1,"",IF(I4823="SBJ","CB","?"))</f>
        <v> </v>
      </c>
      <c r="I4823" s="26" t="str">
        <f>IF(OR(E4823="",E4823="!!!",F4823="NEW"),"",INDEX(B4822:B$2,-1+SUMPRODUCT(MAX(ROW(E4822:E$2)*(E4823=E4822:E$2)))))</f>
        <v> </v>
      </c>
      <c r="J4823" s="26" t="str">
        <f>IF(OR(E4823="",E4823="!!!",F4823="NEW"),"",COUNTBLANK(OFFSET(A$1,,,SUMPRODUCT(MAX(ROW(E$2:E4823)*(E4823=E$2:E4823)))))-COUNTBLANK(OFFSET(A$1,,,SUMPRODUCT(MAX(ROW(E$1:E4822)*(E2=E$1:E4822))))))</f>
        <v> </v>
      </c>
      <c r="K4823" s="26" t="str">
        <f>IF(OR(E4823="",E4823="!!!",F4823="NEW"),"",INDEX(J$1:J4822,SUMPRODUCT(MAX(ROW(E$1:E4822)*(E4823=E$1:E4822)))))</f>
        <v> </v>
      </c>
      <c r="L4823" s="27"/>
    </row>
    <row r="4824" spans="1:12">
      <c r="A4824" s="20" t="s">
        <v>1199</v>
      </c>
      <c r="E4824" s="22">
        <f>IF(D4824="?OLD","!!!","")</f>
        <v/>
      </c>
      <c r="F4824" s="23" t="str">
        <f>IF(OR(E4824="",E4824="!!!"),"",IF(NOT(ISNA(VLOOKUP(E4824,E$1:E4823,1,FALSE()))),"OLD",IF(AND(E4824&lt;&gt;"",E4824&lt;&gt;"!!!"),"NEW","")))</f>
        <v> </v>
      </c>
      <c r="G4824" s="24" t="str">
        <f>IF(OR(E4824="",E4824="!!!"),"",IF(OR(J4824=0,AND(J4824=1,K4824=1),AND(J4824=1,I4824="SBJ"),AND(J4824=1,I4824=0)),"?IN_FOCUS",IF(J4824&lt;=2,"?ACTIVATED",IF(J4824&lt;&gt;"","?FAMILIAR",IF(F4824="NEW",IF(ISNA(VLOOKUP(E4824,#REF!,1,FALSE())),"?TYPE_IDENTIFIABLE","?REFERENTIAL"),"_")))))</f>
        <v> </v>
      </c>
      <c r="H4824" s="25" t="str">
        <f>IF(J4824&lt;&gt;1,"",IF(I4824="SBJ","CB","?"))</f>
        <v> </v>
      </c>
      <c r="I4824" s="26" t="str">
        <f>IF(OR(E4824="",E4824="!!!",F4824="NEW"),"",INDEX(B4823:B$2,-1+SUMPRODUCT(MAX(ROW(E4823:E$2)*(E4824=E4823:E$2)))))</f>
        <v> </v>
      </c>
      <c r="J4824" s="26" t="str">
        <f>IF(OR(E4824="",E4824="!!!",F4824="NEW"),"",COUNTBLANK(OFFSET(A$1,,,SUMPRODUCT(MAX(ROW(E$2:E4824)*(E4824=E$2:E4824)))))-COUNTBLANK(OFFSET(A$1,,,SUMPRODUCT(MAX(ROW(E$1:E4823)*(E2=E$1:E4823))))))</f>
        <v> </v>
      </c>
      <c r="K4824" s="26" t="str">
        <f>IF(OR(E4824="",E4824="!!!",F4824="NEW"),"",INDEX(J$1:J4823,SUMPRODUCT(MAX(ROW(E$1:E4823)*(E4824=E$1:E4823)))))</f>
        <v> </v>
      </c>
      <c r="L4824" s="27"/>
    </row>
    <row r="4825" spans="1:12">
      <c r="A4825" s="20" t="s">
        <v>2358</v>
      </c>
      <c r="E4825" s="22">
        <f>IF(D4825="?OLD","!!!","")</f>
        <v/>
      </c>
      <c r="F4825" s="23" t="str">
        <f>IF(OR(E4825="",E4825="!!!"),"",IF(NOT(ISNA(VLOOKUP(E4825,E$1:E4824,1,FALSE()))),"OLD",IF(AND(E4825&lt;&gt;"",E4825&lt;&gt;"!!!"),"NEW","")))</f>
        <v> </v>
      </c>
      <c r="G4825" s="24" t="str">
        <f>IF(OR(E4825="",E4825="!!!"),"",IF(OR(J4825=0,AND(J4825=1,K4825=1),AND(J4825=1,I4825="SBJ"),AND(J4825=1,I4825=0)),"?IN_FOCUS",IF(J4825&lt;=2,"?ACTIVATED",IF(J4825&lt;&gt;"","?FAMILIAR",IF(F4825="NEW",IF(ISNA(VLOOKUP(E4825,#REF!,1,FALSE())),"?TYPE_IDENTIFIABLE","?REFERENTIAL"),"_")))))</f>
        <v> </v>
      </c>
      <c r="H4825" s="25" t="str">
        <f>IF(J4825&lt;&gt;1,"",IF(I4825="SBJ","CB","?"))</f>
        <v> </v>
      </c>
      <c r="I4825" s="26" t="str">
        <f>IF(OR(E4825="",E4825="!!!",F4825="NEW"),"",INDEX(B4824:B$2,-1+SUMPRODUCT(MAX(ROW(E4824:E$2)*(E4825=E4824:E$2)))))</f>
        <v> </v>
      </c>
      <c r="J4825" s="26" t="str">
        <f>IF(OR(E4825="",E4825="!!!",F4825="NEW"),"",COUNTBLANK(OFFSET(A$1,,,SUMPRODUCT(MAX(ROW(E$2:E4825)*(E4825=E$2:E4825)))))-COUNTBLANK(OFFSET(A$1,,,SUMPRODUCT(MAX(ROW(E$1:E4824)*(E2=E$1:E4824))))))</f>
        <v> </v>
      </c>
      <c r="K4825" s="26" t="str">
        <f>IF(OR(E4825="",E4825="!!!",F4825="NEW"),"",INDEX(J$1:J4824,SUMPRODUCT(MAX(ROW(E$1:E4824)*(E4825=E$1:E4824)))))</f>
        <v> </v>
      </c>
      <c r="L4825" s="27"/>
    </row>
    <row r="4826" spans="1:12">
      <c r="A4826" s="20" t="s">
        <v>1405</v>
      </c>
      <c r="B4826" s="21" t="s">
        <v>1099</v>
      </c>
      <c r="C4826" s="21" t="s">
        <v>1149</v>
      </c>
      <c r="E4826" s="22">
        <f>IF(D4826="?OLD","!!!","")</f>
        <v/>
      </c>
      <c r="F4826" s="23" t="str">
        <f>IF(OR(E4826="",E4826="!!!"),"",IF(NOT(ISNA(VLOOKUP(E4826,E$1:E4825,1,FALSE()))),"OLD",IF(AND(E4826&lt;&gt;"",E4826&lt;&gt;"!!!"),"NEW","")))</f>
        <v> </v>
      </c>
      <c r="G4826" s="24" t="str">
        <f>IF(OR(E4826="",E4826="!!!"),"",IF(OR(J4826=0,AND(J4826=1,K4826=1),AND(J4826=1,I4826="SBJ"),AND(J4826=1,I4826=0)),"?IN_FOCUS",IF(J4826&lt;=2,"?ACTIVATED",IF(J4826&lt;&gt;"","?FAMILIAR",IF(F4826="NEW",IF(ISNA(VLOOKUP(E4826,#REF!,1,FALSE())),"?TYPE_IDENTIFIABLE","?REFERENTIAL"),"_")))))</f>
        <v> </v>
      </c>
      <c r="H4826" s="25" t="str">
        <f>IF(J4826&lt;&gt;1,"",IF(I4826="SBJ","CB","?"))</f>
        <v> </v>
      </c>
      <c r="I4826" s="26" t="str">
        <f>IF(OR(E4826="",E4826="!!!",F4826="NEW"),"",INDEX(B4825:B$2,-1+SUMPRODUCT(MAX(ROW(E4825:E$2)*(E4826=E4825:E$2)))))</f>
        <v> </v>
      </c>
      <c r="J4826" s="26" t="str">
        <f>IF(OR(E4826="",E4826="!!!",F4826="NEW"),"",COUNTBLANK(OFFSET(A$1,,,SUMPRODUCT(MAX(ROW(E$2:E4826)*(E4826=E$2:E4826)))))-COUNTBLANK(OFFSET(A$1,,,SUMPRODUCT(MAX(ROW(E$1:E4825)*(E2=E$1:E4825))))))</f>
        <v> </v>
      </c>
      <c r="K4826" s="26" t="str">
        <f>IF(OR(E4826="",E4826="!!!",F4826="NEW"),"",INDEX(J$1:J4825,SUMPRODUCT(MAX(ROW(E$1:E4825)*(E4826=E$1:E4825)))))</f>
        <v> </v>
      </c>
      <c r="L4826" s="27"/>
    </row>
    <row r="4827" spans="1:12">
      <c r="A4827" s="20" t="s">
        <v>1215</v>
      </c>
      <c r="E4827" s="22">
        <f>IF(D4827="?OLD","!!!","")</f>
        <v/>
      </c>
      <c r="F4827" s="23" t="str">
        <f>IF(OR(E4827="",E4827="!!!"),"",IF(NOT(ISNA(VLOOKUP(E4827,E$1:E4826,1,FALSE()))),"OLD",IF(AND(E4827&lt;&gt;"",E4827&lt;&gt;"!!!"),"NEW","")))</f>
        <v> </v>
      </c>
      <c r="G4827" s="24" t="str">
        <f>IF(OR(E4827="",E4827="!!!"),"",IF(OR(J4827=0,AND(J4827=1,K4827=1),AND(J4827=1,I4827="SBJ"),AND(J4827=1,I4827=0)),"?IN_FOCUS",IF(J4827&lt;=2,"?ACTIVATED",IF(J4827&lt;&gt;"","?FAMILIAR",IF(F4827="NEW",IF(ISNA(VLOOKUP(E4827,#REF!,1,FALSE())),"?TYPE_IDENTIFIABLE","?REFERENTIAL"),"_")))))</f>
        <v> </v>
      </c>
      <c r="H4827" s="25" t="str">
        <f>IF(J4827&lt;&gt;1,"",IF(I4827="SBJ","CB","?"))</f>
        <v> </v>
      </c>
      <c r="I4827" s="26" t="str">
        <f>IF(OR(E4827="",E4827="!!!",F4827="NEW"),"",INDEX(B4826:B$2,-1+SUMPRODUCT(MAX(ROW(E4826:E$2)*(E4827=E4826:E$2)))))</f>
        <v> </v>
      </c>
      <c r="J4827" s="26" t="str">
        <f>IF(OR(E4827="",E4827="!!!",F4827="NEW"),"",COUNTBLANK(OFFSET(A$1,,,SUMPRODUCT(MAX(ROW(E$2:E4827)*(E4827=E$2:E4827)))))-COUNTBLANK(OFFSET(A$1,,,SUMPRODUCT(MAX(ROW(E$1:E4826)*(E2=E$1:E4826))))))</f>
        <v> </v>
      </c>
      <c r="K4827" s="26" t="str">
        <f>IF(OR(E4827="",E4827="!!!",F4827="NEW"),"",INDEX(J$1:J4826,SUMPRODUCT(MAX(ROW(E$1:E4826)*(E4827=E$1:E4826)))))</f>
        <v> </v>
      </c>
      <c r="L4827" s="27"/>
    </row>
    <row r="4828" spans="1:12">
      <c r="A4828" s="20" t="s">
        <v>923</v>
      </c>
      <c r="E4828" s="22">
        <f>IF(D4828="?OLD","!!!","")</f>
        <v/>
      </c>
      <c r="F4828" s="23" t="str">
        <f>IF(OR(E4828="",E4828="!!!"),"",IF(NOT(ISNA(VLOOKUP(E4828,E$1:E4827,1,FALSE()))),"OLD",IF(AND(E4828&lt;&gt;"",E4828&lt;&gt;"!!!"),"NEW","")))</f>
        <v> </v>
      </c>
      <c r="G4828" s="24" t="str">
        <f>IF(OR(E4828="",E4828="!!!"),"",IF(OR(J4828=0,AND(J4828=1,K4828=1),AND(J4828=1,I4828="SBJ"),AND(J4828=1,I4828=0)),"?IN_FOCUS",IF(J4828&lt;=2,"?ACTIVATED",IF(J4828&lt;&gt;"","?FAMILIAR",IF(F4828="NEW",IF(ISNA(VLOOKUP(E4828,#REF!,1,FALSE())),"?TYPE_IDENTIFIABLE","?REFERENTIAL"),"_")))))</f>
        <v> </v>
      </c>
      <c r="H4828" s="25" t="str">
        <f>IF(J4828&lt;&gt;1,"",IF(I4828="SBJ","CB","?"))</f>
        <v> </v>
      </c>
      <c r="I4828" s="26" t="str">
        <f>IF(OR(E4828="",E4828="!!!",F4828="NEW"),"",INDEX(B4827:B$2,-1+SUMPRODUCT(MAX(ROW(E4827:E$2)*(E4828=E4827:E$2)))))</f>
        <v> </v>
      </c>
      <c r="J4828" s="26" t="str">
        <f>IF(OR(E4828="",E4828="!!!",F4828="NEW"),"",COUNTBLANK(OFFSET(A$1,,,SUMPRODUCT(MAX(ROW(E$2:E4828)*(E4828=E$2:E4828)))))-COUNTBLANK(OFFSET(A$1,,,SUMPRODUCT(MAX(ROW(E$1:E4827)*(E2=E$1:E4827))))))</f>
        <v> </v>
      </c>
      <c r="K4828" s="26" t="str">
        <f>IF(OR(E4828="",E4828="!!!",F4828="NEW"),"",INDEX(J$1:J4827,SUMPRODUCT(MAX(ROW(E$1:E4827)*(E4828=E$1:E4827)))))</f>
        <v> </v>
      </c>
      <c r="L4828" s="27"/>
    </row>
    <row r="4829" spans="1:12">
      <c r="A4829" s="20"/>
    </row>
    <row r="4830" spans="1:12">
      <c r="A4830" s="20" t="s">
        <v>2420</v>
      </c>
    </row>
    <row r="4831" spans="1:12">
      <c r="A4831" s="20" t="s">
        <v>1508</v>
      </c>
      <c r="B4831" s="21" t="s">
        <v>1058</v>
      </c>
      <c r="C4831" s="21" t="s">
        <v>1076</v>
      </c>
      <c r="D4831" s="21" t="s">
        <v>1060</v>
      </c>
      <c r="E4831" s="22">
        <f>IF(D4831="?OLD","!!!","")</f>
        <v/>
      </c>
      <c r="F4831" s="23" t="str">
        <f>IF(OR(E4831="",E4831="!!!"),"",IF(NOT(ISNA(VLOOKUP(E4831,E$1:E4830,1,FALSE()))),"OLD",IF(AND(E4831&lt;&gt;"",E4831&lt;&gt;"!!!"),"NEW","")))</f>
        <v> </v>
      </c>
      <c r="G4831" s="24" t="str">
        <f>IF(OR(E4831="",E4831="!!!"),"",IF(OR(J4831=0,AND(J4831=1,K4831=1),AND(J4831=1,I4831="SBJ"),AND(J4831=1,I4831=0)),"?IN_FOCUS",IF(J4831&lt;=2,"?ACTIVATED",IF(J4831&lt;&gt;"","?FAMILIAR",IF(F4831="NEW",IF(ISNA(VLOOKUP(E4831,#REF!,1,FALSE())),"?TYPE_IDENTIFIABLE","?REFERENTIAL"),"_")))))</f>
        <v> </v>
      </c>
      <c r="H4831" s="25" t="str">
        <f>IF(J4831&lt;&gt;1,"",IF(I4831="SBJ","CB","?"))</f>
        <v> </v>
      </c>
      <c r="I4831" s="26" t="str">
        <f>IF(OR(E4831="",E4831="!!!",F4831="NEW"),"",INDEX(B4830:B$2,-1+SUMPRODUCT(MAX(ROW(E4830:E$2)*(E4831=E4830:E$2)))))</f>
        <v> </v>
      </c>
      <c r="J4831" s="26" t="str">
        <f>IF(OR(E4831="",E4831="!!!",F4831="NEW"),"",COUNTBLANK(OFFSET(A$1,,,SUMPRODUCT(MAX(ROW(E$2:E4831)*(E4831=E$2:E4831)))))-COUNTBLANK(OFFSET(A$1,,,SUMPRODUCT(MAX(ROW(E$1:E4830)*(E2=E$1:E4830))))))</f>
        <v> </v>
      </c>
      <c r="K4831" s="26" t="str">
        <f>IF(OR(E4831="",E4831="!!!",F4831="NEW"),"",INDEX(J$1:J4830,SUMPRODUCT(MAX(ROW(E$1:E4830)*(E4831=E$1:E4830)))))</f>
        <v> </v>
      </c>
      <c r="L4831" s="27"/>
    </row>
    <row r="4832" spans="1:12">
      <c r="A4832" s="20" t="s">
        <v>1986</v>
      </c>
      <c r="E4832" s="22">
        <f>IF(D4832="?OLD","!!!","")</f>
        <v/>
      </c>
      <c r="F4832" s="23" t="str">
        <f>IF(OR(E4832="",E4832="!!!"),"",IF(NOT(ISNA(VLOOKUP(E4832,E$1:E4831,1,FALSE()))),"OLD",IF(AND(E4832&lt;&gt;"",E4832&lt;&gt;"!!!"),"NEW","")))</f>
        <v> </v>
      </c>
      <c r="G4832" s="24" t="str">
        <f>IF(OR(E4832="",E4832="!!!"),"",IF(OR(J4832=0,AND(J4832=1,K4832=1),AND(J4832=1,I4832="SBJ"),AND(J4832=1,I4832=0)),"?IN_FOCUS",IF(J4832&lt;=2,"?ACTIVATED",IF(J4832&lt;&gt;"","?FAMILIAR",IF(F4832="NEW",IF(ISNA(VLOOKUP(E4832,#REF!,1,FALSE())),"?TYPE_IDENTIFIABLE","?REFERENTIAL"),"_")))))</f>
        <v> </v>
      </c>
      <c r="H4832" s="25" t="str">
        <f>IF(J4832&lt;&gt;1,"",IF(I4832="SBJ","CB","?"))</f>
        <v> </v>
      </c>
      <c r="I4832" s="26" t="str">
        <f>IF(OR(E4832="",E4832="!!!",F4832="NEW"),"",INDEX(B4831:B$2,-1+SUMPRODUCT(MAX(ROW(E4831:E$2)*(E4832=E4831:E$2)))))</f>
        <v> </v>
      </c>
      <c r="J4832" s="26" t="str">
        <f>IF(OR(E4832="",E4832="!!!",F4832="NEW"),"",COUNTBLANK(OFFSET(A$1,,,SUMPRODUCT(MAX(ROW(E$2:E4832)*(E4832=E$2:E4832)))))-COUNTBLANK(OFFSET(A$1,,,SUMPRODUCT(MAX(ROW(E$1:E4831)*(E2=E$1:E4831))))))</f>
        <v> </v>
      </c>
      <c r="K4832" s="26" t="str">
        <f>IF(OR(E4832="",E4832="!!!",F4832="NEW"),"",INDEX(J$1:J4831,SUMPRODUCT(MAX(ROW(E$1:E4831)*(E4832=E$1:E4831)))))</f>
        <v> </v>
      </c>
      <c r="L4832" s="27"/>
    </row>
    <row r="4833" spans="1:12">
      <c r="A4833" s="20" t="s">
        <v>1366</v>
      </c>
      <c r="E4833" s="22">
        <f>IF(D4833="?OLD","!!!","")</f>
        <v/>
      </c>
      <c r="F4833" s="23" t="str">
        <f>IF(OR(E4833="",E4833="!!!"),"",IF(NOT(ISNA(VLOOKUP(E4833,E$1:E4832,1,FALSE()))),"OLD",IF(AND(E4833&lt;&gt;"",E4833&lt;&gt;"!!!"),"NEW","")))</f>
        <v> </v>
      </c>
      <c r="G4833" s="24" t="str">
        <f>IF(OR(E4833="",E4833="!!!"),"",IF(OR(J4833=0,AND(J4833=1,K4833=1),AND(J4833=1,I4833="SBJ"),AND(J4833=1,I4833=0)),"?IN_FOCUS",IF(J4833&lt;=2,"?ACTIVATED",IF(J4833&lt;&gt;"","?FAMILIAR",IF(F4833="NEW",IF(ISNA(VLOOKUP(E4833,#REF!,1,FALSE())),"?TYPE_IDENTIFIABLE","?REFERENTIAL"),"_")))))</f>
        <v> </v>
      </c>
      <c r="H4833" s="25" t="str">
        <f>IF(J4833&lt;&gt;1,"",IF(I4833="SBJ","CB","?"))</f>
        <v> </v>
      </c>
      <c r="I4833" s="26" t="str">
        <f>IF(OR(E4833="",E4833="!!!",F4833="NEW"),"",INDEX(B4832:B$2,-1+SUMPRODUCT(MAX(ROW(E4832:E$2)*(E4833=E4832:E$2)))))</f>
        <v> </v>
      </c>
      <c r="J4833" s="26" t="str">
        <f>IF(OR(E4833="",E4833="!!!",F4833="NEW"),"",COUNTBLANK(OFFSET(A$1,,,SUMPRODUCT(MAX(ROW(E$2:E4833)*(E4833=E$2:E4833)))))-COUNTBLANK(OFFSET(A$1,,,SUMPRODUCT(MAX(ROW(E$1:E4832)*(E2=E$1:E4832))))))</f>
        <v> </v>
      </c>
      <c r="K4833" s="26" t="str">
        <f>IF(OR(E4833="",E4833="!!!",F4833="NEW"),"",INDEX(J$1:J4832,SUMPRODUCT(MAX(ROW(E$1:E4832)*(E4833=E$1:E4832)))))</f>
        <v> </v>
      </c>
      <c r="L4833" s="27"/>
    </row>
    <row r="4834" spans="1:12">
      <c r="A4834" s="20" t="s">
        <v>2080</v>
      </c>
      <c r="E4834" s="22">
        <f>IF(D4834="?OLD","!!!","")</f>
        <v/>
      </c>
      <c r="F4834" s="23" t="str">
        <f>IF(OR(E4834="",E4834="!!!"),"",IF(NOT(ISNA(VLOOKUP(E4834,E$1:E4833,1,FALSE()))),"OLD",IF(AND(E4834&lt;&gt;"",E4834&lt;&gt;"!!!"),"NEW","")))</f>
        <v> </v>
      </c>
      <c r="G4834" s="24" t="str">
        <f>IF(OR(E4834="",E4834="!!!"),"",IF(OR(J4834=0,AND(J4834=1,K4834=1),AND(J4834=1,I4834="SBJ"),AND(J4834=1,I4834=0)),"?IN_FOCUS",IF(J4834&lt;=2,"?ACTIVATED",IF(J4834&lt;&gt;"","?FAMILIAR",IF(F4834="NEW",IF(ISNA(VLOOKUP(E4834,#REF!,1,FALSE())),"?TYPE_IDENTIFIABLE","?REFERENTIAL"),"_")))))</f>
        <v> </v>
      </c>
      <c r="H4834" s="25" t="str">
        <f>IF(J4834&lt;&gt;1,"",IF(I4834="SBJ","CB","?"))</f>
        <v> </v>
      </c>
      <c r="I4834" s="26" t="str">
        <f>IF(OR(E4834="",E4834="!!!",F4834="NEW"),"",INDEX(B4833:B$2,-1+SUMPRODUCT(MAX(ROW(E4833:E$2)*(E4834=E4833:E$2)))))</f>
        <v> </v>
      </c>
      <c r="J4834" s="26" t="str">
        <f>IF(OR(E4834="",E4834="!!!",F4834="NEW"),"",COUNTBLANK(OFFSET(A$1,,,SUMPRODUCT(MAX(ROW(E$2:E4834)*(E4834=E$2:E4834)))))-COUNTBLANK(OFFSET(A$1,,,SUMPRODUCT(MAX(ROW(E$1:E4833)*(E2=E$1:E4833))))))</f>
        <v> </v>
      </c>
      <c r="K4834" s="26" t="str">
        <f>IF(OR(E4834="",E4834="!!!",F4834="NEW"),"",INDEX(J$1:J4833,SUMPRODUCT(MAX(ROW(E$1:E4833)*(E4834=E$1:E4833)))))</f>
        <v> </v>
      </c>
      <c r="L4834" s="27"/>
    </row>
    <row r="4835" spans="1:12">
      <c r="A4835" s="20" t="s">
        <v>1806</v>
      </c>
      <c r="E4835" s="22">
        <f>IF(D4835="?OLD","!!!","")</f>
        <v/>
      </c>
      <c r="F4835" s="23" t="str">
        <f>IF(OR(E4835="",E4835="!!!"),"",IF(NOT(ISNA(VLOOKUP(E4835,E$1:E4834,1,FALSE()))),"OLD",IF(AND(E4835&lt;&gt;"",E4835&lt;&gt;"!!!"),"NEW","")))</f>
        <v> </v>
      </c>
      <c r="G4835" s="24" t="str">
        <f>IF(OR(E4835="",E4835="!!!"),"",IF(OR(J4835=0,AND(J4835=1,K4835=1),AND(J4835=1,I4835="SBJ"),AND(J4835=1,I4835=0)),"?IN_FOCUS",IF(J4835&lt;=2,"?ACTIVATED",IF(J4835&lt;&gt;"","?FAMILIAR",IF(F4835="NEW",IF(ISNA(VLOOKUP(E4835,#REF!,1,FALSE())),"?TYPE_IDENTIFIABLE","?REFERENTIAL"),"_")))))</f>
        <v> </v>
      </c>
      <c r="H4835" s="25" t="str">
        <f>IF(J4835&lt;&gt;1,"",IF(I4835="SBJ","CB","?"))</f>
        <v> </v>
      </c>
      <c r="I4835" s="26" t="str">
        <f>IF(OR(E4835="",E4835="!!!",F4835="NEW"),"",INDEX(B4834:B$2,-1+SUMPRODUCT(MAX(ROW(E4834:E$2)*(E4835=E4834:E$2)))))</f>
        <v> </v>
      </c>
      <c r="J4835" s="26" t="str">
        <f>IF(OR(E4835="",E4835="!!!",F4835="NEW"),"",COUNTBLANK(OFFSET(A$1,,,SUMPRODUCT(MAX(ROW(E$2:E4835)*(E4835=E$2:E4835)))))-COUNTBLANK(OFFSET(A$1,,,SUMPRODUCT(MAX(ROW(E$1:E4834)*(E2=E$1:E4834))))))</f>
        <v> </v>
      </c>
      <c r="K4835" s="26" t="str">
        <f>IF(OR(E4835="",E4835="!!!",F4835="NEW"),"",INDEX(J$1:J4834,SUMPRODUCT(MAX(ROW(E$1:E4834)*(E4835=E$1:E4834)))))</f>
        <v> </v>
      </c>
      <c r="L4835" s="27"/>
    </row>
    <row r="4836" spans="1:12">
      <c r="A4836" s="20" t="s">
        <v>2421</v>
      </c>
      <c r="B4836" s="21" t="s">
        <v>1075</v>
      </c>
      <c r="C4836" s="21" t="s">
        <v>1080</v>
      </c>
      <c r="E4836" s="22">
        <f>IF(D4836="?OLD","!!!","")</f>
        <v/>
      </c>
      <c r="F4836" s="23" t="str">
        <f>IF(OR(E4836="",E4836="!!!"),"",IF(NOT(ISNA(VLOOKUP(E4836,E$1:E4835,1,FALSE()))),"OLD",IF(AND(E4836&lt;&gt;"",E4836&lt;&gt;"!!!"),"NEW","")))</f>
        <v> </v>
      </c>
      <c r="G4836" s="24" t="str">
        <f>IF(OR(E4836="",E4836="!!!"),"",IF(OR(J4836=0,AND(J4836=1,K4836=1),AND(J4836=1,I4836="SBJ"),AND(J4836=1,I4836=0)),"?IN_FOCUS",IF(J4836&lt;=2,"?ACTIVATED",IF(J4836&lt;&gt;"","?FAMILIAR",IF(F4836="NEW",IF(ISNA(VLOOKUP(E4836,#REF!,1,FALSE())),"?TYPE_IDENTIFIABLE","?REFERENTIAL"),"_")))))</f>
        <v> </v>
      </c>
      <c r="H4836" s="25" t="str">
        <f>IF(J4836&lt;&gt;1,"",IF(I4836="SBJ","CB","?"))</f>
        <v> </v>
      </c>
      <c r="I4836" s="26" t="str">
        <f>IF(OR(E4836="",E4836="!!!",F4836="NEW"),"",INDEX(B4835:B$2,-1+SUMPRODUCT(MAX(ROW(E4835:E$2)*(E4836=E4835:E$2)))))</f>
        <v> </v>
      </c>
      <c r="J4836" s="26" t="str">
        <f>IF(OR(E4836="",E4836="!!!",F4836="NEW"),"",COUNTBLANK(OFFSET(A$1,,,SUMPRODUCT(MAX(ROW(E$2:E4836)*(E4836=E$2:E4836)))))-COUNTBLANK(OFFSET(A$1,,,SUMPRODUCT(MAX(ROW(E$1:E4835)*(E2=E$1:E4835))))))</f>
        <v> </v>
      </c>
      <c r="K4836" s="26" t="str">
        <f>IF(OR(E4836="",E4836="!!!",F4836="NEW"),"",INDEX(J$1:J4835,SUMPRODUCT(MAX(ROW(E$1:E4835)*(E4836=E$1:E4835)))))</f>
        <v> </v>
      </c>
      <c r="L4836" s="27"/>
    </row>
    <row r="4837" spans="1:12">
      <c r="A4837" s="20" t="s">
        <v>1160</v>
      </c>
      <c r="E4837" s="22">
        <f>IF(D4837="?OLD","!!!","")</f>
        <v/>
      </c>
      <c r="F4837" s="23" t="str">
        <f>IF(OR(E4837="",E4837="!!!"),"",IF(NOT(ISNA(VLOOKUP(E4837,E$1:E4836,1,FALSE()))),"OLD",IF(AND(E4837&lt;&gt;"",E4837&lt;&gt;"!!!"),"NEW","")))</f>
        <v> </v>
      </c>
      <c r="G4837" s="24" t="str">
        <f>IF(OR(E4837="",E4837="!!!"),"",IF(OR(J4837=0,AND(J4837=1,K4837=1),AND(J4837=1,I4837="SBJ"),AND(J4837=1,I4837=0)),"?IN_FOCUS",IF(J4837&lt;=2,"?ACTIVATED",IF(J4837&lt;&gt;"","?FAMILIAR",IF(F4837="NEW",IF(ISNA(VLOOKUP(E4837,#REF!,1,FALSE())),"?TYPE_IDENTIFIABLE","?REFERENTIAL"),"_")))))</f>
        <v> </v>
      </c>
      <c r="H4837" s="25" t="str">
        <f>IF(J4837&lt;&gt;1,"",IF(I4837="SBJ","CB","?"))</f>
        <v> </v>
      </c>
      <c r="I4837" s="26" t="str">
        <f>IF(OR(E4837="",E4837="!!!",F4837="NEW"),"",INDEX(B4836:B$2,-1+SUMPRODUCT(MAX(ROW(E4836:E$2)*(E4837=E4836:E$2)))))</f>
        <v> </v>
      </c>
      <c r="J4837" s="26" t="str">
        <f>IF(OR(E4837="",E4837="!!!",F4837="NEW"),"",COUNTBLANK(OFFSET(A$1,,,SUMPRODUCT(MAX(ROW(E$2:E4837)*(E4837=E$2:E4837)))))-COUNTBLANK(OFFSET(A$1,,,SUMPRODUCT(MAX(ROW(E$1:E4836)*(E2=E$1:E4836))))))</f>
        <v> </v>
      </c>
      <c r="K4837" s="26" t="str">
        <f>IF(OR(E4837="",E4837="!!!",F4837="NEW"),"",INDEX(J$1:J4836,SUMPRODUCT(MAX(ROW(E$1:E4836)*(E4837=E$1:E4836)))))</f>
        <v> </v>
      </c>
      <c r="L4837" s="27"/>
    </row>
    <row r="4838" spans="1:12">
      <c r="A4838" s="20" t="s">
        <v>1101</v>
      </c>
      <c r="E4838" s="22">
        <f>IF(D4838="?OLD","!!!","")</f>
        <v/>
      </c>
      <c r="F4838" s="23" t="str">
        <f>IF(OR(E4838="",E4838="!!!"),"",IF(NOT(ISNA(VLOOKUP(E4838,E$1:E4837,1,FALSE()))),"OLD",IF(AND(E4838&lt;&gt;"",E4838&lt;&gt;"!!!"),"NEW","")))</f>
        <v> </v>
      </c>
      <c r="G4838" s="24" t="str">
        <f>IF(OR(E4838="",E4838="!!!"),"",IF(OR(J4838=0,AND(J4838=1,K4838=1),AND(J4838=1,I4838="SBJ"),AND(J4838=1,I4838=0)),"?IN_FOCUS",IF(J4838&lt;=2,"?ACTIVATED",IF(J4838&lt;&gt;"","?FAMILIAR",IF(F4838="NEW",IF(ISNA(VLOOKUP(E4838,#REF!,1,FALSE())),"?TYPE_IDENTIFIABLE","?REFERENTIAL"),"_")))))</f>
        <v> </v>
      </c>
      <c r="H4838" s="25" t="str">
        <f>IF(J4838&lt;&gt;1,"",IF(I4838="SBJ","CB","?"))</f>
        <v> </v>
      </c>
      <c r="I4838" s="26" t="str">
        <f>IF(OR(E4838="",E4838="!!!",F4838="NEW"),"",INDEX(B4837:B$2,-1+SUMPRODUCT(MAX(ROW(E4837:E$2)*(E4838=E4837:E$2)))))</f>
        <v> </v>
      </c>
      <c r="J4838" s="26" t="str">
        <f>IF(OR(E4838="",E4838="!!!",F4838="NEW"),"",COUNTBLANK(OFFSET(A$1,,,SUMPRODUCT(MAX(ROW(E$2:E4838)*(E4838=E$2:E4838)))))-COUNTBLANK(OFFSET(A$1,,,SUMPRODUCT(MAX(ROW(E$1:E4837)*(E2=E$1:E4837))))))</f>
        <v> </v>
      </c>
      <c r="K4838" s="26" t="str">
        <f>IF(OR(E4838="",E4838="!!!",F4838="NEW"),"",INDEX(J$1:J4837,SUMPRODUCT(MAX(ROW(E$1:E4837)*(E4838=E$1:E4837)))))</f>
        <v> </v>
      </c>
      <c r="L4838" s="27"/>
    </row>
    <row r="4839" spans="1:12">
      <c r="A4839" s="20" t="s">
        <v>1906</v>
      </c>
      <c r="B4839" s="21" t="s">
        <v>1097</v>
      </c>
      <c r="C4839" s="21" t="s">
        <v>1140</v>
      </c>
      <c r="D4839" s="21" t="s">
        <v>1060</v>
      </c>
      <c r="E4839" s="22">
        <f>IF(D4839="?OLD","!!!","")</f>
        <v/>
      </c>
      <c r="F4839" s="23" t="str">
        <f>IF(OR(E4839="",E4839="!!!"),"",IF(NOT(ISNA(VLOOKUP(E4839,E$1:E4838,1,FALSE()))),"OLD",IF(AND(E4839&lt;&gt;"",E4839&lt;&gt;"!!!"),"NEW","")))</f>
        <v> </v>
      </c>
      <c r="G4839" s="24" t="str">
        <f>IF(OR(E4839="",E4839="!!!"),"",IF(OR(J4839=0,AND(J4839=1,K4839=1),AND(J4839=1,I4839="SBJ"),AND(J4839=1,I4839=0)),"?IN_FOCUS",IF(J4839&lt;=2,"?ACTIVATED",IF(J4839&lt;&gt;"","?FAMILIAR",IF(F4839="NEW",IF(ISNA(VLOOKUP(E4839,#REF!,1,FALSE())),"?TYPE_IDENTIFIABLE","?REFERENTIAL"),"_")))))</f>
        <v> </v>
      </c>
      <c r="H4839" s="25" t="str">
        <f>IF(J4839&lt;&gt;1,"",IF(I4839="SBJ","CB","?"))</f>
        <v> </v>
      </c>
      <c r="I4839" s="26" t="str">
        <f>IF(OR(E4839="",E4839="!!!",F4839="NEW"),"",INDEX(B4838:B$2,-1+SUMPRODUCT(MAX(ROW(E4838:E$2)*(E4839=E4838:E$2)))))</f>
        <v> </v>
      </c>
      <c r="J4839" s="26" t="str">
        <f>IF(OR(E4839="",E4839="!!!",F4839="NEW"),"",COUNTBLANK(OFFSET(A$1,,,SUMPRODUCT(MAX(ROW(E$2:E4839)*(E4839=E$2:E4839)))))-COUNTBLANK(OFFSET(A$1,,,SUMPRODUCT(MAX(ROW(E$1:E4838)*(E2=E$1:E4838))))))</f>
        <v> </v>
      </c>
      <c r="K4839" s="26" t="str">
        <f>IF(OR(E4839="",E4839="!!!",F4839="NEW"),"",INDEX(J$1:J4838,SUMPRODUCT(MAX(ROW(E$1:E4838)*(E4839=E$1:E4838)))))</f>
        <v> </v>
      </c>
      <c r="L4839" s="27"/>
    </row>
    <row r="4840" spans="1:12">
      <c r="A4840" s="20" t="s">
        <v>923</v>
      </c>
      <c r="E4840" s="22">
        <f>IF(D4840="?OLD","!!!","")</f>
        <v/>
      </c>
      <c r="F4840" s="23" t="str">
        <f>IF(OR(E4840="",E4840="!!!"),"",IF(NOT(ISNA(VLOOKUP(E4840,E$1:E4839,1,FALSE()))),"OLD",IF(AND(E4840&lt;&gt;"",E4840&lt;&gt;"!!!"),"NEW","")))</f>
        <v> </v>
      </c>
      <c r="G4840" s="24" t="str">
        <f>IF(OR(E4840="",E4840="!!!"),"",IF(OR(J4840=0,AND(J4840=1,K4840=1),AND(J4840=1,I4840="SBJ"),AND(J4840=1,I4840=0)),"?IN_FOCUS",IF(J4840&lt;=2,"?ACTIVATED",IF(J4840&lt;&gt;"","?FAMILIAR",IF(F4840="NEW",IF(ISNA(VLOOKUP(E4840,#REF!,1,FALSE())),"?TYPE_IDENTIFIABLE","?REFERENTIAL"),"_")))))</f>
        <v> </v>
      </c>
      <c r="H4840" s="25" t="str">
        <f>IF(J4840&lt;&gt;1,"",IF(I4840="SBJ","CB","?"))</f>
        <v> </v>
      </c>
      <c r="I4840" s="26" t="str">
        <f>IF(OR(E4840="",E4840="!!!",F4840="NEW"),"",INDEX(B4839:B$2,-1+SUMPRODUCT(MAX(ROW(E4839:E$2)*(E4840=E4839:E$2)))))</f>
        <v> </v>
      </c>
      <c r="J4840" s="26" t="str">
        <f>IF(OR(E4840="",E4840="!!!",F4840="NEW"),"",COUNTBLANK(OFFSET(A$1,,,SUMPRODUCT(MAX(ROW(E$2:E4840)*(E4840=E$2:E4840)))))-COUNTBLANK(OFFSET(A$1,,,SUMPRODUCT(MAX(ROW(E$1:E4839)*(E2=E$1:E4839))))))</f>
        <v> </v>
      </c>
      <c r="K4840" s="26" t="str">
        <f>IF(OR(E4840="",E4840="!!!",F4840="NEW"),"",INDEX(J$1:J4839,SUMPRODUCT(MAX(ROW(E$1:E4839)*(E4840=E$1:E4839)))))</f>
        <v> </v>
      </c>
      <c r="L4840" s="27"/>
    </row>
    <row r="4841" spans="1:12">
      <c r="A4841" s="20"/>
    </row>
    <row r="4842" spans="1:12">
      <c r="A4842" s="20" t="s">
        <v>1276</v>
      </c>
      <c r="E4842" s="22">
        <f>IF(D4842="?OLD","!!!","")</f>
        <v/>
      </c>
      <c r="F4842" s="23" t="str">
        <f>IF(OR(E4842="",E4842="!!!"),"",IF(NOT(ISNA(VLOOKUP(E4842,E$1:E4841,1,FALSE()))),"OLD",IF(AND(E4842&lt;&gt;"",E4842&lt;&gt;"!!!"),"NEW","")))</f>
        <v> </v>
      </c>
      <c r="G4842" s="24" t="str">
        <f>IF(OR(E4842="",E4842="!!!"),"",IF(OR(J4842=0,AND(J4842=1,K4842=1),AND(J4842=1,I4842="SBJ"),AND(J4842=1,I4842=0)),"?IN_FOCUS",IF(J4842&lt;=2,"?ACTIVATED",IF(J4842&lt;&gt;"","?FAMILIAR",IF(F4842="NEW",IF(ISNA(VLOOKUP(E4842,#REF!,1,FALSE())),"?TYPE_IDENTIFIABLE","?REFERENTIAL"),"_")))))</f>
        <v> </v>
      </c>
      <c r="H4842" s="25" t="str">
        <f>IF(J4842&lt;&gt;1,"",IF(I4842="SBJ","CB","?"))</f>
        <v> </v>
      </c>
      <c r="I4842" s="26" t="str">
        <f>IF(OR(E4842="",E4842="!!!",F4842="NEW"),"",INDEX(B4841:B$2,-1+SUMPRODUCT(MAX(ROW(E4841:E$2)*(E4842=E4841:E$2)))))</f>
        <v> </v>
      </c>
      <c r="J4842" s="26" t="str">
        <f>IF(OR(E4842="",E4842="!!!",F4842="NEW"),"",COUNTBLANK(OFFSET(A$1,,,SUMPRODUCT(MAX(ROW(E$2:E4842)*(E4842=E$2:E4842)))))-COUNTBLANK(OFFSET(A$1,,,SUMPRODUCT(MAX(ROW(E$1:E4841)*(E2=E$1:E4841))))))</f>
        <v> </v>
      </c>
      <c r="K4842" s="26" t="str">
        <f>IF(OR(E4842="",E4842="!!!",F4842="NEW"),"",INDEX(J$1:J4841,SUMPRODUCT(MAX(ROW(E$1:E4841)*(E4842=E$1:E4841)))))</f>
        <v> </v>
      </c>
      <c r="L4842" s="27"/>
    </row>
    <row r="4843" spans="1:12">
      <c r="A4843" s="20" t="s">
        <v>2422</v>
      </c>
    </row>
    <row r="4844" spans="1:12">
      <c r="A4844" s="20" t="s">
        <v>607</v>
      </c>
      <c r="E4844" s="22">
        <f>IF(D4844="?OLD","!!!","")</f>
        <v/>
      </c>
      <c r="F4844" s="23" t="str">
        <f>IF(OR(E4844="",E4844="!!!"),"",IF(NOT(ISNA(VLOOKUP(E4844,E$1:E4843,1,FALSE()))),"OLD",IF(AND(E4844&lt;&gt;"",E4844&lt;&gt;"!!!"),"NEW","")))</f>
        <v> </v>
      </c>
      <c r="G4844" s="24" t="str">
        <f>IF(OR(E4844="",E4844="!!!"),"",IF(OR(J4844=0,AND(J4844=1,K4844=1),AND(J4844=1,I4844="SBJ"),AND(J4844=1,I4844=0)),"?IN_FOCUS",IF(J4844&lt;=2,"?ACTIVATED",IF(J4844&lt;&gt;"","?FAMILIAR",IF(F4844="NEW",IF(ISNA(VLOOKUP(E4844,#REF!,1,FALSE())),"?TYPE_IDENTIFIABLE","?REFERENTIAL"),"_")))))</f>
        <v> </v>
      </c>
      <c r="H4844" s="25" t="str">
        <f>IF(J4844&lt;&gt;1,"",IF(I4844="SBJ","CB","?"))</f>
        <v> </v>
      </c>
      <c r="I4844" s="26" t="str">
        <f>IF(OR(E4844="",E4844="!!!",F4844="NEW"),"",INDEX(B4843:B$2,-1+SUMPRODUCT(MAX(ROW(E4843:E$2)*(E4844=E4843:E$2)))))</f>
        <v> </v>
      </c>
      <c r="J4844" s="26" t="str">
        <f>IF(OR(E4844="",E4844="!!!",F4844="NEW"),"",COUNTBLANK(OFFSET(A$1,,,SUMPRODUCT(MAX(ROW(E$2:E4844)*(E4844=E$2:E4844)))))-COUNTBLANK(OFFSET(A$1,,,SUMPRODUCT(MAX(ROW(E$1:E4843)*(E2=E$1:E4843))))))</f>
        <v> </v>
      </c>
      <c r="K4844" s="26" t="str">
        <f>IF(OR(E4844="",E4844="!!!",F4844="NEW"),"",INDEX(J$1:J4843,SUMPRODUCT(MAX(ROW(E$1:E4843)*(E4844=E$1:E4843)))))</f>
        <v> </v>
      </c>
      <c r="L4844" s="27"/>
    </row>
    <row r="4845" spans="1:12">
      <c r="A4845" s="20" t="s">
        <v>2423</v>
      </c>
      <c r="B4845" s="21" t="s">
        <v>1058</v>
      </c>
      <c r="C4845" s="21" t="s">
        <v>1149</v>
      </c>
      <c r="E4845" s="22">
        <f>IF(D4845="?OLD","!!!","")</f>
        <v/>
      </c>
      <c r="F4845" s="23" t="str">
        <f>IF(OR(E4845="",E4845="!!!"),"",IF(NOT(ISNA(VLOOKUP(E4845,E$1:E4844,1,FALSE()))),"OLD",IF(AND(E4845&lt;&gt;"",E4845&lt;&gt;"!!!"),"NEW","")))</f>
        <v> </v>
      </c>
      <c r="G4845" s="24" t="str">
        <f>IF(OR(E4845="",E4845="!!!"),"",IF(OR(J4845=0,AND(J4845=1,K4845=1),AND(J4845=1,I4845="SBJ"),AND(J4845=1,I4845=0)),"?IN_FOCUS",IF(J4845&lt;=2,"?ACTIVATED",IF(J4845&lt;&gt;"","?FAMILIAR",IF(F4845="NEW",IF(ISNA(VLOOKUP(E4845,#REF!,1,FALSE())),"?TYPE_IDENTIFIABLE","?REFERENTIAL"),"_")))))</f>
        <v> </v>
      </c>
      <c r="H4845" s="25" t="str">
        <f>IF(J4845&lt;&gt;1,"",IF(I4845="SBJ","CB","?"))</f>
        <v> </v>
      </c>
      <c r="I4845" s="26" t="str">
        <f>IF(OR(E4845="",E4845="!!!",F4845="NEW"),"",INDEX(B4844:B$2,-1+SUMPRODUCT(MAX(ROW(E4844:E$2)*(E4845=E4844:E$2)))))</f>
        <v> </v>
      </c>
      <c r="J4845" s="26" t="str">
        <f>IF(OR(E4845="",E4845="!!!",F4845="NEW"),"",COUNTBLANK(OFFSET(A$1,,,SUMPRODUCT(MAX(ROW(E$2:E4845)*(E4845=E$2:E4845)))))-COUNTBLANK(OFFSET(A$1,,,SUMPRODUCT(MAX(ROW(E$1:E4844)*(E2=E$1:E4844))))))</f>
        <v> </v>
      </c>
      <c r="K4845" s="26" t="str">
        <f>IF(OR(E4845="",E4845="!!!",F4845="NEW"),"",INDEX(J$1:J4844,SUMPRODUCT(MAX(ROW(E$1:E4844)*(E4845=E$1:E4844)))))</f>
        <v> </v>
      </c>
      <c r="L4845" s="27"/>
    </row>
    <row r="4846" spans="1:12">
      <c r="A4846" s="20" t="s">
        <v>1070</v>
      </c>
      <c r="E4846" s="22">
        <f>IF(D4846="?OLD","!!!","")</f>
        <v/>
      </c>
      <c r="F4846" s="23" t="str">
        <f>IF(OR(E4846="",E4846="!!!"),"",IF(NOT(ISNA(VLOOKUP(E4846,E$1:E4845,1,FALSE()))),"OLD",IF(AND(E4846&lt;&gt;"",E4846&lt;&gt;"!!!"),"NEW","")))</f>
        <v> </v>
      </c>
      <c r="G4846" s="24" t="str">
        <f>IF(OR(E4846="",E4846="!!!"),"",IF(OR(J4846=0,AND(J4846=1,K4846=1),AND(J4846=1,I4846="SBJ"),AND(J4846=1,I4846=0)),"?IN_FOCUS",IF(J4846&lt;=2,"?ACTIVATED",IF(J4846&lt;&gt;"","?FAMILIAR",IF(F4846="NEW",IF(ISNA(VLOOKUP(E4846,#REF!,1,FALSE())),"?TYPE_IDENTIFIABLE","?REFERENTIAL"),"_")))))</f>
        <v> </v>
      </c>
      <c r="H4846" s="25" t="str">
        <f>IF(J4846&lt;&gt;1,"",IF(I4846="SBJ","CB","?"))</f>
        <v> </v>
      </c>
      <c r="I4846" s="26" t="str">
        <f>IF(OR(E4846="",E4846="!!!",F4846="NEW"),"",INDEX(B4845:B$2,-1+SUMPRODUCT(MAX(ROW(E4845:E$2)*(E4846=E4845:E$2)))))</f>
        <v> </v>
      </c>
      <c r="J4846" s="26" t="str">
        <f>IF(OR(E4846="",E4846="!!!",F4846="NEW"),"",COUNTBLANK(OFFSET(A$1,,,SUMPRODUCT(MAX(ROW(E$2:E4846)*(E4846=E$2:E4846)))))-COUNTBLANK(OFFSET(A$1,,,SUMPRODUCT(MAX(ROW(E$1:E4845)*(E2=E$1:E4845))))))</f>
        <v> </v>
      </c>
      <c r="K4846" s="26" t="str">
        <f>IF(OR(E4846="",E4846="!!!",F4846="NEW"),"",INDEX(J$1:J4845,SUMPRODUCT(MAX(ROW(E$1:E4845)*(E4846=E$1:E4845)))))</f>
        <v> </v>
      </c>
      <c r="L4846" s="27"/>
    </row>
    <row r="4847" spans="1:12">
      <c r="A4847" s="20" t="s">
        <v>2424</v>
      </c>
      <c r="B4847" s="21" t="s">
        <v>1068</v>
      </c>
      <c r="C4847" s="21" t="s">
        <v>1065</v>
      </c>
      <c r="D4847" s="21" t="s">
        <v>1060</v>
      </c>
      <c r="E4847" s="22">
        <f>IF(D4847="?OLD","!!!","")</f>
        <v/>
      </c>
      <c r="F4847" s="23" t="str">
        <f>IF(OR(E4847="",E4847="!!!"),"",IF(NOT(ISNA(VLOOKUP(E4847,E$1:E4846,1,FALSE()))),"OLD",IF(AND(E4847&lt;&gt;"",E4847&lt;&gt;"!!!"),"NEW","")))</f>
        <v> </v>
      </c>
      <c r="G4847" s="24" t="str">
        <f>IF(OR(E4847="",E4847="!!!"),"",IF(OR(J4847=0,AND(J4847=1,K4847=1),AND(J4847=1,I4847="SBJ"),AND(J4847=1,I4847=0)),"?IN_FOCUS",IF(J4847&lt;=2,"?ACTIVATED",IF(J4847&lt;&gt;"","?FAMILIAR",IF(F4847="NEW",IF(ISNA(VLOOKUP(E4847,#REF!,1,FALSE())),"?TYPE_IDENTIFIABLE","?REFERENTIAL"),"_")))))</f>
        <v> </v>
      </c>
      <c r="H4847" s="25" t="str">
        <f>IF(J4847&lt;&gt;1,"",IF(I4847="SBJ","CB","?"))</f>
        <v> </v>
      </c>
      <c r="I4847" s="26" t="str">
        <f>IF(OR(E4847="",E4847="!!!",F4847="NEW"),"",INDEX(B4846:B$2,-1+SUMPRODUCT(MAX(ROW(E4846:E$2)*(E4847=E4846:E$2)))))</f>
        <v> </v>
      </c>
      <c r="J4847" s="26" t="str">
        <f>IF(OR(E4847="",E4847="!!!",F4847="NEW"),"",COUNTBLANK(OFFSET(A$1,,,SUMPRODUCT(MAX(ROW(E$2:E4847)*(E4847=E$2:E4847)))))-COUNTBLANK(OFFSET(A$1,,,SUMPRODUCT(MAX(ROW(E$1:E4846)*(E2=E$1:E4846))))))</f>
        <v> </v>
      </c>
      <c r="K4847" s="26" t="str">
        <f>IF(OR(E4847="",E4847="!!!",F4847="NEW"),"",INDEX(J$1:J4846,SUMPRODUCT(MAX(ROW(E$1:E4846)*(E4847=E$1:E4846)))))</f>
        <v> </v>
      </c>
      <c r="L4847" s="27"/>
    </row>
    <row r="4848" spans="1:12">
      <c r="A4848" s="20" t="s">
        <v>1070</v>
      </c>
      <c r="E4848" s="22">
        <f>IF(D4848="?OLD","!!!","")</f>
        <v/>
      </c>
      <c r="F4848" s="23" t="str">
        <f>IF(OR(E4848="",E4848="!!!"),"",IF(NOT(ISNA(VLOOKUP(E4848,E$1:E4847,1,FALSE()))),"OLD",IF(AND(E4848&lt;&gt;"",E4848&lt;&gt;"!!!"),"NEW","")))</f>
        <v> </v>
      </c>
      <c r="G4848" s="24" t="str">
        <f>IF(OR(E4848="",E4848="!!!"),"",IF(OR(J4848=0,AND(J4848=1,K4848=1),AND(J4848=1,I4848="SBJ"),AND(J4848=1,I4848=0)),"?IN_FOCUS",IF(J4848&lt;=2,"?ACTIVATED",IF(J4848&lt;&gt;"","?FAMILIAR",IF(F4848="NEW",IF(ISNA(VLOOKUP(E4848,#REF!,1,FALSE())),"?TYPE_IDENTIFIABLE","?REFERENTIAL"),"_")))))</f>
        <v> </v>
      </c>
      <c r="H4848" s="25" t="str">
        <f>IF(J4848&lt;&gt;1,"",IF(I4848="SBJ","CB","?"))</f>
        <v> </v>
      </c>
      <c r="I4848" s="26" t="str">
        <f>IF(OR(E4848="",E4848="!!!",F4848="NEW"),"",INDEX(B4847:B$2,-1+SUMPRODUCT(MAX(ROW(E4847:E$2)*(E4848=E4847:E$2)))))</f>
        <v> </v>
      </c>
      <c r="J4848" s="26" t="str">
        <f>IF(OR(E4848="",E4848="!!!",F4848="NEW"),"",COUNTBLANK(OFFSET(A$1,,,SUMPRODUCT(MAX(ROW(E$2:E4848)*(E4848=E$2:E4848)))))-COUNTBLANK(OFFSET(A$1,,,SUMPRODUCT(MAX(ROW(E$1:E4847)*(E2=E$1:E4847))))))</f>
        <v> </v>
      </c>
      <c r="K4848" s="26" t="str">
        <f>IF(OR(E4848="",E4848="!!!",F4848="NEW"),"",INDEX(J$1:J4847,SUMPRODUCT(MAX(ROW(E$1:E4847)*(E4848=E$1:E4847)))))</f>
        <v> </v>
      </c>
      <c r="L4848" s="27"/>
    </row>
    <row r="4849" spans="1:12">
      <c r="A4849" s="20" t="s">
        <v>607</v>
      </c>
      <c r="E4849" s="22">
        <f>IF(D4849="?OLD","!!!","")</f>
        <v/>
      </c>
      <c r="F4849" s="23" t="str">
        <f>IF(OR(E4849="",E4849="!!!"),"",IF(NOT(ISNA(VLOOKUP(E4849,E$1:E4848,1,FALSE()))),"OLD",IF(AND(E4849&lt;&gt;"",E4849&lt;&gt;"!!!"),"NEW","")))</f>
        <v> </v>
      </c>
      <c r="G4849" s="24" t="str">
        <f>IF(OR(E4849="",E4849="!!!"),"",IF(OR(J4849=0,AND(J4849=1,K4849=1),AND(J4849=1,I4849="SBJ"),AND(J4849=1,I4849=0)),"?IN_FOCUS",IF(J4849&lt;=2,"?ACTIVATED",IF(J4849&lt;&gt;"","?FAMILIAR",IF(F4849="NEW",IF(ISNA(VLOOKUP(E4849,#REF!,1,FALSE())),"?TYPE_IDENTIFIABLE","?REFERENTIAL"),"_")))))</f>
        <v> </v>
      </c>
      <c r="H4849" s="25" t="str">
        <f>IF(J4849&lt;&gt;1,"",IF(I4849="SBJ","CB","?"))</f>
        <v> </v>
      </c>
      <c r="I4849" s="26" t="str">
        <f>IF(OR(E4849="",E4849="!!!",F4849="NEW"),"",INDEX(B4848:B$2,-1+SUMPRODUCT(MAX(ROW(E4848:E$2)*(E4849=E4848:E$2)))))</f>
        <v> </v>
      </c>
      <c r="J4849" s="26" t="str">
        <f>IF(OR(E4849="",E4849="!!!",F4849="NEW"),"",COUNTBLANK(OFFSET(A$1,,,SUMPRODUCT(MAX(ROW(E$2:E4849)*(E4849=E$2:E4849)))))-COUNTBLANK(OFFSET(A$1,,,SUMPRODUCT(MAX(ROW(E$1:E4848)*(E2=E$1:E4848))))))</f>
        <v> </v>
      </c>
      <c r="K4849" s="26" t="str">
        <f>IF(OR(E4849="",E4849="!!!",F4849="NEW"),"",INDEX(J$1:J4848,SUMPRODUCT(MAX(ROW(E$1:E4848)*(E4849=E$1:E4848)))))</f>
        <v> </v>
      </c>
      <c r="L4849" s="27"/>
    </row>
    <row r="4850" spans="1:12">
      <c r="A4850" s="20" t="s">
        <v>1085</v>
      </c>
      <c r="E4850" s="22">
        <f>IF(D4850="?OLD","!!!","")</f>
        <v/>
      </c>
      <c r="F4850" s="23" t="str">
        <f>IF(OR(E4850="",E4850="!!!"),"",IF(NOT(ISNA(VLOOKUP(E4850,E$1:E4849,1,FALSE()))),"OLD",IF(AND(E4850&lt;&gt;"",E4850&lt;&gt;"!!!"),"NEW","")))</f>
        <v> </v>
      </c>
      <c r="G4850" s="24" t="str">
        <f>IF(OR(E4850="",E4850="!!!"),"",IF(OR(J4850=0,AND(J4850=1,K4850=1),AND(J4850=1,I4850="SBJ"),AND(J4850=1,I4850=0)),"?IN_FOCUS",IF(J4850&lt;=2,"?ACTIVATED",IF(J4850&lt;&gt;"","?FAMILIAR",IF(F4850="NEW",IF(ISNA(VLOOKUP(E4850,#REF!,1,FALSE())),"?TYPE_IDENTIFIABLE","?REFERENTIAL"),"_")))))</f>
        <v> </v>
      </c>
      <c r="H4850" s="25" t="str">
        <f>IF(J4850&lt;&gt;1,"",IF(I4850="SBJ","CB","?"))</f>
        <v> </v>
      </c>
      <c r="I4850" s="26" t="str">
        <f>IF(OR(E4850="",E4850="!!!",F4850="NEW"),"",INDEX(B4849:B$2,-1+SUMPRODUCT(MAX(ROW(E4849:E$2)*(E4850=E4849:E$2)))))</f>
        <v> </v>
      </c>
      <c r="J4850" s="26" t="str">
        <f>IF(OR(E4850="",E4850="!!!",F4850="NEW"),"",COUNTBLANK(OFFSET(A$1,,,SUMPRODUCT(MAX(ROW(E$2:E4850)*(E4850=E$2:E4850)))))-COUNTBLANK(OFFSET(A$1,,,SUMPRODUCT(MAX(ROW(E$1:E4849)*(E2=E$1:E4849))))))</f>
        <v> </v>
      </c>
      <c r="K4850" s="26" t="str">
        <f>IF(OR(E4850="",E4850="!!!",F4850="NEW"),"",INDEX(J$1:J4849,SUMPRODUCT(MAX(ROW(E$1:E4849)*(E4850=E$1:E4849)))))</f>
        <v> </v>
      </c>
      <c r="L4850" s="27"/>
    </row>
    <row r="4851" spans="1:12">
      <c r="A4851" s="20" t="s">
        <v>2425</v>
      </c>
      <c r="E4851" s="22">
        <f>IF(D4851="?OLD","!!!","")</f>
        <v/>
      </c>
      <c r="F4851" s="23" t="str">
        <f>IF(OR(E4851="",E4851="!!!"),"",IF(NOT(ISNA(VLOOKUP(E4851,E$1:E4850,1,FALSE()))),"OLD",IF(AND(E4851&lt;&gt;"",E4851&lt;&gt;"!!!"),"NEW","")))</f>
        <v> </v>
      </c>
      <c r="G4851" s="24" t="str">
        <f>IF(OR(E4851="",E4851="!!!"),"",IF(OR(J4851=0,AND(J4851=1,K4851=1),AND(J4851=1,I4851="SBJ"),AND(J4851=1,I4851=0)),"?IN_FOCUS",IF(J4851&lt;=2,"?ACTIVATED",IF(J4851&lt;&gt;"","?FAMILIAR",IF(F4851="NEW",IF(ISNA(VLOOKUP(E4851,#REF!,1,FALSE())),"?TYPE_IDENTIFIABLE","?REFERENTIAL"),"_")))))</f>
        <v> </v>
      </c>
      <c r="H4851" s="25" t="str">
        <f>IF(J4851&lt;&gt;1,"",IF(I4851="SBJ","CB","?"))</f>
        <v> </v>
      </c>
      <c r="I4851" s="26" t="str">
        <f>IF(OR(E4851="",E4851="!!!",F4851="NEW"),"",INDEX(B4850:B$2,-1+SUMPRODUCT(MAX(ROW(E4850:E$2)*(E4851=E4850:E$2)))))</f>
        <v> </v>
      </c>
      <c r="J4851" s="26" t="str">
        <f>IF(OR(E4851="",E4851="!!!",F4851="NEW"),"",COUNTBLANK(OFFSET(A$1,,,SUMPRODUCT(MAX(ROW(E$2:E4851)*(E4851=E$2:E4851)))))-COUNTBLANK(OFFSET(A$1,,,SUMPRODUCT(MAX(ROW(E$1:E4850)*(E2=E$1:E4850))))))</f>
        <v> </v>
      </c>
      <c r="K4851" s="26" t="str">
        <f>IF(OR(E4851="",E4851="!!!",F4851="NEW"),"",INDEX(J$1:J4850,SUMPRODUCT(MAX(ROW(E$1:E4850)*(E4851=E$1:E4850)))))</f>
        <v> </v>
      </c>
      <c r="L4851" s="27"/>
    </row>
    <row r="4852" spans="1:12">
      <c r="A4852" s="20" t="s">
        <v>1204</v>
      </c>
      <c r="E4852" s="22">
        <f>IF(D4852="?OLD","!!!","")</f>
        <v/>
      </c>
      <c r="F4852" s="23" t="str">
        <f>IF(OR(E4852="",E4852="!!!"),"",IF(NOT(ISNA(VLOOKUP(E4852,E$1:E4851,1,FALSE()))),"OLD",IF(AND(E4852&lt;&gt;"",E4852&lt;&gt;"!!!"),"NEW","")))</f>
        <v> </v>
      </c>
      <c r="G4852" s="24" t="str">
        <f>IF(OR(E4852="",E4852="!!!"),"",IF(OR(J4852=0,AND(J4852=1,K4852=1),AND(J4852=1,I4852="SBJ"),AND(J4852=1,I4852=0)),"?IN_FOCUS",IF(J4852&lt;=2,"?ACTIVATED",IF(J4852&lt;&gt;"","?FAMILIAR",IF(F4852="NEW",IF(ISNA(VLOOKUP(E4852,#REF!,1,FALSE())),"?TYPE_IDENTIFIABLE","?REFERENTIAL"),"_")))))</f>
        <v> </v>
      </c>
      <c r="H4852" s="25" t="str">
        <f>IF(J4852&lt;&gt;1,"",IF(I4852="SBJ","CB","?"))</f>
        <v> </v>
      </c>
      <c r="I4852" s="26" t="str">
        <f>IF(OR(E4852="",E4852="!!!",F4852="NEW"),"",INDEX(B4851:B$2,-1+SUMPRODUCT(MAX(ROW(E4851:E$2)*(E4852=E4851:E$2)))))</f>
        <v> </v>
      </c>
      <c r="J4852" s="26" t="str">
        <f>IF(OR(E4852="",E4852="!!!",F4852="NEW"),"",COUNTBLANK(OFFSET(A$1,,,SUMPRODUCT(MAX(ROW(E$2:E4852)*(E4852=E$2:E4852)))))-COUNTBLANK(OFFSET(A$1,,,SUMPRODUCT(MAX(ROW(E$1:E4851)*(E2=E$1:E4851))))))</f>
        <v> </v>
      </c>
      <c r="K4852" s="26" t="str">
        <f>IF(OR(E4852="",E4852="!!!",F4852="NEW"),"",INDEX(J$1:J4851,SUMPRODUCT(MAX(ROW(E$1:E4851)*(E4852=E$1:E4851)))))</f>
        <v> </v>
      </c>
      <c r="L4852" s="27"/>
    </row>
    <row r="4853" spans="1:12">
      <c r="A4853" s="20" t="s">
        <v>1101</v>
      </c>
      <c r="E4853" s="22">
        <f>IF(D4853="?OLD","!!!","")</f>
        <v/>
      </c>
      <c r="F4853" s="23" t="str">
        <f>IF(OR(E4853="",E4853="!!!"),"",IF(NOT(ISNA(VLOOKUP(E4853,E$1:E4852,1,FALSE()))),"OLD",IF(AND(E4853&lt;&gt;"",E4853&lt;&gt;"!!!"),"NEW","")))</f>
        <v> </v>
      </c>
      <c r="G4853" s="24" t="str">
        <f>IF(OR(E4853="",E4853="!!!"),"",IF(OR(J4853=0,AND(J4853=1,K4853=1),AND(J4853=1,I4853="SBJ"),AND(J4853=1,I4853=0)),"?IN_FOCUS",IF(J4853&lt;=2,"?ACTIVATED",IF(J4853&lt;&gt;"","?FAMILIAR",IF(F4853="NEW",IF(ISNA(VLOOKUP(E4853,#REF!,1,FALSE())),"?TYPE_IDENTIFIABLE","?REFERENTIAL"),"_")))))</f>
        <v> </v>
      </c>
      <c r="H4853" s="25" t="str">
        <f>IF(J4853&lt;&gt;1,"",IF(I4853="SBJ","CB","?"))</f>
        <v> </v>
      </c>
      <c r="I4853" s="26" t="str">
        <f>IF(OR(E4853="",E4853="!!!",F4853="NEW"),"",INDEX(B4852:B$2,-1+SUMPRODUCT(MAX(ROW(E4852:E$2)*(E4853=E4852:E$2)))))</f>
        <v> </v>
      </c>
      <c r="J4853" s="26" t="str">
        <f>IF(OR(E4853="",E4853="!!!",F4853="NEW"),"",COUNTBLANK(OFFSET(A$1,,,SUMPRODUCT(MAX(ROW(E$2:E4853)*(E4853=E$2:E4853)))))-COUNTBLANK(OFFSET(A$1,,,SUMPRODUCT(MAX(ROW(E$1:E4852)*(E2=E$1:E4852))))))</f>
        <v> </v>
      </c>
      <c r="K4853" s="26" t="str">
        <f>IF(OR(E4853="",E4853="!!!",F4853="NEW"),"",INDEX(J$1:J4852,SUMPRODUCT(MAX(ROW(E$1:E4852)*(E4853=E$1:E4852)))))</f>
        <v> </v>
      </c>
      <c r="L4853" s="27"/>
    </row>
    <row r="4854" spans="1:12">
      <c r="A4854" s="20" t="s">
        <v>2426</v>
      </c>
      <c r="B4854" s="21" t="s">
        <v>1097</v>
      </c>
      <c r="C4854" s="21" t="s">
        <v>1140</v>
      </c>
      <c r="D4854" s="21" t="s">
        <v>1060</v>
      </c>
      <c r="E4854" s="22">
        <f>IF(D4854="?OLD","!!!","")</f>
        <v/>
      </c>
      <c r="F4854" s="23" t="str">
        <f>IF(OR(E4854="",E4854="!!!"),"",IF(NOT(ISNA(VLOOKUP(E4854,E$1:E4853,1,FALSE()))),"OLD",IF(AND(E4854&lt;&gt;"",E4854&lt;&gt;"!!!"),"NEW","")))</f>
        <v> </v>
      </c>
      <c r="G4854" s="24" t="str">
        <f>IF(OR(E4854="",E4854="!!!"),"",IF(OR(J4854=0,AND(J4854=1,K4854=1),AND(J4854=1,I4854="SBJ"),AND(J4854=1,I4854=0)),"?IN_FOCUS",IF(J4854&lt;=2,"?ACTIVATED",IF(J4854&lt;&gt;"","?FAMILIAR",IF(F4854="NEW",IF(ISNA(VLOOKUP(E4854,#REF!,1,FALSE())),"?TYPE_IDENTIFIABLE","?REFERENTIAL"),"_")))))</f>
        <v> </v>
      </c>
      <c r="H4854" s="25" t="str">
        <f>IF(J4854&lt;&gt;1,"",IF(I4854="SBJ","CB","?"))</f>
        <v> </v>
      </c>
      <c r="I4854" s="26" t="str">
        <f>IF(OR(E4854="",E4854="!!!",F4854="NEW"),"",INDEX(B4853:B$2,-1+SUMPRODUCT(MAX(ROW(E4853:E$2)*(E4854=E4853:E$2)))))</f>
        <v> </v>
      </c>
      <c r="J4854" s="26" t="str">
        <f>IF(OR(E4854="",E4854="!!!",F4854="NEW"),"",COUNTBLANK(OFFSET(A$1,,,SUMPRODUCT(MAX(ROW(E$2:E4854)*(E4854=E$2:E4854)))))-COUNTBLANK(OFFSET(A$1,,,SUMPRODUCT(MAX(ROW(E$1:E4853)*(E2=E$1:E4853))))))</f>
        <v> </v>
      </c>
      <c r="K4854" s="26" t="str">
        <f>IF(OR(E4854="",E4854="!!!",F4854="NEW"),"",INDEX(J$1:J4853,SUMPRODUCT(MAX(ROW(E$1:E4853)*(E4854=E$1:E4853)))))</f>
        <v> </v>
      </c>
      <c r="L4854" s="27"/>
    </row>
    <row r="4855" spans="1:12">
      <c r="A4855" s="20" t="s">
        <v>1380</v>
      </c>
      <c r="E4855" s="22">
        <f>IF(D4855="?OLD","!!!","")</f>
        <v/>
      </c>
      <c r="F4855" s="23" t="str">
        <f>IF(OR(E4855="",E4855="!!!"),"",IF(NOT(ISNA(VLOOKUP(E4855,E$1:E4854,1,FALSE()))),"OLD",IF(AND(E4855&lt;&gt;"",E4855&lt;&gt;"!!!"),"NEW","")))</f>
        <v> </v>
      </c>
      <c r="G4855" s="24" t="str">
        <f>IF(OR(E4855="",E4855="!!!"),"",IF(OR(J4855=0,AND(J4855=1,K4855=1),AND(J4855=1,I4855="SBJ"),AND(J4855=1,I4855=0)),"?IN_FOCUS",IF(J4855&lt;=2,"?ACTIVATED",IF(J4855&lt;&gt;"","?FAMILIAR",IF(F4855="NEW",IF(ISNA(VLOOKUP(E4855,#REF!,1,FALSE())),"?TYPE_IDENTIFIABLE","?REFERENTIAL"),"_")))))</f>
        <v> </v>
      </c>
      <c r="H4855" s="25" t="str">
        <f>IF(J4855&lt;&gt;1,"",IF(I4855="SBJ","CB","?"))</f>
        <v> </v>
      </c>
      <c r="I4855" s="26" t="str">
        <f>IF(OR(E4855="",E4855="!!!",F4855="NEW"),"",INDEX(B4854:B$2,-1+SUMPRODUCT(MAX(ROW(E4854:E$2)*(E4855=E4854:E$2)))))</f>
        <v> </v>
      </c>
      <c r="J4855" s="26" t="str">
        <f>IF(OR(E4855="",E4855="!!!",F4855="NEW"),"",COUNTBLANK(OFFSET(A$1,,,SUMPRODUCT(MAX(ROW(E$2:E4855)*(E4855=E$2:E4855)))))-COUNTBLANK(OFFSET(A$1,,,SUMPRODUCT(MAX(ROW(E$1:E4854)*(E2=E$1:E4854))))))</f>
        <v> </v>
      </c>
      <c r="K4855" s="26" t="str">
        <f>IF(OR(E4855="",E4855="!!!",F4855="NEW"),"",INDEX(J$1:J4854,SUMPRODUCT(MAX(ROW(E$1:E4854)*(E4855=E$1:E4854)))))</f>
        <v> </v>
      </c>
      <c r="L4855" s="27"/>
    </row>
    <row r="4856" spans="1:12">
      <c r="A4856" s="20" t="s">
        <v>923</v>
      </c>
      <c r="E4856" s="22">
        <f>IF(D4856="?OLD","!!!","")</f>
        <v/>
      </c>
      <c r="F4856" s="23" t="str">
        <f>IF(OR(E4856="",E4856="!!!"),"",IF(NOT(ISNA(VLOOKUP(E4856,E$1:E4855,1,FALSE()))),"OLD",IF(AND(E4856&lt;&gt;"",E4856&lt;&gt;"!!!"),"NEW","")))</f>
        <v> </v>
      </c>
      <c r="G4856" s="24" t="str">
        <f>IF(OR(E4856="",E4856="!!!"),"",IF(OR(J4856=0,AND(J4856=1,K4856=1),AND(J4856=1,I4856="SBJ"),AND(J4856=1,I4856=0)),"?IN_FOCUS",IF(J4856&lt;=2,"?ACTIVATED",IF(J4856&lt;&gt;"","?FAMILIAR",IF(F4856="NEW",IF(ISNA(VLOOKUP(E4856,#REF!,1,FALSE())),"?TYPE_IDENTIFIABLE","?REFERENTIAL"),"_")))))</f>
        <v> </v>
      </c>
      <c r="H4856" s="25" t="str">
        <f>IF(J4856&lt;&gt;1,"",IF(I4856="SBJ","CB","?"))</f>
        <v> </v>
      </c>
      <c r="I4856" s="26" t="str">
        <f>IF(OR(E4856="",E4856="!!!",F4856="NEW"),"",INDEX(B4855:B$2,-1+SUMPRODUCT(MAX(ROW(E4855:E$2)*(E4856=E4855:E$2)))))</f>
        <v> </v>
      </c>
      <c r="J4856" s="26" t="str">
        <f>IF(OR(E4856="",E4856="!!!",F4856="NEW"),"",COUNTBLANK(OFFSET(A$1,,,SUMPRODUCT(MAX(ROW(E$2:E4856)*(E4856=E$2:E4856)))))-COUNTBLANK(OFFSET(A$1,,,SUMPRODUCT(MAX(ROW(E$1:E4855)*(E2=E$1:E4855))))))</f>
        <v> </v>
      </c>
      <c r="K4856" s="26" t="str">
        <f>IF(OR(E4856="",E4856="!!!",F4856="NEW"),"",INDEX(J$1:J4855,SUMPRODUCT(MAX(ROW(E$1:E4855)*(E4856=E$1:E4855)))))</f>
        <v> </v>
      </c>
      <c r="L4856" s="27"/>
    </row>
    <row r="4857" spans="1:12">
      <c r="A4857" s="20"/>
    </row>
    <row r="4858" spans="1:12">
      <c r="A4858" s="20" t="s">
        <v>1276</v>
      </c>
      <c r="E4858" s="22">
        <f>IF(D4858="?OLD","!!!","")</f>
        <v/>
      </c>
      <c r="F4858" s="23" t="str">
        <f>IF(OR(E4858="",E4858="!!!"),"",IF(NOT(ISNA(VLOOKUP(E4858,E$1:E4857,1,FALSE()))),"OLD",IF(AND(E4858&lt;&gt;"",E4858&lt;&gt;"!!!"),"NEW","")))</f>
        <v> </v>
      </c>
      <c r="G4858" s="24" t="str">
        <f>IF(OR(E4858="",E4858="!!!"),"",IF(OR(J4858=0,AND(J4858=1,K4858=1),AND(J4858=1,I4858="SBJ"),AND(J4858=1,I4858=0)),"?IN_FOCUS",IF(J4858&lt;=2,"?ACTIVATED",IF(J4858&lt;&gt;"","?FAMILIAR",IF(F4858="NEW",IF(ISNA(VLOOKUP(E4858,#REF!,1,FALSE())),"?TYPE_IDENTIFIABLE","?REFERENTIAL"),"_")))))</f>
        <v> </v>
      </c>
      <c r="H4858" s="25" t="str">
        <f>IF(J4858&lt;&gt;1,"",IF(I4858="SBJ","CB","?"))</f>
        <v> </v>
      </c>
      <c r="I4858" s="26" t="str">
        <f>IF(OR(E4858="",E4858="!!!",F4858="NEW"),"",INDEX(B4857:B$2,-1+SUMPRODUCT(MAX(ROW(E4857:E$2)*(E4858=E4857:E$2)))))</f>
        <v> </v>
      </c>
      <c r="J4858" s="26" t="str">
        <f>IF(OR(E4858="",E4858="!!!",F4858="NEW"),"",COUNTBLANK(OFFSET(A$1,,,SUMPRODUCT(MAX(ROW(E$2:E4858)*(E4858=E$2:E4858)))))-COUNTBLANK(OFFSET(A$1,,,SUMPRODUCT(MAX(ROW(E$1:E4857)*(E2=E$1:E4857))))))</f>
        <v> </v>
      </c>
      <c r="K4858" s="26" t="str">
        <f>IF(OR(E4858="",E4858="!!!",F4858="NEW"),"",INDEX(J$1:J4857,SUMPRODUCT(MAX(ROW(E$1:E4857)*(E4858=E$1:E4857)))))</f>
        <v> </v>
      </c>
      <c r="L4858" s="27"/>
    </row>
    <row r="4859" spans="1:12">
      <c r="A4859" s="20" t="s">
        <v>2427</v>
      </c>
    </row>
    <row r="4860" spans="1:12">
      <c r="A4860" s="20" t="s">
        <v>607</v>
      </c>
      <c r="E4860" s="22">
        <f>IF(D4860="?OLD","!!!","")</f>
        <v/>
      </c>
      <c r="F4860" s="23" t="str">
        <f>IF(OR(E4860="",E4860="!!!"),"",IF(NOT(ISNA(VLOOKUP(E4860,E$1:E4859,1,FALSE()))),"OLD",IF(AND(E4860&lt;&gt;"",E4860&lt;&gt;"!!!"),"NEW","")))</f>
        <v> </v>
      </c>
      <c r="G4860" s="24" t="str">
        <f>IF(OR(E4860="",E4860="!!!"),"",IF(OR(J4860=0,AND(J4860=1,K4860=1),AND(J4860=1,I4860="SBJ"),AND(J4860=1,I4860=0)),"?IN_FOCUS",IF(J4860&lt;=2,"?ACTIVATED",IF(J4860&lt;&gt;"","?FAMILIAR",IF(F4860="NEW",IF(ISNA(VLOOKUP(E4860,#REF!,1,FALSE())),"?TYPE_IDENTIFIABLE","?REFERENTIAL"),"_")))))</f>
        <v> </v>
      </c>
      <c r="H4860" s="25" t="str">
        <f>IF(J4860&lt;&gt;1,"",IF(I4860="SBJ","CB","?"))</f>
        <v> </v>
      </c>
      <c r="I4860" s="26" t="str">
        <f>IF(OR(E4860="",E4860="!!!",F4860="NEW"),"",INDEX(B4859:B$2,-1+SUMPRODUCT(MAX(ROW(E4859:E$2)*(E4860=E4859:E$2)))))</f>
        <v> </v>
      </c>
      <c r="J4860" s="26" t="str">
        <f>IF(OR(E4860="",E4860="!!!",F4860="NEW"),"",COUNTBLANK(OFFSET(A$1,,,SUMPRODUCT(MAX(ROW(E$2:E4860)*(E4860=E$2:E4860)))))-COUNTBLANK(OFFSET(A$1,,,SUMPRODUCT(MAX(ROW(E$1:E4859)*(E2=E$1:E4859))))))</f>
        <v> </v>
      </c>
      <c r="K4860" s="26" t="str">
        <f>IF(OR(E4860="",E4860="!!!",F4860="NEW"),"",INDEX(J$1:J4859,SUMPRODUCT(MAX(ROW(E$1:E4859)*(E4860=E$1:E4859)))))</f>
        <v> </v>
      </c>
      <c r="L4860" s="27"/>
    </row>
    <row r="4861" spans="1:12">
      <c r="A4861" s="20" t="s">
        <v>1240</v>
      </c>
      <c r="B4861" s="21" t="s">
        <v>1079</v>
      </c>
      <c r="C4861" s="21" t="s">
        <v>1076</v>
      </c>
      <c r="D4861" s="21" t="s">
        <v>1060</v>
      </c>
      <c r="E4861" s="22">
        <f>IF(D4861="?OLD","!!!","")</f>
        <v/>
      </c>
      <c r="F4861" s="23" t="str">
        <f>IF(OR(E4861="",E4861="!!!"),"",IF(NOT(ISNA(VLOOKUP(E4861,E$1:E4860,1,FALSE()))),"OLD",IF(AND(E4861&lt;&gt;"",E4861&lt;&gt;"!!!"),"NEW","")))</f>
        <v> </v>
      </c>
      <c r="G4861" s="24" t="str">
        <f>IF(OR(E4861="",E4861="!!!"),"",IF(OR(J4861=0,AND(J4861=1,K4861=1),AND(J4861=1,I4861="SBJ"),AND(J4861=1,I4861=0)),"?IN_FOCUS",IF(J4861&lt;=2,"?ACTIVATED",IF(J4861&lt;&gt;"","?FAMILIAR",IF(F4861="NEW",IF(ISNA(VLOOKUP(E4861,#REF!,1,FALSE())),"?TYPE_IDENTIFIABLE","?REFERENTIAL"),"_")))))</f>
        <v> </v>
      </c>
      <c r="H4861" s="25" t="str">
        <f>IF(J4861&lt;&gt;1,"",IF(I4861="SBJ","CB","?"))</f>
        <v> </v>
      </c>
      <c r="I4861" s="26" t="str">
        <f>IF(OR(E4861="",E4861="!!!",F4861="NEW"),"",INDEX(B4860:B$2,-1+SUMPRODUCT(MAX(ROW(E4860:E$2)*(E4861=E4860:E$2)))))</f>
        <v> </v>
      </c>
      <c r="J4861" s="26" t="str">
        <f>IF(OR(E4861="",E4861="!!!",F4861="NEW"),"",COUNTBLANK(OFFSET(A$1,,,SUMPRODUCT(MAX(ROW(E$2:E4861)*(E4861=E$2:E4861)))))-COUNTBLANK(OFFSET(A$1,,,SUMPRODUCT(MAX(ROW(E$1:E4860)*(E2=E$1:E4860))))))</f>
        <v> </v>
      </c>
      <c r="K4861" s="26" t="str">
        <f>IF(OR(E4861="",E4861="!!!",F4861="NEW"),"",INDEX(J$1:J4860,SUMPRODUCT(MAX(ROW(E$1:E4860)*(E4861=E$1:E4860)))))</f>
        <v> </v>
      </c>
      <c r="L4861" s="27"/>
    </row>
    <row r="4862" spans="1:12">
      <c r="A4862" s="20" t="s">
        <v>1340</v>
      </c>
      <c r="E4862" s="22">
        <f>IF(D4862="?OLD","!!!","")</f>
        <v/>
      </c>
      <c r="F4862" s="23" t="str">
        <f>IF(OR(E4862="",E4862="!!!"),"",IF(NOT(ISNA(VLOOKUP(E4862,E$1:E4861,1,FALSE()))),"OLD",IF(AND(E4862&lt;&gt;"",E4862&lt;&gt;"!!!"),"NEW","")))</f>
        <v> </v>
      </c>
      <c r="G4862" s="24" t="str">
        <f>IF(OR(E4862="",E4862="!!!"),"",IF(OR(J4862=0,AND(J4862=1,K4862=1),AND(J4862=1,I4862="SBJ"),AND(J4862=1,I4862=0)),"?IN_FOCUS",IF(J4862&lt;=2,"?ACTIVATED",IF(J4862&lt;&gt;"","?FAMILIAR",IF(F4862="NEW",IF(ISNA(VLOOKUP(E4862,#REF!,1,FALSE())),"?TYPE_IDENTIFIABLE","?REFERENTIAL"),"_")))))</f>
        <v> </v>
      </c>
      <c r="H4862" s="25" t="str">
        <f>IF(J4862&lt;&gt;1,"",IF(I4862="SBJ","CB","?"))</f>
        <v> </v>
      </c>
      <c r="I4862" s="26" t="str">
        <f>IF(OR(E4862="",E4862="!!!",F4862="NEW"),"",INDEX(B4861:B$2,-1+SUMPRODUCT(MAX(ROW(E4861:E$2)*(E4862=E4861:E$2)))))</f>
        <v> </v>
      </c>
      <c r="J4862" s="26" t="str">
        <f>IF(OR(E4862="",E4862="!!!",F4862="NEW"),"",COUNTBLANK(OFFSET(A$1,,,SUMPRODUCT(MAX(ROW(E$2:E4862)*(E4862=E$2:E4862)))))-COUNTBLANK(OFFSET(A$1,,,SUMPRODUCT(MAX(ROW(E$1:E4861)*(E2=E$1:E4861))))))</f>
        <v> </v>
      </c>
      <c r="K4862" s="26" t="str">
        <f>IF(OR(E4862="",E4862="!!!",F4862="NEW"),"",INDEX(J$1:J4861,SUMPRODUCT(MAX(ROW(E$1:E4861)*(E4862=E$1:E4861)))))</f>
        <v> </v>
      </c>
      <c r="L4862" s="27"/>
    </row>
    <row r="4863" spans="1:12">
      <c r="A4863" s="20" t="s">
        <v>2428</v>
      </c>
      <c r="E4863" s="22">
        <f>IF(D4863="?OLD","!!!","")</f>
        <v/>
      </c>
      <c r="F4863" s="23" t="str">
        <f>IF(OR(E4863="",E4863="!!!"),"",IF(NOT(ISNA(VLOOKUP(E4863,E$1:E4862,1,FALSE()))),"OLD",IF(AND(E4863&lt;&gt;"",E4863&lt;&gt;"!!!"),"NEW","")))</f>
        <v> </v>
      </c>
      <c r="G4863" s="24" t="str">
        <f>IF(OR(E4863="",E4863="!!!"),"",IF(OR(J4863=0,AND(J4863=1,K4863=1),AND(J4863=1,I4863="SBJ"),AND(J4863=1,I4863=0)),"?IN_FOCUS",IF(J4863&lt;=2,"?ACTIVATED",IF(J4863&lt;&gt;"","?FAMILIAR",IF(F4863="NEW",IF(ISNA(VLOOKUP(E4863,#REF!,1,FALSE())),"?TYPE_IDENTIFIABLE","?REFERENTIAL"),"_")))))</f>
        <v> </v>
      </c>
      <c r="H4863" s="25" t="str">
        <f>IF(J4863&lt;&gt;1,"",IF(I4863="SBJ","CB","?"))</f>
        <v> </v>
      </c>
      <c r="I4863" s="26" t="str">
        <f>IF(OR(E4863="",E4863="!!!",F4863="NEW"),"",INDEX(B4862:B$2,-1+SUMPRODUCT(MAX(ROW(E4862:E$2)*(E4863=E4862:E$2)))))</f>
        <v> </v>
      </c>
      <c r="J4863" s="26" t="str">
        <f>IF(OR(E4863="",E4863="!!!",F4863="NEW"),"",COUNTBLANK(OFFSET(A$1,,,SUMPRODUCT(MAX(ROW(E$2:E4863)*(E4863=E$2:E4863)))))-COUNTBLANK(OFFSET(A$1,,,SUMPRODUCT(MAX(ROW(E$1:E4862)*(E2=E$1:E4862))))))</f>
        <v> </v>
      </c>
      <c r="K4863" s="26" t="str">
        <f>IF(OR(E4863="",E4863="!!!",F4863="NEW"),"",INDEX(J$1:J4862,SUMPRODUCT(MAX(ROW(E$1:E4862)*(E4863=E$1:E4862)))))</f>
        <v> </v>
      </c>
      <c r="L4863" s="27"/>
    </row>
    <row r="4864" spans="1:12">
      <c r="A4864" s="20" t="s">
        <v>1077</v>
      </c>
      <c r="E4864" s="22">
        <f>IF(D4864="?OLD","!!!","")</f>
        <v/>
      </c>
      <c r="F4864" s="23" t="str">
        <f>IF(OR(E4864="",E4864="!!!"),"",IF(NOT(ISNA(VLOOKUP(E4864,E$1:E4863,1,FALSE()))),"OLD",IF(AND(E4864&lt;&gt;"",E4864&lt;&gt;"!!!"),"NEW","")))</f>
        <v> </v>
      </c>
      <c r="G4864" s="24" t="str">
        <f>IF(OR(E4864="",E4864="!!!"),"",IF(OR(J4864=0,AND(J4864=1,K4864=1),AND(J4864=1,I4864="SBJ"),AND(J4864=1,I4864=0)),"?IN_FOCUS",IF(J4864&lt;=2,"?ACTIVATED",IF(J4864&lt;&gt;"","?FAMILIAR",IF(F4864="NEW",IF(ISNA(VLOOKUP(E4864,#REF!,1,FALSE())),"?TYPE_IDENTIFIABLE","?REFERENTIAL"),"_")))))</f>
        <v> </v>
      </c>
      <c r="H4864" s="25" t="str">
        <f>IF(J4864&lt;&gt;1,"",IF(I4864="SBJ","CB","?"))</f>
        <v> </v>
      </c>
      <c r="I4864" s="26" t="str">
        <f>IF(OR(E4864="",E4864="!!!",F4864="NEW"),"",INDEX(B4863:B$2,-1+SUMPRODUCT(MAX(ROW(E4863:E$2)*(E4864=E4863:E$2)))))</f>
        <v> </v>
      </c>
      <c r="J4864" s="26" t="str">
        <f>IF(OR(E4864="",E4864="!!!",F4864="NEW"),"",COUNTBLANK(OFFSET(A$1,,,SUMPRODUCT(MAX(ROW(E$2:E4864)*(E4864=E$2:E4864)))))-COUNTBLANK(OFFSET(A$1,,,SUMPRODUCT(MAX(ROW(E$1:E4863)*(E2=E$1:E4863))))))</f>
        <v> </v>
      </c>
      <c r="K4864" s="26" t="str">
        <f>IF(OR(E4864="",E4864="!!!",F4864="NEW"),"",INDEX(J$1:J4863,SUMPRODUCT(MAX(ROW(E$1:E4863)*(E4864=E$1:E4863)))))</f>
        <v> </v>
      </c>
      <c r="L4864" s="27"/>
    </row>
    <row r="4865" spans="1:12">
      <c r="A4865" s="20" t="s">
        <v>2429</v>
      </c>
      <c r="E4865" s="22">
        <f>IF(D4865="?OLD","!!!","")</f>
        <v/>
      </c>
      <c r="F4865" s="23" t="str">
        <f>IF(OR(E4865="",E4865="!!!"),"",IF(NOT(ISNA(VLOOKUP(E4865,E$1:E4864,1,FALSE()))),"OLD",IF(AND(E4865&lt;&gt;"",E4865&lt;&gt;"!!!"),"NEW","")))</f>
        <v> </v>
      </c>
      <c r="G4865" s="24" t="str">
        <f>IF(OR(E4865="",E4865="!!!"),"",IF(OR(J4865=0,AND(J4865=1,K4865=1),AND(J4865=1,I4865="SBJ"),AND(J4865=1,I4865=0)),"?IN_FOCUS",IF(J4865&lt;=2,"?ACTIVATED",IF(J4865&lt;&gt;"","?FAMILIAR",IF(F4865="NEW",IF(ISNA(VLOOKUP(E4865,#REF!,1,FALSE())),"?TYPE_IDENTIFIABLE","?REFERENTIAL"),"_")))))</f>
        <v> </v>
      </c>
      <c r="H4865" s="25" t="str">
        <f>IF(J4865&lt;&gt;1,"",IF(I4865="SBJ","CB","?"))</f>
        <v> </v>
      </c>
      <c r="I4865" s="26" t="str">
        <f>IF(OR(E4865="",E4865="!!!",F4865="NEW"),"",INDEX(B4864:B$2,-1+SUMPRODUCT(MAX(ROW(E4864:E$2)*(E4865=E4864:E$2)))))</f>
        <v> </v>
      </c>
      <c r="J4865" s="26" t="str">
        <f>IF(OR(E4865="",E4865="!!!",F4865="NEW"),"",COUNTBLANK(OFFSET(A$1,,,SUMPRODUCT(MAX(ROW(E$2:E4865)*(E4865=E$2:E4865)))))-COUNTBLANK(OFFSET(A$1,,,SUMPRODUCT(MAX(ROW(E$1:E4864)*(E2=E$1:E4864))))))</f>
        <v> </v>
      </c>
      <c r="K4865" s="26" t="str">
        <f>IF(OR(E4865="",E4865="!!!",F4865="NEW"),"",INDEX(J$1:J4864,SUMPRODUCT(MAX(ROW(E$1:E4864)*(E4865=E$1:E4864)))))</f>
        <v> </v>
      </c>
      <c r="L4865" s="27"/>
    </row>
    <row r="4866" spans="1:12">
      <c r="A4866" s="20" t="s">
        <v>2430</v>
      </c>
      <c r="B4866" s="21" t="s">
        <v>1132</v>
      </c>
      <c r="C4866" s="21" t="s">
        <v>1080</v>
      </c>
      <c r="E4866" s="22">
        <f>IF(D4866="?OLD","!!!","")</f>
        <v/>
      </c>
      <c r="F4866" s="23" t="str">
        <f>IF(OR(E4866="",E4866="!!!"),"",IF(NOT(ISNA(VLOOKUP(E4866,E$1:E4865,1,FALSE()))),"OLD",IF(AND(E4866&lt;&gt;"",E4866&lt;&gt;"!!!"),"NEW","")))</f>
        <v> </v>
      </c>
      <c r="G4866" s="24" t="str">
        <f>IF(OR(E4866="",E4866="!!!"),"",IF(OR(J4866=0,AND(J4866=1,K4866=1),AND(J4866=1,I4866="SBJ"),AND(J4866=1,I4866=0)),"?IN_FOCUS",IF(J4866&lt;=2,"?ACTIVATED",IF(J4866&lt;&gt;"","?FAMILIAR",IF(F4866="NEW",IF(ISNA(VLOOKUP(E4866,#REF!,1,FALSE())),"?TYPE_IDENTIFIABLE","?REFERENTIAL"),"_")))))</f>
        <v> </v>
      </c>
      <c r="H4866" s="25" t="str">
        <f>IF(J4866&lt;&gt;1,"",IF(I4866="SBJ","CB","?"))</f>
        <v> </v>
      </c>
      <c r="I4866" s="26" t="str">
        <f>IF(OR(E4866="",E4866="!!!",F4866="NEW"),"",INDEX(B4865:B$2,-1+SUMPRODUCT(MAX(ROW(E4865:E$2)*(E4866=E4865:E$2)))))</f>
        <v> </v>
      </c>
      <c r="J4866" s="26" t="str">
        <f>IF(OR(E4866="",E4866="!!!",F4866="NEW"),"",COUNTBLANK(OFFSET(A$1,,,SUMPRODUCT(MAX(ROW(E$2:E4866)*(E4866=E$2:E4866)))))-COUNTBLANK(OFFSET(A$1,,,SUMPRODUCT(MAX(ROW(E$1:E4865)*(E2=E$1:E4865))))))</f>
        <v> </v>
      </c>
      <c r="K4866" s="26" t="str">
        <f>IF(OR(E4866="",E4866="!!!",F4866="NEW"),"",INDEX(J$1:J4865,SUMPRODUCT(MAX(ROW(E$1:E4865)*(E4866=E$1:E4865)))))</f>
        <v> </v>
      </c>
      <c r="L4866" s="27"/>
    </row>
    <row r="4867" spans="1:12">
      <c r="A4867" s="20" t="s">
        <v>1070</v>
      </c>
      <c r="E4867" s="22">
        <f>IF(D4867="?OLD","!!!","")</f>
        <v/>
      </c>
      <c r="F4867" s="23" t="str">
        <f>IF(OR(E4867="",E4867="!!!"),"",IF(NOT(ISNA(VLOOKUP(E4867,E$1:E4866,1,FALSE()))),"OLD",IF(AND(E4867&lt;&gt;"",E4867&lt;&gt;"!!!"),"NEW","")))</f>
        <v> </v>
      </c>
      <c r="G4867" s="24" t="str">
        <f>IF(OR(E4867="",E4867="!!!"),"",IF(OR(J4867=0,AND(J4867=1,K4867=1),AND(J4867=1,I4867="SBJ"),AND(J4867=1,I4867=0)),"?IN_FOCUS",IF(J4867&lt;=2,"?ACTIVATED",IF(J4867&lt;&gt;"","?FAMILIAR",IF(F4867="NEW",IF(ISNA(VLOOKUP(E4867,#REF!,1,FALSE())),"?TYPE_IDENTIFIABLE","?REFERENTIAL"),"_")))))</f>
        <v> </v>
      </c>
      <c r="H4867" s="25" t="str">
        <f>IF(J4867&lt;&gt;1,"",IF(I4867="SBJ","CB","?"))</f>
        <v> </v>
      </c>
      <c r="I4867" s="26" t="str">
        <f>IF(OR(E4867="",E4867="!!!",F4867="NEW"),"",INDEX(B4866:B$2,-1+SUMPRODUCT(MAX(ROW(E4866:E$2)*(E4867=E4866:E$2)))))</f>
        <v> </v>
      </c>
      <c r="J4867" s="26" t="str">
        <f>IF(OR(E4867="",E4867="!!!",F4867="NEW"),"",COUNTBLANK(OFFSET(A$1,,,SUMPRODUCT(MAX(ROW(E$2:E4867)*(E4867=E$2:E4867)))))-COUNTBLANK(OFFSET(A$1,,,SUMPRODUCT(MAX(ROW(E$1:E4866)*(E2=E$1:E4866))))))</f>
        <v> </v>
      </c>
      <c r="K4867" s="26" t="str">
        <f>IF(OR(E4867="",E4867="!!!",F4867="NEW"),"",INDEX(J$1:J4866,SUMPRODUCT(MAX(ROW(E$1:E4866)*(E4867=E$1:E4866)))))</f>
        <v> </v>
      </c>
      <c r="L4867" s="27"/>
    </row>
    <row r="4868" spans="1:12">
      <c r="A4868" s="20" t="s">
        <v>607</v>
      </c>
      <c r="E4868" s="22">
        <f>IF(D4868="?OLD","!!!","")</f>
        <v/>
      </c>
      <c r="F4868" s="23" t="str">
        <f>IF(OR(E4868="",E4868="!!!"),"",IF(NOT(ISNA(VLOOKUP(E4868,E$1:E4867,1,FALSE()))),"OLD",IF(AND(E4868&lt;&gt;"",E4868&lt;&gt;"!!!"),"NEW","")))</f>
        <v> </v>
      </c>
      <c r="G4868" s="24" t="str">
        <f>IF(OR(E4868="",E4868="!!!"),"",IF(OR(J4868=0,AND(J4868=1,K4868=1),AND(J4868=1,I4868="SBJ"),AND(J4868=1,I4868=0)),"?IN_FOCUS",IF(J4868&lt;=2,"?ACTIVATED",IF(J4868&lt;&gt;"","?FAMILIAR",IF(F4868="NEW",IF(ISNA(VLOOKUP(E4868,#REF!,1,FALSE())),"?TYPE_IDENTIFIABLE","?REFERENTIAL"),"_")))))</f>
        <v> </v>
      </c>
      <c r="H4868" s="25" t="str">
        <f>IF(J4868&lt;&gt;1,"",IF(I4868="SBJ","CB","?"))</f>
        <v> </v>
      </c>
      <c r="I4868" s="26" t="str">
        <f>IF(OR(E4868="",E4868="!!!",F4868="NEW"),"",INDEX(B4867:B$2,-1+SUMPRODUCT(MAX(ROW(E4867:E$2)*(E4868=E4867:E$2)))))</f>
        <v> </v>
      </c>
      <c r="J4868" s="26" t="str">
        <f>IF(OR(E4868="",E4868="!!!",F4868="NEW"),"",COUNTBLANK(OFFSET(A$1,,,SUMPRODUCT(MAX(ROW(E$2:E4868)*(E4868=E$2:E4868)))))-COUNTBLANK(OFFSET(A$1,,,SUMPRODUCT(MAX(ROW(E$1:E4867)*(E2=E$1:E4867))))))</f>
        <v> </v>
      </c>
      <c r="K4868" s="26" t="str">
        <f>IF(OR(E4868="",E4868="!!!",F4868="NEW"),"",INDEX(J$1:J4867,SUMPRODUCT(MAX(ROW(E$1:E4867)*(E4868=E$1:E4867)))))</f>
        <v> </v>
      </c>
      <c r="L4868" s="27"/>
    </row>
    <row r="4869" spans="1:12">
      <c r="A4869" s="20" t="s">
        <v>1176</v>
      </c>
      <c r="E4869" s="22">
        <f>IF(D4869="?OLD","!!!","")</f>
        <v/>
      </c>
      <c r="F4869" s="23" t="str">
        <f>IF(OR(E4869="",E4869="!!!"),"",IF(NOT(ISNA(VLOOKUP(E4869,E$1:E4868,1,FALSE()))),"OLD",IF(AND(E4869&lt;&gt;"",E4869&lt;&gt;"!!!"),"NEW","")))</f>
        <v> </v>
      </c>
      <c r="G4869" s="24" t="str">
        <f>IF(OR(E4869="",E4869="!!!"),"",IF(OR(J4869=0,AND(J4869=1,K4869=1),AND(J4869=1,I4869="SBJ"),AND(J4869=1,I4869=0)),"?IN_FOCUS",IF(J4869&lt;=2,"?ACTIVATED",IF(J4869&lt;&gt;"","?FAMILIAR",IF(F4869="NEW",IF(ISNA(VLOOKUP(E4869,#REF!,1,FALSE())),"?TYPE_IDENTIFIABLE","?REFERENTIAL"),"_")))))</f>
        <v> </v>
      </c>
      <c r="H4869" s="25" t="str">
        <f>IF(J4869&lt;&gt;1,"",IF(I4869="SBJ","CB","?"))</f>
        <v> </v>
      </c>
      <c r="I4869" s="26" t="str">
        <f>IF(OR(E4869="",E4869="!!!",F4869="NEW"),"",INDEX(B4868:B$2,-1+SUMPRODUCT(MAX(ROW(E4868:E$2)*(E4869=E4868:E$2)))))</f>
        <v> </v>
      </c>
      <c r="J4869" s="26" t="str">
        <f>IF(OR(E4869="",E4869="!!!",F4869="NEW"),"",COUNTBLANK(OFFSET(A$1,,,SUMPRODUCT(MAX(ROW(E$2:E4869)*(E4869=E$2:E4869)))))-COUNTBLANK(OFFSET(A$1,,,SUMPRODUCT(MAX(ROW(E$1:E4868)*(E2=E$1:E4868))))))</f>
        <v> </v>
      </c>
      <c r="K4869" s="26" t="str">
        <f>IF(OR(E4869="",E4869="!!!",F4869="NEW"),"",INDEX(J$1:J4868,SUMPRODUCT(MAX(ROW(E$1:E4868)*(E4869=E$1:E4868)))))</f>
        <v> </v>
      </c>
      <c r="L4869" s="27"/>
    </row>
    <row r="4870" spans="1:12">
      <c r="A4870" s="20" t="s">
        <v>1083</v>
      </c>
      <c r="B4870" s="21" t="s">
        <v>1058</v>
      </c>
      <c r="C4870" s="21" t="s">
        <v>1076</v>
      </c>
      <c r="D4870" s="21" t="s">
        <v>1060</v>
      </c>
      <c r="E4870" s="22">
        <f>IF(D4870="?OLD","!!!","")</f>
        <v/>
      </c>
      <c r="F4870" s="23" t="str">
        <f>IF(OR(E4870="",E4870="!!!"),"",IF(NOT(ISNA(VLOOKUP(E4870,E$1:E4869,1,FALSE()))),"OLD",IF(AND(E4870&lt;&gt;"",E4870&lt;&gt;"!!!"),"NEW","")))</f>
        <v> </v>
      </c>
      <c r="G4870" s="24" t="str">
        <f>IF(OR(E4870="",E4870="!!!"),"",IF(OR(J4870=0,AND(J4870=1,K4870=1),AND(J4870=1,I4870="SBJ"),AND(J4870=1,I4870=0)),"?IN_FOCUS",IF(J4870&lt;=2,"?ACTIVATED",IF(J4870&lt;&gt;"","?FAMILIAR",IF(F4870="NEW",IF(ISNA(VLOOKUP(E4870,#REF!,1,FALSE())),"?TYPE_IDENTIFIABLE","?REFERENTIAL"),"_")))))</f>
        <v> </v>
      </c>
      <c r="H4870" s="25" t="str">
        <f>IF(J4870&lt;&gt;1,"",IF(I4870="SBJ","CB","?"))</f>
        <v> </v>
      </c>
      <c r="I4870" s="26" t="str">
        <f>IF(OR(E4870="",E4870="!!!",F4870="NEW"),"",INDEX(B4869:B$2,-1+SUMPRODUCT(MAX(ROW(E4869:E$2)*(E4870=E4869:E$2)))))</f>
        <v> </v>
      </c>
      <c r="J4870" s="26" t="str">
        <f>IF(OR(E4870="",E4870="!!!",F4870="NEW"),"",COUNTBLANK(OFFSET(A$1,,,SUMPRODUCT(MAX(ROW(E$2:E4870)*(E4870=E$2:E4870)))))-COUNTBLANK(OFFSET(A$1,,,SUMPRODUCT(MAX(ROW(E$1:E4869)*(E2=E$1:E4869))))))</f>
        <v> </v>
      </c>
      <c r="K4870" s="26" t="str">
        <f>IF(OR(E4870="",E4870="!!!",F4870="NEW"),"",INDEX(J$1:J4869,SUMPRODUCT(MAX(ROW(E$1:E4869)*(E4870=E$1:E4869)))))</f>
        <v> </v>
      </c>
      <c r="L4870" s="27"/>
    </row>
    <row r="4871" spans="1:12">
      <c r="A4871" s="20" t="s">
        <v>923</v>
      </c>
      <c r="E4871" s="22">
        <f>IF(D4871="?OLD","!!!","")</f>
        <v/>
      </c>
      <c r="F4871" s="23" t="str">
        <f>IF(OR(E4871="",E4871="!!!"),"",IF(NOT(ISNA(VLOOKUP(E4871,E$1:E4870,1,FALSE()))),"OLD",IF(AND(E4871&lt;&gt;"",E4871&lt;&gt;"!!!"),"NEW","")))</f>
        <v> </v>
      </c>
      <c r="G4871" s="24" t="str">
        <f>IF(OR(E4871="",E4871="!!!"),"",IF(OR(J4871=0,AND(J4871=1,K4871=1),AND(J4871=1,I4871="SBJ"),AND(J4871=1,I4871=0)),"?IN_FOCUS",IF(J4871&lt;=2,"?ACTIVATED",IF(J4871&lt;&gt;"","?FAMILIAR",IF(F4871="NEW",IF(ISNA(VLOOKUP(E4871,#REF!,1,FALSE())),"?TYPE_IDENTIFIABLE","?REFERENTIAL"),"_")))))</f>
        <v> </v>
      </c>
      <c r="H4871" s="25" t="str">
        <f>IF(J4871&lt;&gt;1,"",IF(I4871="SBJ","CB","?"))</f>
        <v> </v>
      </c>
      <c r="I4871" s="26" t="str">
        <f>IF(OR(E4871="",E4871="!!!",F4871="NEW"),"",INDEX(B4870:B$2,-1+SUMPRODUCT(MAX(ROW(E4870:E$2)*(E4871=E4870:E$2)))))</f>
        <v> </v>
      </c>
      <c r="J4871" s="26" t="str">
        <f>IF(OR(E4871="",E4871="!!!",F4871="NEW"),"",COUNTBLANK(OFFSET(A$1,,,SUMPRODUCT(MAX(ROW(E$2:E4871)*(E4871=E$2:E4871)))))-COUNTBLANK(OFFSET(A$1,,,SUMPRODUCT(MAX(ROW(E$1:E4870)*(E2=E$1:E4870))))))</f>
        <v> </v>
      </c>
      <c r="K4871" s="26" t="str">
        <f>IF(OR(E4871="",E4871="!!!",F4871="NEW"),"",INDEX(J$1:J4870,SUMPRODUCT(MAX(ROW(E$1:E4870)*(E4871=E$1:E4870)))))</f>
        <v> </v>
      </c>
      <c r="L4871" s="27"/>
    </row>
    <row r="4872" spans="1:12">
      <c r="A4872" s="20"/>
    </row>
    <row r="4873" spans="1:12">
      <c r="A4873" s="20" t="s">
        <v>1276</v>
      </c>
      <c r="E4873" s="22">
        <f>IF(D4873="?OLD","!!!","")</f>
        <v/>
      </c>
      <c r="F4873" s="23" t="str">
        <f>IF(OR(E4873="",E4873="!!!"),"",IF(NOT(ISNA(VLOOKUP(E4873,E$1:E4872,1,FALSE()))),"OLD",IF(AND(E4873&lt;&gt;"",E4873&lt;&gt;"!!!"),"NEW","")))</f>
        <v> </v>
      </c>
      <c r="G4873" s="24" t="str">
        <f>IF(OR(E4873="",E4873="!!!"),"",IF(OR(J4873=0,AND(J4873=1,K4873=1),AND(J4873=1,I4873="SBJ"),AND(J4873=1,I4873=0)),"?IN_FOCUS",IF(J4873&lt;=2,"?ACTIVATED",IF(J4873&lt;&gt;"","?FAMILIAR",IF(F4873="NEW",IF(ISNA(VLOOKUP(E4873,#REF!,1,FALSE())),"?TYPE_IDENTIFIABLE","?REFERENTIAL"),"_")))))</f>
        <v> </v>
      </c>
      <c r="H4873" s="25" t="str">
        <f>IF(J4873&lt;&gt;1,"",IF(I4873="SBJ","CB","?"))</f>
        <v> </v>
      </c>
      <c r="I4873" s="26" t="str">
        <f>IF(OR(E4873="",E4873="!!!",F4873="NEW"),"",INDEX(B4872:B$2,-1+SUMPRODUCT(MAX(ROW(E4872:E$2)*(E4873=E4872:E$2)))))</f>
        <v> </v>
      </c>
      <c r="J4873" s="26" t="str">
        <f>IF(OR(E4873="",E4873="!!!",F4873="NEW"),"",COUNTBLANK(OFFSET(A$1,,,SUMPRODUCT(MAX(ROW(E$2:E4873)*(E4873=E$2:E4873)))))-COUNTBLANK(OFFSET(A$1,,,SUMPRODUCT(MAX(ROW(E$1:E4872)*(E2=E$1:E4872))))))</f>
        <v> </v>
      </c>
      <c r="K4873" s="26" t="str">
        <f>IF(OR(E4873="",E4873="!!!",F4873="NEW"),"",INDEX(J$1:J4872,SUMPRODUCT(MAX(ROW(E$1:E4872)*(E4873=E$1:E4872)))))</f>
        <v> </v>
      </c>
      <c r="L4873" s="27"/>
    </row>
    <row r="4874" spans="1:12">
      <c r="A4874" s="20" t="s">
        <v>2431</v>
      </c>
    </row>
    <row r="4875" spans="1:12">
      <c r="A4875" s="20" t="s">
        <v>607</v>
      </c>
      <c r="E4875" s="22">
        <f>IF(D4875="?OLD","!!!","")</f>
        <v/>
      </c>
      <c r="F4875" s="23" t="str">
        <f>IF(OR(E4875="",E4875="!!!"),"",IF(NOT(ISNA(VLOOKUP(E4875,E$1:E4874,1,FALSE()))),"OLD",IF(AND(E4875&lt;&gt;"",E4875&lt;&gt;"!!!"),"NEW","")))</f>
        <v> </v>
      </c>
      <c r="G4875" s="24" t="str">
        <f>IF(OR(E4875="",E4875="!!!"),"",IF(OR(J4875=0,AND(J4875=1,K4875=1),AND(J4875=1,I4875="SBJ"),AND(J4875=1,I4875=0)),"?IN_FOCUS",IF(J4875&lt;=2,"?ACTIVATED",IF(J4875&lt;&gt;"","?FAMILIAR",IF(F4875="NEW",IF(ISNA(VLOOKUP(E4875,#REF!,1,FALSE())),"?TYPE_IDENTIFIABLE","?REFERENTIAL"),"_")))))</f>
        <v> </v>
      </c>
      <c r="H4875" s="25" t="str">
        <f>IF(J4875&lt;&gt;1,"",IF(I4875="SBJ","CB","?"))</f>
        <v> </v>
      </c>
      <c r="I4875" s="26" t="str">
        <f>IF(OR(E4875="",E4875="!!!",F4875="NEW"),"",INDEX(B4874:B$2,-1+SUMPRODUCT(MAX(ROW(E4874:E$2)*(E4875=E4874:E$2)))))</f>
        <v> </v>
      </c>
      <c r="J4875" s="26" t="str">
        <f>IF(OR(E4875="",E4875="!!!",F4875="NEW"),"",COUNTBLANK(OFFSET(A$1,,,SUMPRODUCT(MAX(ROW(E$2:E4875)*(E4875=E$2:E4875)))))-COUNTBLANK(OFFSET(A$1,,,SUMPRODUCT(MAX(ROW(E$1:E4874)*(E2=E$1:E4874))))))</f>
        <v> </v>
      </c>
      <c r="K4875" s="26" t="str">
        <f>IF(OR(E4875="",E4875="!!!",F4875="NEW"),"",INDEX(J$1:J4874,SUMPRODUCT(MAX(ROW(E$1:E4874)*(E4875=E$1:E4874)))))</f>
        <v> </v>
      </c>
      <c r="L4875" s="27"/>
    </row>
    <row r="4876" spans="1:12">
      <c r="A4876" s="20" t="s">
        <v>1240</v>
      </c>
      <c r="E4876" s="22">
        <f>IF(D4876="?OLD","!!!","")</f>
        <v/>
      </c>
      <c r="F4876" s="23" t="str">
        <f>IF(OR(E4876="",E4876="!!!"),"",IF(NOT(ISNA(VLOOKUP(E4876,E$1:E4875,1,FALSE()))),"OLD",IF(AND(E4876&lt;&gt;"",E4876&lt;&gt;"!!!"),"NEW","")))</f>
        <v> </v>
      </c>
      <c r="G4876" s="24" t="str">
        <f>IF(OR(E4876="",E4876="!!!"),"",IF(OR(J4876=0,AND(J4876=1,K4876=1),AND(J4876=1,I4876="SBJ"),AND(J4876=1,I4876=0)),"?IN_FOCUS",IF(J4876&lt;=2,"?ACTIVATED",IF(J4876&lt;&gt;"","?FAMILIAR",IF(F4876="NEW",IF(ISNA(VLOOKUP(E4876,#REF!,1,FALSE())),"?TYPE_IDENTIFIABLE","?REFERENTIAL"),"_")))))</f>
        <v> </v>
      </c>
      <c r="H4876" s="25" t="str">
        <f>IF(J4876&lt;&gt;1,"",IF(I4876="SBJ","CB","?"))</f>
        <v> </v>
      </c>
      <c r="I4876" s="26" t="str">
        <f>IF(OR(E4876="",E4876="!!!",F4876="NEW"),"",INDEX(B4875:B$2,-1+SUMPRODUCT(MAX(ROW(E4875:E$2)*(E4876=E4875:E$2)))))</f>
        <v> </v>
      </c>
      <c r="J4876" s="26" t="str">
        <f>IF(OR(E4876="",E4876="!!!",F4876="NEW"),"",COUNTBLANK(OFFSET(A$1,,,SUMPRODUCT(MAX(ROW(E$2:E4876)*(E4876=E$2:E4876)))))-COUNTBLANK(OFFSET(A$1,,,SUMPRODUCT(MAX(ROW(E$1:E4875)*(E2=E$1:E4875))))))</f>
        <v> </v>
      </c>
      <c r="K4876" s="26" t="str">
        <f>IF(OR(E4876="",E4876="!!!",F4876="NEW"),"",INDEX(J$1:J4875,SUMPRODUCT(MAX(ROW(E$1:E4875)*(E4876=E$1:E4875)))))</f>
        <v> </v>
      </c>
      <c r="L4876" s="27"/>
    </row>
    <row r="4877" spans="1:12">
      <c r="A4877" s="20" t="s">
        <v>1340</v>
      </c>
      <c r="E4877" s="22">
        <f>IF(D4877="?OLD","!!!","")</f>
        <v/>
      </c>
      <c r="F4877" s="23" t="str">
        <f>IF(OR(E4877="",E4877="!!!"),"",IF(NOT(ISNA(VLOOKUP(E4877,E$1:E4876,1,FALSE()))),"OLD",IF(AND(E4877&lt;&gt;"",E4877&lt;&gt;"!!!"),"NEW","")))</f>
        <v> </v>
      </c>
      <c r="G4877" s="24" t="str">
        <f>IF(OR(E4877="",E4877="!!!"),"",IF(OR(J4877=0,AND(J4877=1,K4877=1),AND(J4877=1,I4877="SBJ"),AND(J4877=1,I4877=0)),"?IN_FOCUS",IF(J4877&lt;=2,"?ACTIVATED",IF(J4877&lt;&gt;"","?FAMILIAR",IF(F4877="NEW",IF(ISNA(VLOOKUP(E4877,#REF!,1,FALSE())),"?TYPE_IDENTIFIABLE","?REFERENTIAL"),"_")))))</f>
        <v> </v>
      </c>
      <c r="H4877" s="25" t="str">
        <f>IF(J4877&lt;&gt;1,"",IF(I4877="SBJ","CB","?"))</f>
        <v> </v>
      </c>
      <c r="I4877" s="26" t="str">
        <f>IF(OR(E4877="",E4877="!!!",F4877="NEW"),"",INDEX(B4876:B$2,-1+SUMPRODUCT(MAX(ROW(E4876:E$2)*(E4877=E4876:E$2)))))</f>
        <v> </v>
      </c>
      <c r="J4877" s="26" t="str">
        <f>IF(OR(E4877="",E4877="!!!",F4877="NEW"),"",COUNTBLANK(OFFSET(A$1,,,SUMPRODUCT(MAX(ROW(E$2:E4877)*(E4877=E$2:E4877)))))-COUNTBLANK(OFFSET(A$1,,,SUMPRODUCT(MAX(ROW(E$1:E4876)*(E2=E$1:E4876))))))</f>
        <v> </v>
      </c>
      <c r="K4877" s="26" t="str">
        <f>IF(OR(E4877="",E4877="!!!",F4877="NEW"),"",INDEX(J$1:J4876,SUMPRODUCT(MAX(ROW(E$1:E4876)*(E4877=E$1:E4876)))))</f>
        <v> </v>
      </c>
      <c r="L4877" s="27"/>
    </row>
    <row r="4878" spans="1:12">
      <c r="A4878" s="20" t="s">
        <v>1172</v>
      </c>
      <c r="B4878" s="21" t="s">
        <v>1064</v>
      </c>
      <c r="C4878" s="21" t="s">
        <v>1092</v>
      </c>
      <c r="D4878" s="21" t="s">
        <v>1060</v>
      </c>
      <c r="E4878" s="22">
        <f>IF(D4878="?OLD","!!!","")</f>
        <v/>
      </c>
      <c r="F4878" s="23" t="str">
        <f>IF(OR(E4878="",E4878="!!!"),"",IF(NOT(ISNA(VLOOKUP(E4878,E$1:E4877,1,FALSE()))),"OLD",IF(AND(E4878&lt;&gt;"",E4878&lt;&gt;"!!!"),"NEW","")))</f>
        <v> </v>
      </c>
      <c r="G4878" s="24" t="str">
        <f>IF(OR(E4878="",E4878="!!!"),"",IF(OR(J4878=0,AND(J4878=1,K4878=1),AND(J4878=1,I4878="SBJ"),AND(J4878=1,I4878=0)),"?IN_FOCUS",IF(J4878&lt;=2,"?ACTIVATED",IF(J4878&lt;&gt;"","?FAMILIAR",IF(F4878="NEW",IF(ISNA(VLOOKUP(E4878,#REF!,1,FALSE())),"?TYPE_IDENTIFIABLE","?REFERENTIAL"),"_")))))</f>
        <v> </v>
      </c>
      <c r="H4878" s="25" t="str">
        <f>IF(J4878&lt;&gt;1,"",IF(I4878="SBJ","CB","?"))</f>
        <v> </v>
      </c>
      <c r="I4878" s="26" t="str">
        <f>IF(OR(E4878="",E4878="!!!",F4878="NEW"),"",INDEX(B4877:B$2,-1+SUMPRODUCT(MAX(ROW(E4877:E$2)*(E4878=E4877:E$2)))))</f>
        <v> </v>
      </c>
      <c r="J4878" s="26" t="str">
        <f>IF(OR(E4878="",E4878="!!!",F4878="NEW"),"",COUNTBLANK(OFFSET(A$1,,,SUMPRODUCT(MAX(ROW(E$2:E4878)*(E4878=E$2:E4878)))))-COUNTBLANK(OFFSET(A$1,,,SUMPRODUCT(MAX(ROW(E$1:E4877)*(E2=E$1:E4877))))))</f>
        <v> </v>
      </c>
      <c r="K4878" s="26" t="str">
        <f>IF(OR(E4878="",E4878="!!!",F4878="NEW"),"",INDEX(J$1:J4877,SUMPRODUCT(MAX(ROW(E$1:E4877)*(E4878=E$1:E4877)))))</f>
        <v> </v>
      </c>
      <c r="L4878" s="27"/>
    </row>
    <row r="4879" spans="1:12">
      <c r="A4879" s="20" t="s">
        <v>1302</v>
      </c>
      <c r="B4879" s="21" t="s">
        <v>1068</v>
      </c>
      <c r="C4879" s="21" t="s">
        <v>1059</v>
      </c>
      <c r="D4879" s="21" t="s">
        <v>1060</v>
      </c>
      <c r="E4879" s="22">
        <f>IF(D4879="?OLD","!!!","")</f>
        <v/>
      </c>
      <c r="F4879" s="23" t="str">
        <f>IF(OR(E4879="",E4879="!!!"),"",IF(NOT(ISNA(VLOOKUP(E4879,E$1:E4878,1,FALSE()))),"OLD",IF(AND(E4879&lt;&gt;"",E4879&lt;&gt;"!!!"),"NEW","")))</f>
        <v> </v>
      </c>
      <c r="G4879" s="24" t="str">
        <f>IF(OR(E4879="",E4879="!!!"),"",IF(OR(J4879=0,AND(J4879=1,K4879=1),AND(J4879=1,I4879="SBJ"),AND(J4879=1,I4879=0)),"?IN_FOCUS",IF(J4879&lt;=2,"?ACTIVATED",IF(J4879&lt;&gt;"","?FAMILIAR",IF(F4879="NEW",IF(ISNA(VLOOKUP(E4879,#REF!,1,FALSE())),"?TYPE_IDENTIFIABLE","?REFERENTIAL"),"_")))))</f>
        <v> </v>
      </c>
      <c r="H4879" s="25" t="str">
        <f>IF(J4879&lt;&gt;1,"",IF(I4879="SBJ","CB","?"))</f>
        <v> </v>
      </c>
      <c r="I4879" s="26" t="str">
        <f>IF(OR(E4879="",E4879="!!!",F4879="NEW"),"",INDEX(B4878:B$2,-1+SUMPRODUCT(MAX(ROW(E4878:E$2)*(E4879=E4878:E$2)))))</f>
        <v> </v>
      </c>
      <c r="J4879" s="26" t="str">
        <f>IF(OR(E4879="",E4879="!!!",F4879="NEW"),"",COUNTBLANK(OFFSET(A$1,,,SUMPRODUCT(MAX(ROW(E$2:E4879)*(E4879=E$2:E4879)))))-COUNTBLANK(OFFSET(A$1,,,SUMPRODUCT(MAX(ROW(E$1:E4878)*(E2=E$1:E4878))))))</f>
        <v> </v>
      </c>
      <c r="K4879" s="26" t="str">
        <f>IF(OR(E4879="",E4879="!!!",F4879="NEW"),"",INDEX(J$1:J4878,SUMPRODUCT(MAX(ROW(E$1:E4878)*(E4879=E$1:E4878)))))</f>
        <v> </v>
      </c>
      <c r="L4879" s="27"/>
    </row>
    <row r="4880" spans="1:12">
      <c r="A4880" s="20" t="s">
        <v>499</v>
      </c>
      <c r="B4880" s="21" t="s">
        <v>1064</v>
      </c>
      <c r="C4880" s="21" t="s">
        <v>1065</v>
      </c>
      <c r="D4880" s="21" t="s">
        <v>1060</v>
      </c>
      <c r="E4880" s="22">
        <f>IF(D4880="?OLD","!!!","")</f>
        <v/>
      </c>
      <c r="F4880" s="23" t="str">
        <f>IF(OR(E4880="",E4880="!!!"),"",IF(NOT(ISNA(VLOOKUP(E4880,E$1:E4879,1,FALSE()))),"OLD",IF(AND(E4880&lt;&gt;"",E4880&lt;&gt;"!!!"),"NEW","")))</f>
        <v> </v>
      </c>
      <c r="G4880" s="24" t="str">
        <f>IF(OR(E4880="",E4880="!!!"),"",IF(OR(J4880=0,AND(J4880=1,K4880=1),AND(J4880=1,I4880="SBJ"),AND(J4880=1,I4880=0)),"?IN_FOCUS",IF(J4880&lt;=2,"?ACTIVATED",IF(J4880&lt;&gt;"","?FAMILIAR",IF(F4880="NEW",IF(ISNA(VLOOKUP(E4880,#REF!,1,FALSE())),"?TYPE_IDENTIFIABLE","?REFERENTIAL"),"_")))))</f>
        <v> </v>
      </c>
      <c r="H4880" s="25" t="str">
        <f>IF(J4880&lt;&gt;1,"",IF(I4880="SBJ","CB","?"))</f>
        <v> </v>
      </c>
      <c r="I4880" s="26" t="str">
        <f>IF(OR(E4880="",E4880="!!!",F4880="NEW"),"",INDEX(B4879:B$2,-1+SUMPRODUCT(MAX(ROW(E4879:E$2)*(E4880=E4879:E$2)))))</f>
        <v> </v>
      </c>
      <c r="J4880" s="26" t="str">
        <f>IF(OR(E4880="",E4880="!!!",F4880="NEW"),"",COUNTBLANK(OFFSET(A$1,,,SUMPRODUCT(MAX(ROW(E$2:E4880)*(E4880=E$2:E4880)))))-COUNTBLANK(OFFSET(A$1,,,SUMPRODUCT(MAX(ROW(E$1:E4879)*(E2=E$1:E4879))))))</f>
        <v> </v>
      </c>
      <c r="K4880" s="26" t="str">
        <f>IF(OR(E4880="",E4880="!!!",F4880="NEW"),"",INDEX(J$1:J4879,SUMPRODUCT(MAX(ROW(E$1:E4879)*(E4880=E$1:E4879)))))</f>
        <v> </v>
      </c>
      <c r="L4880" s="27"/>
    </row>
    <row r="4881" spans="1:12">
      <c r="A4881" s="20" t="s">
        <v>1442</v>
      </c>
      <c r="E4881" s="22">
        <f>IF(D4881="?OLD","!!!","")</f>
        <v/>
      </c>
      <c r="F4881" s="23" t="str">
        <f>IF(OR(E4881="",E4881="!!!"),"",IF(NOT(ISNA(VLOOKUP(E4881,E$1:E4880,1,FALSE()))),"OLD",IF(AND(E4881&lt;&gt;"",E4881&lt;&gt;"!!!"),"NEW","")))</f>
        <v> </v>
      </c>
      <c r="G4881" s="24" t="str">
        <f>IF(OR(E4881="",E4881="!!!"),"",IF(OR(J4881=0,AND(J4881=1,K4881=1),AND(J4881=1,I4881="SBJ"),AND(J4881=1,I4881=0)),"?IN_FOCUS",IF(J4881&lt;=2,"?ACTIVATED",IF(J4881&lt;&gt;"","?FAMILIAR",IF(F4881="NEW",IF(ISNA(VLOOKUP(E4881,#REF!,1,FALSE())),"?TYPE_IDENTIFIABLE","?REFERENTIAL"),"_")))))</f>
        <v> </v>
      </c>
      <c r="H4881" s="25" t="str">
        <f>IF(J4881&lt;&gt;1,"",IF(I4881="SBJ","CB","?"))</f>
        <v> </v>
      </c>
      <c r="I4881" s="26" t="str">
        <f>IF(OR(E4881="",E4881="!!!",F4881="NEW"),"",INDEX(B4880:B$2,-1+SUMPRODUCT(MAX(ROW(E4880:E$2)*(E4881=E4880:E$2)))))</f>
        <v> </v>
      </c>
      <c r="J4881" s="26" t="str">
        <f>IF(OR(E4881="",E4881="!!!",F4881="NEW"),"",COUNTBLANK(OFFSET(A$1,,,SUMPRODUCT(MAX(ROW(E$2:E4881)*(E4881=E$2:E4881)))))-COUNTBLANK(OFFSET(A$1,,,SUMPRODUCT(MAX(ROW(E$1:E4880)*(E2=E$1:E4880))))))</f>
        <v> </v>
      </c>
      <c r="K4881" s="26" t="str">
        <f>IF(OR(E4881="",E4881="!!!",F4881="NEW"),"",INDEX(J$1:J4880,SUMPRODUCT(MAX(ROW(E$1:E4880)*(E4881=E$1:E4880)))))</f>
        <v> </v>
      </c>
      <c r="L4881" s="27"/>
    </row>
    <row r="4882" spans="1:12">
      <c r="A4882" s="20" t="s">
        <v>1066</v>
      </c>
      <c r="E4882" s="22">
        <f>IF(D4882="?OLD","!!!","")</f>
        <v/>
      </c>
      <c r="F4882" s="23" t="str">
        <f>IF(OR(E4882="",E4882="!!!"),"",IF(NOT(ISNA(VLOOKUP(E4882,E$1:E4881,1,FALSE()))),"OLD",IF(AND(E4882&lt;&gt;"",E4882&lt;&gt;"!!!"),"NEW","")))</f>
        <v> </v>
      </c>
      <c r="G4882" s="24" t="str">
        <f>IF(OR(E4882="",E4882="!!!"),"",IF(OR(J4882=0,AND(J4882=1,K4882=1),AND(J4882=1,I4882="SBJ"),AND(J4882=1,I4882=0)),"?IN_FOCUS",IF(J4882&lt;=2,"?ACTIVATED",IF(J4882&lt;&gt;"","?FAMILIAR",IF(F4882="NEW",IF(ISNA(VLOOKUP(E4882,#REF!,1,FALSE())),"?TYPE_IDENTIFIABLE","?REFERENTIAL"),"_")))))</f>
        <v> </v>
      </c>
      <c r="H4882" s="25" t="str">
        <f>IF(J4882&lt;&gt;1,"",IF(I4882="SBJ","CB","?"))</f>
        <v> </v>
      </c>
      <c r="I4882" s="26" t="str">
        <f>IF(OR(E4882="",E4882="!!!",F4882="NEW"),"",INDEX(B4881:B$2,-1+SUMPRODUCT(MAX(ROW(E4881:E$2)*(E4882=E4881:E$2)))))</f>
        <v> </v>
      </c>
      <c r="J4882" s="26" t="str">
        <f>IF(OR(E4882="",E4882="!!!",F4882="NEW"),"",COUNTBLANK(OFFSET(A$1,,,SUMPRODUCT(MAX(ROW(E$2:E4882)*(E4882=E$2:E4882)))))-COUNTBLANK(OFFSET(A$1,,,SUMPRODUCT(MAX(ROW(E$1:E4881)*(E2=E$1:E4881))))))</f>
        <v> </v>
      </c>
      <c r="K4882" s="26" t="str">
        <f>IF(OR(E4882="",E4882="!!!",F4882="NEW"),"",INDEX(J$1:J4881,SUMPRODUCT(MAX(ROW(E$1:E4881)*(E4882=E$1:E4881)))))</f>
        <v> </v>
      </c>
      <c r="L4882" s="27"/>
    </row>
    <row r="4883" spans="1:12">
      <c r="A4883" s="20" t="s">
        <v>2432</v>
      </c>
      <c r="E4883" s="22">
        <f>IF(D4883="?OLD","!!!","")</f>
        <v/>
      </c>
      <c r="F4883" s="23" t="str">
        <f>IF(OR(E4883="",E4883="!!!"),"",IF(NOT(ISNA(VLOOKUP(E4883,E$1:E4882,1,FALSE()))),"OLD",IF(AND(E4883&lt;&gt;"",E4883&lt;&gt;"!!!"),"NEW","")))</f>
        <v> </v>
      </c>
      <c r="G4883" s="24" t="str">
        <f>IF(OR(E4883="",E4883="!!!"),"",IF(OR(J4883=0,AND(J4883=1,K4883=1),AND(J4883=1,I4883="SBJ"),AND(J4883=1,I4883=0)),"?IN_FOCUS",IF(J4883&lt;=2,"?ACTIVATED",IF(J4883&lt;&gt;"","?FAMILIAR",IF(F4883="NEW",IF(ISNA(VLOOKUP(E4883,#REF!,1,FALSE())),"?TYPE_IDENTIFIABLE","?REFERENTIAL"),"_")))))</f>
        <v> </v>
      </c>
      <c r="H4883" s="25" t="str">
        <f>IF(J4883&lt;&gt;1,"",IF(I4883="SBJ","CB","?"))</f>
        <v> </v>
      </c>
      <c r="I4883" s="26" t="str">
        <f>IF(OR(E4883="",E4883="!!!",F4883="NEW"),"",INDEX(B4882:B$2,-1+SUMPRODUCT(MAX(ROW(E4882:E$2)*(E4883=E4882:E$2)))))</f>
        <v> </v>
      </c>
      <c r="J4883" s="26" t="str">
        <f>IF(OR(E4883="",E4883="!!!",F4883="NEW"),"",COUNTBLANK(OFFSET(A$1,,,SUMPRODUCT(MAX(ROW(E$2:E4883)*(E4883=E$2:E4883)))))-COUNTBLANK(OFFSET(A$1,,,SUMPRODUCT(MAX(ROW(E$1:E4882)*(E2=E$1:E4882))))))</f>
        <v> </v>
      </c>
      <c r="K4883" s="26" t="str">
        <f>IF(OR(E4883="",E4883="!!!",F4883="NEW"),"",INDEX(J$1:J4882,SUMPRODUCT(MAX(ROW(E$1:E4882)*(E4883=E$1:E4882)))))</f>
        <v> </v>
      </c>
      <c r="L4883" s="27"/>
    </row>
    <row r="4884" spans="1:12">
      <c r="A4884" s="20" t="s">
        <v>2421</v>
      </c>
      <c r="B4884" s="21" t="s">
        <v>1058</v>
      </c>
      <c r="C4884" s="21" t="s">
        <v>1059</v>
      </c>
      <c r="D4884" s="21" t="s">
        <v>1060</v>
      </c>
      <c r="E4884" s="22">
        <f>IF(D4884="?OLD","!!!","")</f>
        <v/>
      </c>
      <c r="F4884" s="23" t="str">
        <f>IF(OR(E4884="",E4884="!!!"),"",IF(NOT(ISNA(VLOOKUP(E4884,E$1:E4883,1,FALSE()))),"OLD",IF(AND(E4884&lt;&gt;"",E4884&lt;&gt;"!!!"),"NEW","")))</f>
        <v> </v>
      </c>
      <c r="G4884" s="24" t="str">
        <f>IF(OR(E4884="",E4884="!!!"),"",IF(OR(J4884=0,AND(J4884=1,K4884=1),AND(J4884=1,I4884="SBJ"),AND(J4884=1,I4884=0)),"?IN_FOCUS",IF(J4884&lt;=2,"?ACTIVATED",IF(J4884&lt;&gt;"","?FAMILIAR",IF(F4884="NEW",IF(ISNA(VLOOKUP(E4884,#REF!,1,FALSE())),"?TYPE_IDENTIFIABLE","?REFERENTIAL"),"_")))))</f>
        <v> </v>
      </c>
      <c r="H4884" s="25" t="str">
        <f>IF(J4884&lt;&gt;1,"",IF(I4884="SBJ","CB","?"))</f>
        <v> </v>
      </c>
      <c r="I4884" s="26" t="str">
        <f>IF(OR(E4884="",E4884="!!!",F4884="NEW"),"",INDEX(B4883:B$2,-1+SUMPRODUCT(MAX(ROW(E4883:E$2)*(E4884=E4883:E$2)))))</f>
        <v> </v>
      </c>
      <c r="J4884" s="26" t="str">
        <f>IF(OR(E4884="",E4884="!!!",F4884="NEW"),"",COUNTBLANK(OFFSET(A$1,,,SUMPRODUCT(MAX(ROW(E$2:E4884)*(E4884=E$2:E4884)))))-COUNTBLANK(OFFSET(A$1,,,SUMPRODUCT(MAX(ROW(E$1:E4883)*(E2=E$1:E4883))))))</f>
        <v> </v>
      </c>
      <c r="K4884" s="26" t="str">
        <f>IF(OR(E4884="",E4884="!!!",F4884="NEW"),"",INDEX(J$1:J4883,SUMPRODUCT(MAX(ROW(E$1:E4883)*(E4884=E$1:E4883)))))</f>
        <v> </v>
      </c>
      <c r="L4884" s="27"/>
    </row>
    <row r="4885" spans="1:12">
      <c r="A4885" s="20" t="s">
        <v>923</v>
      </c>
      <c r="E4885" s="22">
        <f>IF(D4885="?OLD","!!!","")</f>
        <v/>
      </c>
      <c r="F4885" s="23" t="str">
        <f>IF(OR(E4885="",E4885="!!!"),"",IF(NOT(ISNA(VLOOKUP(E4885,E$1:E4884,1,FALSE()))),"OLD",IF(AND(E4885&lt;&gt;"",E4885&lt;&gt;"!!!"),"NEW","")))</f>
        <v> </v>
      </c>
      <c r="G4885" s="24" t="str">
        <f>IF(OR(E4885="",E4885="!!!"),"",IF(OR(J4885=0,AND(J4885=1,K4885=1),AND(J4885=1,I4885="SBJ"),AND(J4885=1,I4885=0)),"?IN_FOCUS",IF(J4885&lt;=2,"?ACTIVATED",IF(J4885&lt;&gt;"","?FAMILIAR",IF(F4885="NEW",IF(ISNA(VLOOKUP(E4885,#REF!,1,FALSE())),"?TYPE_IDENTIFIABLE","?REFERENTIAL"),"_")))))</f>
        <v> </v>
      </c>
      <c r="H4885" s="25" t="str">
        <f>IF(J4885&lt;&gt;1,"",IF(I4885="SBJ","CB","?"))</f>
        <v> </v>
      </c>
      <c r="I4885" s="26" t="str">
        <f>IF(OR(E4885="",E4885="!!!",F4885="NEW"),"",INDEX(B4884:B$2,-1+SUMPRODUCT(MAX(ROW(E4884:E$2)*(E4885=E4884:E$2)))))</f>
        <v> </v>
      </c>
      <c r="J4885" s="26" t="str">
        <f>IF(OR(E4885="",E4885="!!!",F4885="NEW"),"",COUNTBLANK(OFFSET(A$1,,,SUMPRODUCT(MAX(ROW(E$2:E4885)*(E4885=E$2:E4885)))))-COUNTBLANK(OFFSET(A$1,,,SUMPRODUCT(MAX(ROW(E$1:E4884)*(E2=E$1:E4884))))))</f>
        <v> </v>
      </c>
      <c r="K4885" s="26" t="str">
        <f>IF(OR(E4885="",E4885="!!!",F4885="NEW"),"",INDEX(J$1:J4884,SUMPRODUCT(MAX(ROW(E$1:E4884)*(E4885=E$1:E4884)))))</f>
        <v> </v>
      </c>
      <c r="L4885" s="27"/>
    </row>
    <row r="4886" spans="1:12">
      <c r="A4886" s="20" t="s">
        <v>607</v>
      </c>
      <c r="E4886" s="22">
        <f>IF(D4886="?OLD","!!!","")</f>
        <v/>
      </c>
      <c r="F4886" s="23" t="str">
        <f>IF(OR(E4886="",E4886="!!!"),"",IF(NOT(ISNA(VLOOKUP(E4886,E$1:E4885,1,FALSE()))),"OLD",IF(AND(E4886&lt;&gt;"",E4886&lt;&gt;"!!!"),"NEW","")))</f>
        <v> </v>
      </c>
      <c r="G4886" s="24" t="str">
        <f>IF(OR(E4886="",E4886="!!!"),"",IF(OR(J4886=0,AND(J4886=1,K4886=1),AND(J4886=1,I4886="SBJ"),AND(J4886=1,I4886=0)),"?IN_FOCUS",IF(J4886&lt;=2,"?ACTIVATED",IF(J4886&lt;&gt;"","?FAMILIAR",IF(F4886="NEW",IF(ISNA(VLOOKUP(E4886,#REF!,1,FALSE())),"?TYPE_IDENTIFIABLE","?REFERENTIAL"),"_")))))</f>
        <v> </v>
      </c>
      <c r="H4886" s="25" t="str">
        <f>IF(J4886&lt;&gt;1,"",IF(I4886="SBJ","CB","?"))</f>
        <v> </v>
      </c>
      <c r="I4886" s="26" t="str">
        <f>IF(OR(E4886="",E4886="!!!",F4886="NEW"),"",INDEX(B4885:B$2,-1+SUMPRODUCT(MAX(ROW(E4885:E$2)*(E4886=E4885:E$2)))))</f>
        <v> </v>
      </c>
      <c r="J4886" s="26" t="str">
        <f>IF(OR(E4886="",E4886="!!!",F4886="NEW"),"",COUNTBLANK(OFFSET(A$1,,,SUMPRODUCT(MAX(ROW(E$2:E4886)*(E4886=E$2:E4886)))))-COUNTBLANK(OFFSET(A$1,,,SUMPRODUCT(MAX(ROW(E$1:E4885)*(E2=E$1:E4885))))))</f>
        <v> </v>
      </c>
      <c r="K4886" s="26" t="str">
        <f>IF(OR(E4886="",E4886="!!!",F4886="NEW"),"",INDEX(J$1:J4885,SUMPRODUCT(MAX(ROW(E$1:E4885)*(E4886=E$1:E4885)))))</f>
        <v> </v>
      </c>
      <c r="L4886" s="27"/>
    </row>
    <row r="4887" spans="1:12">
      <c r="A4887" s="20"/>
    </row>
    <row r="4888" spans="1:12">
      <c r="A4888" s="20" t="s">
        <v>1276</v>
      </c>
      <c r="E4888" s="22">
        <f>IF(D4888="?OLD","!!!","")</f>
        <v/>
      </c>
      <c r="F4888" s="23" t="str">
        <f>IF(OR(E4888="",E4888="!!!"),"",IF(NOT(ISNA(VLOOKUP(E4888,E$1:E4887,1,FALSE()))),"OLD",IF(AND(E4888&lt;&gt;"",E4888&lt;&gt;"!!!"),"NEW","")))</f>
        <v> </v>
      </c>
      <c r="G4888" s="24" t="str">
        <f>IF(OR(E4888="",E4888="!!!"),"",IF(OR(J4888=0,AND(J4888=1,K4888=1),AND(J4888=1,I4888="SBJ"),AND(J4888=1,I4888=0)),"?IN_FOCUS",IF(J4888&lt;=2,"?ACTIVATED",IF(J4888&lt;&gt;"","?FAMILIAR",IF(F4888="NEW",IF(ISNA(VLOOKUP(E4888,#REF!,1,FALSE())),"?TYPE_IDENTIFIABLE","?REFERENTIAL"),"_")))))</f>
        <v> </v>
      </c>
      <c r="H4888" s="25" t="str">
        <f>IF(J4888&lt;&gt;1,"",IF(I4888="SBJ","CB","?"))</f>
        <v> </v>
      </c>
      <c r="I4888" s="26" t="str">
        <f>IF(OR(E4888="",E4888="!!!",F4888="NEW"),"",INDEX(B4887:B$2,-1+SUMPRODUCT(MAX(ROW(E4887:E$2)*(E4888=E4887:E$2)))))</f>
        <v> </v>
      </c>
      <c r="J4888" s="26" t="str">
        <f>IF(OR(E4888="",E4888="!!!",F4888="NEW"),"",COUNTBLANK(OFFSET(A$1,,,SUMPRODUCT(MAX(ROW(E$2:E4888)*(E4888=E$2:E4888)))))-COUNTBLANK(OFFSET(A$1,,,SUMPRODUCT(MAX(ROW(E$1:E4887)*(E2=E$1:E4887))))))</f>
        <v> </v>
      </c>
      <c r="K4888" s="26" t="str">
        <f>IF(OR(E4888="",E4888="!!!",F4888="NEW"),"",INDEX(J$1:J4887,SUMPRODUCT(MAX(ROW(E$1:E4887)*(E4888=E$1:E4887)))))</f>
        <v> </v>
      </c>
      <c r="L4888" s="27"/>
    </row>
    <row r="4889" spans="1:12">
      <c r="A4889" s="20" t="s">
        <v>2433</v>
      </c>
    </row>
    <row r="4890" spans="1:12">
      <c r="A4890" s="20" t="s">
        <v>607</v>
      </c>
      <c r="E4890" s="22">
        <f>IF(D4890="?OLD","!!!","")</f>
        <v/>
      </c>
      <c r="F4890" s="23" t="str">
        <f>IF(OR(E4890="",E4890="!!!"),"",IF(NOT(ISNA(VLOOKUP(E4890,E$1:E4889,1,FALSE()))),"OLD",IF(AND(E4890&lt;&gt;"",E4890&lt;&gt;"!!!"),"NEW","")))</f>
        <v> </v>
      </c>
      <c r="G4890" s="24" t="str">
        <f>IF(OR(E4890="",E4890="!!!"),"",IF(OR(J4890=0,AND(J4890=1,K4890=1),AND(J4890=1,I4890="SBJ"),AND(J4890=1,I4890=0)),"?IN_FOCUS",IF(J4890&lt;=2,"?ACTIVATED",IF(J4890&lt;&gt;"","?FAMILIAR",IF(F4890="NEW",IF(ISNA(VLOOKUP(E4890,#REF!,1,FALSE())),"?TYPE_IDENTIFIABLE","?REFERENTIAL"),"_")))))</f>
        <v> </v>
      </c>
      <c r="H4890" s="25" t="str">
        <f>IF(J4890&lt;&gt;1,"",IF(I4890="SBJ","CB","?"))</f>
        <v> </v>
      </c>
      <c r="I4890" s="26" t="str">
        <f>IF(OR(E4890="",E4890="!!!",F4890="NEW"),"",INDEX(B4889:B$2,-1+SUMPRODUCT(MAX(ROW(E4889:E$2)*(E4890=E4889:E$2)))))</f>
        <v> </v>
      </c>
      <c r="J4890" s="26" t="str">
        <f>IF(OR(E4890="",E4890="!!!",F4890="NEW"),"",COUNTBLANK(OFFSET(A$1,,,SUMPRODUCT(MAX(ROW(E$2:E4890)*(E4890=E$2:E4890)))))-COUNTBLANK(OFFSET(A$1,,,SUMPRODUCT(MAX(ROW(E$1:E4889)*(E2=E$1:E4889))))))</f>
        <v> </v>
      </c>
      <c r="K4890" s="26" t="str">
        <f>IF(OR(E4890="",E4890="!!!",F4890="NEW"),"",INDEX(J$1:J4889,SUMPRODUCT(MAX(ROW(E$1:E4889)*(E4890=E$1:E4889)))))</f>
        <v> </v>
      </c>
      <c r="L4890" s="27"/>
    </row>
    <row r="4891" spans="1:12">
      <c r="A4891" s="20" t="s">
        <v>2434</v>
      </c>
      <c r="E4891" s="22">
        <f>IF(D4891="?OLD","!!!","")</f>
        <v/>
      </c>
      <c r="F4891" s="23" t="str">
        <f>IF(OR(E4891="",E4891="!!!"),"",IF(NOT(ISNA(VLOOKUP(E4891,E$1:E4890,1,FALSE()))),"OLD",IF(AND(E4891&lt;&gt;"",E4891&lt;&gt;"!!!"),"NEW","")))</f>
        <v> </v>
      </c>
      <c r="G4891" s="24" t="str">
        <f>IF(OR(E4891="",E4891="!!!"),"",IF(OR(J4891=0,AND(J4891=1,K4891=1),AND(J4891=1,I4891="SBJ"),AND(J4891=1,I4891=0)),"?IN_FOCUS",IF(J4891&lt;=2,"?ACTIVATED",IF(J4891&lt;&gt;"","?FAMILIAR",IF(F4891="NEW",IF(ISNA(VLOOKUP(E4891,#REF!,1,FALSE())),"?TYPE_IDENTIFIABLE","?REFERENTIAL"),"_")))))</f>
        <v> </v>
      </c>
      <c r="H4891" s="25" t="str">
        <f>IF(J4891&lt;&gt;1,"",IF(I4891="SBJ","CB","?"))</f>
        <v> </v>
      </c>
      <c r="I4891" s="26" t="str">
        <f>IF(OR(E4891="",E4891="!!!",F4891="NEW"),"",INDEX(B4890:B$2,-1+SUMPRODUCT(MAX(ROW(E4890:E$2)*(E4891=E4890:E$2)))))</f>
        <v> </v>
      </c>
      <c r="J4891" s="26" t="str">
        <f>IF(OR(E4891="",E4891="!!!",F4891="NEW"),"",COUNTBLANK(OFFSET(A$1,,,SUMPRODUCT(MAX(ROW(E$2:E4891)*(E4891=E$2:E4891)))))-COUNTBLANK(OFFSET(A$1,,,SUMPRODUCT(MAX(ROW(E$1:E4890)*(E2=E$1:E4890))))))</f>
        <v> </v>
      </c>
      <c r="K4891" s="26" t="str">
        <f>IF(OR(E4891="",E4891="!!!",F4891="NEW"),"",INDEX(J$1:J4890,SUMPRODUCT(MAX(ROW(E$1:E4890)*(E4891=E$1:E4890)))))</f>
        <v> </v>
      </c>
      <c r="L4891" s="27"/>
    </row>
    <row r="4892" spans="1:12">
      <c r="A4892" s="20" t="s">
        <v>1502</v>
      </c>
      <c r="E4892" s="22">
        <f>IF(D4892="?OLD","!!!","")</f>
        <v/>
      </c>
      <c r="F4892" s="23" t="str">
        <f>IF(OR(E4892="",E4892="!!!"),"",IF(NOT(ISNA(VLOOKUP(E4892,E$1:E4891,1,FALSE()))),"OLD",IF(AND(E4892&lt;&gt;"",E4892&lt;&gt;"!!!"),"NEW","")))</f>
        <v> </v>
      </c>
      <c r="G4892" s="24" t="str">
        <f>IF(OR(E4892="",E4892="!!!"),"",IF(OR(J4892=0,AND(J4892=1,K4892=1),AND(J4892=1,I4892="SBJ"),AND(J4892=1,I4892=0)),"?IN_FOCUS",IF(J4892&lt;=2,"?ACTIVATED",IF(J4892&lt;&gt;"","?FAMILIAR",IF(F4892="NEW",IF(ISNA(VLOOKUP(E4892,#REF!,1,FALSE())),"?TYPE_IDENTIFIABLE","?REFERENTIAL"),"_")))))</f>
        <v> </v>
      </c>
      <c r="H4892" s="25" t="str">
        <f>IF(J4892&lt;&gt;1,"",IF(I4892="SBJ","CB","?"))</f>
        <v> </v>
      </c>
      <c r="I4892" s="26" t="str">
        <f>IF(OR(E4892="",E4892="!!!",F4892="NEW"),"",INDEX(B4891:B$2,-1+SUMPRODUCT(MAX(ROW(E4891:E$2)*(E4892=E4891:E$2)))))</f>
        <v> </v>
      </c>
      <c r="J4892" s="26" t="str">
        <f>IF(OR(E4892="",E4892="!!!",F4892="NEW"),"",COUNTBLANK(OFFSET(A$1,,,SUMPRODUCT(MAX(ROW(E$2:E4892)*(E4892=E$2:E4892)))))-COUNTBLANK(OFFSET(A$1,,,SUMPRODUCT(MAX(ROW(E$1:E4891)*(E2=E$1:E4891))))))</f>
        <v> </v>
      </c>
      <c r="K4892" s="26" t="str">
        <f>IF(OR(E4892="",E4892="!!!",F4892="NEW"),"",INDEX(J$1:J4891,SUMPRODUCT(MAX(ROW(E$1:E4891)*(E4892=E$1:E4891)))))</f>
        <v> </v>
      </c>
      <c r="L4892" s="27"/>
    </row>
    <row r="4893" spans="1:12">
      <c r="A4893" s="20" t="s">
        <v>1229</v>
      </c>
      <c r="E4893" s="22">
        <f>IF(D4893="?OLD","!!!","")</f>
        <v/>
      </c>
      <c r="F4893" s="23" t="str">
        <f>IF(OR(E4893="",E4893="!!!"),"",IF(NOT(ISNA(VLOOKUP(E4893,E$1:E4892,1,FALSE()))),"OLD",IF(AND(E4893&lt;&gt;"",E4893&lt;&gt;"!!!"),"NEW","")))</f>
        <v> </v>
      </c>
      <c r="G4893" s="24" t="str">
        <f>IF(OR(E4893="",E4893="!!!"),"",IF(OR(J4893=0,AND(J4893=1,K4893=1),AND(J4893=1,I4893="SBJ"),AND(J4893=1,I4893=0)),"?IN_FOCUS",IF(J4893&lt;=2,"?ACTIVATED",IF(J4893&lt;&gt;"","?FAMILIAR",IF(F4893="NEW",IF(ISNA(VLOOKUP(E4893,#REF!,1,FALSE())),"?TYPE_IDENTIFIABLE","?REFERENTIAL"),"_")))))</f>
        <v> </v>
      </c>
      <c r="H4893" s="25" t="str">
        <f>IF(J4893&lt;&gt;1,"",IF(I4893="SBJ","CB","?"))</f>
        <v> </v>
      </c>
      <c r="I4893" s="26" t="str">
        <f>IF(OR(E4893="",E4893="!!!",F4893="NEW"),"",INDEX(B4892:B$2,-1+SUMPRODUCT(MAX(ROW(E4892:E$2)*(E4893=E4892:E$2)))))</f>
        <v> </v>
      </c>
      <c r="J4893" s="26" t="str">
        <f>IF(OR(E4893="",E4893="!!!",F4893="NEW"),"",COUNTBLANK(OFFSET(A$1,,,SUMPRODUCT(MAX(ROW(E$2:E4893)*(E4893=E$2:E4893)))))-COUNTBLANK(OFFSET(A$1,,,SUMPRODUCT(MAX(ROW(E$1:E4892)*(E2=E$1:E4892))))))</f>
        <v> </v>
      </c>
      <c r="K4893" s="26" t="str">
        <f>IF(OR(E4893="",E4893="!!!",F4893="NEW"),"",INDEX(J$1:J4892,SUMPRODUCT(MAX(ROW(E$1:E4892)*(E4893=E$1:E4892)))))</f>
        <v> </v>
      </c>
      <c r="L4893" s="27"/>
    </row>
    <row r="4894" spans="1:12">
      <c r="A4894" s="20" t="s">
        <v>1443</v>
      </c>
      <c r="B4894" s="21" t="s">
        <v>1097</v>
      </c>
      <c r="C4894" s="21" t="s">
        <v>1065</v>
      </c>
      <c r="D4894" s="21" t="s">
        <v>1060</v>
      </c>
      <c r="E4894" s="22">
        <f>IF(D4894="?OLD","!!!","")</f>
        <v/>
      </c>
      <c r="F4894" s="23" t="str">
        <f>IF(OR(E4894="",E4894="!!!"),"",IF(NOT(ISNA(VLOOKUP(E4894,E$1:E4893,1,FALSE()))),"OLD",IF(AND(E4894&lt;&gt;"",E4894&lt;&gt;"!!!"),"NEW","")))</f>
        <v> </v>
      </c>
      <c r="G4894" s="24" t="str">
        <f>IF(OR(E4894="",E4894="!!!"),"",IF(OR(J4894=0,AND(J4894=1,K4894=1),AND(J4894=1,I4894="SBJ"),AND(J4894=1,I4894=0)),"?IN_FOCUS",IF(J4894&lt;=2,"?ACTIVATED",IF(J4894&lt;&gt;"","?FAMILIAR",IF(F4894="NEW",IF(ISNA(VLOOKUP(E4894,#REF!,1,FALSE())),"?TYPE_IDENTIFIABLE","?REFERENTIAL"),"_")))))</f>
        <v> </v>
      </c>
      <c r="H4894" s="25" t="str">
        <f>IF(J4894&lt;&gt;1,"",IF(I4894="SBJ","CB","?"))</f>
        <v> </v>
      </c>
      <c r="I4894" s="26" t="str">
        <f>IF(OR(E4894="",E4894="!!!",F4894="NEW"),"",INDEX(B4893:B$2,-1+SUMPRODUCT(MAX(ROW(E4893:E$2)*(E4894=E4893:E$2)))))</f>
        <v> </v>
      </c>
      <c r="J4894" s="26" t="str">
        <f>IF(OR(E4894="",E4894="!!!",F4894="NEW"),"",COUNTBLANK(OFFSET(A$1,,,SUMPRODUCT(MAX(ROW(E$2:E4894)*(E4894=E$2:E4894)))))-COUNTBLANK(OFFSET(A$1,,,SUMPRODUCT(MAX(ROW(E$1:E4893)*(E2=E$1:E4893))))))</f>
        <v> </v>
      </c>
      <c r="K4894" s="26" t="str">
        <f>IF(OR(E4894="",E4894="!!!",F4894="NEW"),"",INDEX(J$1:J4893,SUMPRODUCT(MAX(ROW(E$1:E4893)*(E4894=E$1:E4893)))))</f>
        <v> </v>
      </c>
      <c r="L4894" s="27"/>
    </row>
    <row r="4895" spans="1:12">
      <c r="A4895" s="20" t="s">
        <v>1160</v>
      </c>
      <c r="E4895" s="22">
        <f>IF(D4895="?OLD","!!!","")</f>
        <v/>
      </c>
      <c r="F4895" s="23" t="str">
        <f>IF(OR(E4895="",E4895="!!!"),"",IF(NOT(ISNA(VLOOKUP(E4895,E$1:E4894,1,FALSE()))),"OLD",IF(AND(E4895&lt;&gt;"",E4895&lt;&gt;"!!!"),"NEW","")))</f>
        <v> </v>
      </c>
      <c r="G4895" s="24" t="str">
        <f>IF(OR(E4895="",E4895="!!!"),"",IF(OR(J4895=0,AND(J4895=1,K4895=1),AND(J4895=1,I4895="SBJ"),AND(J4895=1,I4895=0)),"?IN_FOCUS",IF(J4895&lt;=2,"?ACTIVATED",IF(J4895&lt;&gt;"","?FAMILIAR",IF(F4895="NEW",IF(ISNA(VLOOKUP(E4895,#REF!,1,FALSE())),"?TYPE_IDENTIFIABLE","?REFERENTIAL"),"_")))))</f>
        <v> </v>
      </c>
      <c r="H4895" s="25" t="str">
        <f>IF(J4895&lt;&gt;1,"",IF(I4895="SBJ","CB","?"))</f>
        <v> </v>
      </c>
      <c r="I4895" s="26" t="str">
        <f>IF(OR(E4895="",E4895="!!!",F4895="NEW"),"",INDEX(B4894:B$2,-1+SUMPRODUCT(MAX(ROW(E4894:E$2)*(E4895=E4894:E$2)))))</f>
        <v> </v>
      </c>
      <c r="J4895" s="26" t="str">
        <f>IF(OR(E4895="",E4895="!!!",F4895="NEW"),"",COUNTBLANK(OFFSET(A$1,,,SUMPRODUCT(MAX(ROW(E$2:E4895)*(E4895=E$2:E4895)))))-COUNTBLANK(OFFSET(A$1,,,SUMPRODUCT(MAX(ROW(E$1:E4894)*(E2=E$1:E4894))))))</f>
        <v> </v>
      </c>
      <c r="K4895" s="26" t="str">
        <f>IF(OR(E4895="",E4895="!!!",F4895="NEW"),"",INDEX(J$1:J4894,SUMPRODUCT(MAX(ROW(E$1:E4894)*(E4895=E$1:E4894)))))</f>
        <v> </v>
      </c>
      <c r="L4895" s="27"/>
    </row>
    <row r="4896" spans="1:12">
      <c r="A4896" s="20" t="s">
        <v>1090</v>
      </c>
      <c r="B4896" s="21" t="s">
        <v>1064</v>
      </c>
      <c r="C4896" s="21" t="s">
        <v>1092</v>
      </c>
      <c r="D4896" s="21" t="s">
        <v>1060</v>
      </c>
      <c r="E4896" s="22">
        <f>IF(D4896="?OLD","!!!","")</f>
        <v/>
      </c>
      <c r="F4896" s="23" t="str">
        <f>IF(OR(E4896="",E4896="!!!"),"",IF(NOT(ISNA(VLOOKUP(E4896,E$1:E4895,1,FALSE()))),"OLD",IF(AND(E4896&lt;&gt;"",E4896&lt;&gt;"!!!"),"NEW","")))</f>
        <v> </v>
      </c>
      <c r="G4896" s="24" t="str">
        <f>IF(OR(E4896="",E4896="!!!"),"",IF(OR(J4896=0,AND(J4896=1,K4896=1),AND(J4896=1,I4896="SBJ"),AND(J4896=1,I4896=0)),"?IN_FOCUS",IF(J4896&lt;=2,"?ACTIVATED",IF(J4896&lt;&gt;"","?FAMILIAR",IF(F4896="NEW",IF(ISNA(VLOOKUP(E4896,#REF!,1,FALSE())),"?TYPE_IDENTIFIABLE","?REFERENTIAL"),"_")))))</f>
        <v> </v>
      </c>
      <c r="H4896" s="25" t="str">
        <f>IF(J4896&lt;&gt;1,"",IF(I4896="SBJ","CB","?"))</f>
        <v> </v>
      </c>
      <c r="I4896" s="26" t="str">
        <f>IF(OR(E4896="",E4896="!!!",F4896="NEW"),"",INDEX(B4895:B$2,-1+SUMPRODUCT(MAX(ROW(E4895:E$2)*(E4896=E4895:E$2)))))</f>
        <v> </v>
      </c>
      <c r="J4896" s="26" t="str">
        <f>IF(OR(E4896="",E4896="!!!",F4896="NEW"),"",COUNTBLANK(OFFSET(A$1,,,SUMPRODUCT(MAX(ROW(E$2:E4896)*(E4896=E$2:E4896)))))-COUNTBLANK(OFFSET(A$1,,,SUMPRODUCT(MAX(ROW(E$1:E4895)*(E2=E$1:E4895))))))</f>
        <v> </v>
      </c>
      <c r="K4896" s="26" t="str">
        <f>IF(OR(E4896="",E4896="!!!",F4896="NEW"),"",INDEX(J$1:J4895,SUMPRODUCT(MAX(ROW(E$1:E4895)*(E4896=E$1:E4895)))))</f>
        <v> </v>
      </c>
      <c r="L4896" s="27"/>
    </row>
    <row r="4897" spans="1:12">
      <c r="A4897" s="20" t="s">
        <v>2435</v>
      </c>
      <c r="B4897" s="21" t="s">
        <v>1068</v>
      </c>
      <c r="C4897" s="21" t="s">
        <v>1059</v>
      </c>
      <c r="D4897" s="21" t="s">
        <v>1060</v>
      </c>
      <c r="E4897" s="22">
        <f>IF(D4897="?OLD","!!!","")</f>
        <v/>
      </c>
      <c r="F4897" s="23" t="str">
        <f>IF(OR(E4897="",E4897="!!!"),"",IF(NOT(ISNA(VLOOKUP(E4897,E$1:E4896,1,FALSE()))),"OLD",IF(AND(E4897&lt;&gt;"",E4897&lt;&gt;"!!!"),"NEW","")))</f>
        <v> </v>
      </c>
      <c r="G4897" s="24" t="str">
        <f>IF(OR(E4897="",E4897="!!!"),"",IF(OR(J4897=0,AND(J4897=1,K4897=1),AND(J4897=1,I4897="SBJ"),AND(J4897=1,I4897=0)),"?IN_FOCUS",IF(J4897&lt;=2,"?ACTIVATED",IF(J4897&lt;&gt;"","?FAMILIAR",IF(F4897="NEW",IF(ISNA(VLOOKUP(E4897,#REF!,1,FALSE())),"?TYPE_IDENTIFIABLE","?REFERENTIAL"),"_")))))</f>
        <v> </v>
      </c>
      <c r="H4897" s="25" t="str">
        <f>IF(J4897&lt;&gt;1,"",IF(I4897="SBJ","CB","?"))</f>
        <v> </v>
      </c>
      <c r="I4897" s="26" t="str">
        <f>IF(OR(E4897="",E4897="!!!",F4897="NEW"),"",INDEX(B4896:B$2,-1+SUMPRODUCT(MAX(ROW(E4896:E$2)*(E4897=E4896:E$2)))))</f>
        <v> </v>
      </c>
      <c r="J4897" s="26" t="str">
        <f>IF(OR(E4897="",E4897="!!!",F4897="NEW"),"",COUNTBLANK(OFFSET(A$1,,,SUMPRODUCT(MAX(ROW(E$2:E4897)*(E4897=E$2:E4897)))))-COUNTBLANK(OFFSET(A$1,,,SUMPRODUCT(MAX(ROW(E$1:E4896)*(E2=E$1:E4896))))))</f>
        <v> </v>
      </c>
      <c r="K4897" s="26" t="str">
        <f>IF(OR(E4897="",E4897="!!!",F4897="NEW"),"",INDEX(J$1:J4896,SUMPRODUCT(MAX(ROW(E$1:E4896)*(E4897=E$1:E4896)))))</f>
        <v> </v>
      </c>
      <c r="L4897" s="27"/>
    </row>
    <row r="4898" spans="1:12">
      <c r="A4898" s="20" t="s">
        <v>923</v>
      </c>
      <c r="E4898" s="22">
        <f>IF(D4898="?OLD","!!!","")</f>
        <v/>
      </c>
      <c r="F4898" s="23" t="str">
        <f>IF(OR(E4898="",E4898="!!!"),"",IF(NOT(ISNA(VLOOKUP(E4898,E$1:E4897,1,FALSE()))),"OLD",IF(AND(E4898&lt;&gt;"",E4898&lt;&gt;"!!!"),"NEW","")))</f>
        <v> </v>
      </c>
      <c r="G4898" s="24" t="str">
        <f>IF(OR(E4898="",E4898="!!!"),"",IF(OR(J4898=0,AND(J4898=1,K4898=1),AND(J4898=1,I4898="SBJ"),AND(J4898=1,I4898=0)),"?IN_FOCUS",IF(J4898&lt;=2,"?ACTIVATED",IF(J4898&lt;&gt;"","?FAMILIAR",IF(F4898="NEW",IF(ISNA(VLOOKUP(E4898,#REF!,1,FALSE())),"?TYPE_IDENTIFIABLE","?REFERENTIAL"),"_")))))</f>
        <v> </v>
      </c>
      <c r="H4898" s="25" t="str">
        <f>IF(J4898&lt;&gt;1,"",IF(I4898="SBJ","CB","?"))</f>
        <v> </v>
      </c>
      <c r="I4898" s="26" t="str">
        <f>IF(OR(E4898="",E4898="!!!",F4898="NEW"),"",INDEX(B4897:B$2,-1+SUMPRODUCT(MAX(ROW(E4897:E$2)*(E4898=E4897:E$2)))))</f>
        <v> </v>
      </c>
      <c r="J4898" s="26" t="str">
        <f>IF(OR(E4898="",E4898="!!!",F4898="NEW"),"",COUNTBLANK(OFFSET(A$1,,,SUMPRODUCT(MAX(ROW(E$2:E4898)*(E4898=E$2:E4898)))))-COUNTBLANK(OFFSET(A$1,,,SUMPRODUCT(MAX(ROW(E$1:E4897)*(E2=E$1:E4897))))))</f>
        <v> </v>
      </c>
      <c r="K4898" s="26" t="str">
        <f>IF(OR(E4898="",E4898="!!!",F4898="NEW"),"",INDEX(J$1:J4897,SUMPRODUCT(MAX(ROW(E$1:E4897)*(E4898=E$1:E4897)))))</f>
        <v> </v>
      </c>
      <c r="L4898" s="27"/>
    </row>
    <row r="4899" spans="1:12">
      <c r="A4899" s="20" t="s">
        <v>607</v>
      </c>
      <c r="E4899" s="22">
        <f>IF(D4899="?OLD","!!!","")</f>
        <v/>
      </c>
      <c r="F4899" s="23" t="str">
        <f>IF(OR(E4899="",E4899="!!!"),"",IF(NOT(ISNA(VLOOKUP(E4899,E$1:E4898,1,FALSE()))),"OLD",IF(AND(E4899&lt;&gt;"",E4899&lt;&gt;"!!!"),"NEW","")))</f>
        <v> </v>
      </c>
      <c r="G4899" s="24" t="str">
        <f>IF(OR(E4899="",E4899="!!!"),"",IF(OR(J4899=0,AND(J4899=1,K4899=1),AND(J4899=1,I4899="SBJ"),AND(J4899=1,I4899=0)),"?IN_FOCUS",IF(J4899&lt;=2,"?ACTIVATED",IF(J4899&lt;&gt;"","?FAMILIAR",IF(F4899="NEW",IF(ISNA(VLOOKUP(E4899,#REF!,1,FALSE())),"?TYPE_IDENTIFIABLE","?REFERENTIAL"),"_")))))</f>
        <v> </v>
      </c>
      <c r="H4899" s="25" t="str">
        <f>IF(J4899&lt;&gt;1,"",IF(I4899="SBJ","CB","?"))</f>
        <v> </v>
      </c>
      <c r="I4899" s="26" t="str">
        <f>IF(OR(E4899="",E4899="!!!",F4899="NEW"),"",INDEX(B4898:B$2,-1+SUMPRODUCT(MAX(ROW(E4898:E$2)*(E4899=E4898:E$2)))))</f>
        <v> </v>
      </c>
      <c r="J4899" s="26" t="str">
        <f>IF(OR(E4899="",E4899="!!!",F4899="NEW"),"",COUNTBLANK(OFFSET(A$1,,,SUMPRODUCT(MAX(ROW(E$2:E4899)*(E4899=E$2:E4899)))))-COUNTBLANK(OFFSET(A$1,,,SUMPRODUCT(MAX(ROW(E$1:E4898)*(E2=E$1:E4898))))))</f>
        <v> </v>
      </c>
      <c r="K4899" s="26" t="str">
        <f>IF(OR(E4899="",E4899="!!!",F4899="NEW"),"",INDEX(J$1:J4898,SUMPRODUCT(MAX(ROW(E$1:E4898)*(E4899=E$1:E4898)))))</f>
        <v> </v>
      </c>
      <c r="L4899" s="27"/>
    </row>
    <row r="4900" spans="1:12">
      <c r="A4900" s="20"/>
    </row>
    <row r="4901" spans="1:12">
      <c r="A4901" s="20" t="s">
        <v>1276</v>
      </c>
      <c r="E4901" s="22">
        <f>IF(D4901="?OLD","!!!","")</f>
        <v/>
      </c>
      <c r="F4901" s="23" t="str">
        <f>IF(OR(E4901="",E4901="!!!"),"",IF(NOT(ISNA(VLOOKUP(E4901,E$1:E4900,1,FALSE()))),"OLD",IF(AND(E4901&lt;&gt;"",E4901&lt;&gt;"!!!"),"NEW","")))</f>
        <v> </v>
      </c>
      <c r="G4901" s="24" t="str">
        <f>IF(OR(E4901="",E4901="!!!"),"",IF(OR(J4901=0,AND(J4901=1,K4901=1),AND(J4901=1,I4901="SBJ"),AND(J4901=1,I4901=0)),"?IN_FOCUS",IF(J4901&lt;=2,"?ACTIVATED",IF(J4901&lt;&gt;"","?FAMILIAR",IF(F4901="NEW",IF(ISNA(VLOOKUP(E4901,#REF!,1,FALSE())),"?TYPE_IDENTIFIABLE","?REFERENTIAL"),"_")))))</f>
        <v> </v>
      </c>
      <c r="H4901" s="25" t="str">
        <f>IF(J4901&lt;&gt;1,"",IF(I4901="SBJ","CB","?"))</f>
        <v> </v>
      </c>
      <c r="I4901" s="26" t="str">
        <f>IF(OR(E4901="",E4901="!!!",F4901="NEW"),"",INDEX(B4900:B$2,-1+SUMPRODUCT(MAX(ROW(E4900:E$2)*(E4901=E4900:E$2)))))</f>
        <v> </v>
      </c>
      <c r="J4901" s="26" t="str">
        <f>IF(OR(E4901="",E4901="!!!",F4901="NEW"),"",COUNTBLANK(OFFSET(A$1,,,SUMPRODUCT(MAX(ROW(E$2:E4901)*(E4901=E$2:E4901)))))-COUNTBLANK(OFFSET(A$1,,,SUMPRODUCT(MAX(ROW(E$1:E4900)*(E2=E$1:E4900))))))</f>
        <v> </v>
      </c>
      <c r="K4901" s="26" t="str">
        <f>IF(OR(E4901="",E4901="!!!",F4901="NEW"),"",INDEX(J$1:J4900,SUMPRODUCT(MAX(ROW(E$1:E4900)*(E4901=E$1:E4900)))))</f>
        <v> </v>
      </c>
      <c r="L4901" s="27"/>
    </row>
    <row r="4902" spans="1:12">
      <c r="A4902" s="20" t="s">
        <v>2436</v>
      </c>
    </row>
    <row r="4903" spans="1:12">
      <c r="A4903" s="20" t="s">
        <v>607</v>
      </c>
      <c r="E4903" s="22">
        <f>IF(D4903="?OLD","!!!","")</f>
        <v/>
      </c>
      <c r="F4903" s="23" t="str">
        <f>IF(OR(E4903="",E4903="!!!"),"",IF(NOT(ISNA(VLOOKUP(E4903,E$1:E4902,1,FALSE()))),"OLD",IF(AND(E4903&lt;&gt;"",E4903&lt;&gt;"!!!"),"NEW","")))</f>
        <v> </v>
      </c>
      <c r="G4903" s="24" t="str">
        <f>IF(OR(E4903="",E4903="!!!"),"",IF(OR(J4903=0,AND(J4903=1,K4903=1),AND(J4903=1,I4903="SBJ"),AND(J4903=1,I4903=0)),"?IN_FOCUS",IF(J4903&lt;=2,"?ACTIVATED",IF(J4903&lt;&gt;"","?FAMILIAR",IF(F4903="NEW",IF(ISNA(VLOOKUP(E4903,#REF!,1,FALSE())),"?TYPE_IDENTIFIABLE","?REFERENTIAL"),"_")))))</f>
        <v> </v>
      </c>
      <c r="H4903" s="25" t="str">
        <f>IF(J4903&lt;&gt;1,"",IF(I4903="SBJ","CB","?"))</f>
        <v> </v>
      </c>
      <c r="I4903" s="26" t="str">
        <f>IF(OR(E4903="",E4903="!!!",F4903="NEW"),"",INDEX(B4902:B$2,-1+SUMPRODUCT(MAX(ROW(E4902:E$2)*(E4903=E4902:E$2)))))</f>
        <v> </v>
      </c>
      <c r="J4903" s="26" t="str">
        <f>IF(OR(E4903="",E4903="!!!",F4903="NEW"),"",COUNTBLANK(OFFSET(A$1,,,SUMPRODUCT(MAX(ROW(E$2:E4903)*(E4903=E$2:E4903)))))-COUNTBLANK(OFFSET(A$1,,,SUMPRODUCT(MAX(ROW(E$1:E4902)*(E2=E$1:E4902))))))</f>
        <v> </v>
      </c>
      <c r="K4903" s="26" t="str">
        <f>IF(OR(E4903="",E4903="!!!",F4903="NEW"),"",INDEX(J$1:J4902,SUMPRODUCT(MAX(ROW(E$1:E4902)*(E4903=E$1:E4902)))))</f>
        <v> </v>
      </c>
      <c r="L4903" s="27"/>
    </row>
    <row r="4904" spans="1:12">
      <c r="A4904" s="20" t="s">
        <v>2437</v>
      </c>
      <c r="E4904" s="22">
        <f>IF(D4904="?OLD","!!!","")</f>
        <v/>
      </c>
      <c r="F4904" s="23" t="str">
        <f>IF(OR(E4904="",E4904="!!!"),"",IF(NOT(ISNA(VLOOKUP(E4904,E$1:E4903,1,FALSE()))),"OLD",IF(AND(E4904&lt;&gt;"",E4904&lt;&gt;"!!!"),"NEW","")))</f>
        <v> </v>
      </c>
      <c r="G4904" s="24" t="str">
        <f>IF(OR(E4904="",E4904="!!!"),"",IF(OR(J4904=0,AND(J4904=1,K4904=1),AND(J4904=1,I4904="SBJ"),AND(J4904=1,I4904=0)),"?IN_FOCUS",IF(J4904&lt;=2,"?ACTIVATED",IF(J4904&lt;&gt;"","?FAMILIAR",IF(F4904="NEW",IF(ISNA(VLOOKUP(E4904,#REF!,1,FALSE())),"?TYPE_IDENTIFIABLE","?REFERENTIAL"),"_")))))</f>
        <v> </v>
      </c>
      <c r="H4904" s="25" t="str">
        <f>IF(J4904&lt;&gt;1,"",IF(I4904="SBJ","CB","?"))</f>
        <v> </v>
      </c>
      <c r="I4904" s="26" t="str">
        <f>IF(OR(E4904="",E4904="!!!",F4904="NEW"),"",INDEX(B4903:B$2,-1+SUMPRODUCT(MAX(ROW(E4903:E$2)*(E4904=E4903:E$2)))))</f>
        <v> </v>
      </c>
      <c r="J4904" s="26" t="str">
        <f>IF(OR(E4904="",E4904="!!!",F4904="NEW"),"",COUNTBLANK(OFFSET(A$1,,,SUMPRODUCT(MAX(ROW(E$2:E4904)*(E4904=E$2:E4904)))))-COUNTBLANK(OFFSET(A$1,,,SUMPRODUCT(MAX(ROW(E$1:E4903)*(E2=E$1:E4903))))))</f>
        <v> </v>
      </c>
      <c r="K4904" s="26" t="str">
        <f>IF(OR(E4904="",E4904="!!!",F4904="NEW"),"",INDEX(J$1:J4903,SUMPRODUCT(MAX(ROW(E$1:E4903)*(E4904=E$1:E4903)))))</f>
        <v> </v>
      </c>
      <c r="L4904" s="27"/>
    </row>
    <row r="4905" spans="1:12">
      <c r="A4905" s="20" t="s">
        <v>923</v>
      </c>
      <c r="E4905" s="22">
        <f>IF(D4905="?OLD","!!!","")</f>
        <v/>
      </c>
      <c r="F4905" s="23" t="str">
        <f>IF(OR(E4905="",E4905="!!!"),"",IF(NOT(ISNA(VLOOKUP(E4905,E$1:E4904,1,FALSE()))),"OLD",IF(AND(E4905&lt;&gt;"",E4905&lt;&gt;"!!!"),"NEW","")))</f>
        <v> </v>
      </c>
      <c r="G4905" s="24" t="str">
        <f>IF(OR(E4905="",E4905="!!!"),"",IF(OR(J4905=0,AND(J4905=1,K4905=1),AND(J4905=1,I4905="SBJ"),AND(J4905=1,I4905=0)),"?IN_FOCUS",IF(J4905&lt;=2,"?ACTIVATED",IF(J4905&lt;&gt;"","?FAMILIAR",IF(F4905="NEW",IF(ISNA(VLOOKUP(E4905,#REF!,1,FALSE())),"?TYPE_IDENTIFIABLE","?REFERENTIAL"),"_")))))</f>
        <v> </v>
      </c>
      <c r="H4905" s="25" t="str">
        <f>IF(J4905&lt;&gt;1,"",IF(I4905="SBJ","CB","?"))</f>
        <v> </v>
      </c>
      <c r="I4905" s="26" t="str">
        <f>IF(OR(E4905="",E4905="!!!",F4905="NEW"),"",INDEX(B4904:B$2,-1+SUMPRODUCT(MAX(ROW(E4904:E$2)*(E4905=E4904:E$2)))))</f>
        <v> </v>
      </c>
      <c r="J4905" s="26" t="str">
        <f>IF(OR(E4905="",E4905="!!!",F4905="NEW"),"",COUNTBLANK(OFFSET(A$1,,,SUMPRODUCT(MAX(ROW(E$2:E4905)*(E4905=E$2:E4905)))))-COUNTBLANK(OFFSET(A$1,,,SUMPRODUCT(MAX(ROW(E$1:E4904)*(E2=E$1:E4904))))))</f>
        <v> </v>
      </c>
      <c r="K4905" s="26" t="str">
        <f>IF(OR(E4905="",E4905="!!!",F4905="NEW"),"",INDEX(J$1:J4904,SUMPRODUCT(MAX(ROW(E$1:E4904)*(E4905=E$1:E4904)))))</f>
        <v> </v>
      </c>
      <c r="L4905" s="27"/>
    </row>
    <row r="4906" spans="1:12">
      <c r="A4906" s="20"/>
    </row>
    <row r="4907" spans="1:12">
      <c r="A4907" s="20" t="s">
        <v>2438</v>
      </c>
    </row>
    <row r="4908" spans="1:12">
      <c r="A4908" s="20" t="s">
        <v>1508</v>
      </c>
      <c r="B4908" s="21" t="s">
        <v>1058</v>
      </c>
      <c r="C4908" s="21" t="s">
        <v>1076</v>
      </c>
      <c r="D4908" s="21" t="s">
        <v>1060</v>
      </c>
      <c r="E4908" s="22">
        <f>IF(D4908="?OLD","!!!","")</f>
        <v/>
      </c>
      <c r="F4908" s="23" t="str">
        <f>IF(OR(E4908="",E4908="!!!"),"",IF(NOT(ISNA(VLOOKUP(E4908,E$1:E4907,1,FALSE()))),"OLD",IF(AND(E4908&lt;&gt;"",E4908&lt;&gt;"!!!"),"NEW","")))</f>
        <v> </v>
      </c>
      <c r="G4908" s="24" t="str">
        <f>IF(OR(E4908="",E4908="!!!"),"",IF(OR(J4908=0,AND(J4908=1,K4908=1),AND(J4908=1,I4908="SBJ"),AND(J4908=1,I4908=0)),"?IN_FOCUS",IF(J4908&lt;=2,"?ACTIVATED",IF(J4908&lt;&gt;"","?FAMILIAR",IF(F4908="NEW",IF(ISNA(VLOOKUP(E4908,#REF!,1,FALSE())),"?TYPE_IDENTIFIABLE","?REFERENTIAL"),"_")))))</f>
        <v> </v>
      </c>
      <c r="H4908" s="25" t="str">
        <f>IF(J4908&lt;&gt;1,"",IF(I4908="SBJ","CB","?"))</f>
        <v> </v>
      </c>
      <c r="I4908" s="26" t="str">
        <f>IF(OR(E4908="",E4908="!!!",F4908="NEW"),"",INDEX(B4907:B$2,-1+SUMPRODUCT(MAX(ROW(E4907:E$2)*(E4908=E4907:E$2)))))</f>
        <v> </v>
      </c>
      <c r="J4908" s="26" t="str">
        <f>IF(OR(E4908="",E4908="!!!",F4908="NEW"),"",COUNTBLANK(OFFSET(A$1,,,SUMPRODUCT(MAX(ROW(E$2:E4908)*(E4908=E$2:E4908)))))-COUNTBLANK(OFFSET(A$1,,,SUMPRODUCT(MAX(ROW(E$1:E4907)*(E2=E$1:E4907))))))</f>
        <v> </v>
      </c>
      <c r="K4908" s="26" t="str">
        <f>IF(OR(E4908="",E4908="!!!",F4908="NEW"),"",INDEX(J$1:J4907,SUMPRODUCT(MAX(ROW(E$1:E4907)*(E4908=E$1:E4907)))))</f>
        <v> </v>
      </c>
      <c r="L4908" s="27"/>
    </row>
    <row r="4909" spans="1:12">
      <c r="A4909" s="20" t="s">
        <v>2439</v>
      </c>
      <c r="E4909" s="22">
        <f>IF(D4909="?OLD","!!!","")</f>
        <v/>
      </c>
      <c r="F4909" s="23" t="str">
        <f>IF(OR(E4909="",E4909="!!!"),"",IF(NOT(ISNA(VLOOKUP(E4909,E$1:E4908,1,FALSE()))),"OLD",IF(AND(E4909&lt;&gt;"",E4909&lt;&gt;"!!!"),"NEW","")))</f>
        <v> </v>
      </c>
      <c r="G4909" s="24" t="str">
        <f>IF(OR(E4909="",E4909="!!!"),"",IF(OR(J4909=0,AND(J4909=1,K4909=1),AND(J4909=1,I4909="SBJ"),AND(J4909=1,I4909=0)),"?IN_FOCUS",IF(J4909&lt;=2,"?ACTIVATED",IF(J4909&lt;&gt;"","?FAMILIAR",IF(F4909="NEW",IF(ISNA(VLOOKUP(E4909,#REF!,1,FALSE())),"?TYPE_IDENTIFIABLE","?REFERENTIAL"),"_")))))</f>
        <v> </v>
      </c>
      <c r="H4909" s="25" t="str">
        <f>IF(J4909&lt;&gt;1,"",IF(I4909="SBJ","CB","?"))</f>
        <v> </v>
      </c>
      <c r="I4909" s="26" t="str">
        <f>IF(OR(E4909="",E4909="!!!",F4909="NEW"),"",INDEX(B4908:B$2,-1+SUMPRODUCT(MAX(ROW(E4908:E$2)*(E4909=E4908:E$2)))))</f>
        <v> </v>
      </c>
      <c r="J4909" s="26" t="str">
        <f>IF(OR(E4909="",E4909="!!!",F4909="NEW"),"",COUNTBLANK(OFFSET(A$1,,,SUMPRODUCT(MAX(ROW(E$2:E4909)*(E4909=E$2:E4909)))))-COUNTBLANK(OFFSET(A$1,,,SUMPRODUCT(MAX(ROW(E$1:E4908)*(E2=E$1:E4908))))))</f>
        <v> </v>
      </c>
      <c r="K4909" s="26" t="str">
        <f>IF(OR(E4909="",E4909="!!!",F4909="NEW"),"",INDEX(J$1:J4908,SUMPRODUCT(MAX(ROW(E$1:E4908)*(E4909=E$1:E4908)))))</f>
        <v> </v>
      </c>
      <c r="L4909" s="27"/>
    </row>
    <row r="4910" spans="1:12">
      <c r="A4910" s="20" t="s">
        <v>1074</v>
      </c>
      <c r="B4910" s="21" t="s">
        <v>1075</v>
      </c>
      <c r="C4910" s="21" t="s">
        <v>1076</v>
      </c>
      <c r="D4910" s="21" t="s">
        <v>1060</v>
      </c>
      <c r="E4910" s="22">
        <f>IF(D4910="?OLD","!!!","")</f>
        <v/>
      </c>
      <c r="F4910" s="23" t="str">
        <f>IF(OR(E4910="",E4910="!!!"),"",IF(NOT(ISNA(VLOOKUP(E4910,E$1:E4909,1,FALSE()))),"OLD",IF(AND(E4910&lt;&gt;"",E4910&lt;&gt;"!!!"),"NEW","")))</f>
        <v> </v>
      </c>
      <c r="G4910" s="24" t="str">
        <f>IF(OR(E4910="",E4910="!!!"),"",IF(OR(J4910=0,AND(J4910=1,K4910=1),AND(J4910=1,I4910="SBJ"),AND(J4910=1,I4910=0)),"?IN_FOCUS",IF(J4910&lt;=2,"?ACTIVATED",IF(J4910&lt;&gt;"","?FAMILIAR",IF(F4910="NEW",IF(ISNA(VLOOKUP(E4910,#REF!,1,FALSE())),"?TYPE_IDENTIFIABLE","?REFERENTIAL"),"_")))))</f>
        <v> </v>
      </c>
      <c r="H4910" s="25" t="str">
        <f>IF(J4910&lt;&gt;1,"",IF(I4910="SBJ","CB","?"))</f>
        <v> </v>
      </c>
      <c r="I4910" s="26" t="str">
        <f>IF(OR(E4910="",E4910="!!!",F4910="NEW"),"",INDEX(B4909:B$2,-1+SUMPRODUCT(MAX(ROW(E4909:E$2)*(E4910=E4909:E$2)))))</f>
        <v> </v>
      </c>
      <c r="J4910" s="26" t="str">
        <f>IF(OR(E4910="",E4910="!!!",F4910="NEW"),"",COUNTBLANK(OFFSET(A$1,,,SUMPRODUCT(MAX(ROW(E$2:E4910)*(E4910=E$2:E4910)))))-COUNTBLANK(OFFSET(A$1,,,SUMPRODUCT(MAX(ROW(E$1:E4909)*(E2=E$1:E4909))))))</f>
        <v> </v>
      </c>
      <c r="K4910" s="26" t="str">
        <f>IF(OR(E4910="",E4910="!!!",F4910="NEW"),"",INDEX(J$1:J4909,SUMPRODUCT(MAX(ROW(E$1:E4909)*(E4910=E$1:E4909)))))</f>
        <v> </v>
      </c>
      <c r="L4910" s="27"/>
    </row>
    <row r="4911" spans="1:12">
      <c r="A4911" s="20" t="s">
        <v>1160</v>
      </c>
      <c r="E4911" s="22">
        <f>IF(D4911="?OLD","!!!","")</f>
        <v/>
      </c>
      <c r="F4911" s="23" t="str">
        <f>IF(OR(E4911="",E4911="!!!"),"",IF(NOT(ISNA(VLOOKUP(E4911,E$1:E4910,1,FALSE()))),"OLD",IF(AND(E4911&lt;&gt;"",E4911&lt;&gt;"!!!"),"NEW","")))</f>
        <v> </v>
      </c>
      <c r="G4911" s="24" t="str">
        <f>IF(OR(E4911="",E4911="!!!"),"",IF(OR(J4911=0,AND(J4911=1,K4911=1),AND(J4911=1,I4911="SBJ"),AND(J4911=1,I4911=0)),"?IN_FOCUS",IF(J4911&lt;=2,"?ACTIVATED",IF(J4911&lt;&gt;"","?FAMILIAR",IF(F4911="NEW",IF(ISNA(VLOOKUP(E4911,#REF!,1,FALSE())),"?TYPE_IDENTIFIABLE","?REFERENTIAL"),"_")))))</f>
        <v> </v>
      </c>
      <c r="H4911" s="25" t="str">
        <f>IF(J4911&lt;&gt;1,"",IF(I4911="SBJ","CB","?"))</f>
        <v> </v>
      </c>
      <c r="I4911" s="26" t="str">
        <f>IF(OR(E4911="",E4911="!!!",F4911="NEW"),"",INDEX(B4910:B$2,-1+SUMPRODUCT(MAX(ROW(E4910:E$2)*(E4911=E4910:E$2)))))</f>
        <v> </v>
      </c>
      <c r="J4911" s="26" t="str">
        <f>IF(OR(E4911="",E4911="!!!",F4911="NEW"),"",COUNTBLANK(OFFSET(A$1,,,SUMPRODUCT(MAX(ROW(E$2:E4911)*(E4911=E$2:E4911)))))-COUNTBLANK(OFFSET(A$1,,,SUMPRODUCT(MAX(ROW(E$1:E4910)*(E2=E$1:E4910))))))</f>
        <v> </v>
      </c>
      <c r="K4911" s="26" t="str">
        <f>IF(OR(E4911="",E4911="!!!",F4911="NEW"),"",INDEX(J$1:J4910,SUMPRODUCT(MAX(ROW(E$1:E4910)*(E4911=E$1:E4910)))))</f>
        <v> </v>
      </c>
      <c r="L4911" s="27"/>
    </row>
    <row r="4912" spans="1:12">
      <c r="A4912" s="20" t="s">
        <v>1090</v>
      </c>
      <c r="B4912" s="21" t="s">
        <v>1068</v>
      </c>
      <c r="C4912" s="21" t="s">
        <v>1092</v>
      </c>
      <c r="D4912" s="21" t="s">
        <v>1060</v>
      </c>
      <c r="E4912" s="22">
        <f>IF(D4912="?OLD","!!!","")</f>
        <v/>
      </c>
      <c r="F4912" s="23" t="str">
        <f>IF(OR(E4912="",E4912="!!!"),"",IF(NOT(ISNA(VLOOKUP(E4912,E$1:E4911,1,FALSE()))),"OLD",IF(AND(E4912&lt;&gt;"",E4912&lt;&gt;"!!!"),"NEW","")))</f>
        <v> </v>
      </c>
      <c r="G4912" s="24" t="str">
        <f>IF(OR(E4912="",E4912="!!!"),"",IF(OR(J4912=0,AND(J4912=1,K4912=1),AND(J4912=1,I4912="SBJ"),AND(J4912=1,I4912=0)),"?IN_FOCUS",IF(J4912&lt;=2,"?ACTIVATED",IF(J4912&lt;&gt;"","?FAMILIAR",IF(F4912="NEW",IF(ISNA(VLOOKUP(E4912,#REF!,1,FALSE())),"?TYPE_IDENTIFIABLE","?REFERENTIAL"),"_")))))</f>
        <v> </v>
      </c>
      <c r="H4912" s="25" t="str">
        <f>IF(J4912&lt;&gt;1,"",IF(I4912="SBJ","CB","?"))</f>
        <v> </v>
      </c>
      <c r="I4912" s="26" t="str">
        <f>IF(OR(E4912="",E4912="!!!",F4912="NEW"),"",INDEX(B4911:B$2,-1+SUMPRODUCT(MAX(ROW(E4911:E$2)*(E4912=E4911:E$2)))))</f>
        <v> </v>
      </c>
      <c r="J4912" s="26" t="str">
        <f>IF(OR(E4912="",E4912="!!!",F4912="NEW"),"",COUNTBLANK(OFFSET(A$1,,,SUMPRODUCT(MAX(ROW(E$2:E4912)*(E4912=E$2:E4912)))))-COUNTBLANK(OFFSET(A$1,,,SUMPRODUCT(MAX(ROW(E$1:E4911)*(E2=E$1:E4911))))))</f>
        <v> </v>
      </c>
      <c r="K4912" s="26" t="str">
        <f>IF(OR(E4912="",E4912="!!!",F4912="NEW"),"",INDEX(J$1:J4911,SUMPRODUCT(MAX(ROW(E$1:E4911)*(E4912=E$1:E4911)))))</f>
        <v> </v>
      </c>
      <c r="L4912" s="27"/>
    </row>
    <row r="4913" spans="1:12">
      <c r="A4913" s="20" t="s">
        <v>1667</v>
      </c>
      <c r="B4913" s="21" t="s">
        <v>1097</v>
      </c>
      <c r="C4913" s="21" t="s">
        <v>1059</v>
      </c>
      <c r="D4913" s="21" t="s">
        <v>1060</v>
      </c>
      <c r="E4913" s="22">
        <f>IF(D4913="?OLD","!!!","")</f>
        <v/>
      </c>
      <c r="F4913" s="23" t="str">
        <f>IF(OR(E4913="",E4913="!!!"),"",IF(NOT(ISNA(VLOOKUP(E4913,E$1:E4912,1,FALSE()))),"OLD",IF(AND(E4913&lt;&gt;"",E4913&lt;&gt;"!!!"),"NEW","")))</f>
        <v> </v>
      </c>
      <c r="G4913" s="24" t="str">
        <f>IF(OR(E4913="",E4913="!!!"),"",IF(OR(J4913=0,AND(J4913=1,K4913=1),AND(J4913=1,I4913="SBJ"),AND(J4913=1,I4913=0)),"?IN_FOCUS",IF(J4913&lt;=2,"?ACTIVATED",IF(J4913&lt;&gt;"","?FAMILIAR",IF(F4913="NEW",IF(ISNA(VLOOKUP(E4913,#REF!,1,FALSE())),"?TYPE_IDENTIFIABLE","?REFERENTIAL"),"_")))))</f>
        <v> </v>
      </c>
      <c r="H4913" s="25" t="str">
        <f>IF(J4913&lt;&gt;1,"",IF(I4913="SBJ","CB","?"))</f>
        <v> </v>
      </c>
      <c r="I4913" s="26" t="str">
        <f>IF(OR(E4913="",E4913="!!!",F4913="NEW"),"",INDEX(B4912:B$2,-1+SUMPRODUCT(MAX(ROW(E4912:E$2)*(E4913=E4912:E$2)))))</f>
        <v> </v>
      </c>
      <c r="J4913" s="26" t="str">
        <f>IF(OR(E4913="",E4913="!!!",F4913="NEW"),"",COUNTBLANK(OFFSET(A$1,,,SUMPRODUCT(MAX(ROW(E$2:E4913)*(E4913=E$2:E4913)))))-COUNTBLANK(OFFSET(A$1,,,SUMPRODUCT(MAX(ROW(E$1:E4912)*(E2=E$1:E4912))))))</f>
        <v> </v>
      </c>
      <c r="K4913" s="26" t="str">
        <f>IF(OR(E4913="",E4913="!!!",F4913="NEW"),"",INDEX(J$1:J4912,SUMPRODUCT(MAX(ROW(E$1:E4912)*(E4913=E$1:E4912)))))</f>
        <v> </v>
      </c>
      <c r="L4913" s="27"/>
    </row>
    <row r="4914" spans="1:12">
      <c r="A4914" s="20" t="s">
        <v>1242</v>
      </c>
      <c r="E4914" s="22">
        <f>IF(D4914="?OLD","!!!","")</f>
        <v/>
      </c>
      <c r="F4914" s="23" t="str">
        <f>IF(OR(E4914="",E4914="!!!"),"",IF(NOT(ISNA(VLOOKUP(E4914,E$1:E4913,1,FALSE()))),"OLD",IF(AND(E4914&lt;&gt;"",E4914&lt;&gt;"!!!"),"NEW","")))</f>
        <v> </v>
      </c>
      <c r="G4914" s="24" t="str">
        <f>IF(OR(E4914="",E4914="!!!"),"",IF(OR(J4914=0,AND(J4914=1,K4914=1),AND(J4914=1,I4914="SBJ"),AND(J4914=1,I4914=0)),"?IN_FOCUS",IF(J4914&lt;=2,"?ACTIVATED",IF(J4914&lt;&gt;"","?FAMILIAR",IF(F4914="NEW",IF(ISNA(VLOOKUP(E4914,#REF!,1,FALSE())),"?TYPE_IDENTIFIABLE","?REFERENTIAL"),"_")))))</f>
        <v> </v>
      </c>
      <c r="H4914" s="25" t="str">
        <f>IF(J4914&lt;&gt;1,"",IF(I4914="SBJ","CB","?"))</f>
        <v> </v>
      </c>
      <c r="I4914" s="26" t="str">
        <f>IF(OR(E4914="",E4914="!!!",F4914="NEW"),"",INDEX(B4913:B$2,-1+SUMPRODUCT(MAX(ROW(E4913:E$2)*(E4914=E4913:E$2)))))</f>
        <v> </v>
      </c>
      <c r="J4914" s="26" t="str">
        <f>IF(OR(E4914="",E4914="!!!",F4914="NEW"),"",COUNTBLANK(OFFSET(A$1,,,SUMPRODUCT(MAX(ROW(E$2:E4914)*(E4914=E$2:E4914)))))-COUNTBLANK(OFFSET(A$1,,,SUMPRODUCT(MAX(ROW(E$1:E4913)*(E2=E$1:E4913))))))</f>
        <v> </v>
      </c>
      <c r="K4914" s="26" t="str">
        <f>IF(OR(E4914="",E4914="!!!",F4914="NEW"),"",INDEX(J$1:J4913,SUMPRODUCT(MAX(ROW(E$1:E4913)*(E4914=E$1:E4913)))))</f>
        <v> </v>
      </c>
      <c r="L4914" s="27"/>
    </row>
    <row r="4915" spans="1:12">
      <c r="A4915" s="20" t="s">
        <v>2440</v>
      </c>
      <c r="E4915" s="22">
        <f>IF(D4915="?OLD","!!!","")</f>
        <v/>
      </c>
      <c r="F4915" s="23" t="str">
        <f>IF(OR(E4915="",E4915="!!!"),"",IF(NOT(ISNA(VLOOKUP(E4915,E$1:E4914,1,FALSE()))),"OLD",IF(AND(E4915&lt;&gt;"",E4915&lt;&gt;"!!!"),"NEW","")))</f>
        <v> </v>
      </c>
      <c r="G4915" s="24" t="str">
        <f>IF(OR(E4915="",E4915="!!!"),"",IF(OR(J4915=0,AND(J4915=1,K4915=1),AND(J4915=1,I4915="SBJ"),AND(J4915=1,I4915=0)),"?IN_FOCUS",IF(J4915&lt;=2,"?ACTIVATED",IF(J4915&lt;&gt;"","?FAMILIAR",IF(F4915="NEW",IF(ISNA(VLOOKUP(E4915,#REF!,1,FALSE())),"?TYPE_IDENTIFIABLE","?REFERENTIAL"),"_")))))</f>
        <v> </v>
      </c>
      <c r="H4915" s="25" t="str">
        <f>IF(J4915&lt;&gt;1,"",IF(I4915="SBJ","CB","?"))</f>
        <v> </v>
      </c>
      <c r="I4915" s="26" t="str">
        <f>IF(OR(E4915="",E4915="!!!",F4915="NEW"),"",INDEX(B4914:B$2,-1+SUMPRODUCT(MAX(ROW(E4914:E$2)*(E4915=E4914:E$2)))))</f>
        <v> </v>
      </c>
      <c r="J4915" s="26" t="str">
        <f>IF(OR(E4915="",E4915="!!!",F4915="NEW"),"",COUNTBLANK(OFFSET(A$1,,,SUMPRODUCT(MAX(ROW(E$2:E4915)*(E4915=E$2:E4915)))))-COUNTBLANK(OFFSET(A$1,,,SUMPRODUCT(MAX(ROW(E$1:E4914)*(E2=E$1:E4914))))))</f>
        <v> </v>
      </c>
      <c r="K4915" s="26" t="str">
        <f>IF(OR(E4915="",E4915="!!!",F4915="NEW"),"",INDEX(J$1:J4914,SUMPRODUCT(MAX(ROW(E$1:E4914)*(E4915=E$1:E4914)))))</f>
        <v> </v>
      </c>
      <c r="L4915" s="27"/>
    </row>
    <row r="4916" spans="1:12">
      <c r="A4916" s="20" t="s">
        <v>1074</v>
      </c>
      <c r="B4916" s="21" t="s">
        <v>1132</v>
      </c>
      <c r="C4916" s="21" t="s">
        <v>1076</v>
      </c>
      <c r="D4916" s="21" t="s">
        <v>1060</v>
      </c>
      <c r="E4916" s="22">
        <f>IF(D4916="?OLD","!!!","")</f>
        <v/>
      </c>
      <c r="F4916" s="23" t="str">
        <f>IF(OR(E4916="",E4916="!!!"),"",IF(NOT(ISNA(VLOOKUP(E4916,E$1:E4915,1,FALSE()))),"OLD",IF(AND(E4916&lt;&gt;"",E4916&lt;&gt;"!!!"),"NEW","")))</f>
        <v> </v>
      </c>
      <c r="G4916" s="24" t="str">
        <f>IF(OR(E4916="",E4916="!!!"),"",IF(OR(J4916=0,AND(J4916=1,K4916=1),AND(J4916=1,I4916="SBJ"),AND(J4916=1,I4916=0)),"?IN_FOCUS",IF(J4916&lt;=2,"?ACTIVATED",IF(J4916&lt;&gt;"","?FAMILIAR",IF(F4916="NEW",IF(ISNA(VLOOKUP(E4916,#REF!,1,FALSE())),"?TYPE_IDENTIFIABLE","?REFERENTIAL"),"_")))))</f>
        <v> </v>
      </c>
      <c r="H4916" s="25" t="str">
        <f>IF(J4916&lt;&gt;1,"",IF(I4916="SBJ","CB","?"))</f>
        <v> </v>
      </c>
      <c r="I4916" s="26" t="str">
        <f>IF(OR(E4916="",E4916="!!!",F4916="NEW"),"",INDEX(B4915:B$2,-1+SUMPRODUCT(MAX(ROW(E4915:E$2)*(E4916=E4915:E$2)))))</f>
        <v> </v>
      </c>
      <c r="J4916" s="26" t="str">
        <f>IF(OR(E4916="",E4916="!!!",F4916="NEW"),"",COUNTBLANK(OFFSET(A$1,,,SUMPRODUCT(MAX(ROW(E$2:E4916)*(E4916=E$2:E4916)))))-COUNTBLANK(OFFSET(A$1,,,SUMPRODUCT(MAX(ROW(E$1:E4915)*(E2=E$1:E4915))))))</f>
        <v> </v>
      </c>
      <c r="K4916" s="26" t="str">
        <f>IF(OR(E4916="",E4916="!!!",F4916="NEW"),"",INDEX(J$1:J4915,SUMPRODUCT(MAX(ROW(E$1:E4915)*(E4916=E$1:E4915)))))</f>
        <v> </v>
      </c>
      <c r="L4916" s="27"/>
    </row>
    <row r="4917" spans="1:12">
      <c r="A4917" s="20" t="s">
        <v>1088</v>
      </c>
      <c r="E4917" s="22">
        <f>IF(D4917="?OLD","!!!","")</f>
        <v/>
      </c>
      <c r="F4917" s="23" t="str">
        <f>IF(OR(E4917="",E4917="!!!"),"",IF(NOT(ISNA(VLOOKUP(E4917,E$1:E4916,1,FALSE()))),"OLD",IF(AND(E4917&lt;&gt;"",E4917&lt;&gt;"!!!"),"NEW","")))</f>
        <v> </v>
      </c>
      <c r="G4917" s="24" t="str">
        <f>IF(OR(E4917="",E4917="!!!"),"",IF(OR(J4917=0,AND(J4917=1,K4917=1),AND(J4917=1,I4917="SBJ"),AND(J4917=1,I4917=0)),"?IN_FOCUS",IF(J4917&lt;=2,"?ACTIVATED",IF(J4917&lt;&gt;"","?FAMILIAR",IF(F4917="NEW",IF(ISNA(VLOOKUP(E4917,#REF!,1,FALSE())),"?TYPE_IDENTIFIABLE","?REFERENTIAL"),"_")))))</f>
        <v> </v>
      </c>
      <c r="H4917" s="25" t="str">
        <f>IF(J4917&lt;&gt;1,"",IF(I4917="SBJ","CB","?"))</f>
        <v> </v>
      </c>
      <c r="I4917" s="26" t="str">
        <f>IF(OR(E4917="",E4917="!!!",F4917="NEW"),"",INDEX(B4916:B$2,-1+SUMPRODUCT(MAX(ROW(E4916:E$2)*(E4917=E4916:E$2)))))</f>
        <v> </v>
      </c>
      <c r="J4917" s="26" t="str">
        <f>IF(OR(E4917="",E4917="!!!",F4917="NEW"),"",COUNTBLANK(OFFSET(A$1,,,SUMPRODUCT(MAX(ROW(E$2:E4917)*(E4917=E$2:E4917)))))-COUNTBLANK(OFFSET(A$1,,,SUMPRODUCT(MAX(ROW(E$1:E4916)*(E2=E$1:E4916))))))</f>
        <v> </v>
      </c>
      <c r="K4917" s="26" t="str">
        <f>IF(OR(E4917="",E4917="!!!",F4917="NEW"),"",INDEX(J$1:J4916,SUMPRODUCT(MAX(ROW(E$1:E4916)*(E4917=E$1:E4916)))))</f>
        <v> </v>
      </c>
      <c r="L4917" s="27"/>
    </row>
    <row r="4918" spans="1:12">
      <c r="A4918" s="20" t="s">
        <v>1980</v>
      </c>
      <c r="E4918" s="22">
        <f>IF(D4918="?OLD","!!!","")</f>
        <v/>
      </c>
      <c r="F4918" s="23" t="str">
        <f>IF(OR(E4918="",E4918="!!!"),"",IF(NOT(ISNA(VLOOKUP(E4918,E$1:E4917,1,FALSE()))),"OLD",IF(AND(E4918&lt;&gt;"",E4918&lt;&gt;"!!!"),"NEW","")))</f>
        <v> </v>
      </c>
      <c r="G4918" s="24" t="str">
        <f>IF(OR(E4918="",E4918="!!!"),"",IF(OR(J4918=0,AND(J4918=1,K4918=1),AND(J4918=1,I4918="SBJ"),AND(J4918=1,I4918=0)),"?IN_FOCUS",IF(J4918&lt;=2,"?ACTIVATED",IF(J4918&lt;&gt;"","?FAMILIAR",IF(F4918="NEW",IF(ISNA(VLOOKUP(E4918,#REF!,1,FALSE())),"?TYPE_IDENTIFIABLE","?REFERENTIAL"),"_")))))</f>
        <v> </v>
      </c>
      <c r="H4918" s="25" t="str">
        <f>IF(J4918&lt;&gt;1,"",IF(I4918="SBJ","CB","?"))</f>
        <v> </v>
      </c>
      <c r="I4918" s="26" t="str">
        <f>IF(OR(E4918="",E4918="!!!",F4918="NEW"),"",INDEX(B4917:B$2,-1+SUMPRODUCT(MAX(ROW(E4917:E$2)*(E4918=E4917:E$2)))))</f>
        <v> </v>
      </c>
      <c r="J4918" s="26" t="str">
        <f>IF(OR(E4918="",E4918="!!!",F4918="NEW"),"",COUNTBLANK(OFFSET(A$1,,,SUMPRODUCT(MAX(ROW(E$2:E4918)*(E4918=E$2:E4918)))))-COUNTBLANK(OFFSET(A$1,,,SUMPRODUCT(MAX(ROW(E$1:E4917)*(E2=E$1:E4917))))))</f>
        <v> </v>
      </c>
      <c r="K4918" s="26" t="str">
        <f>IF(OR(E4918="",E4918="!!!",F4918="NEW"),"",INDEX(J$1:J4917,SUMPRODUCT(MAX(ROW(E$1:E4917)*(E4918=E$1:E4917)))))</f>
        <v> </v>
      </c>
      <c r="L4918" s="27"/>
    </row>
    <row r="4919" spans="1:12">
      <c r="A4919" s="20" t="s">
        <v>1101</v>
      </c>
      <c r="E4919" s="22">
        <f>IF(D4919="?OLD","!!!","")</f>
        <v/>
      </c>
      <c r="F4919" s="23" t="str">
        <f>IF(OR(E4919="",E4919="!!!"),"",IF(NOT(ISNA(VLOOKUP(E4919,E$1:E4918,1,FALSE()))),"OLD",IF(AND(E4919&lt;&gt;"",E4919&lt;&gt;"!!!"),"NEW","")))</f>
        <v> </v>
      </c>
      <c r="G4919" s="24" t="str">
        <f>IF(OR(E4919="",E4919="!!!"),"",IF(OR(J4919=0,AND(J4919=1,K4919=1),AND(J4919=1,I4919="SBJ"),AND(J4919=1,I4919=0)),"?IN_FOCUS",IF(J4919&lt;=2,"?ACTIVATED",IF(J4919&lt;&gt;"","?FAMILIAR",IF(F4919="NEW",IF(ISNA(VLOOKUP(E4919,#REF!,1,FALSE())),"?TYPE_IDENTIFIABLE","?REFERENTIAL"),"_")))))</f>
        <v> </v>
      </c>
      <c r="H4919" s="25" t="str">
        <f>IF(J4919&lt;&gt;1,"",IF(I4919="SBJ","CB","?"))</f>
        <v> </v>
      </c>
      <c r="I4919" s="26" t="str">
        <f>IF(OR(E4919="",E4919="!!!",F4919="NEW"),"",INDEX(B4918:B$2,-1+SUMPRODUCT(MAX(ROW(E4918:E$2)*(E4919=E4918:E$2)))))</f>
        <v> </v>
      </c>
      <c r="J4919" s="26" t="str">
        <f>IF(OR(E4919="",E4919="!!!",F4919="NEW"),"",COUNTBLANK(OFFSET(A$1,,,SUMPRODUCT(MAX(ROW(E$2:E4919)*(E4919=E$2:E4919)))))-COUNTBLANK(OFFSET(A$1,,,SUMPRODUCT(MAX(ROW(E$1:E4918)*(E2=E$1:E4918))))))</f>
        <v> </v>
      </c>
      <c r="K4919" s="26" t="str">
        <f>IF(OR(E4919="",E4919="!!!",F4919="NEW"),"",INDEX(J$1:J4918,SUMPRODUCT(MAX(ROW(E$1:E4918)*(E4919=E$1:E4918)))))</f>
        <v> </v>
      </c>
      <c r="L4919" s="27"/>
    </row>
    <row r="4920" spans="1:12">
      <c r="A4920" s="20" t="s">
        <v>768</v>
      </c>
      <c r="B4920" s="21" t="s">
        <v>1136</v>
      </c>
      <c r="C4920" s="21" t="s">
        <v>1140</v>
      </c>
      <c r="D4920" s="21" t="s">
        <v>1060</v>
      </c>
      <c r="E4920" s="22">
        <f>IF(D4920="?OLD","!!!","")</f>
        <v/>
      </c>
      <c r="F4920" s="23" t="str">
        <f>IF(OR(E4920="",E4920="!!!"),"",IF(NOT(ISNA(VLOOKUP(E4920,E$1:E4919,1,FALSE()))),"OLD",IF(AND(E4920&lt;&gt;"",E4920&lt;&gt;"!!!"),"NEW","")))</f>
        <v> </v>
      </c>
      <c r="G4920" s="24" t="str">
        <f>IF(OR(E4920="",E4920="!!!"),"",IF(OR(J4920=0,AND(J4920=1,K4920=1),AND(J4920=1,I4920="SBJ"),AND(J4920=1,I4920=0)),"?IN_FOCUS",IF(J4920&lt;=2,"?ACTIVATED",IF(J4920&lt;&gt;"","?FAMILIAR",IF(F4920="NEW",IF(ISNA(VLOOKUP(E4920,#REF!,1,FALSE())),"?TYPE_IDENTIFIABLE","?REFERENTIAL"),"_")))))</f>
        <v> </v>
      </c>
      <c r="H4920" s="25" t="str">
        <f>IF(J4920&lt;&gt;1,"",IF(I4920="SBJ","CB","?"))</f>
        <v> </v>
      </c>
      <c r="I4920" s="26" t="str">
        <f>IF(OR(E4920="",E4920="!!!",F4920="NEW"),"",INDEX(B4919:B$2,-1+SUMPRODUCT(MAX(ROW(E4919:E$2)*(E4920=E4919:E$2)))))</f>
        <v> </v>
      </c>
      <c r="J4920" s="26" t="str">
        <f>IF(OR(E4920="",E4920="!!!",F4920="NEW"),"",COUNTBLANK(OFFSET(A$1,,,SUMPRODUCT(MAX(ROW(E$2:E4920)*(E4920=E$2:E4920)))))-COUNTBLANK(OFFSET(A$1,,,SUMPRODUCT(MAX(ROW(E$1:E4919)*(E2=E$1:E4919))))))</f>
        <v> </v>
      </c>
      <c r="K4920" s="26" t="str">
        <f>IF(OR(E4920="",E4920="!!!",F4920="NEW"),"",INDEX(J$1:J4919,SUMPRODUCT(MAX(ROW(E$1:E4919)*(E4920=E$1:E4919)))))</f>
        <v> </v>
      </c>
      <c r="L4920" s="27"/>
    </row>
    <row r="4921" spans="1:12">
      <c r="A4921" s="20" t="s">
        <v>1199</v>
      </c>
      <c r="E4921" s="22">
        <f>IF(D4921="?OLD","!!!","")</f>
        <v/>
      </c>
      <c r="F4921" s="23" t="str">
        <f>IF(OR(E4921="",E4921="!!!"),"",IF(NOT(ISNA(VLOOKUP(E4921,E$1:E4920,1,FALSE()))),"OLD",IF(AND(E4921&lt;&gt;"",E4921&lt;&gt;"!!!"),"NEW","")))</f>
        <v> </v>
      </c>
      <c r="G4921" s="24" t="str">
        <f>IF(OR(E4921="",E4921="!!!"),"",IF(OR(J4921=0,AND(J4921=1,K4921=1),AND(J4921=1,I4921="SBJ"),AND(J4921=1,I4921=0)),"?IN_FOCUS",IF(J4921&lt;=2,"?ACTIVATED",IF(J4921&lt;&gt;"","?FAMILIAR",IF(F4921="NEW",IF(ISNA(VLOOKUP(E4921,#REF!,1,FALSE())),"?TYPE_IDENTIFIABLE","?REFERENTIAL"),"_")))))</f>
        <v> </v>
      </c>
      <c r="H4921" s="25" t="str">
        <f>IF(J4921&lt;&gt;1,"",IF(I4921="SBJ","CB","?"))</f>
        <v> </v>
      </c>
      <c r="I4921" s="26" t="str">
        <f>IF(OR(E4921="",E4921="!!!",F4921="NEW"),"",INDEX(B4920:B$2,-1+SUMPRODUCT(MAX(ROW(E4920:E$2)*(E4921=E4920:E$2)))))</f>
        <v> </v>
      </c>
      <c r="J4921" s="26" t="str">
        <f>IF(OR(E4921="",E4921="!!!",F4921="NEW"),"",COUNTBLANK(OFFSET(A$1,,,SUMPRODUCT(MAX(ROW(E$2:E4921)*(E4921=E$2:E4921)))))-COUNTBLANK(OFFSET(A$1,,,SUMPRODUCT(MAX(ROW(E$1:E4920)*(E2=E$1:E4920))))))</f>
        <v> </v>
      </c>
      <c r="K4921" s="26" t="str">
        <f>IF(OR(E4921="",E4921="!!!",F4921="NEW"),"",INDEX(J$1:J4920,SUMPRODUCT(MAX(ROW(E$1:E4920)*(E4921=E$1:E4920)))))</f>
        <v> </v>
      </c>
      <c r="L4921" s="27"/>
    </row>
    <row r="4922" spans="1:12">
      <c r="A4922" s="20" t="s">
        <v>1101</v>
      </c>
      <c r="E4922" s="22">
        <f>IF(D4922="?OLD","!!!","")</f>
        <v/>
      </c>
      <c r="F4922" s="23" t="str">
        <f>IF(OR(E4922="",E4922="!!!"),"",IF(NOT(ISNA(VLOOKUP(E4922,E$1:E4921,1,FALSE()))),"OLD",IF(AND(E4922&lt;&gt;"",E4922&lt;&gt;"!!!"),"NEW","")))</f>
        <v> </v>
      </c>
      <c r="G4922" s="24" t="str">
        <f>IF(OR(E4922="",E4922="!!!"),"",IF(OR(J4922=0,AND(J4922=1,K4922=1),AND(J4922=1,I4922="SBJ"),AND(J4922=1,I4922=0)),"?IN_FOCUS",IF(J4922&lt;=2,"?ACTIVATED",IF(J4922&lt;&gt;"","?FAMILIAR",IF(F4922="NEW",IF(ISNA(VLOOKUP(E4922,#REF!,1,FALSE())),"?TYPE_IDENTIFIABLE","?REFERENTIAL"),"_")))))</f>
        <v> </v>
      </c>
      <c r="H4922" s="25" t="str">
        <f>IF(J4922&lt;&gt;1,"",IF(I4922="SBJ","CB","?"))</f>
        <v> </v>
      </c>
      <c r="I4922" s="26" t="str">
        <f>IF(OR(E4922="",E4922="!!!",F4922="NEW"),"",INDEX(B4921:B$2,-1+SUMPRODUCT(MAX(ROW(E4921:E$2)*(E4922=E4921:E$2)))))</f>
        <v> </v>
      </c>
      <c r="J4922" s="26" t="str">
        <f>IF(OR(E4922="",E4922="!!!",F4922="NEW"),"",COUNTBLANK(OFFSET(A$1,,,SUMPRODUCT(MAX(ROW(E$2:E4922)*(E4922=E$2:E4922)))))-COUNTBLANK(OFFSET(A$1,,,SUMPRODUCT(MAX(ROW(E$1:E4921)*(E2=E$1:E4921))))))</f>
        <v> </v>
      </c>
      <c r="K4922" s="26" t="str">
        <f>IF(OR(E4922="",E4922="!!!",F4922="NEW"),"",INDEX(J$1:J4921,SUMPRODUCT(MAX(ROW(E$1:E4921)*(E4922=E$1:E4921)))))</f>
        <v> </v>
      </c>
      <c r="L4922" s="27"/>
    </row>
    <row r="4923" spans="1:12">
      <c r="A4923" s="20" t="s">
        <v>1351</v>
      </c>
      <c r="B4923" s="21" t="s">
        <v>1064</v>
      </c>
      <c r="C4923" s="21" t="s">
        <v>1140</v>
      </c>
      <c r="D4923" s="21" t="s">
        <v>1060</v>
      </c>
      <c r="E4923" s="22">
        <f>IF(D4923="?OLD","!!!","")</f>
        <v/>
      </c>
      <c r="F4923" s="23" t="str">
        <f>IF(OR(E4923="",E4923="!!!"),"",IF(NOT(ISNA(VLOOKUP(E4923,E$1:E4922,1,FALSE()))),"OLD",IF(AND(E4923&lt;&gt;"",E4923&lt;&gt;"!!!"),"NEW","")))</f>
        <v> </v>
      </c>
      <c r="G4923" s="24" t="str">
        <f>IF(OR(E4923="",E4923="!!!"),"",IF(OR(J4923=0,AND(J4923=1,K4923=1),AND(J4923=1,I4923="SBJ"),AND(J4923=1,I4923=0)),"?IN_FOCUS",IF(J4923&lt;=2,"?ACTIVATED",IF(J4923&lt;&gt;"","?FAMILIAR",IF(F4923="NEW",IF(ISNA(VLOOKUP(E4923,#REF!,1,FALSE())),"?TYPE_IDENTIFIABLE","?REFERENTIAL"),"_")))))</f>
        <v> </v>
      </c>
      <c r="H4923" s="25" t="str">
        <f>IF(J4923&lt;&gt;1,"",IF(I4923="SBJ","CB","?"))</f>
        <v> </v>
      </c>
      <c r="I4923" s="26" t="str">
        <f>IF(OR(E4923="",E4923="!!!",F4923="NEW"),"",INDEX(B4922:B$2,-1+SUMPRODUCT(MAX(ROW(E4922:E$2)*(E4923=E4922:E$2)))))</f>
        <v> </v>
      </c>
      <c r="J4923" s="26" t="str">
        <f>IF(OR(E4923="",E4923="!!!",F4923="NEW"),"",COUNTBLANK(OFFSET(A$1,,,SUMPRODUCT(MAX(ROW(E$2:E4923)*(E4923=E$2:E4923)))))-COUNTBLANK(OFFSET(A$1,,,SUMPRODUCT(MAX(ROW(E$1:E4922)*(E2=E$1:E4922))))))</f>
        <v> </v>
      </c>
      <c r="K4923" s="26" t="str">
        <f>IF(OR(E4923="",E4923="!!!",F4923="NEW"),"",INDEX(J$1:J4922,SUMPRODUCT(MAX(ROW(E$1:E4922)*(E4923=E$1:E4922)))))</f>
        <v> </v>
      </c>
      <c r="L4923" s="27"/>
    </row>
    <row r="4924" spans="1:12">
      <c r="A4924" s="20" t="s">
        <v>923</v>
      </c>
      <c r="E4924" s="22">
        <f>IF(D4924="?OLD","!!!","")</f>
        <v/>
      </c>
      <c r="F4924" s="23" t="str">
        <f>IF(OR(E4924="",E4924="!!!"),"",IF(NOT(ISNA(VLOOKUP(E4924,E$1:E4923,1,FALSE()))),"OLD",IF(AND(E4924&lt;&gt;"",E4924&lt;&gt;"!!!"),"NEW","")))</f>
        <v> </v>
      </c>
      <c r="G4924" s="24" t="str">
        <f>IF(OR(E4924="",E4924="!!!"),"",IF(OR(J4924=0,AND(J4924=1,K4924=1),AND(J4924=1,I4924="SBJ"),AND(J4924=1,I4924=0)),"?IN_FOCUS",IF(J4924&lt;=2,"?ACTIVATED",IF(J4924&lt;&gt;"","?FAMILIAR",IF(F4924="NEW",IF(ISNA(VLOOKUP(E4924,#REF!,1,FALSE())),"?TYPE_IDENTIFIABLE","?REFERENTIAL"),"_")))))</f>
        <v> </v>
      </c>
      <c r="H4924" s="25" t="str">
        <f>IF(J4924&lt;&gt;1,"",IF(I4924="SBJ","CB","?"))</f>
        <v> </v>
      </c>
      <c r="I4924" s="26" t="str">
        <f>IF(OR(E4924="",E4924="!!!",F4924="NEW"),"",INDEX(B4923:B$2,-1+SUMPRODUCT(MAX(ROW(E4923:E$2)*(E4924=E4923:E$2)))))</f>
        <v> </v>
      </c>
      <c r="J4924" s="26" t="str">
        <f>IF(OR(E4924="",E4924="!!!",F4924="NEW"),"",COUNTBLANK(OFFSET(A$1,,,SUMPRODUCT(MAX(ROW(E$2:E4924)*(E4924=E$2:E4924)))))-COUNTBLANK(OFFSET(A$1,,,SUMPRODUCT(MAX(ROW(E$1:E4923)*(E2=E$1:E4923))))))</f>
        <v> </v>
      </c>
      <c r="K4924" s="26" t="str">
        <f>IF(OR(E4924="",E4924="!!!",F4924="NEW"),"",INDEX(J$1:J4923,SUMPRODUCT(MAX(ROW(E$1:E4923)*(E4924=E$1:E4923)))))</f>
        <v> </v>
      </c>
      <c r="L4924" s="27"/>
    </row>
    <row r="4925" spans="1:12">
      <c r="A4925" s="20"/>
    </row>
    <row r="4926" spans="1:12">
      <c r="A4926" s="20" t="s">
        <v>2441</v>
      </c>
    </row>
    <row r="4927" spans="1:12">
      <c r="A4927" s="20" t="s">
        <v>1508</v>
      </c>
      <c r="B4927" s="21" t="s">
        <v>1058</v>
      </c>
      <c r="C4927" s="21" t="s">
        <v>1076</v>
      </c>
      <c r="D4927" s="21" t="s">
        <v>1060</v>
      </c>
      <c r="E4927" s="22">
        <f>IF(D4927="?OLD","!!!","")</f>
        <v/>
      </c>
      <c r="F4927" s="23" t="str">
        <f>IF(OR(E4927="",E4927="!!!"),"",IF(NOT(ISNA(VLOOKUP(E4927,E$1:E4926,1,FALSE()))),"OLD",IF(AND(E4927&lt;&gt;"",E4927&lt;&gt;"!!!"),"NEW","")))</f>
        <v> </v>
      </c>
      <c r="G4927" s="24" t="str">
        <f>IF(OR(E4927="",E4927="!!!"),"",IF(OR(J4927=0,AND(J4927=1,K4927=1),AND(J4927=1,I4927="SBJ"),AND(J4927=1,I4927=0)),"?IN_FOCUS",IF(J4927&lt;=2,"?ACTIVATED",IF(J4927&lt;&gt;"","?FAMILIAR",IF(F4927="NEW",IF(ISNA(VLOOKUP(E4927,#REF!,1,FALSE())),"?TYPE_IDENTIFIABLE","?REFERENTIAL"),"_")))))</f>
        <v> </v>
      </c>
      <c r="H4927" s="25" t="str">
        <f>IF(J4927&lt;&gt;1,"",IF(I4927="SBJ","CB","?"))</f>
        <v> </v>
      </c>
      <c r="I4927" s="26" t="str">
        <f>IF(OR(E4927="",E4927="!!!",F4927="NEW"),"",INDEX(B4926:B$2,-1+SUMPRODUCT(MAX(ROW(E4926:E$2)*(E4927=E4926:E$2)))))</f>
        <v> </v>
      </c>
      <c r="J4927" s="26" t="str">
        <f>IF(OR(E4927="",E4927="!!!",F4927="NEW"),"",COUNTBLANK(OFFSET(A$1,,,SUMPRODUCT(MAX(ROW(E$2:E4927)*(E4927=E$2:E4927)))))-COUNTBLANK(OFFSET(A$1,,,SUMPRODUCT(MAX(ROW(E$1:E4926)*(E2=E$1:E4926))))))</f>
        <v> </v>
      </c>
      <c r="K4927" s="26" t="str">
        <f>IF(OR(E4927="",E4927="!!!",F4927="NEW"),"",INDEX(J$1:J4926,SUMPRODUCT(MAX(ROW(E$1:E4926)*(E4927=E$1:E4926)))))</f>
        <v> </v>
      </c>
      <c r="L4927" s="27"/>
    </row>
    <row r="4928" spans="1:12">
      <c r="A4928" s="20" t="s">
        <v>2260</v>
      </c>
      <c r="E4928" s="22">
        <f>IF(D4928="?OLD","!!!","")</f>
        <v/>
      </c>
      <c r="F4928" s="23" t="str">
        <f>IF(OR(E4928="",E4928="!!!"),"",IF(NOT(ISNA(VLOOKUP(E4928,E$1:E4927,1,FALSE()))),"OLD",IF(AND(E4928&lt;&gt;"",E4928&lt;&gt;"!!!"),"NEW","")))</f>
        <v> </v>
      </c>
      <c r="G4928" s="24" t="str">
        <f>IF(OR(E4928="",E4928="!!!"),"",IF(OR(J4928=0,AND(J4928=1,K4928=1),AND(J4928=1,I4928="SBJ"),AND(J4928=1,I4928=0)),"?IN_FOCUS",IF(J4928&lt;=2,"?ACTIVATED",IF(J4928&lt;&gt;"","?FAMILIAR",IF(F4928="NEW",IF(ISNA(VLOOKUP(E4928,#REF!,1,FALSE())),"?TYPE_IDENTIFIABLE","?REFERENTIAL"),"_")))))</f>
        <v> </v>
      </c>
      <c r="H4928" s="25" t="str">
        <f>IF(J4928&lt;&gt;1,"",IF(I4928="SBJ","CB","?"))</f>
        <v> </v>
      </c>
      <c r="I4928" s="26" t="str">
        <f>IF(OR(E4928="",E4928="!!!",F4928="NEW"),"",INDEX(B4927:B$2,-1+SUMPRODUCT(MAX(ROW(E4927:E$2)*(E4928=E4927:E$2)))))</f>
        <v> </v>
      </c>
      <c r="J4928" s="26" t="str">
        <f>IF(OR(E4928="",E4928="!!!",F4928="NEW"),"",COUNTBLANK(OFFSET(A$1,,,SUMPRODUCT(MAX(ROW(E$2:E4928)*(E4928=E$2:E4928)))))-COUNTBLANK(OFFSET(A$1,,,SUMPRODUCT(MAX(ROW(E$1:E4927)*(E2=E$1:E4927))))))</f>
        <v> </v>
      </c>
      <c r="K4928" s="26" t="str">
        <f>IF(OR(E4928="",E4928="!!!",F4928="NEW"),"",INDEX(J$1:J4927,SUMPRODUCT(MAX(ROW(E$1:E4927)*(E4928=E$1:E4927)))))</f>
        <v> </v>
      </c>
      <c r="L4928" s="27"/>
    </row>
    <row r="4929" spans="1:12">
      <c r="A4929" s="20" t="s">
        <v>1196</v>
      </c>
      <c r="E4929" s="22">
        <f>IF(D4929="?OLD","!!!","")</f>
        <v/>
      </c>
      <c r="F4929" s="23" t="str">
        <f>IF(OR(E4929="",E4929="!!!"),"",IF(NOT(ISNA(VLOOKUP(E4929,E$1:E4928,1,FALSE()))),"OLD",IF(AND(E4929&lt;&gt;"",E4929&lt;&gt;"!!!"),"NEW","")))</f>
        <v> </v>
      </c>
      <c r="G4929" s="24" t="str">
        <f>IF(OR(E4929="",E4929="!!!"),"",IF(OR(J4929=0,AND(J4929=1,K4929=1),AND(J4929=1,I4929="SBJ"),AND(J4929=1,I4929=0)),"?IN_FOCUS",IF(J4929&lt;=2,"?ACTIVATED",IF(J4929&lt;&gt;"","?FAMILIAR",IF(F4929="NEW",IF(ISNA(VLOOKUP(E4929,#REF!,1,FALSE())),"?TYPE_IDENTIFIABLE","?REFERENTIAL"),"_")))))</f>
        <v> </v>
      </c>
      <c r="H4929" s="25" t="str">
        <f>IF(J4929&lt;&gt;1,"",IF(I4929="SBJ","CB","?"))</f>
        <v> </v>
      </c>
      <c r="I4929" s="26" t="str">
        <f>IF(OR(E4929="",E4929="!!!",F4929="NEW"),"",INDEX(B4928:B$2,-1+SUMPRODUCT(MAX(ROW(E4928:E$2)*(E4929=E4928:E$2)))))</f>
        <v> </v>
      </c>
      <c r="J4929" s="26" t="str">
        <f>IF(OR(E4929="",E4929="!!!",F4929="NEW"),"",COUNTBLANK(OFFSET(A$1,,,SUMPRODUCT(MAX(ROW(E$2:E4929)*(E4929=E$2:E4929)))))-COUNTBLANK(OFFSET(A$1,,,SUMPRODUCT(MAX(ROW(E$1:E4928)*(E2=E$1:E4928))))))</f>
        <v> </v>
      </c>
      <c r="K4929" s="26" t="str">
        <f>IF(OR(E4929="",E4929="!!!",F4929="NEW"),"",INDEX(J$1:J4928,SUMPRODUCT(MAX(ROW(E$1:E4928)*(E4929=E$1:E4928)))))</f>
        <v> </v>
      </c>
      <c r="L4929" s="27"/>
    </row>
    <row r="4930" spans="1:12">
      <c r="A4930" s="20" t="s">
        <v>1083</v>
      </c>
      <c r="B4930" s="21" t="s">
        <v>1079</v>
      </c>
      <c r="C4930" s="21" t="s">
        <v>1076</v>
      </c>
      <c r="D4930" s="21" t="s">
        <v>1060</v>
      </c>
      <c r="E4930" s="22">
        <f>IF(D4930="?OLD","!!!","")</f>
        <v/>
      </c>
      <c r="F4930" s="23" t="str">
        <f>IF(OR(E4930="",E4930="!!!"),"",IF(NOT(ISNA(VLOOKUP(E4930,E$1:E4929,1,FALSE()))),"OLD",IF(AND(E4930&lt;&gt;"",E4930&lt;&gt;"!!!"),"NEW","")))</f>
        <v> </v>
      </c>
      <c r="G4930" s="24" t="str">
        <f>IF(OR(E4930="",E4930="!!!"),"",IF(OR(J4930=0,AND(J4930=1,K4930=1),AND(J4930=1,I4930="SBJ"),AND(J4930=1,I4930=0)),"?IN_FOCUS",IF(J4930&lt;=2,"?ACTIVATED",IF(J4930&lt;&gt;"","?FAMILIAR",IF(F4930="NEW",IF(ISNA(VLOOKUP(E4930,#REF!,1,FALSE())),"?TYPE_IDENTIFIABLE","?REFERENTIAL"),"_")))))</f>
        <v> </v>
      </c>
      <c r="H4930" s="25" t="str">
        <f>IF(J4930&lt;&gt;1,"",IF(I4930="SBJ","CB","?"))</f>
        <v> </v>
      </c>
      <c r="I4930" s="26" t="str">
        <f>IF(OR(E4930="",E4930="!!!",F4930="NEW"),"",INDEX(B4929:B$2,-1+SUMPRODUCT(MAX(ROW(E4929:E$2)*(E4930=E4929:E$2)))))</f>
        <v> </v>
      </c>
      <c r="J4930" s="26" t="str">
        <f>IF(OR(E4930="",E4930="!!!",F4930="NEW"),"",COUNTBLANK(OFFSET(A$1,,,SUMPRODUCT(MAX(ROW(E$2:E4930)*(E4930=E$2:E4930)))))-COUNTBLANK(OFFSET(A$1,,,SUMPRODUCT(MAX(ROW(E$1:E4929)*(E2=E$1:E4929))))))</f>
        <v> </v>
      </c>
      <c r="K4930" s="26" t="str">
        <f>IF(OR(E4930="",E4930="!!!",F4930="NEW"),"",INDEX(J$1:J4929,SUMPRODUCT(MAX(ROW(E$1:E4929)*(E4930=E$1:E4929)))))</f>
        <v> </v>
      </c>
      <c r="L4930" s="27"/>
    </row>
    <row r="4931" spans="1:12">
      <c r="A4931" s="20" t="s">
        <v>1248</v>
      </c>
      <c r="E4931" s="22">
        <f>IF(D4931="?OLD","!!!","")</f>
        <v/>
      </c>
      <c r="F4931" s="23" t="str">
        <f>IF(OR(E4931="",E4931="!!!"),"",IF(NOT(ISNA(VLOOKUP(E4931,E$1:E4930,1,FALSE()))),"OLD",IF(AND(E4931&lt;&gt;"",E4931&lt;&gt;"!!!"),"NEW","")))</f>
        <v> </v>
      </c>
      <c r="G4931" s="24" t="str">
        <f>IF(OR(E4931="",E4931="!!!"),"",IF(OR(J4931=0,AND(J4931=1,K4931=1),AND(J4931=1,I4931="SBJ"),AND(J4931=1,I4931=0)),"?IN_FOCUS",IF(J4931&lt;=2,"?ACTIVATED",IF(J4931&lt;&gt;"","?FAMILIAR",IF(F4931="NEW",IF(ISNA(VLOOKUP(E4931,#REF!,1,FALSE())),"?TYPE_IDENTIFIABLE","?REFERENTIAL"),"_")))))</f>
        <v> </v>
      </c>
      <c r="H4931" s="25" t="str">
        <f>IF(J4931&lt;&gt;1,"",IF(I4931="SBJ","CB","?"))</f>
        <v> </v>
      </c>
      <c r="I4931" s="26" t="str">
        <f>IF(OR(E4931="",E4931="!!!",F4931="NEW"),"",INDEX(B4930:B$2,-1+SUMPRODUCT(MAX(ROW(E4930:E$2)*(E4931=E4930:E$2)))))</f>
        <v> </v>
      </c>
      <c r="J4931" s="26" t="str">
        <f>IF(OR(E4931="",E4931="!!!",F4931="NEW"),"",COUNTBLANK(OFFSET(A$1,,,SUMPRODUCT(MAX(ROW(E$2:E4931)*(E4931=E$2:E4931)))))-COUNTBLANK(OFFSET(A$1,,,SUMPRODUCT(MAX(ROW(E$1:E4930)*(E2=E$1:E4930))))))</f>
        <v> </v>
      </c>
      <c r="K4931" s="26" t="str">
        <f>IF(OR(E4931="",E4931="!!!",F4931="NEW"),"",INDEX(J$1:J4930,SUMPRODUCT(MAX(ROW(E$1:E4930)*(E4931=E$1:E4930)))))</f>
        <v> </v>
      </c>
      <c r="L4931" s="27"/>
    </row>
    <row r="4932" spans="1:12">
      <c r="A4932" s="20" t="s">
        <v>1101</v>
      </c>
      <c r="E4932" s="22">
        <f>IF(D4932="?OLD","!!!","")</f>
        <v/>
      </c>
      <c r="F4932" s="23" t="str">
        <f>IF(OR(E4932="",E4932="!!!"),"",IF(NOT(ISNA(VLOOKUP(E4932,E$1:E4931,1,FALSE()))),"OLD",IF(AND(E4932&lt;&gt;"",E4932&lt;&gt;"!!!"),"NEW","")))</f>
        <v> </v>
      </c>
      <c r="G4932" s="24" t="str">
        <f>IF(OR(E4932="",E4932="!!!"),"",IF(OR(J4932=0,AND(J4932=1,K4932=1),AND(J4932=1,I4932="SBJ"),AND(J4932=1,I4932=0)),"?IN_FOCUS",IF(J4932&lt;=2,"?ACTIVATED",IF(J4932&lt;&gt;"","?FAMILIAR",IF(F4932="NEW",IF(ISNA(VLOOKUP(E4932,#REF!,1,FALSE())),"?TYPE_IDENTIFIABLE","?REFERENTIAL"),"_")))))</f>
        <v> </v>
      </c>
      <c r="H4932" s="25" t="str">
        <f>IF(J4932&lt;&gt;1,"",IF(I4932="SBJ","CB","?"))</f>
        <v> </v>
      </c>
      <c r="I4932" s="26" t="str">
        <f>IF(OR(E4932="",E4932="!!!",F4932="NEW"),"",INDEX(B4931:B$2,-1+SUMPRODUCT(MAX(ROW(E4931:E$2)*(E4932=E4931:E$2)))))</f>
        <v> </v>
      </c>
      <c r="J4932" s="26" t="str">
        <f>IF(OR(E4932="",E4932="!!!",F4932="NEW"),"",COUNTBLANK(OFFSET(A$1,,,SUMPRODUCT(MAX(ROW(E$2:E4932)*(E4932=E$2:E4932)))))-COUNTBLANK(OFFSET(A$1,,,SUMPRODUCT(MAX(ROW(E$1:E4931)*(E2=E$1:E4931))))))</f>
        <v> </v>
      </c>
      <c r="K4932" s="26" t="str">
        <f>IF(OR(E4932="",E4932="!!!",F4932="NEW"),"",INDEX(J$1:J4931,SUMPRODUCT(MAX(ROW(E$1:E4931)*(E4932=E$1:E4931)))))</f>
        <v> </v>
      </c>
      <c r="L4932" s="27"/>
    </row>
    <row r="4933" spans="1:12">
      <c r="A4933" s="20" t="s">
        <v>98</v>
      </c>
      <c r="B4933" s="21" t="s">
        <v>1084</v>
      </c>
      <c r="C4933" s="21" t="s">
        <v>1140</v>
      </c>
      <c r="D4933" s="21" t="s">
        <v>1060</v>
      </c>
      <c r="E4933" s="22">
        <f>IF(D4933="?OLD","!!!","")</f>
        <v/>
      </c>
      <c r="F4933" s="23" t="str">
        <f>IF(OR(E4933="",E4933="!!!"),"",IF(NOT(ISNA(VLOOKUP(E4933,E$1:E4932,1,FALSE()))),"OLD",IF(AND(E4933&lt;&gt;"",E4933&lt;&gt;"!!!"),"NEW","")))</f>
        <v> </v>
      </c>
      <c r="G4933" s="24" t="str">
        <f>IF(OR(E4933="",E4933="!!!"),"",IF(OR(J4933=0,AND(J4933=1,K4933=1),AND(J4933=1,I4933="SBJ"),AND(J4933=1,I4933=0)),"?IN_FOCUS",IF(J4933&lt;=2,"?ACTIVATED",IF(J4933&lt;&gt;"","?FAMILIAR",IF(F4933="NEW",IF(ISNA(VLOOKUP(E4933,#REF!,1,FALSE())),"?TYPE_IDENTIFIABLE","?REFERENTIAL"),"_")))))</f>
        <v> </v>
      </c>
      <c r="H4933" s="25" t="str">
        <f>IF(J4933&lt;&gt;1,"",IF(I4933="SBJ","CB","?"))</f>
        <v> </v>
      </c>
      <c r="I4933" s="26" t="str">
        <f>IF(OR(E4933="",E4933="!!!",F4933="NEW"),"",INDEX(B4932:B$2,-1+SUMPRODUCT(MAX(ROW(E4932:E$2)*(E4933=E4932:E$2)))))</f>
        <v> </v>
      </c>
      <c r="J4933" s="26" t="str">
        <f>IF(OR(E4933="",E4933="!!!",F4933="NEW"),"",COUNTBLANK(OFFSET(A$1,,,SUMPRODUCT(MAX(ROW(E$2:E4933)*(E4933=E$2:E4933)))))-COUNTBLANK(OFFSET(A$1,,,SUMPRODUCT(MAX(ROW(E$1:E4932)*(E2=E$1:E4932))))))</f>
        <v> </v>
      </c>
      <c r="K4933" s="26" t="str">
        <f>IF(OR(E4933="",E4933="!!!",F4933="NEW"),"",INDEX(J$1:J4932,SUMPRODUCT(MAX(ROW(E$1:E4932)*(E4933=E$1:E4932)))))</f>
        <v> </v>
      </c>
      <c r="L4933" s="27"/>
    </row>
    <row r="4934" spans="1:12">
      <c r="A4934" s="20" t="s">
        <v>1085</v>
      </c>
      <c r="E4934" s="22">
        <f>IF(D4934="?OLD","!!!","")</f>
        <v/>
      </c>
      <c r="F4934" s="23" t="str">
        <f>IF(OR(E4934="",E4934="!!!"),"",IF(NOT(ISNA(VLOOKUP(E4934,E$1:E4933,1,FALSE()))),"OLD",IF(AND(E4934&lt;&gt;"",E4934&lt;&gt;"!!!"),"NEW","")))</f>
        <v> </v>
      </c>
      <c r="G4934" s="24" t="str">
        <f>IF(OR(E4934="",E4934="!!!"),"",IF(OR(J4934=0,AND(J4934=1,K4934=1),AND(J4934=1,I4934="SBJ"),AND(J4934=1,I4934=0)),"?IN_FOCUS",IF(J4934&lt;=2,"?ACTIVATED",IF(J4934&lt;&gt;"","?FAMILIAR",IF(F4934="NEW",IF(ISNA(VLOOKUP(E4934,#REF!,1,FALSE())),"?TYPE_IDENTIFIABLE","?REFERENTIAL"),"_")))))</f>
        <v> </v>
      </c>
      <c r="H4934" s="25" t="str">
        <f>IF(J4934&lt;&gt;1,"",IF(I4934="SBJ","CB","?"))</f>
        <v> </v>
      </c>
      <c r="I4934" s="26" t="str">
        <f>IF(OR(E4934="",E4934="!!!",F4934="NEW"),"",INDEX(B4933:B$2,-1+SUMPRODUCT(MAX(ROW(E4933:E$2)*(E4934=E4933:E$2)))))</f>
        <v> </v>
      </c>
      <c r="J4934" s="26" t="str">
        <f>IF(OR(E4934="",E4934="!!!",F4934="NEW"),"",COUNTBLANK(OFFSET(A$1,,,SUMPRODUCT(MAX(ROW(E$2:E4934)*(E4934=E$2:E4934)))))-COUNTBLANK(OFFSET(A$1,,,SUMPRODUCT(MAX(ROW(E$1:E4933)*(E2=E$1:E4933))))))</f>
        <v> </v>
      </c>
      <c r="K4934" s="26" t="str">
        <f>IF(OR(E4934="",E4934="!!!",F4934="NEW"),"",INDEX(J$1:J4933,SUMPRODUCT(MAX(ROW(E$1:E4933)*(E4934=E$1:E4933)))))</f>
        <v> </v>
      </c>
      <c r="L4934" s="27"/>
    </row>
    <row r="4935" spans="1:12">
      <c r="A4935" s="20" t="s">
        <v>1257</v>
      </c>
      <c r="E4935" s="22">
        <f>IF(D4935="?OLD","!!!","")</f>
        <v/>
      </c>
      <c r="F4935" s="23" t="str">
        <f>IF(OR(E4935="",E4935="!!!"),"",IF(NOT(ISNA(VLOOKUP(E4935,E$1:E4934,1,FALSE()))),"OLD",IF(AND(E4935&lt;&gt;"",E4935&lt;&gt;"!!!"),"NEW","")))</f>
        <v> </v>
      </c>
      <c r="G4935" s="24" t="str">
        <f>IF(OR(E4935="",E4935="!!!"),"",IF(OR(J4935=0,AND(J4935=1,K4935=1),AND(J4935=1,I4935="SBJ"),AND(J4935=1,I4935=0)),"?IN_FOCUS",IF(J4935&lt;=2,"?ACTIVATED",IF(J4935&lt;&gt;"","?FAMILIAR",IF(F4935="NEW",IF(ISNA(VLOOKUP(E4935,#REF!,1,FALSE())),"?TYPE_IDENTIFIABLE","?REFERENTIAL"),"_")))))</f>
        <v> </v>
      </c>
      <c r="H4935" s="25" t="str">
        <f>IF(J4935&lt;&gt;1,"",IF(I4935="SBJ","CB","?"))</f>
        <v> </v>
      </c>
      <c r="I4935" s="26" t="str">
        <f>IF(OR(E4935="",E4935="!!!",F4935="NEW"),"",INDEX(B4934:B$2,-1+SUMPRODUCT(MAX(ROW(E4934:E$2)*(E4935=E4934:E$2)))))</f>
        <v> </v>
      </c>
      <c r="J4935" s="26" t="str">
        <f>IF(OR(E4935="",E4935="!!!",F4935="NEW"),"",COUNTBLANK(OFFSET(A$1,,,SUMPRODUCT(MAX(ROW(E$2:E4935)*(E4935=E$2:E4935)))))-COUNTBLANK(OFFSET(A$1,,,SUMPRODUCT(MAX(ROW(E$1:E4934)*(E2=E$1:E4934))))))</f>
        <v> </v>
      </c>
      <c r="K4935" s="26" t="str">
        <f>IF(OR(E4935="",E4935="!!!",F4935="NEW"),"",INDEX(J$1:J4934,SUMPRODUCT(MAX(ROW(E$1:E4934)*(E4935=E$1:E4934)))))</f>
        <v> </v>
      </c>
      <c r="L4935" s="27"/>
    </row>
    <row r="4936" spans="1:12">
      <c r="A4936" s="20" t="s">
        <v>1070</v>
      </c>
      <c r="E4936" s="22">
        <f>IF(D4936="?OLD","!!!","")</f>
        <v/>
      </c>
      <c r="F4936" s="23" t="str">
        <f>IF(OR(E4936="",E4936="!!!"),"",IF(NOT(ISNA(VLOOKUP(E4936,E$1:E4935,1,FALSE()))),"OLD",IF(AND(E4936&lt;&gt;"",E4936&lt;&gt;"!!!"),"NEW","")))</f>
        <v> </v>
      </c>
      <c r="G4936" s="24" t="str">
        <f>IF(OR(E4936="",E4936="!!!"),"",IF(OR(J4936=0,AND(J4936=1,K4936=1),AND(J4936=1,I4936="SBJ"),AND(J4936=1,I4936=0)),"?IN_FOCUS",IF(J4936&lt;=2,"?ACTIVATED",IF(J4936&lt;&gt;"","?FAMILIAR",IF(F4936="NEW",IF(ISNA(VLOOKUP(E4936,#REF!,1,FALSE())),"?TYPE_IDENTIFIABLE","?REFERENTIAL"),"_")))))</f>
        <v> </v>
      </c>
      <c r="H4936" s="25" t="str">
        <f>IF(J4936&lt;&gt;1,"",IF(I4936="SBJ","CB","?"))</f>
        <v> </v>
      </c>
      <c r="I4936" s="26" t="str">
        <f>IF(OR(E4936="",E4936="!!!",F4936="NEW"),"",INDEX(B4935:B$2,-1+SUMPRODUCT(MAX(ROW(E4935:E$2)*(E4936=E4935:E$2)))))</f>
        <v> </v>
      </c>
      <c r="J4936" s="26" t="str">
        <f>IF(OR(E4936="",E4936="!!!",F4936="NEW"),"",COUNTBLANK(OFFSET(A$1,,,SUMPRODUCT(MAX(ROW(E$2:E4936)*(E4936=E$2:E4936)))))-COUNTBLANK(OFFSET(A$1,,,SUMPRODUCT(MAX(ROW(E$1:E4935)*(E2=E$1:E4935))))))</f>
        <v> </v>
      </c>
      <c r="K4936" s="26" t="str">
        <f>IF(OR(E4936="",E4936="!!!",F4936="NEW"),"",INDEX(J$1:J4935,SUMPRODUCT(MAX(ROW(E$1:E4935)*(E4936=E$1:E4935)))))</f>
        <v> </v>
      </c>
      <c r="L4936" s="27"/>
    </row>
    <row r="4937" spans="1:12">
      <c r="A4937" s="20" t="s">
        <v>1630</v>
      </c>
      <c r="E4937" s="22">
        <f>IF(D4937="?OLD","!!!","")</f>
        <v/>
      </c>
      <c r="F4937" s="23" t="str">
        <f>IF(OR(E4937="",E4937="!!!"),"",IF(NOT(ISNA(VLOOKUP(E4937,E$1:E4936,1,FALSE()))),"OLD",IF(AND(E4937&lt;&gt;"",E4937&lt;&gt;"!!!"),"NEW","")))</f>
        <v> </v>
      </c>
      <c r="G4937" s="24" t="str">
        <f>IF(OR(E4937="",E4937="!!!"),"",IF(OR(J4937=0,AND(J4937=1,K4937=1),AND(J4937=1,I4937="SBJ"),AND(J4937=1,I4937=0)),"?IN_FOCUS",IF(J4937&lt;=2,"?ACTIVATED",IF(J4937&lt;&gt;"","?FAMILIAR",IF(F4937="NEW",IF(ISNA(VLOOKUP(E4937,#REF!,1,FALSE())),"?TYPE_IDENTIFIABLE","?REFERENTIAL"),"_")))))</f>
        <v> </v>
      </c>
      <c r="H4937" s="25" t="str">
        <f>IF(J4937&lt;&gt;1,"",IF(I4937="SBJ","CB","?"))</f>
        <v> </v>
      </c>
      <c r="I4937" s="26" t="str">
        <f>IF(OR(E4937="",E4937="!!!",F4937="NEW"),"",INDEX(B4936:B$2,-1+SUMPRODUCT(MAX(ROW(E4936:E$2)*(E4937=E4936:E$2)))))</f>
        <v> </v>
      </c>
      <c r="J4937" s="26" t="str">
        <f>IF(OR(E4937="",E4937="!!!",F4937="NEW"),"",COUNTBLANK(OFFSET(A$1,,,SUMPRODUCT(MAX(ROW(E$2:E4937)*(E4937=E$2:E4937)))))-COUNTBLANK(OFFSET(A$1,,,SUMPRODUCT(MAX(ROW(E$1:E4936)*(E2=E$1:E4936))))))</f>
        <v> </v>
      </c>
      <c r="K4937" s="26" t="str">
        <f>IF(OR(E4937="",E4937="!!!",F4937="NEW"),"",INDEX(J$1:J4936,SUMPRODUCT(MAX(ROW(E$1:E4936)*(E4937=E$1:E4936)))))</f>
        <v> </v>
      </c>
      <c r="L4937" s="27"/>
    </row>
    <row r="4938" spans="1:12">
      <c r="A4938" s="20" t="s">
        <v>2442</v>
      </c>
      <c r="E4938" s="22">
        <f>IF(D4938="?OLD","!!!","")</f>
        <v/>
      </c>
      <c r="F4938" s="23" t="str">
        <f>IF(OR(E4938="",E4938="!!!"),"",IF(NOT(ISNA(VLOOKUP(E4938,E$1:E4937,1,FALSE()))),"OLD",IF(AND(E4938&lt;&gt;"",E4938&lt;&gt;"!!!"),"NEW","")))</f>
        <v> </v>
      </c>
      <c r="G4938" s="24" t="str">
        <f>IF(OR(E4938="",E4938="!!!"),"",IF(OR(J4938=0,AND(J4938=1,K4938=1),AND(J4938=1,I4938="SBJ"),AND(J4938=1,I4938=0)),"?IN_FOCUS",IF(J4938&lt;=2,"?ACTIVATED",IF(J4938&lt;&gt;"","?FAMILIAR",IF(F4938="NEW",IF(ISNA(VLOOKUP(E4938,#REF!,1,FALSE())),"?TYPE_IDENTIFIABLE","?REFERENTIAL"),"_")))))</f>
        <v> </v>
      </c>
      <c r="H4938" s="25" t="str">
        <f>IF(J4938&lt;&gt;1,"",IF(I4938="SBJ","CB","?"))</f>
        <v> </v>
      </c>
      <c r="I4938" s="26" t="str">
        <f>IF(OR(E4938="",E4938="!!!",F4938="NEW"),"",INDEX(B4937:B$2,-1+SUMPRODUCT(MAX(ROW(E4937:E$2)*(E4938=E4937:E$2)))))</f>
        <v> </v>
      </c>
      <c r="J4938" s="26" t="str">
        <f>IF(OR(E4938="",E4938="!!!",F4938="NEW"),"",COUNTBLANK(OFFSET(A$1,,,SUMPRODUCT(MAX(ROW(E$2:E4938)*(E4938=E$2:E4938)))))-COUNTBLANK(OFFSET(A$1,,,SUMPRODUCT(MAX(ROW(E$1:E4937)*(E2=E$1:E4937))))))</f>
        <v> </v>
      </c>
      <c r="K4938" s="26" t="str">
        <f>IF(OR(E4938="",E4938="!!!",F4938="NEW"),"",INDEX(J$1:J4937,SUMPRODUCT(MAX(ROW(E$1:E4937)*(E4938=E$1:E4937)))))</f>
        <v> </v>
      </c>
      <c r="L4938" s="27"/>
    </row>
    <row r="4939" spans="1:12">
      <c r="A4939" s="20" t="s">
        <v>1074</v>
      </c>
      <c r="B4939" s="21" t="s">
        <v>1132</v>
      </c>
      <c r="C4939" s="21" t="s">
        <v>1076</v>
      </c>
      <c r="D4939" s="21" t="s">
        <v>1060</v>
      </c>
      <c r="E4939" s="22">
        <f>IF(D4939="?OLD","!!!","")</f>
        <v/>
      </c>
      <c r="F4939" s="23" t="str">
        <f>IF(OR(E4939="",E4939="!!!"),"",IF(NOT(ISNA(VLOOKUP(E4939,E$1:E4938,1,FALSE()))),"OLD",IF(AND(E4939&lt;&gt;"",E4939&lt;&gt;"!!!"),"NEW","")))</f>
        <v> </v>
      </c>
      <c r="G4939" s="24" t="str">
        <f>IF(OR(E4939="",E4939="!!!"),"",IF(OR(J4939=0,AND(J4939=1,K4939=1),AND(J4939=1,I4939="SBJ"),AND(J4939=1,I4939=0)),"?IN_FOCUS",IF(J4939&lt;=2,"?ACTIVATED",IF(J4939&lt;&gt;"","?FAMILIAR",IF(F4939="NEW",IF(ISNA(VLOOKUP(E4939,#REF!,1,FALSE())),"?TYPE_IDENTIFIABLE","?REFERENTIAL"),"_")))))</f>
        <v> </v>
      </c>
      <c r="H4939" s="25" t="str">
        <f>IF(J4939&lt;&gt;1,"",IF(I4939="SBJ","CB","?"))</f>
        <v> </v>
      </c>
      <c r="I4939" s="26" t="str">
        <f>IF(OR(E4939="",E4939="!!!",F4939="NEW"),"",INDEX(B4938:B$2,-1+SUMPRODUCT(MAX(ROW(E4938:E$2)*(E4939=E4938:E$2)))))</f>
        <v> </v>
      </c>
      <c r="J4939" s="26" t="str">
        <f>IF(OR(E4939="",E4939="!!!",F4939="NEW"),"",COUNTBLANK(OFFSET(A$1,,,SUMPRODUCT(MAX(ROW(E$2:E4939)*(E4939=E$2:E4939)))))-COUNTBLANK(OFFSET(A$1,,,SUMPRODUCT(MAX(ROW(E$1:E4938)*(E2=E$1:E4938))))))</f>
        <v> </v>
      </c>
      <c r="K4939" s="26" t="str">
        <f>IF(OR(E4939="",E4939="!!!",F4939="NEW"),"",INDEX(J$1:J4938,SUMPRODUCT(MAX(ROW(E$1:E4938)*(E4939=E$1:E4938)))))</f>
        <v> </v>
      </c>
      <c r="L4939" s="27"/>
    </row>
    <row r="4940" spans="1:12">
      <c r="A4940" s="20" t="s">
        <v>923</v>
      </c>
      <c r="E4940" s="22">
        <f>IF(D4940="?OLD","!!!","")</f>
        <v/>
      </c>
      <c r="F4940" s="23" t="str">
        <f>IF(OR(E4940="",E4940="!!!"),"",IF(NOT(ISNA(VLOOKUP(E4940,E$1:E4939,1,FALSE()))),"OLD",IF(AND(E4940&lt;&gt;"",E4940&lt;&gt;"!!!"),"NEW","")))</f>
        <v> </v>
      </c>
      <c r="G4940" s="24" t="str">
        <f>IF(OR(E4940="",E4940="!!!"),"",IF(OR(J4940=0,AND(J4940=1,K4940=1),AND(J4940=1,I4940="SBJ"),AND(J4940=1,I4940=0)),"?IN_FOCUS",IF(J4940&lt;=2,"?ACTIVATED",IF(J4940&lt;&gt;"","?FAMILIAR",IF(F4940="NEW",IF(ISNA(VLOOKUP(E4940,#REF!,1,FALSE())),"?TYPE_IDENTIFIABLE","?REFERENTIAL"),"_")))))</f>
        <v> </v>
      </c>
      <c r="H4940" s="25" t="str">
        <f>IF(J4940&lt;&gt;1,"",IF(I4940="SBJ","CB","?"))</f>
        <v> </v>
      </c>
      <c r="I4940" s="26" t="str">
        <f>IF(OR(E4940="",E4940="!!!",F4940="NEW"),"",INDEX(B4939:B$2,-1+SUMPRODUCT(MAX(ROW(E4939:E$2)*(E4940=E4939:E$2)))))</f>
        <v> </v>
      </c>
      <c r="J4940" s="26" t="str">
        <f>IF(OR(E4940="",E4940="!!!",F4940="NEW"),"",COUNTBLANK(OFFSET(A$1,,,SUMPRODUCT(MAX(ROW(E$2:E4940)*(E4940=E$2:E4940)))))-COUNTBLANK(OFFSET(A$1,,,SUMPRODUCT(MAX(ROW(E$1:E4939)*(E2=E$1:E4939))))))</f>
        <v> </v>
      </c>
      <c r="K4940" s="26" t="str">
        <f>IF(OR(E4940="",E4940="!!!",F4940="NEW"),"",INDEX(J$1:J4939,SUMPRODUCT(MAX(ROW(E$1:E4939)*(E4940=E$1:E4939)))))</f>
        <v> </v>
      </c>
      <c r="L4940" s="27"/>
    </row>
    <row r="4941" spans="1:12">
      <c r="A4941" s="20"/>
    </row>
    <row r="4942" spans="1:12">
      <c r="A4942" s="20" t="s">
        <v>2443</v>
      </c>
    </row>
    <row r="4943" spans="1:12">
      <c r="A4943" s="20" t="s">
        <v>1393</v>
      </c>
      <c r="E4943" s="22">
        <f>IF(D4943="?OLD","!!!","")</f>
        <v/>
      </c>
      <c r="F4943" s="23" t="str">
        <f>IF(OR(E4943="",E4943="!!!"),"",IF(NOT(ISNA(VLOOKUP(E4943,E$1:E4942,1,FALSE()))),"OLD",IF(AND(E4943&lt;&gt;"",E4943&lt;&gt;"!!!"),"NEW","")))</f>
        <v> </v>
      </c>
      <c r="G4943" s="24" t="str">
        <f>IF(OR(E4943="",E4943="!!!"),"",IF(OR(J4943=0,AND(J4943=1,K4943=1),AND(J4943=1,I4943="SBJ"),AND(J4943=1,I4943=0)),"?IN_FOCUS",IF(J4943&lt;=2,"?ACTIVATED",IF(J4943&lt;&gt;"","?FAMILIAR",IF(F4943="NEW",IF(ISNA(VLOOKUP(E4943,#REF!,1,FALSE())),"?TYPE_IDENTIFIABLE","?REFERENTIAL"),"_")))))</f>
        <v> </v>
      </c>
      <c r="H4943" s="25" t="str">
        <f>IF(J4943&lt;&gt;1,"",IF(I4943="SBJ","CB","?"))</f>
        <v> </v>
      </c>
      <c r="I4943" s="26" t="str">
        <f>IF(OR(E4943="",E4943="!!!",F4943="NEW"),"",INDEX(B4942:B$2,-1+SUMPRODUCT(MAX(ROW(E4942:E$2)*(E4943=E4942:E$2)))))</f>
        <v> </v>
      </c>
      <c r="J4943" s="26" t="str">
        <f>IF(OR(E4943="",E4943="!!!",F4943="NEW"),"",COUNTBLANK(OFFSET(A$1,,,SUMPRODUCT(MAX(ROW(E$2:E4943)*(E4943=E$2:E4943)))))-COUNTBLANK(OFFSET(A$1,,,SUMPRODUCT(MAX(ROW(E$1:E4942)*(E2=E$1:E4942))))))</f>
        <v> </v>
      </c>
      <c r="K4943" s="26" t="str">
        <f>IF(OR(E4943="",E4943="!!!",F4943="NEW"),"",INDEX(J$1:J4942,SUMPRODUCT(MAX(ROW(E$1:E4942)*(E4943=E$1:E4942)))))</f>
        <v> </v>
      </c>
      <c r="L4943" s="27"/>
    </row>
    <row r="4944" spans="1:12">
      <c r="A4944" s="20" t="s">
        <v>1083</v>
      </c>
      <c r="B4944" s="21" t="s">
        <v>1058</v>
      </c>
      <c r="C4944" s="21" t="s">
        <v>1076</v>
      </c>
      <c r="D4944" s="21" t="s">
        <v>1060</v>
      </c>
      <c r="E4944" s="22">
        <f>IF(D4944="?OLD","!!!","")</f>
        <v/>
      </c>
      <c r="F4944" s="23" t="str">
        <f>IF(OR(E4944="",E4944="!!!"),"",IF(NOT(ISNA(VLOOKUP(E4944,E$1:E4943,1,FALSE()))),"OLD",IF(AND(E4944&lt;&gt;"",E4944&lt;&gt;"!!!"),"NEW","")))</f>
        <v> </v>
      </c>
      <c r="G4944" s="24" t="str">
        <f>IF(OR(E4944="",E4944="!!!"),"",IF(OR(J4944=0,AND(J4944=1,K4944=1),AND(J4944=1,I4944="SBJ"),AND(J4944=1,I4944=0)),"?IN_FOCUS",IF(J4944&lt;=2,"?ACTIVATED",IF(J4944&lt;&gt;"","?FAMILIAR",IF(F4944="NEW",IF(ISNA(VLOOKUP(E4944,#REF!,1,FALSE())),"?TYPE_IDENTIFIABLE","?REFERENTIAL"),"_")))))</f>
        <v> </v>
      </c>
      <c r="H4944" s="25" t="str">
        <f>IF(J4944&lt;&gt;1,"",IF(I4944="SBJ","CB","?"))</f>
        <v> </v>
      </c>
      <c r="I4944" s="26" t="str">
        <f>IF(OR(E4944="",E4944="!!!",F4944="NEW"),"",INDEX(B4943:B$2,-1+SUMPRODUCT(MAX(ROW(E4943:E$2)*(E4944=E4943:E$2)))))</f>
        <v> </v>
      </c>
      <c r="J4944" s="26" t="str">
        <f>IF(OR(E4944="",E4944="!!!",F4944="NEW"),"",COUNTBLANK(OFFSET(A$1,,,SUMPRODUCT(MAX(ROW(E$2:E4944)*(E4944=E$2:E4944)))))-COUNTBLANK(OFFSET(A$1,,,SUMPRODUCT(MAX(ROW(E$1:E4943)*(E2=E$1:E4943))))))</f>
        <v> </v>
      </c>
      <c r="K4944" s="26" t="str">
        <f>IF(OR(E4944="",E4944="!!!",F4944="NEW"),"",INDEX(J$1:J4943,SUMPRODUCT(MAX(ROW(E$1:E4943)*(E4944=E$1:E4943)))))</f>
        <v> </v>
      </c>
      <c r="L4944" s="27"/>
    </row>
    <row r="4945" spans="1:12">
      <c r="A4945" s="20" t="s">
        <v>2444</v>
      </c>
      <c r="E4945" s="22">
        <f>IF(D4945="?OLD","!!!","")</f>
        <v/>
      </c>
      <c r="F4945" s="23" t="str">
        <f>IF(OR(E4945="",E4945="!!!"),"",IF(NOT(ISNA(VLOOKUP(E4945,E$1:E4944,1,FALSE()))),"OLD",IF(AND(E4945&lt;&gt;"",E4945&lt;&gt;"!!!"),"NEW","")))</f>
        <v> </v>
      </c>
      <c r="G4945" s="24" t="str">
        <f>IF(OR(E4945="",E4945="!!!"),"",IF(OR(J4945=0,AND(J4945=1,K4945=1),AND(J4945=1,I4945="SBJ"),AND(J4945=1,I4945=0)),"?IN_FOCUS",IF(J4945&lt;=2,"?ACTIVATED",IF(J4945&lt;&gt;"","?FAMILIAR",IF(F4945="NEW",IF(ISNA(VLOOKUP(E4945,#REF!,1,FALSE())),"?TYPE_IDENTIFIABLE","?REFERENTIAL"),"_")))))</f>
        <v> </v>
      </c>
      <c r="H4945" s="25" t="str">
        <f>IF(J4945&lt;&gt;1,"",IF(I4945="SBJ","CB","?"))</f>
        <v> </v>
      </c>
      <c r="I4945" s="26" t="str">
        <f>IF(OR(E4945="",E4945="!!!",F4945="NEW"),"",INDEX(B4944:B$2,-1+SUMPRODUCT(MAX(ROW(E4944:E$2)*(E4945=E4944:E$2)))))</f>
        <v> </v>
      </c>
      <c r="J4945" s="26" t="str">
        <f>IF(OR(E4945="",E4945="!!!",F4945="NEW"),"",COUNTBLANK(OFFSET(A$1,,,SUMPRODUCT(MAX(ROW(E$2:E4945)*(E4945=E$2:E4945)))))-COUNTBLANK(OFFSET(A$1,,,SUMPRODUCT(MAX(ROW(E$1:E4944)*(E2=E$1:E4944))))))</f>
        <v> </v>
      </c>
      <c r="K4945" s="26" t="str">
        <f>IF(OR(E4945="",E4945="!!!",F4945="NEW"),"",INDEX(J$1:J4944,SUMPRODUCT(MAX(ROW(E$1:E4944)*(E4945=E$1:E4944)))))</f>
        <v> </v>
      </c>
      <c r="L4945" s="27"/>
    </row>
    <row r="4946" spans="1:12">
      <c r="A4946" s="20" t="s">
        <v>1074</v>
      </c>
      <c r="B4946" s="21" t="s">
        <v>1075</v>
      </c>
      <c r="C4946" s="21" t="s">
        <v>1076</v>
      </c>
      <c r="D4946" s="21" t="s">
        <v>1060</v>
      </c>
      <c r="E4946" s="22">
        <f>IF(D4946="?OLD","!!!","")</f>
        <v/>
      </c>
      <c r="F4946" s="23" t="str">
        <f>IF(OR(E4946="",E4946="!!!"),"",IF(NOT(ISNA(VLOOKUP(E4946,E$1:E4945,1,FALSE()))),"OLD",IF(AND(E4946&lt;&gt;"",E4946&lt;&gt;"!!!"),"NEW","")))</f>
        <v> </v>
      </c>
      <c r="G4946" s="24" t="str">
        <f>IF(OR(E4946="",E4946="!!!"),"",IF(OR(J4946=0,AND(J4946=1,K4946=1),AND(J4946=1,I4946="SBJ"),AND(J4946=1,I4946=0)),"?IN_FOCUS",IF(J4946&lt;=2,"?ACTIVATED",IF(J4946&lt;&gt;"","?FAMILIAR",IF(F4946="NEW",IF(ISNA(VLOOKUP(E4946,#REF!,1,FALSE())),"?TYPE_IDENTIFIABLE","?REFERENTIAL"),"_")))))</f>
        <v> </v>
      </c>
      <c r="H4946" s="25" t="str">
        <f>IF(J4946&lt;&gt;1,"",IF(I4946="SBJ","CB","?"))</f>
        <v> </v>
      </c>
      <c r="I4946" s="26" t="str">
        <f>IF(OR(E4946="",E4946="!!!",F4946="NEW"),"",INDEX(B4945:B$2,-1+SUMPRODUCT(MAX(ROW(E4945:E$2)*(E4946=E4945:E$2)))))</f>
        <v> </v>
      </c>
      <c r="J4946" s="26" t="str">
        <f>IF(OR(E4946="",E4946="!!!",F4946="NEW"),"",COUNTBLANK(OFFSET(A$1,,,SUMPRODUCT(MAX(ROW(E$2:E4946)*(E4946=E$2:E4946)))))-COUNTBLANK(OFFSET(A$1,,,SUMPRODUCT(MAX(ROW(E$1:E4945)*(E2=E$1:E4945))))))</f>
        <v> </v>
      </c>
      <c r="K4946" s="26" t="str">
        <f>IF(OR(E4946="",E4946="!!!",F4946="NEW"),"",INDEX(J$1:J4945,SUMPRODUCT(MAX(ROW(E$1:E4945)*(E4946=E$1:E4945)))))</f>
        <v> </v>
      </c>
      <c r="L4946" s="27"/>
    </row>
    <row r="4947" spans="1:12">
      <c r="A4947" s="20" t="s">
        <v>1858</v>
      </c>
      <c r="E4947" s="22">
        <f>IF(D4947="?OLD","!!!","")</f>
        <v/>
      </c>
      <c r="F4947" s="23" t="str">
        <f>IF(OR(E4947="",E4947="!!!"),"",IF(NOT(ISNA(VLOOKUP(E4947,E$1:E4946,1,FALSE()))),"OLD",IF(AND(E4947&lt;&gt;"",E4947&lt;&gt;"!!!"),"NEW","")))</f>
        <v> </v>
      </c>
      <c r="G4947" s="24" t="str">
        <f>IF(OR(E4947="",E4947="!!!"),"",IF(OR(J4947=0,AND(J4947=1,K4947=1),AND(J4947=1,I4947="SBJ"),AND(J4947=1,I4947=0)),"?IN_FOCUS",IF(J4947&lt;=2,"?ACTIVATED",IF(J4947&lt;&gt;"","?FAMILIAR",IF(F4947="NEW",IF(ISNA(VLOOKUP(E4947,#REF!,1,FALSE())),"?TYPE_IDENTIFIABLE","?REFERENTIAL"),"_")))))</f>
        <v> </v>
      </c>
      <c r="H4947" s="25" t="str">
        <f>IF(J4947&lt;&gt;1,"",IF(I4947="SBJ","CB","?"))</f>
        <v> </v>
      </c>
      <c r="I4947" s="26" t="str">
        <f>IF(OR(E4947="",E4947="!!!",F4947="NEW"),"",INDEX(B4946:B$2,-1+SUMPRODUCT(MAX(ROW(E4946:E$2)*(E4947=E4946:E$2)))))</f>
        <v> </v>
      </c>
      <c r="J4947" s="26" t="str">
        <f>IF(OR(E4947="",E4947="!!!",F4947="NEW"),"",COUNTBLANK(OFFSET(A$1,,,SUMPRODUCT(MAX(ROW(E$2:E4947)*(E4947=E$2:E4947)))))-COUNTBLANK(OFFSET(A$1,,,SUMPRODUCT(MAX(ROW(E$1:E4946)*(E2=E$1:E4946))))))</f>
        <v> </v>
      </c>
      <c r="K4947" s="26" t="str">
        <f>IF(OR(E4947="",E4947="!!!",F4947="NEW"),"",INDEX(J$1:J4946,SUMPRODUCT(MAX(ROW(E$1:E4946)*(E4947=E$1:E4946)))))</f>
        <v> </v>
      </c>
      <c r="L4947" s="27"/>
    </row>
    <row r="4948" spans="1:12">
      <c r="A4948" s="20" t="s">
        <v>1168</v>
      </c>
      <c r="E4948" s="22">
        <f>IF(D4948="?OLD","!!!","")</f>
        <v/>
      </c>
      <c r="F4948" s="23" t="str">
        <f>IF(OR(E4948="",E4948="!!!"),"",IF(NOT(ISNA(VLOOKUP(E4948,E$1:E4947,1,FALSE()))),"OLD",IF(AND(E4948&lt;&gt;"",E4948&lt;&gt;"!!!"),"NEW","")))</f>
        <v> </v>
      </c>
      <c r="G4948" s="24" t="str">
        <f>IF(OR(E4948="",E4948="!!!"),"",IF(OR(J4948=0,AND(J4948=1,K4948=1),AND(J4948=1,I4948="SBJ"),AND(J4948=1,I4948=0)),"?IN_FOCUS",IF(J4948&lt;=2,"?ACTIVATED",IF(J4948&lt;&gt;"","?FAMILIAR",IF(F4948="NEW",IF(ISNA(VLOOKUP(E4948,#REF!,1,FALSE())),"?TYPE_IDENTIFIABLE","?REFERENTIAL"),"_")))))</f>
        <v> </v>
      </c>
      <c r="H4948" s="25" t="str">
        <f>IF(J4948&lt;&gt;1,"",IF(I4948="SBJ","CB","?"))</f>
        <v> </v>
      </c>
      <c r="I4948" s="26" t="str">
        <f>IF(OR(E4948="",E4948="!!!",F4948="NEW"),"",INDEX(B4947:B$2,-1+SUMPRODUCT(MAX(ROW(E4947:E$2)*(E4948=E4947:E$2)))))</f>
        <v> </v>
      </c>
      <c r="J4948" s="26" t="str">
        <f>IF(OR(E4948="",E4948="!!!",F4948="NEW"),"",COUNTBLANK(OFFSET(A$1,,,SUMPRODUCT(MAX(ROW(E$2:E4948)*(E4948=E$2:E4948)))))-COUNTBLANK(OFFSET(A$1,,,SUMPRODUCT(MAX(ROW(E$1:E4947)*(E2=E$1:E4947))))))</f>
        <v> </v>
      </c>
      <c r="K4948" s="26" t="str">
        <f>IF(OR(E4948="",E4948="!!!",F4948="NEW"),"",INDEX(J$1:J4947,SUMPRODUCT(MAX(ROW(E$1:E4947)*(E4948=E$1:E4947)))))</f>
        <v> </v>
      </c>
      <c r="L4948" s="27"/>
    </row>
    <row r="4949" spans="1:12">
      <c r="A4949" s="20" t="s">
        <v>1311</v>
      </c>
      <c r="E4949" s="22">
        <f>IF(D4949="?OLD","!!!","")</f>
        <v/>
      </c>
      <c r="F4949" s="23" t="str">
        <f>IF(OR(E4949="",E4949="!!!"),"",IF(NOT(ISNA(VLOOKUP(E4949,E$1:E4948,1,FALSE()))),"OLD",IF(AND(E4949&lt;&gt;"",E4949&lt;&gt;"!!!"),"NEW","")))</f>
        <v> </v>
      </c>
      <c r="G4949" s="24" t="str">
        <f>IF(OR(E4949="",E4949="!!!"),"",IF(OR(J4949=0,AND(J4949=1,K4949=1),AND(J4949=1,I4949="SBJ"),AND(J4949=1,I4949=0)),"?IN_FOCUS",IF(J4949&lt;=2,"?ACTIVATED",IF(J4949&lt;&gt;"","?FAMILIAR",IF(F4949="NEW",IF(ISNA(VLOOKUP(E4949,#REF!,1,FALSE())),"?TYPE_IDENTIFIABLE","?REFERENTIAL"),"_")))))</f>
        <v> </v>
      </c>
      <c r="H4949" s="25" t="str">
        <f>IF(J4949&lt;&gt;1,"",IF(I4949="SBJ","CB","?"))</f>
        <v> </v>
      </c>
      <c r="I4949" s="26" t="str">
        <f>IF(OR(E4949="",E4949="!!!",F4949="NEW"),"",INDEX(B4948:B$2,-1+SUMPRODUCT(MAX(ROW(E4948:E$2)*(E4949=E4948:E$2)))))</f>
        <v> </v>
      </c>
      <c r="J4949" s="26" t="str">
        <f>IF(OR(E4949="",E4949="!!!",F4949="NEW"),"",COUNTBLANK(OFFSET(A$1,,,SUMPRODUCT(MAX(ROW(E$2:E4949)*(E4949=E$2:E4949)))))-COUNTBLANK(OFFSET(A$1,,,SUMPRODUCT(MAX(ROW(E$1:E4948)*(E2=E$1:E4948))))))</f>
        <v> </v>
      </c>
      <c r="K4949" s="26" t="str">
        <f>IF(OR(E4949="",E4949="!!!",F4949="NEW"),"",INDEX(J$1:J4948,SUMPRODUCT(MAX(ROW(E$1:E4948)*(E4949=E$1:E4948)))))</f>
        <v> </v>
      </c>
      <c r="L4949" s="27"/>
    </row>
    <row r="4950" spans="1:12">
      <c r="A4950" s="20" t="s">
        <v>1433</v>
      </c>
      <c r="B4950" s="21" t="s">
        <v>1097</v>
      </c>
      <c r="C4950" s="21" t="s">
        <v>1159</v>
      </c>
      <c r="D4950" s="21" t="s">
        <v>1060</v>
      </c>
      <c r="E4950" s="22">
        <f>IF(D4950="?OLD","!!!","")</f>
        <v/>
      </c>
      <c r="F4950" s="23" t="str">
        <f>IF(OR(E4950="",E4950="!!!"),"",IF(NOT(ISNA(VLOOKUP(E4950,E$1:E4949,1,FALSE()))),"OLD",IF(AND(E4950&lt;&gt;"",E4950&lt;&gt;"!!!"),"NEW","")))</f>
        <v> </v>
      </c>
      <c r="G4950" s="24" t="str">
        <f>IF(OR(E4950="",E4950="!!!"),"",IF(OR(J4950=0,AND(J4950=1,K4950=1),AND(J4950=1,I4950="SBJ"),AND(J4950=1,I4950=0)),"?IN_FOCUS",IF(J4950&lt;=2,"?ACTIVATED",IF(J4950&lt;&gt;"","?FAMILIAR",IF(F4950="NEW",IF(ISNA(VLOOKUP(E4950,#REF!,1,FALSE())),"?TYPE_IDENTIFIABLE","?REFERENTIAL"),"_")))))</f>
        <v> </v>
      </c>
      <c r="H4950" s="25" t="str">
        <f>IF(J4950&lt;&gt;1,"",IF(I4950="SBJ","CB","?"))</f>
        <v> </v>
      </c>
      <c r="I4950" s="26" t="str">
        <f>IF(OR(E4950="",E4950="!!!",F4950="NEW"),"",INDEX(B4949:B$2,-1+SUMPRODUCT(MAX(ROW(E4949:E$2)*(E4950=E4949:E$2)))))</f>
        <v> </v>
      </c>
      <c r="J4950" s="26" t="str">
        <f>IF(OR(E4950="",E4950="!!!",F4950="NEW"),"",COUNTBLANK(OFFSET(A$1,,,SUMPRODUCT(MAX(ROW(E$2:E4950)*(E4950=E$2:E4950)))))-COUNTBLANK(OFFSET(A$1,,,SUMPRODUCT(MAX(ROW(E$1:E4949)*(E2=E$1:E4949))))))</f>
        <v> </v>
      </c>
      <c r="K4950" s="26" t="str">
        <f>IF(OR(E4950="",E4950="!!!",F4950="NEW"),"",INDEX(J$1:J4949,SUMPRODUCT(MAX(ROW(E$1:E4949)*(E4950=E$1:E4949)))))</f>
        <v> </v>
      </c>
      <c r="L4950" s="27"/>
    </row>
    <row r="4951" spans="1:12">
      <c r="A4951" s="20" t="s">
        <v>1061</v>
      </c>
      <c r="E4951" s="22">
        <f>IF(D4951="?OLD","!!!","")</f>
        <v/>
      </c>
      <c r="F4951" s="23" t="str">
        <f>IF(OR(E4951="",E4951="!!!"),"",IF(NOT(ISNA(VLOOKUP(E4951,E$1:E4950,1,FALSE()))),"OLD",IF(AND(E4951&lt;&gt;"",E4951&lt;&gt;"!!!"),"NEW","")))</f>
        <v> </v>
      </c>
      <c r="G4951" s="24" t="str">
        <f>IF(OR(E4951="",E4951="!!!"),"",IF(OR(J4951=0,AND(J4951=1,K4951=1),AND(J4951=1,I4951="SBJ"),AND(J4951=1,I4951=0)),"?IN_FOCUS",IF(J4951&lt;=2,"?ACTIVATED",IF(J4951&lt;&gt;"","?FAMILIAR",IF(F4951="NEW",IF(ISNA(VLOOKUP(E4951,#REF!,1,FALSE())),"?TYPE_IDENTIFIABLE","?REFERENTIAL"),"_")))))</f>
        <v> </v>
      </c>
      <c r="H4951" s="25" t="str">
        <f>IF(J4951&lt;&gt;1,"",IF(I4951="SBJ","CB","?"))</f>
        <v> </v>
      </c>
      <c r="I4951" s="26" t="str">
        <f>IF(OR(E4951="",E4951="!!!",F4951="NEW"),"",INDEX(B4950:B$2,-1+SUMPRODUCT(MAX(ROW(E4950:E$2)*(E4951=E4950:E$2)))))</f>
        <v> </v>
      </c>
      <c r="J4951" s="26" t="str">
        <f>IF(OR(E4951="",E4951="!!!",F4951="NEW"),"",COUNTBLANK(OFFSET(A$1,,,SUMPRODUCT(MAX(ROW(E$2:E4951)*(E4951=E$2:E4951)))))-COUNTBLANK(OFFSET(A$1,,,SUMPRODUCT(MAX(ROW(E$1:E4950)*(E2=E$1:E4950))))))</f>
        <v> </v>
      </c>
      <c r="K4951" s="26" t="str">
        <f>IF(OR(E4951="",E4951="!!!",F4951="NEW"),"",INDEX(J$1:J4950,SUMPRODUCT(MAX(ROW(E$1:E4950)*(E4951=E$1:E4950)))))</f>
        <v> </v>
      </c>
      <c r="L4951" s="27"/>
    </row>
    <row r="4952" spans="1:12">
      <c r="A4952" s="20" t="s">
        <v>1090</v>
      </c>
      <c r="B4952" s="21" t="s">
        <v>1064</v>
      </c>
      <c r="C4952" s="21" t="s">
        <v>1092</v>
      </c>
      <c r="D4952" s="21" t="s">
        <v>1060</v>
      </c>
      <c r="E4952" s="22">
        <f>IF(D4952="?OLD","!!!","")</f>
        <v/>
      </c>
      <c r="F4952" s="23" t="str">
        <f>IF(OR(E4952="",E4952="!!!"),"",IF(NOT(ISNA(VLOOKUP(E4952,E$1:E4951,1,FALSE()))),"OLD",IF(AND(E4952&lt;&gt;"",E4952&lt;&gt;"!!!"),"NEW","")))</f>
        <v> </v>
      </c>
      <c r="G4952" s="24" t="str">
        <f>IF(OR(E4952="",E4952="!!!"),"",IF(OR(J4952=0,AND(J4952=1,K4952=1),AND(J4952=1,I4952="SBJ"),AND(J4952=1,I4952=0)),"?IN_FOCUS",IF(J4952&lt;=2,"?ACTIVATED",IF(J4952&lt;&gt;"","?FAMILIAR",IF(F4952="NEW",IF(ISNA(VLOOKUP(E4952,#REF!,1,FALSE())),"?TYPE_IDENTIFIABLE","?REFERENTIAL"),"_")))))</f>
        <v> </v>
      </c>
      <c r="H4952" s="25" t="str">
        <f>IF(J4952&lt;&gt;1,"",IF(I4952="SBJ","CB","?"))</f>
        <v> </v>
      </c>
      <c r="I4952" s="26" t="str">
        <f>IF(OR(E4952="",E4952="!!!",F4952="NEW"),"",INDEX(B4951:B$2,-1+SUMPRODUCT(MAX(ROW(E4951:E$2)*(E4952=E4951:E$2)))))</f>
        <v> </v>
      </c>
      <c r="J4952" s="26" t="str">
        <f>IF(OR(E4952="",E4952="!!!",F4952="NEW"),"",COUNTBLANK(OFFSET(A$1,,,SUMPRODUCT(MAX(ROW(E$2:E4952)*(E4952=E$2:E4952)))))-COUNTBLANK(OFFSET(A$1,,,SUMPRODUCT(MAX(ROW(E$1:E4951)*(E2=E$1:E4951))))))</f>
        <v> </v>
      </c>
      <c r="K4952" s="26" t="str">
        <f>IF(OR(E4952="",E4952="!!!",F4952="NEW"),"",INDEX(J$1:J4951,SUMPRODUCT(MAX(ROW(E$1:E4951)*(E4952=E$1:E4951)))))</f>
        <v> </v>
      </c>
      <c r="L4952" s="27"/>
    </row>
    <row r="4953" spans="1:12">
      <c r="A4953" s="20" t="s">
        <v>2435</v>
      </c>
      <c r="B4953" s="21" t="s">
        <v>1068</v>
      </c>
      <c r="C4953" s="21" t="s">
        <v>1059</v>
      </c>
      <c r="D4953" s="21" t="s">
        <v>1060</v>
      </c>
      <c r="E4953" s="22">
        <f>IF(D4953="?OLD","!!!","")</f>
        <v/>
      </c>
      <c r="F4953" s="23" t="str">
        <f>IF(OR(E4953="",E4953="!!!"),"",IF(NOT(ISNA(VLOOKUP(E4953,E$1:E4952,1,FALSE()))),"OLD",IF(AND(E4953&lt;&gt;"",E4953&lt;&gt;"!!!"),"NEW","")))</f>
        <v> </v>
      </c>
      <c r="G4953" s="24" t="str">
        <f>IF(OR(E4953="",E4953="!!!"),"",IF(OR(J4953=0,AND(J4953=1,K4953=1),AND(J4953=1,I4953="SBJ"),AND(J4953=1,I4953=0)),"?IN_FOCUS",IF(J4953&lt;=2,"?ACTIVATED",IF(J4953&lt;&gt;"","?FAMILIAR",IF(F4953="NEW",IF(ISNA(VLOOKUP(E4953,#REF!,1,FALSE())),"?TYPE_IDENTIFIABLE","?REFERENTIAL"),"_")))))</f>
        <v> </v>
      </c>
      <c r="H4953" s="25" t="str">
        <f>IF(J4953&lt;&gt;1,"",IF(I4953="SBJ","CB","?"))</f>
        <v> </v>
      </c>
      <c r="I4953" s="26" t="str">
        <f>IF(OR(E4953="",E4953="!!!",F4953="NEW"),"",INDEX(B4952:B$2,-1+SUMPRODUCT(MAX(ROW(E4952:E$2)*(E4953=E4952:E$2)))))</f>
        <v> </v>
      </c>
      <c r="J4953" s="26" t="str">
        <f>IF(OR(E4953="",E4953="!!!",F4953="NEW"),"",COUNTBLANK(OFFSET(A$1,,,SUMPRODUCT(MAX(ROW(E$2:E4953)*(E4953=E$2:E4953)))))-COUNTBLANK(OFFSET(A$1,,,SUMPRODUCT(MAX(ROW(E$1:E4952)*(E2=E$1:E4952))))))</f>
        <v> </v>
      </c>
      <c r="K4953" s="26" t="str">
        <f>IF(OR(E4953="",E4953="!!!",F4953="NEW"),"",INDEX(J$1:J4952,SUMPRODUCT(MAX(ROW(E$1:E4952)*(E4953=E$1:E4952)))))</f>
        <v> </v>
      </c>
      <c r="L4953" s="27"/>
    </row>
    <row r="4954" spans="1:12">
      <c r="A4954" s="20" t="s">
        <v>923</v>
      </c>
      <c r="E4954" s="22">
        <f>IF(D4954="?OLD","!!!","")</f>
        <v/>
      </c>
      <c r="F4954" s="23" t="str">
        <f>IF(OR(E4954="",E4954="!!!"),"",IF(NOT(ISNA(VLOOKUP(E4954,E$1:E4953,1,FALSE()))),"OLD",IF(AND(E4954&lt;&gt;"",E4954&lt;&gt;"!!!"),"NEW","")))</f>
        <v> </v>
      </c>
      <c r="G4954" s="24" t="str">
        <f>IF(OR(E4954="",E4954="!!!"),"",IF(OR(J4954=0,AND(J4954=1,K4954=1),AND(J4954=1,I4954="SBJ"),AND(J4954=1,I4954=0)),"?IN_FOCUS",IF(J4954&lt;=2,"?ACTIVATED",IF(J4954&lt;&gt;"","?FAMILIAR",IF(F4954="NEW",IF(ISNA(VLOOKUP(E4954,#REF!,1,FALSE())),"?TYPE_IDENTIFIABLE","?REFERENTIAL"),"_")))))</f>
        <v> </v>
      </c>
      <c r="H4954" s="25" t="str">
        <f>IF(J4954&lt;&gt;1,"",IF(I4954="SBJ","CB","?"))</f>
        <v> </v>
      </c>
      <c r="I4954" s="26" t="str">
        <f>IF(OR(E4954="",E4954="!!!",F4954="NEW"),"",INDEX(B4953:B$2,-1+SUMPRODUCT(MAX(ROW(E4953:E$2)*(E4954=E4953:E$2)))))</f>
        <v> </v>
      </c>
      <c r="J4954" s="26" t="str">
        <f>IF(OR(E4954="",E4954="!!!",F4954="NEW"),"",COUNTBLANK(OFFSET(A$1,,,SUMPRODUCT(MAX(ROW(E$2:E4954)*(E4954=E$2:E4954)))))-COUNTBLANK(OFFSET(A$1,,,SUMPRODUCT(MAX(ROW(E$1:E4953)*(E2=E$1:E4953))))))</f>
        <v> </v>
      </c>
      <c r="K4954" s="26" t="str">
        <f>IF(OR(E4954="",E4954="!!!",F4954="NEW"),"",INDEX(J$1:J4953,SUMPRODUCT(MAX(ROW(E$1:E4953)*(E4954=E$1:E4953)))))</f>
        <v> </v>
      </c>
      <c r="L4954" s="27"/>
    </row>
    <row r="4955" spans="1:12">
      <c r="A4955" s="20"/>
    </row>
    <row r="4956" spans="1:12">
      <c r="A4956" s="20" t="s">
        <v>1276</v>
      </c>
      <c r="E4956" s="22">
        <f>IF(D4956="?OLD","!!!","")</f>
        <v/>
      </c>
      <c r="F4956" s="23" t="str">
        <f>IF(OR(E4956="",E4956="!!!"),"",IF(NOT(ISNA(VLOOKUP(E4956,E$1:E4955,1,FALSE()))),"OLD",IF(AND(E4956&lt;&gt;"",E4956&lt;&gt;"!!!"),"NEW","")))</f>
        <v> </v>
      </c>
      <c r="G4956" s="24" t="str">
        <f>IF(OR(E4956="",E4956="!!!"),"",IF(OR(J4956=0,AND(J4956=1,K4956=1),AND(J4956=1,I4956="SBJ"),AND(J4956=1,I4956=0)),"?IN_FOCUS",IF(J4956&lt;=2,"?ACTIVATED",IF(J4956&lt;&gt;"","?FAMILIAR",IF(F4956="NEW",IF(ISNA(VLOOKUP(E4956,#REF!,1,FALSE())),"?TYPE_IDENTIFIABLE","?REFERENTIAL"),"_")))))</f>
        <v> </v>
      </c>
      <c r="H4956" s="25" t="str">
        <f>IF(J4956&lt;&gt;1,"",IF(I4956="SBJ","CB","?"))</f>
        <v> </v>
      </c>
      <c r="I4956" s="26" t="str">
        <f>IF(OR(E4956="",E4956="!!!",F4956="NEW"),"",INDEX(B4955:B$2,-1+SUMPRODUCT(MAX(ROW(E4955:E$2)*(E4956=E4955:E$2)))))</f>
        <v> </v>
      </c>
      <c r="J4956" s="26" t="str">
        <f>IF(OR(E4956="",E4956="!!!",F4956="NEW"),"",COUNTBLANK(OFFSET(A$1,,,SUMPRODUCT(MAX(ROW(E$2:E4956)*(E4956=E$2:E4956)))))-COUNTBLANK(OFFSET(A$1,,,SUMPRODUCT(MAX(ROW(E$1:E4955)*(E2=E$1:E4955))))))</f>
        <v> </v>
      </c>
      <c r="K4956" s="26" t="str">
        <f>IF(OR(E4956="",E4956="!!!",F4956="NEW"),"",INDEX(J$1:J4955,SUMPRODUCT(MAX(ROW(E$1:E4955)*(E4956=E$1:E4955)))))</f>
        <v> </v>
      </c>
      <c r="L4956" s="27"/>
    </row>
    <row r="4957" spans="1:12">
      <c r="A4957" s="20" t="s">
        <v>2445</v>
      </c>
    </row>
    <row r="4958" spans="1:12">
      <c r="A4958" s="20" t="s">
        <v>1254</v>
      </c>
      <c r="B4958" s="21" t="s">
        <v>1058</v>
      </c>
      <c r="C4958" s="21" t="s">
        <v>1076</v>
      </c>
      <c r="D4958" s="21" t="s">
        <v>1060</v>
      </c>
      <c r="E4958" s="22">
        <f>IF(D4958="?OLD","!!!","")</f>
        <v/>
      </c>
      <c r="F4958" s="23" t="str">
        <f>IF(OR(E4958="",E4958="!!!"),"",IF(NOT(ISNA(VLOOKUP(E4958,E$1:E4957,1,FALSE()))),"OLD",IF(AND(E4958&lt;&gt;"",E4958&lt;&gt;"!!!"),"NEW","")))</f>
        <v> </v>
      </c>
      <c r="G4958" s="24" t="str">
        <f>IF(OR(E4958="",E4958="!!!"),"",IF(OR(J4958=0,AND(J4958=1,K4958=1),AND(J4958=1,I4958="SBJ"),AND(J4958=1,I4958=0)),"?IN_FOCUS",IF(J4958&lt;=2,"?ACTIVATED",IF(J4958&lt;&gt;"","?FAMILIAR",IF(F4958="NEW",IF(ISNA(VLOOKUP(E4958,#REF!,1,FALSE())),"?TYPE_IDENTIFIABLE","?REFERENTIAL"),"_")))))</f>
        <v> </v>
      </c>
      <c r="H4958" s="25" t="str">
        <f>IF(J4958&lt;&gt;1,"",IF(I4958="SBJ","CB","?"))</f>
        <v> </v>
      </c>
      <c r="I4958" s="26" t="str">
        <f>IF(OR(E4958="",E4958="!!!",F4958="NEW"),"",INDEX(B4957:B$2,-1+SUMPRODUCT(MAX(ROW(E4957:E$2)*(E4958=E4957:E$2)))))</f>
        <v> </v>
      </c>
      <c r="J4958" s="26" t="str">
        <f>IF(OR(E4958="",E4958="!!!",F4958="NEW"),"",COUNTBLANK(OFFSET(A$1,,,SUMPRODUCT(MAX(ROW(E$2:E4958)*(E4958=E$2:E4958)))))-COUNTBLANK(OFFSET(A$1,,,SUMPRODUCT(MAX(ROW(E$1:E4957)*(E2=E$1:E4957))))))</f>
        <v> </v>
      </c>
      <c r="K4958" s="26" t="str">
        <f>IF(OR(E4958="",E4958="!!!",F4958="NEW"),"",INDEX(J$1:J4957,SUMPRODUCT(MAX(ROW(E$1:E4957)*(E4958=E$1:E4957)))))</f>
        <v> </v>
      </c>
      <c r="L4958" s="27"/>
    </row>
    <row r="4959" spans="1:12">
      <c r="A4959" s="20" t="s">
        <v>169</v>
      </c>
      <c r="E4959" s="22">
        <f>IF(D4959="?OLD","!!!","")</f>
        <v/>
      </c>
      <c r="F4959" s="23" t="str">
        <f>IF(OR(E4959="",E4959="!!!"),"",IF(NOT(ISNA(VLOOKUP(E4959,E$1:E4958,1,FALSE()))),"OLD",IF(AND(E4959&lt;&gt;"",E4959&lt;&gt;"!!!"),"NEW","")))</f>
        <v> </v>
      </c>
      <c r="G4959" s="24" t="str">
        <f>IF(OR(E4959="",E4959="!!!"),"",IF(OR(J4959=0,AND(J4959=1,K4959=1),AND(J4959=1,I4959="SBJ"),AND(J4959=1,I4959=0)),"?IN_FOCUS",IF(J4959&lt;=2,"?ACTIVATED",IF(J4959&lt;&gt;"","?FAMILIAR",IF(F4959="NEW",IF(ISNA(VLOOKUP(E4959,#REF!,1,FALSE())),"?TYPE_IDENTIFIABLE","?REFERENTIAL"),"_")))))</f>
        <v> </v>
      </c>
      <c r="H4959" s="25" t="str">
        <f>IF(J4959&lt;&gt;1,"",IF(I4959="SBJ","CB","?"))</f>
        <v> </v>
      </c>
      <c r="I4959" s="26" t="str">
        <f>IF(OR(E4959="",E4959="!!!",F4959="NEW"),"",INDEX(B4958:B$2,-1+SUMPRODUCT(MAX(ROW(E4958:E$2)*(E4959=E4958:E$2)))))</f>
        <v> </v>
      </c>
      <c r="J4959" s="26" t="str">
        <f>IF(OR(E4959="",E4959="!!!",F4959="NEW"),"",COUNTBLANK(OFFSET(A$1,,,SUMPRODUCT(MAX(ROW(E$2:E4959)*(E4959=E$2:E4959)))))-COUNTBLANK(OFFSET(A$1,,,SUMPRODUCT(MAX(ROW(E$1:E4958)*(E2=E$1:E4958))))))</f>
        <v> </v>
      </c>
      <c r="K4959" s="26" t="str">
        <f>IF(OR(E4959="",E4959="!!!",F4959="NEW"),"",INDEX(J$1:J4958,SUMPRODUCT(MAX(ROW(E$1:E4958)*(E4959=E$1:E4958)))))</f>
        <v> </v>
      </c>
      <c r="L4959" s="27"/>
    </row>
    <row r="4960" spans="1:12">
      <c r="A4960" s="20" t="s">
        <v>1168</v>
      </c>
      <c r="E4960" s="22">
        <f>IF(D4960="?OLD","!!!","")</f>
        <v/>
      </c>
      <c r="F4960" s="23" t="str">
        <f>IF(OR(E4960="",E4960="!!!"),"",IF(NOT(ISNA(VLOOKUP(E4960,E$1:E4959,1,FALSE()))),"OLD",IF(AND(E4960&lt;&gt;"",E4960&lt;&gt;"!!!"),"NEW","")))</f>
        <v> </v>
      </c>
      <c r="G4960" s="24" t="str">
        <f>IF(OR(E4960="",E4960="!!!"),"",IF(OR(J4960=0,AND(J4960=1,K4960=1),AND(J4960=1,I4960="SBJ"),AND(J4960=1,I4960=0)),"?IN_FOCUS",IF(J4960&lt;=2,"?ACTIVATED",IF(J4960&lt;&gt;"","?FAMILIAR",IF(F4960="NEW",IF(ISNA(VLOOKUP(E4960,#REF!,1,FALSE())),"?TYPE_IDENTIFIABLE","?REFERENTIAL"),"_")))))</f>
        <v> </v>
      </c>
      <c r="H4960" s="25" t="str">
        <f>IF(J4960&lt;&gt;1,"",IF(I4960="SBJ","CB","?"))</f>
        <v> </v>
      </c>
      <c r="I4960" s="26" t="str">
        <f>IF(OR(E4960="",E4960="!!!",F4960="NEW"),"",INDEX(B4959:B$2,-1+SUMPRODUCT(MAX(ROW(E4959:E$2)*(E4960=E4959:E$2)))))</f>
        <v> </v>
      </c>
      <c r="J4960" s="26" t="str">
        <f>IF(OR(E4960="",E4960="!!!",F4960="NEW"),"",COUNTBLANK(OFFSET(A$1,,,SUMPRODUCT(MAX(ROW(E$2:E4960)*(E4960=E$2:E4960)))))-COUNTBLANK(OFFSET(A$1,,,SUMPRODUCT(MAX(ROW(E$1:E4959)*(E2=E$1:E4959))))))</f>
        <v> </v>
      </c>
      <c r="K4960" s="26" t="str">
        <f>IF(OR(E4960="",E4960="!!!",F4960="NEW"),"",INDEX(J$1:J4959,SUMPRODUCT(MAX(ROW(E$1:E4959)*(E4960=E$1:E4959)))))</f>
        <v> </v>
      </c>
      <c r="L4960" s="27"/>
    </row>
    <row r="4961" spans="1:12">
      <c r="A4961" s="20" t="s">
        <v>1852</v>
      </c>
      <c r="E4961" s="22">
        <f>IF(D4961="?OLD","!!!","")</f>
        <v/>
      </c>
      <c r="F4961" s="23" t="str">
        <f>IF(OR(E4961="",E4961="!!!"),"",IF(NOT(ISNA(VLOOKUP(E4961,E$1:E4960,1,FALSE()))),"OLD",IF(AND(E4961&lt;&gt;"",E4961&lt;&gt;"!!!"),"NEW","")))</f>
        <v> </v>
      </c>
      <c r="G4961" s="24" t="str">
        <f>IF(OR(E4961="",E4961="!!!"),"",IF(OR(J4961=0,AND(J4961=1,K4961=1),AND(J4961=1,I4961="SBJ"),AND(J4961=1,I4961=0)),"?IN_FOCUS",IF(J4961&lt;=2,"?ACTIVATED",IF(J4961&lt;&gt;"","?FAMILIAR",IF(F4961="NEW",IF(ISNA(VLOOKUP(E4961,#REF!,1,FALSE())),"?TYPE_IDENTIFIABLE","?REFERENTIAL"),"_")))))</f>
        <v> </v>
      </c>
      <c r="H4961" s="25" t="str">
        <f>IF(J4961&lt;&gt;1,"",IF(I4961="SBJ","CB","?"))</f>
        <v> </v>
      </c>
      <c r="I4961" s="26" t="str">
        <f>IF(OR(E4961="",E4961="!!!",F4961="NEW"),"",INDEX(B4960:B$2,-1+SUMPRODUCT(MAX(ROW(E4960:E$2)*(E4961=E4960:E$2)))))</f>
        <v> </v>
      </c>
      <c r="J4961" s="26" t="str">
        <f>IF(OR(E4961="",E4961="!!!",F4961="NEW"),"",COUNTBLANK(OFFSET(A$1,,,SUMPRODUCT(MAX(ROW(E$2:E4961)*(E4961=E$2:E4961)))))-COUNTBLANK(OFFSET(A$1,,,SUMPRODUCT(MAX(ROW(E$1:E4960)*(E2=E$1:E4960))))))</f>
        <v> </v>
      </c>
      <c r="K4961" s="26" t="str">
        <f>IF(OR(E4961="",E4961="!!!",F4961="NEW"),"",INDEX(J$1:J4960,SUMPRODUCT(MAX(ROW(E$1:E4960)*(E4961=E$1:E4960)))))</f>
        <v> </v>
      </c>
      <c r="L4961" s="27"/>
    </row>
    <row r="4962" spans="1:12">
      <c r="A4962" s="20" t="s">
        <v>1082</v>
      </c>
      <c r="E4962" s="22">
        <f>IF(D4962="?OLD","!!!","")</f>
        <v/>
      </c>
      <c r="F4962" s="23" t="str">
        <f>IF(OR(E4962="",E4962="!!!"),"",IF(NOT(ISNA(VLOOKUP(E4962,E$1:E4961,1,FALSE()))),"OLD",IF(AND(E4962&lt;&gt;"",E4962&lt;&gt;"!!!"),"NEW","")))</f>
        <v> </v>
      </c>
      <c r="G4962" s="24" t="str">
        <f>IF(OR(E4962="",E4962="!!!"),"",IF(OR(J4962=0,AND(J4962=1,K4962=1),AND(J4962=1,I4962="SBJ"),AND(J4962=1,I4962=0)),"?IN_FOCUS",IF(J4962&lt;=2,"?ACTIVATED",IF(J4962&lt;&gt;"","?FAMILIAR",IF(F4962="NEW",IF(ISNA(VLOOKUP(E4962,#REF!,1,FALSE())),"?TYPE_IDENTIFIABLE","?REFERENTIAL"),"_")))))</f>
        <v> </v>
      </c>
      <c r="H4962" s="25" t="str">
        <f>IF(J4962&lt;&gt;1,"",IF(I4962="SBJ","CB","?"))</f>
        <v> </v>
      </c>
      <c r="I4962" s="26" t="str">
        <f>IF(OR(E4962="",E4962="!!!",F4962="NEW"),"",INDEX(B4961:B$2,-1+SUMPRODUCT(MAX(ROW(E4961:E$2)*(E4962=E4961:E$2)))))</f>
        <v> </v>
      </c>
      <c r="J4962" s="26" t="str">
        <f>IF(OR(E4962="",E4962="!!!",F4962="NEW"),"",COUNTBLANK(OFFSET(A$1,,,SUMPRODUCT(MAX(ROW(E$2:E4962)*(E4962=E$2:E4962)))))-COUNTBLANK(OFFSET(A$1,,,SUMPRODUCT(MAX(ROW(E$1:E4961)*(E2=E$1:E4961))))))</f>
        <v> </v>
      </c>
      <c r="K4962" s="26" t="str">
        <f>IF(OR(E4962="",E4962="!!!",F4962="NEW"),"",INDEX(J$1:J4961,SUMPRODUCT(MAX(ROW(E$1:E4961)*(E4962=E$1:E4961)))))</f>
        <v> </v>
      </c>
      <c r="L4962" s="27"/>
    </row>
    <row r="4963" spans="1:12">
      <c r="A4963" s="20" t="s">
        <v>1083</v>
      </c>
      <c r="B4963" s="21" t="s">
        <v>1079</v>
      </c>
      <c r="C4963" s="21" t="s">
        <v>1076</v>
      </c>
      <c r="D4963" s="21" t="s">
        <v>1060</v>
      </c>
      <c r="E4963" s="22">
        <f>IF(D4963="?OLD","!!!","")</f>
        <v/>
      </c>
      <c r="F4963" s="23" t="str">
        <f>IF(OR(E4963="",E4963="!!!"),"",IF(NOT(ISNA(VLOOKUP(E4963,E$1:E4962,1,FALSE()))),"OLD",IF(AND(E4963&lt;&gt;"",E4963&lt;&gt;"!!!"),"NEW","")))</f>
        <v> </v>
      </c>
      <c r="G4963" s="24" t="str">
        <f>IF(OR(E4963="",E4963="!!!"),"",IF(OR(J4963=0,AND(J4963=1,K4963=1),AND(J4963=1,I4963="SBJ"),AND(J4963=1,I4963=0)),"?IN_FOCUS",IF(J4963&lt;=2,"?ACTIVATED",IF(J4963&lt;&gt;"","?FAMILIAR",IF(F4963="NEW",IF(ISNA(VLOOKUP(E4963,#REF!,1,FALSE())),"?TYPE_IDENTIFIABLE","?REFERENTIAL"),"_")))))</f>
        <v> </v>
      </c>
      <c r="H4963" s="25" t="str">
        <f>IF(J4963&lt;&gt;1,"",IF(I4963="SBJ","CB","?"))</f>
        <v> </v>
      </c>
      <c r="I4963" s="26" t="str">
        <f>IF(OR(E4963="",E4963="!!!",F4963="NEW"),"",INDEX(B4962:B$2,-1+SUMPRODUCT(MAX(ROW(E4962:E$2)*(E4963=E4962:E$2)))))</f>
        <v> </v>
      </c>
      <c r="J4963" s="26" t="str">
        <f>IF(OR(E4963="",E4963="!!!",F4963="NEW"),"",COUNTBLANK(OFFSET(A$1,,,SUMPRODUCT(MAX(ROW(E$2:E4963)*(E4963=E$2:E4963)))))-COUNTBLANK(OFFSET(A$1,,,SUMPRODUCT(MAX(ROW(E$1:E4962)*(E2=E$1:E4962))))))</f>
        <v> </v>
      </c>
      <c r="K4963" s="26" t="str">
        <f>IF(OR(E4963="",E4963="!!!",F4963="NEW"),"",INDEX(J$1:J4962,SUMPRODUCT(MAX(ROW(E$1:E4962)*(E4963=E$1:E4962)))))</f>
        <v> </v>
      </c>
      <c r="L4963" s="27"/>
    </row>
    <row r="4964" spans="1:12">
      <c r="A4964" s="20" t="s">
        <v>1108</v>
      </c>
      <c r="E4964" s="22">
        <f>IF(D4964="?OLD","!!!","")</f>
        <v/>
      </c>
      <c r="F4964" s="23" t="str">
        <f>IF(OR(E4964="",E4964="!!!"),"",IF(NOT(ISNA(VLOOKUP(E4964,E$1:E4963,1,FALSE()))),"OLD",IF(AND(E4964&lt;&gt;"",E4964&lt;&gt;"!!!"),"NEW","")))</f>
        <v> </v>
      </c>
      <c r="G4964" s="24" t="str">
        <f>IF(OR(E4964="",E4964="!!!"),"",IF(OR(J4964=0,AND(J4964=1,K4964=1),AND(J4964=1,I4964="SBJ"),AND(J4964=1,I4964=0)),"?IN_FOCUS",IF(J4964&lt;=2,"?ACTIVATED",IF(J4964&lt;&gt;"","?FAMILIAR",IF(F4964="NEW",IF(ISNA(VLOOKUP(E4964,#REF!,1,FALSE())),"?TYPE_IDENTIFIABLE","?REFERENTIAL"),"_")))))</f>
        <v> </v>
      </c>
      <c r="H4964" s="25" t="str">
        <f>IF(J4964&lt;&gt;1,"",IF(I4964="SBJ","CB","?"))</f>
        <v> </v>
      </c>
      <c r="I4964" s="26" t="str">
        <f>IF(OR(E4964="",E4964="!!!",F4964="NEW"),"",INDEX(B4963:B$2,-1+SUMPRODUCT(MAX(ROW(E4963:E$2)*(E4964=E4963:E$2)))))</f>
        <v> </v>
      </c>
      <c r="J4964" s="26" t="str">
        <f>IF(OR(E4964="",E4964="!!!",F4964="NEW"),"",COUNTBLANK(OFFSET(A$1,,,SUMPRODUCT(MAX(ROW(E$2:E4964)*(E4964=E$2:E4964)))))-COUNTBLANK(OFFSET(A$1,,,SUMPRODUCT(MAX(ROW(E$1:E4963)*(E2=E$1:E4963))))))</f>
        <v> </v>
      </c>
      <c r="K4964" s="26" t="str">
        <f>IF(OR(E4964="",E4964="!!!",F4964="NEW"),"",INDEX(J$1:J4963,SUMPRODUCT(MAX(ROW(E$1:E4963)*(E4964=E$1:E4963)))))</f>
        <v> </v>
      </c>
      <c r="L4964" s="27"/>
    </row>
    <row r="4965" spans="1:12">
      <c r="A4965" s="20" t="s">
        <v>587</v>
      </c>
      <c r="E4965" s="22">
        <f>IF(D4965="?OLD","!!!","")</f>
        <v/>
      </c>
      <c r="F4965" s="23" t="str">
        <f>IF(OR(E4965="",E4965="!!!"),"",IF(NOT(ISNA(VLOOKUP(E4965,E$1:E4964,1,FALSE()))),"OLD",IF(AND(E4965&lt;&gt;"",E4965&lt;&gt;"!!!"),"NEW","")))</f>
        <v> </v>
      </c>
      <c r="G4965" s="24" t="str">
        <f>IF(OR(E4965="",E4965="!!!"),"",IF(OR(J4965=0,AND(J4965=1,K4965=1),AND(J4965=1,I4965="SBJ"),AND(J4965=1,I4965=0)),"?IN_FOCUS",IF(J4965&lt;=2,"?ACTIVATED",IF(J4965&lt;&gt;"","?FAMILIAR",IF(F4965="NEW",IF(ISNA(VLOOKUP(E4965,#REF!,1,FALSE())),"?TYPE_IDENTIFIABLE","?REFERENTIAL"),"_")))))</f>
        <v> </v>
      </c>
      <c r="H4965" s="25" t="str">
        <f>IF(J4965&lt;&gt;1,"",IF(I4965="SBJ","CB","?"))</f>
        <v> </v>
      </c>
      <c r="I4965" s="26" t="str">
        <f>IF(OR(E4965="",E4965="!!!",F4965="NEW"),"",INDEX(B4964:B$2,-1+SUMPRODUCT(MAX(ROW(E4964:E$2)*(E4965=E4964:E$2)))))</f>
        <v> </v>
      </c>
      <c r="J4965" s="26" t="str">
        <f>IF(OR(E4965="",E4965="!!!",F4965="NEW"),"",COUNTBLANK(OFFSET(A$1,,,SUMPRODUCT(MAX(ROW(E$2:E4965)*(E4965=E$2:E4965)))))-COUNTBLANK(OFFSET(A$1,,,SUMPRODUCT(MAX(ROW(E$1:E4964)*(E2=E$1:E4964))))))</f>
        <v> </v>
      </c>
      <c r="K4965" s="26" t="str">
        <f>IF(OR(E4965="",E4965="!!!",F4965="NEW"),"",INDEX(J$1:J4964,SUMPRODUCT(MAX(ROW(E$1:E4964)*(E4965=E$1:E4964)))))</f>
        <v> </v>
      </c>
      <c r="L4965" s="27"/>
    </row>
    <row r="4966" spans="1:12">
      <c r="A4966" s="20" t="s">
        <v>1700</v>
      </c>
      <c r="E4966" s="22">
        <f>IF(D4966="?OLD","!!!","")</f>
        <v/>
      </c>
      <c r="F4966" s="23" t="str">
        <f>IF(OR(E4966="",E4966="!!!"),"",IF(NOT(ISNA(VLOOKUP(E4966,E$1:E4965,1,FALSE()))),"OLD",IF(AND(E4966&lt;&gt;"",E4966&lt;&gt;"!!!"),"NEW","")))</f>
        <v> </v>
      </c>
      <c r="G4966" s="24" t="str">
        <f>IF(OR(E4966="",E4966="!!!"),"",IF(OR(J4966=0,AND(J4966=1,K4966=1),AND(J4966=1,I4966="SBJ"),AND(J4966=1,I4966=0)),"?IN_FOCUS",IF(J4966&lt;=2,"?ACTIVATED",IF(J4966&lt;&gt;"","?FAMILIAR",IF(F4966="NEW",IF(ISNA(VLOOKUP(E4966,#REF!,1,FALSE())),"?TYPE_IDENTIFIABLE","?REFERENTIAL"),"_")))))</f>
        <v> </v>
      </c>
      <c r="H4966" s="25" t="str">
        <f>IF(J4966&lt;&gt;1,"",IF(I4966="SBJ","CB","?"))</f>
        <v> </v>
      </c>
      <c r="I4966" s="26" t="str">
        <f>IF(OR(E4966="",E4966="!!!",F4966="NEW"),"",INDEX(B4965:B$2,-1+SUMPRODUCT(MAX(ROW(E4965:E$2)*(E4966=E4965:E$2)))))</f>
        <v> </v>
      </c>
      <c r="J4966" s="26" t="str">
        <f>IF(OR(E4966="",E4966="!!!",F4966="NEW"),"",COUNTBLANK(OFFSET(A$1,,,SUMPRODUCT(MAX(ROW(E$2:E4966)*(E4966=E$2:E4966)))))-COUNTBLANK(OFFSET(A$1,,,SUMPRODUCT(MAX(ROW(E$1:E4965)*(E2=E$1:E4965))))))</f>
        <v> </v>
      </c>
      <c r="K4966" s="26" t="str">
        <f>IF(OR(E4966="",E4966="!!!",F4966="NEW"),"",INDEX(J$1:J4965,SUMPRODUCT(MAX(ROW(E$1:E4965)*(E4966=E$1:E4965)))))</f>
        <v> </v>
      </c>
      <c r="L4966" s="27"/>
    </row>
    <row r="4967" spans="1:12">
      <c r="A4967" s="20" t="s">
        <v>1160</v>
      </c>
      <c r="E4967" s="22">
        <f>IF(D4967="?OLD","!!!","")</f>
        <v/>
      </c>
      <c r="F4967" s="23" t="str">
        <f>IF(OR(E4967="",E4967="!!!"),"",IF(NOT(ISNA(VLOOKUP(E4967,E$1:E4966,1,FALSE()))),"OLD",IF(AND(E4967&lt;&gt;"",E4967&lt;&gt;"!!!"),"NEW","")))</f>
        <v> </v>
      </c>
      <c r="G4967" s="24" t="str">
        <f>IF(OR(E4967="",E4967="!!!"),"",IF(OR(J4967=0,AND(J4967=1,K4967=1),AND(J4967=1,I4967="SBJ"),AND(J4967=1,I4967=0)),"?IN_FOCUS",IF(J4967&lt;=2,"?ACTIVATED",IF(J4967&lt;&gt;"","?FAMILIAR",IF(F4967="NEW",IF(ISNA(VLOOKUP(E4967,#REF!,1,FALSE())),"?TYPE_IDENTIFIABLE","?REFERENTIAL"),"_")))))</f>
        <v> </v>
      </c>
      <c r="H4967" s="25" t="str">
        <f>IF(J4967&lt;&gt;1,"",IF(I4967="SBJ","CB","?"))</f>
        <v> </v>
      </c>
      <c r="I4967" s="26" t="str">
        <f>IF(OR(E4967="",E4967="!!!",F4967="NEW"),"",INDEX(B4966:B$2,-1+SUMPRODUCT(MAX(ROW(E4966:E$2)*(E4967=E4966:E$2)))))</f>
        <v> </v>
      </c>
      <c r="J4967" s="26" t="str">
        <f>IF(OR(E4967="",E4967="!!!",F4967="NEW"),"",COUNTBLANK(OFFSET(A$1,,,SUMPRODUCT(MAX(ROW(E$2:E4967)*(E4967=E$2:E4967)))))-COUNTBLANK(OFFSET(A$1,,,SUMPRODUCT(MAX(ROW(E$1:E4966)*(E2=E$1:E4966))))))</f>
        <v> </v>
      </c>
      <c r="K4967" s="26" t="str">
        <f>IF(OR(E4967="",E4967="!!!",F4967="NEW"),"",INDEX(J$1:J4966,SUMPRODUCT(MAX(ROW(E$1:E4966)*(E4967=E$1:E4966)))))</f>
        <v> </v>
      </c>
      <c r="L4967" s="27"/>
    </row>
    <row r="4968" spans="1:12">
      <c r="A4968" s="20" t="s">
        <v>2446</v>
      </c>
      <c r="B4968" s="21" t="s">
        <v>1068</v>
      </c>
      <c r="C4968" s="21" t="s">
        <v>1149</v>
      </c>
      <c r="E4968" s="22">
        <f>IF(D4968="?OLD","!!!","")</f>
        <v/>
      </c>
      <c r="F4968" s="23" t="str">
        <f>IF(OR(E4968="",E4968="!!!"),"",IF(NOT(ISNA(VLOOKUP(E4968,E$1:E4967,1,FALSE()))),"OLD",IF(AND(E4968&lt;&gt;"",E4968&lt;&gt;"!!!"),"NEW","")))</f>
        <v> </v>
      </c>
      <c r="G4968" s="24" t="str">
        <f>IF(OR(E4968="",E4968="!!!"),"",IF(OR(J4968=0,AND(J4968=1,K4968=1),AND(J4968=1,I4968="SBJ"),AND(J4968=1,I4968=0)),"?IN_FOCUS",IF(J4968&lt;=2,"?ACTIVATED",IF(J4968&lt;&gt;"","?FAMILIAR",IF(F4968="NEW",IF(ISNA(VLOOKUP(E4968,#REF!,1,FALSE())),"?TYPE_IDENTIFIABLE","?REFERENTIAL"),"_")))))</f>
        <v> </v>
      </c>
      <c r="H4968" s="25" t="str">
        <f>IF(J4968&lt;&gt;1,"",IF(I4968="SBJ","CB","?"))</f>
        <v> </v>
      </c>
      <c r="I4968" s="26" t="str">
        <f>IF(OR(E4968="",E4968="!!!",F4968="NEW"),"",INDEX(B4967:B$2,-1+SUMPRODUCT(MAX(ROW(E4967:E$2)*(E4968=E4967:E$2)))))</f>
        <v> </v>
      </c>
      <c r="J4968" s="26" t="str">
        <f>IF(OR(E4968="",E4968="!!!",F4968="NEW"),"",COUNTBLANK(OFFSET(A$1,,,SUMPRODUCT(MAX(ROW(E$2:E4968)*(E4968=E$2:E4968)))))-COUNTBLANK(OFFSET(A$1,,,SUMPRODUCT(MAX(ROW(E$1:E4967)*(E2=E$1:E4967))))))</f>
        <v> </v>
      </c>
      <c r="K4968" s="26" t="str">
        <f>IF(OR(E4968="",E4968="!!!",F4968="NEW"),"",INDEX(J$1:J4967,SUMPRODUCT(MAX(ROW(E$1:E4967)*(E4968=E$1:E4967)))))</f>
        <v> </v>
      </c>
      <c r="L4968" s="27"/>
    </row>
    <row r="4969" spans="1:12">
      <c r="A4969" s="20" t="s">
        <v>923</v>
      </c>
      <c r="E4969" s="22">
        <f>IF(D4969="?OLD","!!!","")</f>
        <v/>
      </c>
      <c r="F4969" s="23" t="str">
        <f>IF(OR(E4969="",E4969="!!!"),"",IF(NOT(ISNA(VLOOKUP(E4969,E$1:E4968,1,FALSE()))),"OLD",IF(AND(E4969&lt;&gt;"",E4969&lt;&gt;"!!!"),"NEW","")))</f>
        <v> </v>
      </c>
      <c r="G4969" s="24" t="str">
        <f>IF(OR(E4969="",E4969="!!!"),"",IF(OR(J4969=0,AND(J4969=1,K4969=1),AND(J4969=1,I4969="SBJ"),AND(J4969=1,I4969=0)),"?IN_FOCUS",IF(J4969&lt;=2,"?ACTIVATED",IF(J4969&lt;&gt;"","?FAMILIAR",IF(F4969="NEW",IF(ISNA(VLOOKUP(E4969,#REF!,1,FALSE())),"?TYPE_IDENTIFIABLE","?REFERENTIAL"),"_")))))</f>
        <v> </v>
      </c>
      <c r="H4969" s="25" t="str">
        <f>IF(J4969&lt;&gt;1,"",IF(I4969="SBJ","CB","?"))</f>
        <v> </v>
      </c>
      <c r="I4969" s="26" t="str">
        <f>IF(OR(E4969="",E4969="!!!",F4969="NEW"),"",INDEX(B4968:B$2,-1+SUMPRODUCT(MAX(ROW(E4968:E$2)*(E4969=E4968:E$2)))))</f>
        <v> </v>
      </c>
      <c r="J4969" s="26" t="str">
        <f>IF(OR(E4969="",E4969="!!!",F4969="NEW"),"",COUNTBLANK(OFFSET(A$1,,,SUMPRODUCT(MAX(ROW(E$2:E4969)*(E4969=E$2:E4969)))))-COUNTBLANK(OFFSET(A$1,,,SUMPRODUCT(MAX(ROW(E$1:E4968)*(E2=E$1:E4968))))))</f>
        <v> </v>
      </c>
      <c r="K4969" s="26" t="str">
        <f>IF(OR(E4969="",E4969="!!!",F4969="NEW"),"",INDEX(J$1:J4968,SUMPRODUCT(MAX(ROW(E$1:E4968)*(E4969=E$1:E4968)))))</f>
        <v> </v>
      </c>
      <c r="L4969" s="27"/>
    </row>
    <row r="4970" spans="1:12">
      <c r="A4970" s="20" t="s">
        <v>607</v>
      </c>
      <c r="E4970" s="22">
        <f>IF(D4970="?OLD","!!!","")</f>
        <v/>
      </c>
      <c r="F4970" s="23" t="str">
        <f>IF(OR(E4970="",E4970="!!!"),"",IF(NOT(ISNA(VLOOKUP(E4970,E$1:E4969,1,FALSE()))),"OLD",IF(AND(E4970&lt;&gt;"",E4970&lt;&gt;"!!!"),"NEW","")))</f>
        <v> </v>
      </c>
      <c r="G4970" s="24" t="str">
        <f>IF(OR(E4970="",E4970="!!!"),"",IF(OR(J4970=0,AND(J4970=1,K4970=1),AND(J4970=1,I4970="SBJ"),AND(J4970=1,I4970=0)),"?IN_FOCUS",IF(J4970&lt;=2,"?ACTIVATED",IF(J4970&lt;&gt;"","?FAMILIAR",IF(F4970="NEW",IF(ISNA(VLOOKUP(E4970,#REF!,1,FALSE())),"?TYPE_IDENTIFIABLE","?REFERENTIAL"),"_")))))</f>
        <v> </v>
      </c>
      <c r="H4970" s="25" t="str">
        <f>IF(J4970&lt;&gt;1,"",IF(I4970="SBJ","CB","?"))</f>
        <v> </v>
      </c>
      <c r="I4970" s="26" t="str">
        <f>IF(OR(E4970="",E4970="!!!",F4970="NEW"),"",INDEX(B4969:B$2,-1+SUMPRODUCT(MAX(ROW(E4969:E$2)*(E4970=E4969:E$2)))))</f>
        <v> </v>
      </c>
      <c r="J4970" s="26" t="str">
        <f>IF(OR(E4970="",E4970="!!!",F4970="NEW"),"",COUNTBLANK(OFFSET(A$1,,,SUMPRODUCT(MAX(ROW(E$2:E4970)*(E4970=E$2:E4970)))))-COUNTBLANK(OFFSET(A$1,,,SUMPRODUCT(MAX(ROW(E$1:E4969)*(E2=E$1:E4969))))))</f>
        <v> </v>
      </c>
      <c r="K4970" s="26" t="str">
        <f>IF(OR(E4970="",E4970="!!!",F4970="NEW"),"",INDEX(J$1:J4969,SUMPRODUCT(MAX(ROW(E$1:E4969)*(E4970=E$1:E4969)))))</f>
        <v> </v>
      </c>
      <c r="L4970" s="27"/>
    </row>
    <row r="4971" spans="1:12">
      <c r="A4971" s="20"/>
    </row>
    <row r="4972" spans="1:12">
      <c r="A4972" s="20" t="s">
        <v>2447</v>
      </c>
    </row>
    <row r="4973" spans="1:12">
      <c r="A4973" s="20" t="s">
        <v>1779</v>
      </c>
      <c r="E4973" s="22">
        <f>IF(D4973="?OLD","!!!","")</f>
        <v/>
      </c>
      <c r="F4973" s="23" t="str">
        <f>IF(OR(E4973="",E4973="!!!"),"",IF(NOT(ISNA(VLOOKUP(E4973,E$1:E4972,1,FALSE()))),"OLD",IF(AND(E4973&lt;&gt;"",E4973&lt;&gt;"!!!"),"NEW","")))</f>
        <v> </v>
      </c>
      <c r="G4973" s="24" t="str">
        <f>IF(OR(E4973="",E4973="!!!"),"",IF(OR(J4973=0,AND(J4973=1,K4973=1),AND(J4973=1,I4973="SBJ"),AND(J4973=1,I4973=0)),"?IN_FOCUS",IF(J4973&lt;=2,"?ACTIVATED",IF(J4973&lt;&gt;"","?FAMILIAR",IF(F4973="NEW",IF(ISNA(VLOOKUP(E4973,#REF!,1,FALSE())),"?TYPE_IDENTIFIABLE","?REFERENTIAL"),"_")))))</f>
        <v> </v>
      </c>
      <c r="H4973" s="25" t="str">
        <f>IF(J4973&lt;&gt;1,"",IF(I4973="SBJ","CB","?"))</f>
        <v> </v>
      </c>
      <c r="I4973" s="26" t="str">
        <f>IF(OR(E4973="",E4973="!!!",F4973="NEW"),"",INDEX(B4972:B$2,-1+SUMPRODUCT(MAX(ROW(E4972:E$2)*(E4973=E4972:E$2)))))</f>
        <v> </v>
      </c>
      <c r="J4973" s="26" t="str">
        <f>IF(OR(E4973="",E4973="!!!",F4973="NEW"),"",COUNTBLANK(OFFSET(A$1,,,SUMPRODUCT(MAX(ROW(E$2:E4973)*(E4973=E$2:E4973)))))-COUNTBLANK(OFFSET(A$1,,,SUMPRODUCT(MAX(ROW(E$1:E4972)*(E2=E$1:E4972))))))</f>
        <v> </v>
      </c>
      <c r="K4973" s="26" t="str">
        <f>IF(OR(E4973="",E4973="!!!",F4973="NEW"),"",INDEX(J$1:J4972,SUMPRODUCT(MAX(ROW(E$1:E4972)*(E4973=E$1:E4972)))))</f>
        <v> </v>
      </c>
      <c r="L4973" s="27"/>
    </row>
    <row r="4974" spans="1:12">
      <c r="A4974" s="20" t="s">
        <v>967</v>
      </c>
      <c r="E4974" s="22">
        <f>IF(D4974="?OLD","!!!","")</f>
        <v/>
      </c>
      <c r="F4974" s="23" t="str">
        <f>IF(OR(E4974="",E4974="!!!"),"",IF(NOT(ISNA(VLOOKUP(E4974,E$1:E4973,1,FALSE()))),"OLD",IF(AND(E4974&lt;&gt;"",E4974&lt;&gt;"!!!"),"NEW","")))</f>
        <v> </v>
      </c>
      <c r="G4974" s="24" t="str">
        <f>IF(OR(E4974="",E4974="!!!"),"",IF(OR(J4974=0,AND(J4974=1,K4974=1),AND(J4974=1,I4974="SBJ"),AND(J4974=1,I4974=0)),"?IN_FOCUS",IF(J4974&lt;=2,"?ACTIVATED",IF(J4974&lt;&gt;"","?FAMILIAR",IF(F4974="NEW",IF(ISNA(VLOOKUP(E4974,#REF!,1,FALSE())),"?TYPE_IDENTIFIABLE","?REFERENTIAL"),"_")))))</f>
        <v> </v>
      </c>
      <c r="H4974" s="25" t="str">
        <f>IF(J4974&lt;&gt;1,"",IF(I4974="SBJ","CB","?"))</f>
        <v> </v>
      </c>
      <c r="I4974" s="26" t="str">
        <f>IF(OR(E4974="",E4974="!!!",F4974="NEW"),"",INDEX(B4973:B$2,-1+SUMPRODUCT(MAX(ROW(E4973:E$2)*(E4974=E4973:E$2)))))</f>
        <v> </v>
      </c>
      <c r="J4974" s="26" t="str">
        <f>IF(OR(E4974="",E4974="!!!",F4974="NEW"),"",COUNTBLANK(OFFSET(A$1,,,SUMPRODUCT(MAX(ROW(E$2:E4974)*(E4974=E$2:E4974)))))-COUNTBLANK(OFFSET(A$1,,,SUMPRODUCT(MAX(ROW(E$1:E4973)*(E2=E$1:E4973))))))</f>
        <v> </v>
      </c>
      <c r="K4974" s="26" t="str">
        <f>IF(OR(E4974="",E4974="!!!",F4974="NEW"),"",INDEX(J$1:J4973,SUMPRODUCT(MAX(ROW(E$1:E4973)*(E4974=E$1:E4973)))))</f>
        <v> </v>
      </c>
      <c r="L4974" s="27"/>
    </row>
    <row r="4975" spans="1:12">
      <c r="A4975" s="20" t="s">
        <v>1157</v>
      </c>
      <c r="E4975" s="22">
        <f>IF(D4975="?OLD","!!!","")</f>
        <v/>
      </c>
      <c r="F4975" s="23" t="str">
        <f>IF(OR(E4975="",E4975="!!!"),"",IF(NOT(ISNA(VLOOKUP(E4975,E$1:E4974,1,FALSE()))),"OLD",IF(AND(E4975&lt;&gt;"",E4975&lt;&gt;"!!!"),"NEW","")))</f>
        <v> </v>
      </c>
      <c r="G4975" s="24" t="str">
        <f>IF(OR(E4975="",E4975="!!!"),"",IF(OR(J4975=0,AND(J4975=1,K4975=1),AND(J4975=1,I4975="SBJ"),AND(J4975=1,I4975=0)),"?IN_FOCUS",IF(J4975&lt;=2,"?ACTIVATED",IF(J4975&lt;&gt;"","?FAMILIAR",IF(F4975="NEW",IF(ISNA(VLOOKUP(E4975,#REF!,1,FALSE())),"?TYPE_IDENTIFIABLE","?REFERENTIAL"),"_")))))</f>
        <v> </v>
      </c>
      <c r="H4975" s="25" t="str">
        <f>IF(J4975&lt;&gt;1,"",IF(I4975="SBJ","CB","?"))</f>
        <v> </v>
      </c>
      <c r="I4975" s="26" t="str">
        <f>IF(OR(E4975="",E4975="!!!",F4975="NEW"),"",INDEX(B4974:B$2,-1+SUMPRODUCT(MAX(ROW(E4974:E$2)*(E4975=E4974:E$2)))))</f>
        <v> </v>
      </c>
      <c r="J4975" s="26" t="str">
        <f>IF(OR(E4975="",E4975="!!!",F4975="NEW"),"",COUNTBLANK(OFFSET(A$1,,,SUMPRODUCT(MAX(ROW(E$2:E4975)*(E4975=E$2:E4975)))))-COUNTBLANK(OFFSET(A$1,,,SUMPRODUCT(MAX(ROW(E$1:E4974)*(E2=E$1:E4974))))))</f>
        <v> </v>
      </c>
      <c r="K4975" s="26" t="str">
        <f>IF(OR(E4975="",E4975="!!!",F4975="NEW"),"",INDEX(J$1:J4974,SUMPRODUCT(MAX(ROW(E$1:E4974)*(E4975=E$1:E4974)))))</f>
        <v> </v>
      </c>
      <c r="L4975" s="27"/>
    </row>
    <row r="4976" spans="1:12">
      <c r="A4976" s="20" t="s">
        <v>1082</v>
      </c>
      <c r="E4976" s="22">
        <f>IF(D4976="?OLD","!!!","")</f>
        <v/>
      </c>
      <c r="F4976" s="23" t="str">
        <f>IF(OR(E4976="",E4976="!!!"),"",IF(NOT(ISNA(VLOOKUP(E4976,E$1:E4975,1,FALSE()))),"OLD",IF(AND(E4976&lt;&gt;"",E4976&lt;&gt;"!!!"),"NEW","")))</f>
        <v> </v>
      </c>
      <c r="G4976" s="24" t="str">
        <f>IF(OR(E4976="",E4976="!!!"),"",IF(OR(J4976=0,AND(J4976=1,K4976=1),AND(J4976=1,I4976="SBJ"),AND(J4976=1,I4976=0)),"?IN_FOCUS",IF(J4976&lt;=2,"?ACTIVATED",IF(J4976&lt;&gt;"","?FAMILIAR",IF(F4976="NEW",IF(ISNA(VLOOKUP(E4976,#REF!,1,FALSE())),"?TYPE_IDENTIFIABLE","?REFERENTIAL"),"_")))))</f>
        <v> </v>
      </c>
      <c r="H4976" s="25" t="str">
        <f>IF(J4976&lt;&gt;1,"",IF(I4976="SBJ","CB","?"))</f>
        <v> </v>
      </c>
      <c r="I4976" s="26" t="str">
        <f>IF(OR(E4976="",E4976="!!!",F4976="NEW"),"",INDEX(B4975:B$2,-1+SUMPRODUCT(MAX(ROW(E4975:E$2)*(E4976=E4975:E$2)))))</f>
        <v> </v>
      </c>
      <c r="J4976" s="26" t="str">
        <f>IF(OR(E4976="",E4976="!!!",F4976="NEW"),"",COUNTBLANK(OFFSET(A$1,,,SUMPRODUCT(MAX(ROW(E$2:E4976)*(E4976=E$2:E4976)))))-COUNTBLANK(OFFSET(A$1,,,SUMPRODUCT(MAX(ROW(E$1:E4975)*(E2=E$1:E4975))))))</f>
        <v> </v>
      </c>
      <c r="K4976" s="26" t="str">
        <f>IF(OR(E4976="",E4976="!!!",F4976="NEW"),"",INDEX(J$1:J4975,SUMPRODUCT(MAX(ROW(E$1:E4975)*(E4976=E$1:E4975)))))</f>
        <v> </v>
      </c>
      <c r="L4976" s="27"/>
    </row>
    <row r="4977" spans="1:12">
      <c r="A4977" s="20" t="s">
        <v>1170</v>
      </c>
      <c r="B4977" s="21" t="s">
        <v>1079</v>
      </c>
      <c r="C4977" s="21" t="s">
        <v>1076</v>
      </c>
      <c r="D4977" s="21" t="s">
        <v>1060</v>
      </c>
      <c r="E4977" s="22">
        <f>IF(D4977="?OLD","!!!","")</f>
        <v/>
      </c>
      <c r="F4977" s="23" t="str">
        <f>IF(OR(E4977="",E4977="!!!"),"",IF(NOT(ISNA(VLOOKUP(E4977,E$1:E4976,1,FALSE()))),"OLD",IF(AND(E4977&lt;&gt;"",E4977&lt;&gt;"!!!"),"NEW","")))</f>
        <v> </v>
      </c>
      <c r="G4977" s="24" t="str">
        <f>IF(OR(E4977="",E4977="!!!"),"",IF(OR(J4977=0,AND(J4977=1,K4977=1),AND(J4977=1,I4977="SBJ"),AND(J4977=1,I4977=0)),"?IN_FOCUS",IF(J4977&lt;=2,"?ACTIVATED",IF(J4977&lt;&gt;"","?FAMILIAR",IF(F4977="NEW",IF(ISNA(VLOOKUP(E4977,#REF!,1,FALSE())),"?TYPE_IDENTIFIABLE","?REFERENTIAL"),"_")))))</f>
        <v> </v>
      </c>
      <c r="H4977" s="25" t="str">
        <f>IF(J4977&lt;&gt;1,"",IF(I4977="SBJ","CB","?"))</f>
        <v> </v>
      </c>
      <c r="I4977" s="26" t="str">
        <f>IF(OR(E4977="",E4977="!!!",F4977="NEW"),"",INDEX(B4976:B$2,-1+SUMPRODUCT(MAX(ROW(E4976:E$2)*(E4977=E4976:E$2)))))</f>
        <v> </v>
      </c>
      <c r="J4977" s="26" t="str">
        <f>IF(OR(E4977="",E4977="!!!",F4977="NEW"),"",COUNTBLANK(OFFSET(A$1,,,SUMPRODUCT(MAX(ROW(E$2:E4977)*(E4977=E$2:E4977)))))-COUNTBLANK(OFFSET(A$1,,,SUMPRODUCT(MAX(ROW(E$1:E4976)*(E2=E$1:E4976))))))</f>
        <v> </v>
      </c>
      <c r="K4977" s="26" t="str">
        <f>IF(OR(E4977="",E4977="!!!",F4977="NEW"),"",INDEX(J$1:J4976,SUMPRODUCT(MAX(ROW(E$1:E4976)*(E4977=E$1:E4976)))))</f>
        <v> </v>
      </c>
      <c r="L4977" s="27"/>
    </row>
    <row r="4978" spans="1:12">
      <c r="A4978" s="20" t="s">
        <v>1125</v>
      </c>
      <c r="E4978" s="22">
        <f>IF(D4978="?OLD","!!!","")</f>
        <v/>
      </c>
      <c r="F4978" s="23" t="str">
        <f>IF(OR(E4978="",E4978="!!!"),"",IF(NOT(ISNA(VLOOKUP(E4978,E$1:E4977,1,FALSE()))),"OLD",IF(AND(E4978&lt;&gt;"",E4978&lt;&gt;"!!!"),"NEW","")))</f>
        <v> </v>
      </c>
      <c r="G4978" s="24" t="str">
        <f>IF(OR(E4978="",E4978="!!!"),"",IF(OR(J4978=0,AND(J4978=1,K4978=1),AND(J4978=1,I4978="SBJ"),AND(J4978=1,I4978=0)),"?IN_FOCUS",IF(J4978&lt;=2,"?ACTIVATED",IF(J4978&lt;&gt;"","?FAMILIAR",IF(F4978="NEW",IF(ISNA(VLOOKUP(E4978,#REF!,1,FALSE())),"?TYPE_IDENTIFIABLE","?REFERENTIAL"),"_")))))</f>
        <v> </v>
      </c>
      <c r="H4978" s="25" t="str">
        <f>IF(J4978&lt;&gt;1,"",IF(I4978="SBJ","CB","?"))</f>
        <v> </v>
      </c>
      <c r="I4978" s="26" t="str">
        <f>IF(OR(E4978="",E4978="!!!",F4978="NEW"),"",INDEX(B4977:B$2,-1+SUMPRODUCT(MAX(ROW(E4977:E$2)*(E4978=E4977:E$2)))))</f>
        <v> </v>
      </c>
      <c r="J4978" s="26" t="str">
        <f>IF(OR(E4978="",E4978="!!!",F4978="NEW"),"",COUNTBLANK(OFFSET(A$1,,,SUMPRODUCT(MAX(ROW(E$2:E4978)*(E4978=E$2:E4978)))))-COUNTBLANK(OFFSET(A$1,,,SUMPRODUCT(MAX(ROW(E$1:E4977)*(E2=E$1:E4977))))))</f>
        <v> </v>
      </c>
      <c r="K4978" s="26" t="str">
        <f>IF(OR(E4978="",E4978="!!!",F4978="NEW"),"",INDEX(J$1:J4977,SUMPRODUCT(MAX(ROW(E$1:E4977)*(E4978=E$1:E4977)))))</f>
        <v> </v>
      </c>
      <c r="L4978" s="27"/>
    </row>
    <row r="4979" spans="1:12">
      <c r="A4979" s="20" t="s">
        <v>1133</v>
      </c>
      <c r="E4979" s="22">
        <f>IF(D4979="?OLD","!!!","")</f>
        <v/>
      </c>
      <c r="F4979" s="23" t="str">
        <f>IF(OR(E4979="",E4979="!!!"),"",IF(NOT(ISNA(VLOOKUP(E4979,E$1:E4978,1,FALSE()))),"OLD",IF(AND(E4979&lt;&gt;"",E4979&lt;&gt;"!!!"),"NEW","")))</f>
        <v> </v>
      </c>
      <c r="G4979" s="24" t="str">
        <f>IF(OR(E4979="",E4979="!!!"),"",IF(OR(J4979=0,AND(J4979=1,K4979=1),AND(J4979=1,I4979="SBJ"),AND(J4979=1,I4979=0)),"?IN_FOCUS",IF(J4979&lt;=2,"?ACTIVATED",IF(J4979&lt;&gt;"","?FAMILIAR",IF(F4979="NEW",IF(ISNA(VLOOKUP(E4979,#REF!,1,FALSE())),"?TYPE_IDENTIFIABLE","?REFERENTIAL"),"_")))))</f>
        <v> </v>
      </c>
      <c r="H4979" s="25" t="str">
        <f>IF(J4979&lt;&gt;1,"",IF(I4979="SBJ","CB","?"))</f>
        <v> </v>
      </c>
      <c r="I4979" s="26" t="str">
        <f>IF(OR(E4979="",E4979="!!!",F4979="NEW"),"",INDEX(B4978:B$2,-1+SUMPRODUCT(MAX(ROW(E4978:E$2)*(E4979=E4978:E$2)))))</f>
        <v> </v>
      </c>
      <c r="J4979" s="26" t="str">
        <f>IF(OR(E4979="",E4979="!!!",F4979="NEW"),"",COUNTBLANK(OFFSET(A$1,,,SUMPRODUCT(MAX(ROW(E$2:E4979)*(E4979=E$2:E4979)))))-COUNTBLANK(OFFSET(A$1,,,SUMPRODUCT(MAX(ROW(E$1:E4978)*(E2=E$1:E4978))))))</f>
        <v> </v>
      </c>
      <c r="K4979" s="26" t="str">
        <f>IF(OR(E4979="",E4979="!!!",F4979="NEW"),"",INDEX(J$1:J4978,SUMPRODUCT(MAX(ROW(E$1:E4978)*(E4979=E$1:E4978)))))</f>
        <v> </v>
      </c>
      <c r="L4979" s="27"/>
    </row>
    <row r="4980" spans="1:12">
      <c r="A4980" s="20" t="s">
        <v>2325</v>
      </c>
      <c r="E4980" s="22">
        <f>IF(D4980="?OLD","!!!","")</f>
        <v/>
      </c>
      <c r="F4980" s="23" t="str">
        <f>IF(OR(E4980="",E4980="!!!"),"",IF(NOT(ISNA(VLOOKUP(E4980,E$1:E4979,1,FALSE()))),"OLD",IF(AND(E4980&lt;&gt;"",E4980&lt;&gt;"!!!"),"NEW","")))</f>
        <v> </v>
      </c>
      <c r="G4980" s="24" t="str">
        <f>IF(OR(E4980="",E4980="!!!"),"",IF(OR(J4980=0,AND(J4980=1,K4980=1),AND(J4980=1,I4980="SBJ"),AND(J4980=1,I4980=0)),"?IN_FOCUS",IF(J4980&lt;=2,"?ACTIVATED",IF(J4980&lt;&gt;"","?FAMILIAR",IF(F4980="NEW",IF(ISNA(VLOOKUP(E4980,#REF!,1,FALSE())),"?TYPE_IDENTIFIABLE","?REFERENTIAL"),"_")))))</f>
        <v> </v>
      </c>
      <c r="H4980" s="25" t="str">
        <f>IF(J4980&lt;&gt;1,"",IF(I4980="SBJ","CB","?"))</f>
        <v> </v>
      </c>
      <c r="I4980" s="26" t="str">
        <f>IF(OR(E4980="",E4980="!!!",F4980="NEW"),"",INDEX(B4979:B$2,-1+SUMPRODUCT(MAX(ROW(E4979:E$2)*(E4980=E4979:E$2)))))</f>
        <v> </v>
      </c>
      <c r="J4980" s="26" t="str">
        <f>IF(OR(E4980="",E4980="!!!",F4980="NEW"),"",COUNTBLANK(OFFSET(A$1,,,SUMPRODUCT(MAX(ROW(E$2:E4980)*(E4980=E$2:E4980)))))-COUNTBLANK(OFFSET(A$1,,,SUMPRODUCT(MAX(ROW(E$1:E4979)*(E2=E$1:E4979))))))</f>
        <v> </v>
      </c>
      <c r="K4980" s="26" t="str">
        <f>IF(OR(E4980="",E4980="!!!",F4980="NEW"),"",INDEX(J$1:J4979,SUMPRODUCT(MAX(ROW(E$1:E4979)*(E4980=E$1:E4979)))))</f>
        <v> </v>
      </c>
      <c r="L4980" s="27"/>
    </row>
    <row r="4981" spans="1:12">
      <c r="A4981" s="20" t="s">
        <v>1088</v>
      </c>
      <c r="E4981" s="22">
        <f>IF(D4981="?OLD","!!!","")</f>
        <v/>
      </c>
      <c r="F4981" s="23" t="str">
        <f>IF(OR(E4981="",E4981="!!!"),"",IF(NOT(ISNA(VLOOKUP(E4981,E$1:E4980,1,FALSE()))),"OLD",IF(AND(E4981&lt;&gt;"",E4981&lt;&gt;"!!!"),"NEW","")))</f>
        <v> </v>
      </c>
      <c r="G4981" s="24" t="str">
        <f>IF(OR(E4981="",E4981="!!!"),"",IF(OR(J4981=0,AND(J4981=1,K4981=1),AND(J4981=1,I4981="SBJ"),AND(J4981=1,I4981=0)),"?IN_FOCUS",IF(J4981&lt;=2,"?ACTIVATED",IF(J4981&lt;&gt;"","?FAMILIAR",IF(F4981="NEW",IF(ISNA(VLOOKUP(E4981,#REF!,1,FALSE())),"?TYPE_IDENTIFIABLE","?REFERENTIAL"),"_")))))</f>
        <v> </v>
      </c>
      <c r="H4981" s="25" t="str">
        <f>IF(J4981&lt;&gt;1,"",IF(I4981="SBJ","CB","?"))</f>
        <v> </v>
      </c>
      <c r="I4981" s="26" t="str">
        <f>IF(OR(E4981="",E4981="!!!",F4981="NEW"),"",INDEX(B4980:B$2,-1+SUMPRODUCT(MAX(ROW(E4980:E$2)*(E4981=E4980:E$2)))))</f>
        <v> </v>
      </c>
      <c r="J4981" s="26" t="str">
        <f>IF(OR(E4981="",E4981="!!!",F4981="NEW"),"",COUNTBLANK(OFFSET(A$1,,,SUMPRODUCT(MAX(ROW(E$2:E4981)*(E4981=E$2:E4981)))))-COUNTBLANK(OFFSET(A$1,,,SUMPRODUCT(MAX(ROW(E$1:E4980)*(E2=E$1:E4980))))))</f>
        <v> </v>
      </c>
      <c r="K4981" s="26" t="str">
        <f>IF(OR(E4981="",E4981="!!!",F4981="NEW"),"",INDEX(J$1:J4980,SUMPRODUCT(MAX(ROW(E$1:E4980)*(E4981=E$1:E4980)))))</f>
        <v> </v>
      </c>
      <c r="L4981" s="27"/>
    </row>
    <row r="4982" spans="1:12">
      <c r="A4982" s="20" t="s">
        <v>169</v>
      </c>
      <c r="E4982" s="22">
        <f>IF(D4982="?OLD","!!!","")</f>
        <v/>
      </c>
      <c r="F4982" s="23" t="str">
        <f>IF(OR(E4982="",E4982="!!!"),"",IF(NOT(ISNA(VLOOKUP(E4982,E$1:E4981,1,FALSE()))),"OLD",IF(AND(E4982&lt;&gt;"",E4982&lt;&gt;"!!!"),"NEW","")))</f>
        <v> </v>
      </c>
      <c r="G4982" s="24" t="str">
        <f>IF(OR(E4982="",E4982="!!!"),"",IF(OR(J4982=0,AND(J4982=1,K4982=1),AND(J4982=1,I4982="SBJ"),AND(J4982=1,I4982=0)),"?IN_FOCUS",IF(J4982&lt;=2,"?ACTIVATED",IF(J4982&lt;&gt;"","?FAMILIAR",IF(F4982="NEW",IF(ISNA(VLOOKUP(E4982,#REF!,1,FALSE())),"?TYPE_IDENTIFIABLE","?REFERENTIAL"),"_")))))</f>
        <v> </v>
      </c>
      <c r="H4982" s="25" t="str">
        <f>IF(J4982&lt;&gt;1,"",IF(I4982="SBJ","CB","?"))</f>
        <v> </v>
      </c>
      <c r="I4982" s="26" t="str">
        <f>IF(OR(E4982="",E4982="!!!",F4982="NEW"),"",INDEX(B4981:B$2,-1+SUMPRODUCT(MAX(ROW(E4981:E$2)*(E4982=E4981:E$2)))))</f>
        <v> </v>
      </c>
      <c r="J4982" s="26" t="str">
        <f>IF(OR(E4982="",E4982="!!!",F4982="NEW"),"",COUNTBLANK(OFFSET(A$1,,,SUMPRODUCT(MAX(ROW(E$2:E4982)*(E4982=E$2:E4982)))))-COUNTBLANK(OFFSET(A$1,,,SUMPRODUCT(MAX(ROW(E$1:E4981)*(E2=E$1:E4981))))))</f>
        <v> </v>
      </c>
      <c r="K4982" s="26" t="str">
        <f>IF(OR(E4982="",E4982="!!!",F4982="NEW"),"",INDEX(J$1:J4981,SUMPRODUCT(MAX(ROW(E$1:E4981)*(E4982=E$1:E4981)))))</f>
        <v> </v>
      </c>
      <c r="L4982" s="27"/>
    </row>
    <row r="4983" spans="1:12">
      <c r="A4983" s="20" t="s">
        <v>1070</v>
      </c>
      <c r="E4983" s="22">
        <f>IF(D4983="?OLD","!!!","")</f>
        <v/>
      </c>
      <c r="F4983" s="23" t="str">
        <f>IF(OR(E4983="",E4983="!!!"),"",IF(NOT(ISNA(VLOOKUP(E4983,E$1:E4982,1,FALSE()))),"OLD",IF(AND(E4983&lt;&gt;"",E4983&lt;&gt;"!!!"),"NEW","")))</f>
        <v> </v>
      </c>
      <c r="G4983" s="24" t="str">
        <f>IF(OR(E4983="",E4983="!!!"),"",IF(OR(J4983=0,AND(J4983=1,K4983=1),AND(J4983=1,I4983="SBJ"),AND(J4983=1,I4983=0)),"?IN_FOCUS",IF(J4983&lt;=2,"?ACTIVATED",IF(J4983&lt;&gt;"","?FAMILIAR",IF(F4983="NEW",IF(ISNA(VLOOKUP(E4983,#REF!,1,FALSE())),"?TYPE_IDENTIFIABLE","?REFERENTIAL"),"_")))))</f>
        <v> </v>
      </c>
      <c r="H4983" s="25" t="str">
        <f>IF(J4983&lt;&gt;1,"",IF(I4983="SBJ","CB","?"))</f>
        <v> </v>
      </c>
      <c r="I4983" s="26" t="str">
        <f>IF(OR(E4983="",E4983="!!!",F4983="NEW"),"",INDEX(B4982:B$2,-1+SUMPRODUCT(MAX(ROW(E4982:E$2)*(E4983=E4982:E$2)))))</f>
        <v> </v>
      </c>
      <c r="J4983" s="26" t="str">
        <f>IF(OR(E4983="",E4983="!!!",F4983="NEW"),"",COUNTBLANK(OFFSET(A$1,,,SUMPRODUCT(MAX(ROW(E$2:E4983)*(E4983=E$2:E4983)))))-COUNTBLANK(OFFSET(A$1,,,SUMPRODUCT(MAX(ROW(E$1:E4982)*(E2=E$1:E4982))))))</f>
        <v> </v>
      </c>
      <c r="K4983" s="26" t="str">
        <f>IF(OR(E4983="",E4983="!!!",F4983="NEW"),"",INDEX(J$1:J4982,SUMPRODUCT(MAX(ROW(E$1:E4982)*(E4983=E$1:E4982)))))</f>
        <v> </v>
      </c>
      <c r="L4983" s="27"/>
    </row>
    <row r="4984" spans="1:12">
      <c r="A4984" s="20" t="s">
        <v>2448</v>
      </c>
      <c r="E4984" s="22">
        <f>IF(D4984="?OLD","!!!","")</f>
        <v/>
      </c>
      <c r="F4984" s="23" t="str">
        <f>IF(OR(E4984="",E4984="!!!"),"",IF(NOT(ISNA(VLOOKUP(E4984,E$1:E4983,1,FALSE()))),"OLD",IF(AND(E4984&lt;&gt;"",E4984&lt;&gt;"!!!"),"NEW","")))</f>
        <v> </v>
      </c>
      <c r="G4984" s="24" t="str">
        <f>IF(OR(E4984="",E4984="!!!"),"",IF(OR(J4984=0,AND(J4984=1,K4984=1),AND(J4984=1,I4984="SBJ"),AND(J4984=1,I4984=0)),"?IN_FOCUS",IF(J4984&lt;=2,"?ACTIVATED",IF(J4984&lt;&gt;"","?FAMILIAR",IF(F4984="NEW",IF(ISNA(VLOOKUP(E4984,#REF!,1,FALSE())),"?TYPE_IDENTIFIABLE","?REFERENTIAL"),"_")))))</f>
        <v> </v>
      </c>
      <c r="H4984" s="25" t="str">
        <f>IF(J4984&lt;&gt;1,"",IF(I4984="SBJ","CB","?"))</f>
        <v> </v>
      </c>
      <c r="I4984" s="26" t="str">
        <f>IF(OR(E4984="",E4984="!!!",F4984="NEW"),"",INDEX(B4983:B$2,-1+SUMPRODUCT(MAX(ROW(E4983:E$2)*(E4984=E4983:E$2)))))</f>
        <v> </v>
      </c>
      <c r="J4984" s="26" t="str">
        <f>IF(OR(E4984="",E4984="!!!",F4984="NEW"),"",COUNTBLANK(OFFSET(A$1,,,SUMPRODUCT(MAX(ROW(E$2:E4984)*(E4984=E$2:E4984)))))-COUNTBLANK(OFFSET(A$1,,,SUMPRODUCT(MAX(ROW(E$1:E4983)*(E2=E$1:E4983))))))</f>
        <v> </v>
      </c>
      <c r="K4984" s="26" t="str">
        <f>IF(OR(E4984="",E4984="!!!",F4984="NEW"),"",INDEX(J$1:J4983,SUMPRODUCT(MAX(ROW(E$1:E4983)*(E4984=E$1:E4983)))))</f>
        <v> </v>
      </c>
      <c r="L4984" s="27"/>
    </row>
    <row r="4985" spans="1:12">
      <c r="A4985" s="20" t="s">
        <v>1502</v>
      </c>
      <c r="E4985" s="22">
        <f>IF(D4985="?OLD","!!!","")</f>
        <v/>
      </c>
      <c r="F4985" s="23" t="str">
        <f>IF(OR(E4985="",E4985="!!!"),"",IF(NOT(ISNA(VLOOKUP(E4985,E$1:E4984,1,FALSE()))),"OLD",IF(AND(E4985&lt;&gt;"",E4985&lt;&gt;"!!!"),"NEW","")))</f>
        <v> </v>
      </c>
      <c r="G4985" s="24" t="str">
        <f>IF(OR(E4985="",E4985="!!!"),"",IF(OR(J4985=0,AND(J4985=1,K4985=1),AND(J4985=1,I4985="SBJ"),AND(J4985=1,I4985=0)),"?IN_FOCUS",IF(J4985&lt;=2,"?ACTIVATED",IF(J4985&lt;&gt;"","?FAMILIAR",IF(F4985="NEW",IF(ISNA(VLOOKUP(E4985,#REF!,1,FALSE())),"?TYPE_IDENTIFIABLE","?REFERENTIAL"),"_")))))</f>
        <v> </v>
      </c>
      <c r="H4985" s="25" t="str">
        <f>IF(J4985&lt;&gt;1,"",IF(I4985="SBJ","CB","?"))</f>
        <v> </v>
      </c>
      <c r="I4985" s="26" t="str">
        <f>IF(OR(E4985="",E4985="!!!",F4985="NEW"),"",INDEX(B4984:B$2,-1+SUMPRODUCT(MAX(ROW(E4984:E$2)*(E4985=E4984:E$2)))))</f>
        <v> </v>
      </c>
      <c r="J4985" s="26" t="str">
        <f>IF(OR(E4985="",E4985="!!!",F4985="NEW"),"",COUNTBLANK(OFFSET(A$1,,,SUMPRODUCT(MAX(ROW(E$2:E4985)*(E4985=E$2:E4985)))))-COUNTBLANK(OFFSET(A$1,,,SUMPRODUCT(MAX(ROW(E$1:E4984)*(E2=E$1:E4984))))))</f>
        <v> </v>
      </c>
      <c r="K4985" s="26" t="str">
        <f>IF(OR(E4985="",E4985="!!!",F4985="NEW"),"",INDEX(J$1:J4984,SUMPRODUCT(MAX(ROW(E$1:E4984)*(E4985=E$1:E4984)))))</f>
        <v> </v>
      </c>
      <c r="L4985" s="27"/>
    </row>
    <row r="4986" spans="1:12">
      <c r="A4986" s="20" t="s">
        <v>1085</v>
      </c>
      <c r="E4986" s="22">
        <f>IF(D4986="?OLD","!!!","")</f>
        <v/>
      </c>
      <c r="F4986" s="23" t="str">
        <f>IF(OR(E4986="",E4986="!!!"),"",IF(NOT(ISNA(VLOOKUP(E4986,E$1:E4985,1,FALSE()))),"OLD",IF(AND(E4986&lt;&gt;"",E4986&lt;&gt;"!!!"),"NEW","")))</f>
        <v> </v>
      </c>
      <c r="G4986" s="24" t="str">
        <f>IF(OR(E4986="",E4986="!!!"),"",IF(OR(J4986=0,AND(J4986=1,K4986=1),AND(J4986=1,I4986="SBJ"),AND(J4986=1,I4986=0)),"?IN_FOCUS",IF(J4986&lt;=2,"?ACTIVATED",IF(J4986&lt;&gt;"","?FAMILIAR",IF(F4986="NEW",IF(ISNA(VLOOKUP(E4986,#REF!,1,FALSE())),"?TYPE_IDENTIFIABLE","?REFERENTIAL"),"_")))))</f>
        <v> </v>
      </c>
      <c r="H4986" s="25" t="str">
        <f>IF(J4986&lt;&gt;1,"",IF(I4986="SBJ","CB","?"))</f>
        <v> </v>
      </c>
      <c r="I4986" s="26" t="str">
        <f>IF(OR(E4986="",E4986="!!!",F4986="NEW"),"",INDEX(B4985:B$2,-1+SUMPRODUCT(MAX(ROW(E4985:E$2)*(E4986=E4985:E$2)))))</f>
        <v> </v>
      </c>
      <c r="J4986" s="26" t="str">
        <f>IF(OR(E4986="",E4986="!!!",F4986="NEW"),"",COUNTBLANK(OFFSET(A$1,,,SUMPRODUCT(MAX(ROW(E$2:E4986)*(E4986=E$2:E4986)))))-COUNTBLANK(OFFSET(A$1,,,SUMPRODUCT(MAX(ROW(E$1:E4985)*(E2=E$1:E4985))))))</f>
        <v> </v>
      </c>
      <c r="K4986" s="26" t="str">
        <f>IF(OR(E4986="",E4986="!!!",F4986="NEW"),"",INDEX(J$1:J4985,SUMPRODUCT(MAX(ROW(E$1:E4985)*(E4986=E$1:E4985)))))</f>
        <v> </v>
      </c>
      <c r="L4986" s="27"/>
    </row>
    <row r="4987" spans="1:12">
      <c r="A4987" s="20" t="s">
        <v>1883</v>
      </c>
      <c r="E4987" s="22">
        <f>IF(D4987="?OLD","!!!","")</f>
        <v/>
      </c>
      <c r="F4987" s="23" t="str">
        <f>IF(OR(E4987="",E4987="!!!"),"",IF(NOT(ISNA(VLOOKUP(E4987,E$1:E4986,1,FALSE()))),"OLD",IF(AND(E4987&lt;&gt;"",E4987&lt;&gt;"!!!"),"NEW","")))</f>
        <v> </v>
      </c>
      <c r="G4987" s="24" t="str">
        <f>IF(OR(E4987="",E4987="!!!"),"",IF(OR(J4987=0,AND(J4987=1,K4987=1),AND(J4987=1,I4987="SBJ"),AND(J4987=1,I4987=0)),"?IN_FOCUS",IF(J4987&lt;=2,"?ACTIVATED",IF(J4987&lt;&gt;"","?FAMILIAR",IF(F4987="NEW",IF(ISNA(VLOOKUP(E4987,#REF!,1,FALSE())),"?TYPE_IDENTIFIABLE","?REFERENTIAL"),"_")))))</f>
        <v> </v>
      </c>
      <c r="H4987" s="25" t="str">
        <f>IF(J4987&lt;&gt;1,"",IF(I4987="SBJ","CB","?"))</f>
        <v> </v>
      </c>
      <c r="I4987" s="26" t="str">
        <f>IF(OR(E4987="",E4987="!!!",F4987="NEW"),"",INDEX(B4986:B$2,-1+SUMPRODUCT(MAX(ROW(E4986:E$2)*(E4987=E4986:E$2)))))</f>
        <v> </v>
      </c>
      <c r="J4987" s="26" t="str">
        <f>IF(OR(E4987="",E4987="!!!",F4987="NEW"),"",COUNTBLANK(OFFSET(A$1,,,SUMPRODUCT(MAX(ROW(E$2:E4987)*(E4987=E$2:E4987)))))-COUNTBLANK(OFFSET(A$1,,,SUMPRODUCT(MAX(ROW(E$1:E4986)*(E2=E$1:E4986))))))</f>
        <v> </v>
      </c>
      <c r="K4987" s="26" t="str">
        <f>IF(OR(E4987="",E4987="!!!",F4987="NEW"),"",INDEX(J$1:J4986,SUMPRODUCT(MAX(ROW(E$1:E4986)*(E4987=E$1:E4986)))))</f>
        <v> </v>
      </c>
      <c r="L4987" s="27"/>
    </row>
    <row r="4988" spans="1:12">
      <c r="A4988" s="20" t="s">
        <v>1115</v>
      </c>
      <c r="B4988" s="21" t="s">
        <v>1136</v>
      </c>
      <c r="E4988" s="22">
        <f>IF(D4988="?OLD","!!!","")</f>
        <v/>
      </c>
      <c r="F4988" s="23" t="str">
        <f>IF(OR(E4988="",E4988="!!!"),"",IF(NOT(ISNA(VLOOKUP(E4988,E$1:E4987,1,FALSE()))),"OLD",IF(AND(E4988&lt;&gt;"",E4988&lt;&gt;"!!!"),"NEW","")))</f>
        <v> </v>
      </c>
      <c r="G4988" s="24" t="str">
        <f>IF(OR(E4988="",E4988="!!!"),"",IF(OR(J4988=0,AND(J4988=1,K4988=1),AND(J4988=1,I4988="SBJ"),AND(J4988=1,I4988=0)),"?IN_FOCUS",IF(J4988&lt;=2,"?ACTIVATED",IF(J4988&lt;&gt;"","?FAMILIAR",IF(F4988="NEW",IF(ISNA(VLOOKUP(E4988,#REF!,1,FALSE())),"?TYPE_IDENTIFIABLE","?REFERENTIAL"),"_")))))</f>
        <v> </v>
      </c>
      <c r="H4988" s="25" t="str">
        <f>IF(J4988&lt;&gt;1,"",IF(I4988="SBJ","CB","?"))</f>
        <v> </v>
      </c>
      <c r="I4988" s="26" t="str">
        <f>IF(OR(E4988="",E4988="!!!",F4988="NEW"),"",INDEX(B4987:B$2,-1+SUMPRODUCT(MAX(ROW(E4987:E$2)*(E4988=E4987:E$2)))))</f>
        <v> </v>
      </c>
      <c r="J4988" s="26" t="str">
        <f>IF(OR(E4988="",E4988="!!!",F4988="NEW"),"",COUNTBLANK(OFFSET(A$1,,,SUMPRODUCT(MAX(ROW(E$2:E4988)*(E4988=E$2:E4988)))))-COUNTBLANK(OFFSET(A$1,,,SUMPRODUCT(MAX(ROW(E$1:E4987)*(E2=E$1:E4987))))))</f>
        <v> </v>
      </c>
      <c r="K4988" s="26" t="str">
        <f>IF(OR(E4988="",E4988="!!!",F4988="NEW"),"",INDEX(J$1:J4987,SUMPRODUCT(MAX(ROW(E$1:E4987)*(E4988=E$1:E4987)))))</f>
        <v> </v>
      </c>
      <c r="L4988" s="27"/>
    </row>
    <row r="4989" spans="1:12">
      <c r="A4989" s="20" t="s">
        <v>1170</v>
      </c>
      <c r="B4989" s="21" t="s">
        <v>1084</v>
      </c>
      <c r="C4989" s="21" t="s">
        <v>1076</v>
      </c>
      <c r="D4989" s="21" t="s">
        <v>1060</v>
      </c>
      <c r="E4989" s="22">
        <f>IF(D4989="?OLD","!!!","")</f>
        <v/>
      </c>
      <c r="F4989" s="23" t="str">
        <f>IF(OR(E4989="",E4989="!!!"),"",IF(NOT(ISNA(VLOOKUP(E4989,E$1:E4988,1,FALSE()))),"OLD",IF(AND(E4989&lt;&gt;"",E4989&lt;&gt;"!!!"),"NEW","")))</f>
        <v> </v>
      </c>
      <c r="G4989" s="24" t="str">
        <f>IF(OR(E4989="",E4989="!!!"),"",IF(OR(J4989=0,AND(J4989=1,K4989=1),AND(J4989=1,I4989="SBJ"),AND(J4989=1,I4989=0)),"?IN_FOCUS",IF(J4989&lt;=2,"?ACTIVATED",IF(J4989&lt;&gt;"","?FAMILIAR",IF(F4989="NEW",IF(ISNA(VLOOKUP(E4989,#REF!,1,FALSE())),"?TYPE_IDENTIFIABLE","?REFERENTIAL"),"_")))))</f>
        <v> </v>
      </c>
      <c r="H4989" s="25" t="str">
        <f>IF(J4989&lt;&gt;1,"",IF(I4989="SBJ","CB","?"))</f>
        <v> </v>
      </c>
      <c r="I4989" s="26" t="str">
        <f>IF(OR(E4989="",E4989="!!!",F4989="NEW"),"",INDEX(B4988:B$2,-1+SUMPRODUCT(MAX(ROW(E4988:E$2)*(E4989=E4988:E$2)))))</f>
        <v> </v>
      </c>
      <c r="J4989" s="26" t="str">
        <f>IF(OR(E4989="",E4989="!!!",F4989="NEW"),"",COUNTBLANK(OFFSET(A$1,,,SUMPRODUCT(MAX(ROW(E$2:E4989)*(E4989=E$2:E4989)))))-COUNTBLANK(OFFSET(A$1,,,SUMPRODUCT(MAX(ROW(E$1:E4988)*(E2=E$1:E4988))))))</f>
        <v> </v>
      </c>
      <c r="K4989" s="26" t="str">
        <f>IF(OR(E4989="",E4989="!!!",F4989="NEW"),"",INDEX(J$1:J4988,SUMPRODUCT(MAX(ROW(E$1:E4988)*(E4989=E$1:E4988)))))</f>
        <v> </v>
      </c>
      <c r="L4989" s="27"/>
    </row>
    <row r="4990" spans="1:12">
      <c r="A4990" s="20" t="s">
        <v>1999</v>
      </c>
      <c r="E4990" s="22">
        <f>IF(D4990="?OLD","!!!","")</f>
        <v/>
      </c>
      <c r="F4990" s="23" t="str">
        <f>IF(OR(E4990="",E4990="!!!"),"",IF(NOT(ISNA(VLOOKUP(E4990,E$1:E4989,1,FALSE()))),"OLD",IF(AND(E4990&lt;&gt;"",E4990&lt;&gt;"!!!"),"NEW","")))</f>
        <v> </v>
      </c>
      <c r="G4990" s="24" t="str">
        <f>IF(OR(E4990="",E4990="!!!"),"",IF(OR(J4990=0,AND(J4990=1,K4990=1),AND(J4990=1,I4990="SBJ"),AND(J4990=1,I4990=0)),"?IN_FOCUS",IF(J4990&lt;=2,"?ACTIVATED",IF(J4990&lt;&gt;"","?FAMILIAR",IF(F4990="NEW",IF(ISNA(VLOOKUP(E4990,#REF!,1,FALSE())),"?TYPE_IDENTIFIABLE","?REFERENTIAL"),"_")))))</f>
        <v> </v>
      </c>
      <c r="H4990" s="25" t="str">
        <f>IF(J4990&lt;&gt;1,"",IF(I4990="SBJ","CB","?"))</f>
        <v> </v>
      </c>
      <c r="I4990" s="26" t="str">
        <f>IF(OR(E4990="",E4990="!!!",F4990="NEW"),"",INDEX(B4989:B$2,-1+SUMPRODUCT(MAX(ROW(E4989:E$2)*(E4990=E4989:E$2)))))</f>
        <v> </v>
      </c>
      <c r="J4990" s="26" t="str">
        <f>IF(OR(E4990="",E4990="!!!",F4990="NEW"),"",COUNTBLANK(OFFSET(A$1,,,SUMPRODUCT(MAX(ROW(E$2:E4990)*(E4990=E$2:E4990)))))-COUNTBLANK(OFFSET(A$1,,,SUMPRODUCT(MAX(ROW(E$1:E4989)*(E2=E$1:E4989))))))</f>
        <v> </v>
      </c>
      <c r="K4990" s="26" t="str">
        <f>IF(OR(E4990="",E4990="!!!",F4990="NEW"),"",INDEX(J$1:J4989,SUMPRODUCT(MAX(ROW(E$1:E4989)*(E4990=E$1:E4989)))))</f>
        <v> </v>
      </c>
      <c r="L4990" s="27"/>
    </row>
    <row r="4991" spans="1:12">
      <c r="A4991" s="20" t="s">
        <v>1182</v>
      </c>
      <c r="E4991" s="22">
        <f>IF(D4991="?OLD","!!!","")</f>
        <v/>
      </c>
      <c r="F4991" s="23" t="str">
        <f>IF(OR(E4991="",E4991="!!!"),"",IF(NOT(ISNA(VLOOKUP(E4991,E$1:E4990,1,FALSE()))),"OLD",IF(AND(E4991&lt;&gt;"",E4991&lt;&gt;"!!!"),"NEW","")))</f>
        <v> </v>
      </c>
      <c r="G4991" s="24" t="str">
        <f>IF(OR(E4991="",E4991="!!!"),"",IF(OR(J4991=0,AND(J4991=1,K4991=1),AND(J4991=1,I4991="SBJ"),AND(J4991=1,I4991=0)),"?IN_FOCUS",IF(J4991&lt;=2,"?ACTIVATED",IF(J4991&lt;&gt;"","?FAMILIAR",IF(F4991="NEW",IF(ISNA(VLOOKUP(E4991,#REF!,1,FALSE())),"?TYPE_IDENTIFIABLE","?REFERENTIAL"),"_")))))</f>
        <v> </v>
      </c>
      <c r="H4991" s="25" t="str">
        <f>IF(J4991&lt;&gt;1,"",IF(I4991="SBJ","CB","?"))</f>
        <v> </v>
      </c>
      <c r="I4991" s="26" t="str">
        <f>IF(OR(E4991="",E4991="!!!",F4991="NEW"),"",INDEX(B4990:B$2,-1+SUMPRODUCT(MAX(ROW(E4990:E$2)*(E4991=E4990:E$2)))))</f>
        <v> </v>
      </c>
      <c r="J4991" s="26" t="str">
        <f>IF(OR(E4991="",E4991="!!!",F4991="NEW"),"",COUNTBLANK(OFFSET(A$1,,,SUMPRODUCT(MAX(ROW(E$2:E4991)*(E4991=E$2:E4991)))))-COUNTBLANK(OFFSET(A$1,,,SUMPRODUCT(MAX(ROW(E$1:E4990)*(E2=E$1:E4990))))))</f>
        <v> </v>
      </c>
      <c r="K4991" s="26" t="str">
        <f>IF(OR(E4991="",E4991="!!!",F4991="NEW"),"",INDEX(J$1:J4990,SUMPRODUCT(MAX(ROW(E$1:E4990)*(E4991=E$1:E4990)))))</f>
        <v> </v>
      </c>
      <c r="L4991" s="27"/>
    </row>
    <row r="4992" spans="1:12">
      <c r="A4992" s="20" t="s">
        <v>923</v>
      </c>
      <c r="E4992" s="22">
        <f>IF(D4992="?OLD","!!!","")</f>
        <v/>
      </c>
      <c r="F4992" s="23" t="str">
        <f>IF(OR(E4992="",E4992="!!!"),"",IF(NOT(ISNA(VLOOKUP(E4992,E$1:E4991,1,FALSE()))),"OLD",IF(AND(E4992&lt;&gt;"",E4992&lt;&gt;"!!!"),"NEW","")))</f>
        <v> </v>
      </c>
      <c r="G4992" s="24" t="str">
        <f>IF(OR(E4992="",E4992="!!!"),"",IF(OR(J4992=0,AND(J4992=1,K4992=1),AND(J4992=1,I4992="SBJ"),AND(J4992=1,I4992=0)),"?IN_FOCUS",IF(J4992&lt;=2,"?ACTIVATED",IF(J4992&lt;&gt;"","?FAMILIAR",IF(F4992="NEW",IF(ISNA(VLOOKUP(E4992,#REF!,1,FALSE())),"?TYPE_IDENTIFIABLE","?REFERENTIAL"),"_")))))</f>
        <v> </v>
      </c>
      <c r="H4992" s="25" t="str">
        <f>IF(J4992&lt;&gt;1,"",IF(I4992="SBJ","CB","?"))</f>
        <v> </v>
      </c>
      <c r="I4992" s="26" t="str">
        <f>IF(OR(E4992="",E4992="!!!",F4992="NEW"),"",INDEX(B4991:B$2,-1+SUMPRODUCT(MAX(ROW(E4991:E$2)*(E4992=E4991:E$2)))))</f>
        <v> </v>
      </c>
      <c r="J4992" s="26" t="str">
        <f>IF(OR(E4992="",E4992="!!!",F4992="NEW"),"",COUNTBLANK(OFFSET(A$1,,,SUMPRODUCT(MAX(ROW(E$2:E4992)*(E4992=E$2:E4992)))))-COUNTBLANK(OFFSET(A$1,,,SUMPRODUCT(MAX(ROW(E$1:E4991)*(E2=E$1:E4991))))))</f>
        <v> </v>
      </c>
      <c r="K4992" s="26" t="str">
        <f>IF(OR(E4992="",E4992="!!!",F4992="NEW"),"",INDEX(J$1:J4991,SUMPRODUCT(MAX(ROW(E$1:E4991)*(E4992=E$1:E4991)))))</f>
        <v> </v>
      </c>
      <c r="L4992" s="27"/>
    </row>
    <row r="4993" spans="1:12">
      <c r="A4993" s="20"/>
    </row>
    <row r="4994" spans="1:12">
      <c r="A4994" s="20" t="s">
        <v>2449</v>
      </c>
    </row>
    <row r="4995" spans="1:12">
      <c r="A4995" s="20" t="s">
        <v>1440</v>
      </c>
      <c r="E4995" s="22">
        <f>IF(D4995="?OLD","!!!","")</f>
        <v/>
      </c>
      <c r="F4995" s="23" t="str">
        <f>IF(OR(E4995="",E4995="!!!"),"",IF(NOT(ISNA(VLOOKUP(E4995,E$1:E4994,1,FALSE()))),"OLD",IF(AND(E4995&lt;&gt;"",E4995&lt;&gt;"!!!"),"NEW","")))</f>
        <v> </v>
      </c>
      <c r="G4995" s="24" t="str">
        <f>IF(OR(E4995="",E4995="!!!"),"",IF(OR(J4995=0,AND(J4995=1,K4995=1),AND(J4995=1,I4995="SBJ"),AND(J4995=1,I4995=0)),"?IN_FOCUS",IF(J4995&lt;=2,"?ACTIVATED",IF(J4995&lt;&gt;"","?FAMILIAR",IF(F4995="NEW",IF(ISNA(VLOOKUP(E4995,#REF!,1,FALSE())),"?TYPE_IDENTIFIABLE","?REFERENTIAL"),"_")))))</f>
        <v> </v>
      </c>
      <c r="H4995" s="25" t="str">
        <f>IF(J4995&lt;&gt;1,"",IF(I4995="SBJ","CB","?"))</f>
        <v> </v>
      </c>
      <c r="I4995" s="26" t="str">
        <f>IF(OR(E4995="",E4995="!!!",F4995="NEW"),"",INDEX(B4994:B$2,-1+SUMPRODUCT(MAX(ROW(E4994:E$2)*(E4995=E4994:E$2)))))</f>
        <v> </v>
      </c>
      <c r="J4995" s="26" t="str">
        <f>IF(OR(E4995="",E4995="!!!",F4995="NEW"),"",COUNTBLANK(OFFSET(A$1,,,SUMPRODUCT(MAX(ROW(E$2:E4995)*(E4995=E$2:E4995)))))-COUNTBLANK(OFFSET(A$1,,,SUMPRODUCT(MAX(ROW(E$1:E4994)*(E2=E$1:E4994))))))</f>
        <v> </v>
      </c>
      <c r="K4995" s="26" t="str">
        <f>IF(OR(E4995="",E4995="!!!",F4995="NEW"),"",INDEX(J$1:J4994,SUMPRODUCT(MAX(ROW(E$1:E4994)*(E4995=E$1:E4994)))))</f>
        <v> </v>
      </c>
      <c r="L4995" s="27"/>
    </row>
    <row r="4996" spans="1:12">
      <c r="A4996" s="20" t="s">
        <v>1085</v>
      </c>
      <c r="E4996" s="22">
        <f>IF(D4996="?OLD","!!!","")</f>
        <v/>
      </c>
      <c r="F4996" s="23" t="str">
        <f>IF(OR(E4996="",E4996="!!!"),"",IF(NOT(ISNA(VLOOKUP(E4996,E$1:E4995,1,FALSE()))),"OLD",IF(AND(E4996&lt;&gt;"",E4996&lt;&gt;"!!!"),"NEW","")))</f>
        <v> </v>
      </c>
      <c r="G4996" s="24" t="str">
        <f>IF(OR(E4996="",E4996="!!!"),"",IF(OR(J4996=0,AND(J4996=1,K4996=1),AND(J4996=1,I4996="SBJ"),AND(J4996=1,I4996=0)),"?IN_FOCUS",IF(J4996&lt;=2,"?ACTIVATED",IF(J4996&lt;&gt;"","?FAMILIAR",IF(F4996="NEW",IF(ISNA(VLOOKUP(E4996,#REF!,1,FALSE())),"?TYPE_IDENTIFIABLE","?REFERENTIAL"),"_")))))</f>
        <v> </v>
      </c>
      <c r="H4996" s="25" t="str">
        <f>IF(J4996&lt;&gt;1,"",IF(I4996="SBJ","CB","?"))</f>
        <v> </v>
      </c>
      <c r="I4996" s="26" t="str">
        <f>IF(OR(E4996="",E4996="!!!",F4996="NEW"),"",INDEX(B4995:B$2,-1+SUMPRODUCT(MAX(ROW(E4995:E$2)*(E4996=E4995:E$2)))))</f>
        <v> </v>
      </c>
      <c r="J4996" s="26" t="str">
        <f>IF(OR(E4996="",E4996="!!!",F4996="NEW"),"",COUNTBLANK(OFFSET(A$1,,,SUMPRODUCT(MAX(ROW(E$2:E4996)*(E4996=E$2:E4996)))))-COUNTBLANK(OFFSET(A$1,,,SUMPRODUCT(MAX(ROW(E$1:E4995)*(E2=E$1:E4995))))))</f>
        <v> </v>
      </c>
      <c r="K4996" s="26" t="str">
        <f>IF(OR(E4996="",E4996="!!!",F4996="NEW"),"",INDEX(J$1:J4995,SUMPRODUCT(MAX(ROW(E$1:E4995)*(E4996=E$1:E4995)))))</f>
        <v> </v>
      </c>
      <c r="L4996" s="27"/>
    </row>
    <row r="4997" spans="1:12">
      <c r="A4997" s="20" t="s">
        <v>1109</v>
      </c>
      <c r="E4997" s="22">
        <f>IF(D4997="?OLD","!!!","")</f>
        <v/>
      </c>
      <c r="F4997" s="23" t="str">
        <f>IF(OR(E4997="",E4997="!!!"),"",IF(NOT(ISNA(VLOOKUP(E4997,E$1:E4996,1,FALSE()))),"OLD",IF(AND(E4997&lt;&gt;"",E4997&lt;&gt;"!!!"),"NEW","")))</f>
        <v> </v>
      </c>
      <c r="G4997" s="24" t="str">
        <f>IF(OR(E4997="",E4997="!!!"),"",IF(OR(J4997=0,AND(J4997=1,K4997=1),AND(J4997=1,I4997="SBJ"),AND(J4997=1,I4997=0)),"?IN_FOCUS",IF(J4997&lt;=2,"?ACTIVATED",IF(J4997&lt;&gt;"","?FAMILIAR",IF(F4997="NEW",IF(ISNA(VLOOKUP(E4997,#REF!,1,FALSE())),"?TYPE_IDENTIFIABLE","?REFERENTIAL"),"_")))))</f>
        <v> </v>
      </c>
      <c r="H4997" s="25" t="str">
        <f>IF(J4997&lt;&gt;1,"",IF(I4997="SBJ","CB","?"))</f>
        <v> </v>
      </c>
      <c r="I4997" s="26" t="str">
        <f>IF(OR(E4997="",E4997="!!!",F4997="NEW"),"",INDEX(B4996:B$2,-1+SUMPRODUCT(MAX(ROW(E4996:E$2)*(E4997=E4996:E$2)))))</f>
        <v> </v>
      </c>
      <c r="J4997" s="26" t="str">
        <f>IF(OR(E4997="",E4997="!!!",F4997="NEW"),"",COUNTBLANK(OFFSET(A$1,,,SUMPRODUCT(MAX(ROW(E$2:E4997)*(E4997=E$2:E4997)))))-COUNTBLANK(OFFSET(A$1,,,SUMPRODUCT(MAX(ROW(E$1:E4996)*(E2=E$1:E4996))))))</f>
        <v> </v>
      </c>
      <c r="K4997" s="26" t="str">
        <f>IF(OR(E4997="",E4997="!!!",F4997="NEW"),"",INDEX(J$1:J4996,SUMPRODUCT(MAX(ROW(E$1:E4996)*(E4997=E$1:E4996)))))</f>
        <v> </v>
      </c>
      <c r="L4997" s="27"/>
    </row>
    <row r="4998" spans="1:12">
      <c r="A4998" s="20" t="s">
        <v>1702</v>
      </c>
      <c r="B4998" s="21" t="s">
        <v>1058</v>
      </c>
      <c r="C4998" s="21" t="s">
        <v>1358</v>
      </c>
      <c r="E4998" s="22">
        <f>IF(D4998="?OLD","!!!","")</f>
        <v/>
      </c>
      <c r="F4998" s="23" t="str">
        <f>IF(OR(E4998="",E4998="!!!"),"",IF(NOT(ISNA(VLOOKUP(E4998,E$1:E4997,1,FALSE()))),"OLD",IF(AND(E4998&lt;&gt;"",E4998&lt;&gt;"!!!"),"NEW","")))</f>
        <v> </v>
      </c>
      <c r="G4998" s="24" t="str">
        <f>IF(OR(E4998="",E4998="!!!"),"",IF(OR(J4998=0,AND(J4998=1,K4998=1),AND(J4998=1,I4998="SBJ"),AND(J4998=1,I4998=0)),"?IN_FOCUS",IF(J4998&lt;=2,"?ACTIVATED",IF(J4998&lt;&gt;"","?FAMILIAR",IF(F4998="NEW",IF(ISNA(VLOOKUP(E4998,#REF!,1,FALSE())),"?TYPE_IDENTIFIABLE","?REFERENTIAL"),"_")))))</f>
        <v> </v>
      </c>
      <c r="H4998" s="25" t="str">
        <f>IF(J4998&lt;&gt;1,"",IF(I4998="SBJ","CB","?"))</f>
        <v> </v>
      </c>
      <c r="I4998" s="26" t="str">
        <f>IF(OR(E4998="",E4998="!!!",F4998="NEW"),"",INDEX(B4997:B$2,-1+SUMPRODUCT(MAX(ROW(E4997:E$2)*(E4998=E4997:E$2)))))</f>
        <v> </v>
      </c>
      <c r="J4998" s="26" t="str">
        <f>IF(OR(E4998="",E4998="!!!",F4998="NEW"),"",COUNTBLANK(OFFSET(A$1,,,SUMPRODUCT(MAX(ROW(E$2:E4998)*(E4998=E$2:E4998)))))-COUNTBLANK(OFFSET(A$1,,,SUMPRODUCT(MAX(ROW(E$1:E4997)*(E2=E$1:E4997))))))</f>
        <v> </v>
      </c>
      <c r="K4998" s="26" t="str">
        <f>IF(OR(E4998="",E4998="!!!",F4998="NEW"),"",INDEX(J$1:J4997,SUMPRODUCT(MAX(ROW(E$1:E4997)*(E4998=E$1:E4997)))))</f>
        <v> </v>
      </c>
      <c r="L4998" s="27"/>
    </row>
    <row r="4999" spans="1:12">
      <c r="A4999" s="20" t="s">
        <v>1061</v>
      </c>
      <c r="E4999" s="22">
        <f>IF(D4999="?OLD","!!!","")</f>
        <v/>
      </c>
      <c r="F4999" s="23" t="str">
        <f>IF(OR(E4999="",E4999="!!!"),"",IF(NOT(ISNA(VLOOKUP(E4999,E$1:E4998,1,FALSE()))),"OLD",IF(AND(E4999&lt;&gt;"",E4999&lt;&gt;"!!!"),"NEW","")))</f>
        <v> </v>
      </c>
      <c r="G4999" s="24" t="str">
        <f>IF(OR(E4999="",E4999="!!!"),"",IF(OR(J4999=0,AND(J4999=1,K4999=1),AND(J4999=1,I4999="SBJ"),AND(J4999=1,I4999=0)),"?IN_FOCUS",IF(J4999&lt;=2,"?ACTIVATED",IF(J4999&lt;&gt;"","?FAMILIAR",IF(F4999="NEW",IF(ISNA(VLOOKUP(E4999,#REF!,1,FALSE())),"?TYPE_IDENTIFIABLE","?REFERENTIAL"),"_")))))</f>
        <v> </v>
      </c>
      <c r="H4999" s="25" t="str">
        <f>IF(J4999&lt;&gt;1,"",IF(I4999="SBJ","CB","?"))</f>
        <v> </v>
      </c>
      <c r="I4999" s="26" t="str">
        <f>IF(OR(E4999="",E4999="!!!",F4999="NEW"),"",INDEX(B4998:B$2,-1+SUMPRODUCT(MAX(ROW(E4998:E$2)*(E4999=E4998:E$2)))))</f>
        <v> </v>
      </c>
      <c r="J4999" s="26" t="str">
        <f>IF(OR(E4999="",E4999="!!!",F4999="NEW"),"",COUNTBLANK(OFFSET(A$1,,,SUMPRODUCT(MAX(ROW(E$2:E4999)*(E4999=E$2:E4999)))))-COUNTBLANK(OFFSET(A$1,,,SUMPRODUCT(MAX(ROW(E$1:E4998)*(E2=E$1:E4998))))))</f>
        <v> </v>
      </c>
      <c r="K4999" s="26" t="str">
        <f>IF(OR(E4999="",E4999="!!!",F4999="NEW"),"",INDEX(J$1:J4998,SUMPRODUCT(MAX(ROW(E$1:E4998)*(E4999=E$1:E4998)))))</f>
        <v> </v>
      </c>
      <c r="L4999" s="27"/>
    </row>
    <row r="5000" spans="1:12">
      <c r="A5000" s="20" t="s">
        <v>2057</v>
      </c>
      <c r="E5000" s="22">
        <f>IF(D5000="?OLD","!!!","")</f>
        <v/>
      </c>
      <c r="F5000" s="23" t="str">
        <f>IF(OR(E5000="",E5000="!!!"),"",IF(NOT(ISNA(VLOOKUP(E5000,E$1:E4999,1,FALSE()))),"OLD",IF(AND(E5000&lt;&gt;"",E5000&lt;&gt;"!!!"),"NEW","")))</f>
        <v> </v>
      </c>
      <c r="G5000" s="24" t="str">
        <f>IF(OR(E5000="",E5000="!!!"),"",IF(OR(J5000=0,AND(J5000=1,K5000=1),AND(J5000=1,I5000="SBJ"),AND(J5000=1,I5000=0)),"?IN_FOCUS",IF(J5000&lt;=2,"?ACTIVATED",IF(J5000&lt;&gt;"","?FAMILIAR",IF(F5000="NEW",IF(ISNA(VLOOKUP(E5000,#REF!,1,FALSE())),"?TYPE_IDENTIFIABLE","?REFERENTIAL"),"_")))))</f>
        <v> </v>
      </c>
      <c r="H5000" s="25" t="str">
        <f>IF(J5000&lt;&gt;1,"",IF(I5000="SBJ","CB","?"))</f>
        <v> </v>
      </c>
      <c r="I5000" s="26" t="str">
        <f>IF(OR(E5000="",E5000="!!!",F5000="NEW"),"",INDEX(B4999:B$2,-1+SUMPRODUCT(MAX(ROW(E4999:E$2)*(E5000=E4999:E$2)))))</f>
        <v> </v>
      </c>
      <c r="J5000" s="26" t="str">
        <f>IF(OR(E5000="",E5000="!!!",F5000="NEW"),"",COUNTBLANK(OFFSET(A$1,,,SUMPRODUCT(MAX(ROW(E$2:E5000)*(E5000=E$2:E5000)))))-COUNTBLANK(OFFSET(A$1,,,SUMPRODUCT(MAX(ROW(E$1:E4999)*(E2=E$1:E4999))))))</f>
        <v> </v>
      </c>
      <c r="K5000" s="26" t="str">
        <f>IF(OR(E5000="",E5000="!!!",F5000="NEW"),"",INDEX(J$1:J4999,SUMPRODUCT(MAX(ROW(E$1:E4999)*(E5000=E$1:E4999)))))</f>
        <v> </v>
      </c>
      <c r="L5000" s="27"/>
    </row>
    <row r="5001" spans="1:12">
      <c r="A5001" s="20" t="s">
        <v>1840</v>
      </c>
      <c r="B5001" s="21" t="s">
        <v>1136</v>
      </c>
      <c r="C5001" s="21" t="s">
        <v>1149</v>
      </c>
      <c r="E5001" s="22">
        <f>IF(D5001="?OLD","!!!","")</f>
        <v/>
      </c>
      <c r="F5001" s="23" t="str">
        <f>IF(OR(E5001="",E5001="!!!"),"",IF(NOT(ISNA(VLOOKUP(E5001,E$1:E5000,1,FALSE()))),"OLD",IF(AND(E5001&lt;&gt;"",E5001&lt;&gt;"!!!"),"NEW","")))</f>
        <v> </v>
      </c>
      <c r="G5001" s="24" t="str">
        <f>IF(OR(E5001="",E5001="!!!"),"",IF(OR(J5001=0,AND(J5001=1,K5001=1),AND(J5001=1,I5001="SBJ"),AND(J5001=1,I5001=0)),"?IN_FOCUS",IF(J5001&lt;=2,"?ACTIVATED",IF(J5001&lt;&gt;"","?FAMILIAR",IF(F5001="NEW",IF(ISNA(VLOOKUP(E5001,#REF!,1,FALSE())),"?TYPE_IDENTIFIABLE","?REFERENTIAL"),"_")))))</f>
        <v> </v>
      </c>
      <c r="H5001" s="25" t="str">
        <f>IF(J5001&lt;&gt;1,"",IF(I5001="SBJ","CB","?"))</f>
        <v> </v>
      </c>
      <c r="I5001" s="26" t="str">
        <f>IF(OR(E5001="",E5001="!!!",F5001="NEW"),"",INDEX(B5000:B$2,-1+SUMPRODUCT(MAX(ROW(E5000:E$2)*(E5001=E5000:E$2)))))</f>
        <v> </v>
      </c>
      <c r="J5001" s="26" t="str">
        <f>IF(OR(E5001="",E5001="!!!",F5001="NEW"),"",COUNTBLANK(OFFSET(A$1,,,SUMPRODUCT(MAX(ROW(E$2:E5001)*(E5001=E$2:E5001)))))-COUNTBLANK(OFFSET(A$1,,,SUMPRODUCT(MAX(ROW(E$1:E5000)*(E2=E$1:E5000))))))</f>
        <v> </v>
      </c>
      <c r="K5001" s="26" t="str">
        <f>IF(OR(E5001="",E5001="!!!",F5001="NEW"),"",INDEX(J$1:J5000,SUMPRODUCT(MAX(ROW(E$1:E5000)*(E5001=E$1:E5000)))))</f>
        <v> </v>
      </c>
      <c r="L5001" s="27"/>
    </row>
    <row r="5002" spans="1:12">
      <c r="A5002" s="20" t="s">
        <v>1160</v>
      </c>
      <c r="E5002" s="22">
        <f>IF(D5002="?OLD","!!!","")</f>
        <v/>
      </c>
      <c r="F5002" s="23" t="str">
        <f>IF(OR(E5002="",E5002="!!!"),"",IF(NOT(ISNA(VLOOKUP(E5002,E$1:E5001,1,FALSE()))),"OLD",IF(AND(E5002&lt;&gt;"",E5002&lt;&gt;"!!!"),"NEW","")))</f>
        <v> </v>
      </c>
      <c r="G5002" s="24" t="str">
        <f>IF(OR(E5002="",E5002="!!!"),"",IF(OR(J5002=0,AND(J5002=1,K5002=1),AND(J5002=1,I5002="SBJ"),AND(J5002=1,I5002=0)),"?IN_FOCUS",IF(J5002&lt;=2,"?ACTIVATED",IF(J5002&lt;&gt;"","?FAMILIAR",IF(F5002="NEW",IF(ISNA(VLOOKUP(E5002,#REF!,1,FALSE())),"?TYPE_IDENTIFIABLE","?REFERENTIAL"),"_")))))</f>
        <v> </v>
      </c>
      <c r="H5002" s="25" t="str">
        <f>IF(J5002&lt;&gt;1,"",IF(I5002="SBJ","CB","?"))</f>
        <v> </v>
      </c>
      <c r="I5002" s="26" t="str">
        <f>IF(OR(E5002="",E5002="!!!",F5002="NEW"),"",INDEX(B5001:B$2,-1+SUMPRODUCT(MAX(ROW(E5001:E$2)*(E5002=E5001:E$2)))))</f>
        <v> </v>
      </c>
      <c r="J5002" s="26" t="str">
        <f>IF(OR(E5002="",E5002="!!!",F5002="NEW"),"",COUNTBLANK(OFFSET(A$1,,,SUMPRODUCT(MAX(ROW(E$2:E5002)*(E5002=E$2:E5002)))))-COUNTBLANK(OFFSET(A$1,,,SUMPRODUCT(MAX(ROW(E$1:E5001)*(E2=E$1:E5001))))))</f>
        <v> </v>
      </c>
      <c r="K5002" s="26" t="str">
        <f>IF(OR(E5002="",E5002="!!!",F5002="NEW"),"",INDEX(J$1:J5001,SUMPRODUCT(MAX(ROW(E$1:E5001)*(E5002=E$1:E5001)))))</f>
        <v> </v>
      </c>
      <c r="L5002" s="27"/>
    </row>
    <row r="5003" spans="1:12">
      <c r="A5003" s="20" t="s">
        <v>1101</v>
      </c>
      <c r="E5003" s="22">
        <f>IF(D5003="?OLD","!!!","")</f>
        <v/>
      </c>
      <c r="F5003" s="23" t="str">
        <f>IF(OR(E5003="",E5003="!!!"),"",IF(NOT(ISNA(VLOOKUP(E5003,E$1:E5002,1,FALSE()))),"OLD",IF(AND(E5003&lt;&gt;"",E5003&lt;&gt;"!!!"),"NEW","")))</f>
        <v> </v>
      </c>
      <c r="G5003" s="24" t="str">
        <f>IF(OR(E5003="",E5003="!!!"),"",IF(OR(J5003=0,AND(J5003=1,K5003=1),AND(J5003=1,I5003="SBJ"),AND(J5003=1,I5003=0)),"?IN_FOCUS",IF(J5003&lt;=2,"?ACTIVATED",IF(J5003&lt;&gt;"","?FAMILIAR",IF(F5003="NEW",IF(ISNA(VLOOKUP(E5003,#REF!,1,FALSE())),"?TYPE_IDENTIFIABLE","?REFERENTIAL"),"_")))))</f>
        <v> </v>
      </c>
      <c r="H5003" s="25" t="str">
        <f>IF(J5003&lt;&gt;1,"",IF(I5003="SBJ","CB","?"))</f>
        <v> </v>
      </c>
      <c r="I5003" s="26" t="str">
        <f>IF(OR(E5003="",E5003="!!!",F5003="NEW"),"",INDEX(B5002:B$2,-1+SUMPRODUCT(MAX(ROW(E5002:E$2)*(E5003=E5002:E$2)))))</f>
        <v> </v>
      </c>
      <c r="J5003" s="26" t="str">
        <f>IF(OR(E5003="",E5003="!!!",F5003="NEW"),"",COUNTBLANK(OFFSET(A$1,,,SUMPRODUCT(MAX(ROW(E$2:E5003)*(E5003=E$2:E5003)))))-COUNTBLANK(OFFSET(A$1,,,SUMPRODUCT(MAX(ROW(E$1:E5002)*(E2=E$1:E5002))))))</f>
        <v> </v>
      </c>
      <c r="K5003" s="26" t="str">
        <f>IF(OR(E5003="",E5003="!!!",F5003="NEW"),"",INDEX(J$1:J5002,SUMPRODUCT(MAX(ROW(E$1:E5002)*(E5003=E$1:E5002)))))</f>
        <v> </v>
      </c>
      <c r="L5003" s="27"/>
    </row>
    <row r="5004" spans="1:12">
      <c r="A5004" s="20" t="s">
        <v>2266</v>
      </c>
      <c r="B5004" s="21" t="s">
        <v>1064</v>
      </c>
      <c r="C5004" s="21" t="s">
        <v>1140</v>
      </c>
      <c r="D5004" s="21" t="s">
        <v>1060</v>
      </c>
      <c r="E5004" s="22">
        <f>IF(D5004="?OLD","!!!","")</f>
        <v/>
      </c>
      <c r="F5004" s="23" t="str">
        <f>IF(OR(E5004="",E5004="!!!"),"",IF(NOT(ISNA(VLOOKUP(E5004,E$1:E5003,1,FALSE()))),"OLD",IF(AND(E5004&lt;&gt;"",E5004&lt;&gt;"!!!"),"NEW","")))</f>
        <v> </v>
      </c>
      <c r="G5004" s="24" t="str">
        <f>IF(OR(E5004="",E5004="!!!"),"",IF(OR(J5004=0,AND(J5004=1,K5004=1),AND(J5004=1,I5004="SBJ"),AND(J5004=1,I5004=0)),"?IN_FOCUS",IF(J5004&lt;=2,"?ACTIVATED",IF(J5004&lt;&gt;"","?FAMILIAR",IF(F5004="NEW",IF(ISNA(VLOOKUP(E5004,#REF!,1,FALSE())),"?TYPE_IDENTIFIABLE","?REFERENTIAL"),"_")))))</f>
        <v> </v>
      </c>
      <c r="H5004" s="25" t="str">
        <f>IF(J5004&lt;&gt;1,"",IF(I5004="SBJ","CB","?"))</f>
        <v> </v>
      </c>
      <c r="I5004" s="26" t="str">
        <f>IF(OR(E5004="",E5004="!!!",F5004="NEW"),"",INDEX(B5003:B$2,-1+SUMPRODUCT(MAX(ROW(E5003:E$2)*(E5004=E5003:E$2)))))</f>
        <v> </v>
      </c>
      <c r="J5004" s="26" t="str">
        <f>IF(OR(E5004="",E5004="!!!",F5004="NEW"),"",COUNTBLANK(OFFSET(A$1,,,SUMPRODUCT(MAX(ROW(E$2:E5004)*(E5004=E$2:E5004)))))-COUNTBLANK(OFFSET(A$1,,,SUMPRODUCT(MAX(ROW(E$1:E5003)*(E2=E$1:E5003))))))</f>
        <v> </v>
      </c>
      <c r="K5004" s="26" t="str">
        <f>IF(OR(E5004="",E5004="!!!",F5004="NEW"),"",INDEX(J$1:J5003,SUMPRODUCT(MAX(ROW(E$1:E5003)*(E5004=E$1:E5003)))))</f>
        <v> </v>
      </c>
      <c r="L5004" s="27"/>
    </row>
    <row r="5005" spans="1:12">
      <c r="A5005" s="20" t="s">
        <v>1070</v>
      </c>
      <c r="E5005" s="22">
        <f>IF(D5005="?OLD","!!!","")</f>
        <v/>
      </c>
      <c r="F5005" s="23" t="str">
        <f>IF(OR(E5005="",E5005="!!!"),"",IF(NOT(ISNA(VLOOKUP(E5005,E$1:E5004,1,FALSE()))),"OLD",IF(AND(E5005&lt;&gt;"",E5005&lt;&gt;"!!!"),"NEW","")))</f>
        <v> </v>
      </c>
      <c r="G5005" s="24" t="str">
        <f>IF(OR(E5005="",E5005="!!!"),"",IF(OR(J5005=0,AND(J5005=1,K5005=1),AND(J5005=1,I5005="SBJ"),AND(J5005=1,I5005=0)),"?IN_FOCUS",IF(J5005&lt;=2,"?ACTIVATED",IF(J5005&lt;&gt;"","?FAMILIAR",IF(F5005="NEW",IF(ISNA(VLOOKUP(E5005,#REF!,1,FALSE())),"?TYPE_IDENTIFIABLE","?REFERENTIAL"),"_")))))</f>
        <v> </v>
      </c>
      <c r="H5005" s="25" t="str">
        <f>IF(J5005&lt;&gt;1,"",IF(I5005="SBJ","CB","?"))</f>
        <v> </v>
      </c>
      <c r="I5005" s="26" t="str">
        <f>IF(OR(E5005="",E5005="!!!",F5005="NEW"),"",INDEX(B5004:B$2,-1+SUMPRODUCT(MAX(ROW(E5004:E$2)*(E5005=E5004:E$2)))))</f>
        <v> </v>
      </c>
      <c r="J5005" s="26" t="str">
        <f>IF(OR(E5005="",E5005="!!!",F5005="NEW"),"",COUNTBLANK(OFFSET(A$1,,,SUMPRODUCT(MAX(ROW(E$2:E5005)*(E5005=E$2:E5005)))))-COUNTBLANK(OFFSET(A$1,,,SUMPRODUCT(MAX(ROW(E$1:E5004)*(E2=E$1:E5004))))))</f>
        <v> </v>
      </c>
      <c r="K5005" s="26" t="str">
        <f>IF(OR(E5005="",E5005="!!!",F5005="NEW"),"",INDEX(J$1:J5004,SUMPRODUCT(MAX(ROW(E$1:E5004)*(E5005=E$1:E5004)))))</f>
        <v> </v>
      </c>
      <c r="L5005" s="27"/>
    </row>
    <row r="5006" spans="1:12">
      <c r="A5006" s="20" t="s">
        <v>1144</v>
      </c>
      <c r="E5006" s="22">
        <f>IF(D5006="?OLD","!!!","")</f>
        <v/>
      </c>
      <c r="F5006" s="23" t="str">
        <f>IF(OR(E5006="",E5006="!!!"),"",IF(NOT(ISNA(VLOOKUP(E5006,E$1:E5005,1,FALSE()))),"OLD",IF(AND(E5006&lt;&gt;"",E5006&lt;&gt;"!!!"),"NEW","")))</f>
        <v> </v>
      </c>
      <c r="G5006" s="24" t="str">
        <f>IF(OR(E5006="",E5006="!!!"),"",IF(OR(J5006=0,AND(J5006=1,K5006=1),AND(J5006=1,I5006="SBJ"),AND(J5006=1,I5006=0)),"?IN_FOCUS",IF(J5006&lt;=2,"?ACTIVATED",IF(J5006&lt;&gt;"","?FAMILIAR",IF(F5006="NEW",IF(ISNA(VLOOKUP(E5006,#REF!,1,FALSE())),"?TYPE_IDENTIFIABLE","?REFERENTIAL"),"_")))))</f>
        <v> </v>
      </c>
      <c r="H5006" s="25" t="str">
        <f>IF(J5006&lt;&gt;1,"",IF(I5006="SBJ","CB","?"))</f>
        <v> </v>
      </c>
      <c r="I5006" s="26" t="str">
        <f>IF(OR(E5006="",E5006="!!!",F5006="NEW"),"",INDEX(B5005:B$2,-1+SUMPRODUCT(MAX(ROW(E5005:E$2)*(E5006=E5005:E$2)))))</f>
        <v> </v>
      </c>
      <c r="J5006" s="26" t="str">
        <f>IF(OR(E5006="",E5006="!!!",F5006="NEW"),"",COUNTBLANK(OFFSET(A$1,,,SUMPRODUCT(MAX(ROW(E$2:E5006)*(E5006=E$2:E5006)))))-COUNTBLANK(OFFSET(A$1,,,SUMPRODUCT(MAX(ROW(E$1:E5005)*(E2=E$1:E5005))))))</f>
        <v> </v>
      </c>
      <c r="K5006" s="26" t="str">
        <f>IF(OR(E5006="",E5006="!!!",F5006="NEW"),"",INDEX(J$1:J5005,SUMPRODUCT(MAX(ROW(E$1:E5005)*(E5006=E$1:E5005)))))</f>
        <v> </v>
      </c>
      <c r="L5006" s="27"/>
    </row>
    <row r="5007" spans="1:12">
      <c r="A5007" s="20" t="s">
        <v>1101</v>
      </c>
      <c r="E5007" s="22">
        <f>IF(D5007="?OLD","!!!","")</f>
        <v/>
      </c>
      <c r="F5007" s="23" t="str">
        <f>IF(OR(E5007="",E5007="!!!"),"",IF(NOT(ISNA(VLOOKUP(E5007,E$1:E5006,1,FALSE()))),"OLD",IF(AND(E5007&lt;&gt;"",E5007&lt;&gt;"!!!"),"NEW","")))</f>
        <v> </v>
      </c>
      <c r="G5007" s="24" t="str">
        <f>IF(OR(E5007="",E5007="!!!"),"",IF(OR(J5007=0,AND(J5007=1,K5007=1),AND(J5007=1,I5007="SBJ"),AND(J5007=1,I5007=0)),"?IN_FOCUS",IF(J5007&lt;=2,"?ACTIVATED",IF(J5007&lt;&gt;"","?FAMILIAR",IF(F5007="NEW",IF(ISNA(VLOOKUP(E5007,#REF!,1,FALSE())),"?TYPE_IDENTIFIABLE","?REFERENTIAL"),"_")))))</f>
        <v> </v>
      </c>
      <c r="H5007" s="25" t="str">
        <f>IF(J5007&lt;&gt;1,"",IF(I5007="SBJ","CB","?"))</f>
        <v> </v>
      </c>
      <c r="I5007" s="26" t="str">
        <f>IF(OR(E5007="",E5007="!!!",F5007="NEW"),"",INDEX(B5006:B$2,-1+SUMPRODUCT(MAX(ROW(E5006:E$2)*(E5007=E5006:E$2)))))</f>
        <v> </v>
      </c>
      <c r="J5007" s="26" t="str">
        <f>IF(OR(E5007="",E5007="!!!",F5007="NEW"),"",COUNTBLANK(OFFSET(A$1,,,SUMPRODUCT(MAX(ROW(E$2:E5007)*(E5007=E$2:E5007)))))-COUNTBLANK(OFFSET(A$1,,,SUMPRODUCT(MAX(ROW(E$1:E5006)*(E2=E$1:E5006))))))</f>
        <v> </v>
      </c>
      <c r="K5007" s="26" t="str">
        <f>IF(OR(E5007="",E5007="!!!",F5007="NEW"),"",INDEX(J$1:J5006,SUMPRODUCT(MAX(ROW(E$1:E5006)*(E5007=E$1:E5006)))))</f>
        <v> </v>
      </c>
      <c r="L5007" s="27"/>
    </row>
    <row r="5008" spans="1:12">
      <c r="A5008" s="20" t="s">
        <v>2450</v>
      </c>
      <c r="E5008" s="22">
        <f>IF(D5008="?OLD","!!!","")</f>
        <v/>
      </c>
      <c r="F5008" s="23" t="str">
        <f>IF(OR(E5008="",E5008="!!!"),"",IF(NOT(ISNA(VLOOKUP(E5008,E$1:E5007,1,FALSE()))),"OLD",IF(AND(E5008&lt;&gt;"",E5008&lt;&gt;"!!!"),"NEW","")))</f>
        <v> </v>
      </c>
      <c r="G5008" s="24" t="str">
        <f>IF(OR(E5008="",E5008="!!!"),"",IF(OR(J5008=0,AND(J5008=1,K5008=1),AND(J5008=1,I5008="SBJ"),AND(J5008=1,I5008=0)),"?IN_FOCUS",IF(J5008&lt;=2,"?ACTIVATED",IF(J5008&lt;&gt;"","?FAMILIAR",IF(F5008="NEW",IF(ISNA(VLOOKUP(E5008,#REF!,1,FALSE())),"?TYPE_IDENTIFIABLE","?REFERENTIAL"),"_")))))</f>
        <v> </v>
      </c>
      <c r="H5008" s="25" t="str">
        <f>IF(J5008&lt;&gt;1,"",IF(I5008="SBJ","CB","?"))</f>
        <v> </v>
      </c>
      <c r="I5008" s="26" t="str">
        <f>IF(OR(E5008="",E5008="!!!",F5008="NEW"),"",INDEX(B5007:B$2,-1+SUMPRODUCT(MAX(ROW(E5007:E$2)*(E5008=E5007:E$2)))))</f>
        <v> </v>
      </c>
      <c r="J5008" s="26" t="str">
        <f>IF(OR(E5008="",E5008="!!!",F5008="NEW"),"",COUNTBLANK(OFFSET(A$1,,,SUMPRODUCT(MAX(ROW(E$2:E5008)*(E5008=E$2:E5008)))))-COUNTBLANK(OFFSET(A$1,,,SUMPRODUCT(MAX(ROW(E$1:E5007)*(E2=E$1:E5007))))))</f>
        <v> </v>
      </c>
      <c r="K5008" s="26" t="str">
        <f>IF(OR(E5008="",E5008="!!!",F5008="NEW"),"",INDEX(J$1:J5007,SUMPRODUCT(MAX(ROW(E$1:E5007)*(E5008=E$1:E5007)))))</f>
        <v> </v>
      </c>
      <c r="L5008" s="27"/>
    </row>
    <row r="5009" spans="1:12">
      <c r="A5009" s="20" t="s">
        <v>2429</v>
      </c>
      <c r="B5009" s="21" t="s">
        <v>1079</v>
      </c>
      <c r="C5009" s="21" t="s">
        <v>1140</v>
      </c>
      <c r="D5009" s="21" t="s">
        <v>1060</v>
      </c>
      <c r="E5009" s="22">
        <f>IF(D5009="?OLD","!!!","")</f>
        <v/>
      </c>
      <c r="F5009" s="23" t="str">
        <f>IF(OR(E5009="",E5009="!!!"),"",IF(NOT(ISNA(VLOOKUP(E5009,E$1:E5008,1,FALSE()))),"OLD",IF(AND(E5009&lt;&gt;"",E5009&lt;&gt;"!!!"),"NEW","")))</f>
        <v> </v>
      </c>
      <c r="G5009" s="24" t="str">
        <f>IF(OR(E5009="",E5009="!!!"),"",IF(OR(J5009=0,AND(J5009=1,K5009=1),AND(J5009=1,I5009="SBJ"),AND(J5009=1,I5009=0)),"?IN_FOCUS",IF(J5009&lt;=2,"?ACTIVATED",IF(J5009&lt;&gt;"","?FAMILIAR",IF(F5009="NEW",IF(ISNA(VLOOKUP(E5009,#REF!,1,FALSE())),"?TYPE_IDENTIFIABLE","?REFERENTIAL"),"_")))))</f>
        <v> </v>
      </c>
      <c r="H5009" s="25" t="str">
        <f>IF(J5009&lt;&gt;1,"",IF(I5009="SBJ","CB","?"))</f>
        <v> </v>
      </c>
      <c r="I5009" s="26" t="str">
        <f>IF(OR(E5009="",E5009="!!!",F5009="NEW"),"",INDEX(B5008:B$2,-1+SUMPRODUCT(MAX(ROW(E5008:E$2)*(E5009=E5008:E$2)))))</f>
        <v> </v>
      </c>
      <c r="J5009" s="26" t="str">
        <f>IF(OR(E5009="",E5009="!!!",F5009="NEW"),"",COUNTBLANK(OFFSET(A$1,,,SUMPRODUCT(MAX(ROW(E$2:E5009)*(E5009=E$2:E5009)))))-COUNTBLANK(OFFSET(A$1,,,SUMPRODUCT(MAX(ROW(E$1:E5008)*(E2=E$1:E5008))))))</f>
        <v> </v>
      </c>
      <c r="K5009" s="26" t="str">
        <f>IF(OR(E5009="",E5009="!!!",F5009="NEW"),"",INDEX(J$1:J5008,SUMPRODUCT(MAX(ROW(E$1:E5008)*(E5009=E$1:E5008)))))</f>
        <v> </v>
      </c>
      <c r="L5009" s="27"/>
    </row>
    <row r="5010" spans="1:12">
      <c r="A5010" s="20" t="s">
        <v>2451</v>
      </c>
      <c r="E5010" s="22">
        <f>IF(D5010="?OLD","!!!","")</f>
        <v/>
      </c>
      <c r="F5010" s="23" t="str">
        <f>IF(OR(E5010="",E5010="!!!"),"",IF(NOT(ISNA(VLOOKUP(E5010,E$1:E5009,1,FALSE()))),"OLD",IF(AND(E5010&lt;&gt;"",E5010&lt;&gt;"!!!"),"NEW","")))</f>
        <v> </v>
      </c>
      <c r="G5010" s="24" t="str">
        <f>IF(OR(E5010="",E5010="!!!"),"",IF(OR(J5010=0,AND(J5010=1,K5010=1),AND(J5010=1,I5010="SBJ"),AND(J5010=1,I5010=0)),"?IN_FOCUS",IF(J5010&lt;=2,"?ACTIVATED",IF(J5010&lt;&gt;"","?FAMILIAR",IF(F5010="NEW",IF(ISNA(VLOOKUP(E5010,#REF!,1,FALSE())),"?TYPE_IDENTIFIABLE","?REFERENTIAL"),"_")))))</f>
        <v> </v>
      </c>
      <c r="H5010" s="25" t="str">
        <f>IF(J5010&lt;&gt;1,"",IF(I5010="SBJ","CB","?"))</f>
        <v> </v>
      </c>
      <c r="I5010" s="26" t="str">
        <f>IF(OR(E5010="",E5010="!!!",F5010="NEW"),"",INDEX(B5009:B$2,-1+SUMPRODUCT(MAX(ROW(E5009:E$2)*(E5010=E5009:E$2)))))</f>
        <v> </v>
      </c>
      <c r="J5010" s="26" t="str">
        <f>IF(OR(E5010="",E5010="!!!",F5010="NEW"),"",COUNTBLANK(OFFSET(A$1,,,SUMPRODUCT(MAX(ROW(E$2:E5010)*(E5010=E$2:E5010)))))-COUNTBLANK(OFFSET(A$1,,,SUMPRODUCT(MAX(ROW(E$1:E5009)*(E2=E$1:E5009))))))</f>
        <v> </v>
      </c>
      <c r="K5010" s="26" t="str">
        <f>IF(OR(E5010="",E5010="!!!",F5010="NEW"),"",INDEX(J$1:J5009,SUMPRODUCT(MAX(ROW(E$1:E5009)*(E5010=E$1:E5009)))))</f>
        <v> </v>
      </c>
      <c r="L5010" s="27"/>
    </row>
    <row r="5011" spans="1:12">
      <c r="A5011" s="20" t="s">
        <v>1741</v>
      </c>
      <c r="E5011" s="22">
        <f>IF(D5011="?OLD","!!!","")</f>
        <v/>
      </c>
      <c r="F5011" s="23" t="str">
        <f>IF(OR(E5011="",E5011="!!!"),"",IF(NOT(ISNA(VLOOKUP(E5011,E$1:E5010,1,FALSE()))),"OLD",IF(AND(E5011&lt;&gt;"",E5011&lt;&gt;"!!!"),"NEW","")))</f>
        <v> </v>
      </c>
      <c r="G5011" s="24" t="str">
        <f>IF(OR(E5011="",E5011="!!!"),"",IF(OR(J5011=0,AND(J5011=1,K5011=1),AND(J5011=1,I5011="SBJ"),AND(J5011=1,I5011=0)),"?IN_FOCUS",IF(J5011&lt;=2,"?ACTIVATED",IF(J5011&lt;&gt;"","?FAMILIAR",IF(F5011="NEW",IF(ISNA(VLOOKUP(E5011,#REF!,1,FALSE())),"?TYPE_IDENTIFIABLE","?REFERENTIAL"),"_")))))</f>
        <v> </v>
      </c>
      <c r="H5011" s="25" t="str">
        <f>IF(J5011&lt;&gt;1,"",IF(I5011="SBJ","CB","?"))</f>
        <v> </v>
      </c>
      <c r="I5011" s="26" t="str">
        <f>IF(OR(E5011="",E5011="!!!",F5011="NEW"),"",INDEX(B5010:B$2,-1+SUMPRODUCT(MAX(ROW(E5010:E$2)*(E5011=E5010:E$2)))))</f>
        <v> </v>
      </c>
      <c r="J5011" s="26" t="str">
        <f>IF(OR(E5011="",E5011="!!!",F5011="NEW"),"",COUNTBLANK(OFFSET(A$1,,,SUMPRODUCT(MAX(ROW(E$2:E5011)*(E5011=E$2:E5011)))))-COUNTBLANK(OFFSET(A$1,,,SUMPRODUCT(MAX(ROW(E$1:E5010)*(E2=E$1:E5010))))))</f>
        <v> </v>
      </c>
      <c r="K5011" s="26" t="str">
        <f>IF(OR(E5011="",E5011="!!!",F5011="NEW"),"",INDEX(J$1:J5010,SUMPRODUCT(MAX(ROW(E$1:E5010)*(E5011=E$1:E5010)))))</f>
        <v> </v>
      </c>
      <c r="L5011" s="27"/>
    </row>
    <row r="5012" spans="1:12">
      <c r="A5012" s="20" t="s">
        <v>1160</v>
      </c>
      <c r="E5012" s="22">
        <f>IF(D5012="?OLD","!!!","")</f>
        <v/>
      </c>
      <c r="F5012" s="23" t="str">
        <f>IF(OR(E5012="",E5012="!!!"),"",IF(NOT(ISNA(VLOOKUP(E5012,E$1:E5011,1,FALSE()))),"OLD",IF(AND(E5012&lt;&gt;"",E5012&lt;&gt;"!!!"),"NEW","")))</f>
        <v> </v>
      </c>
      <c r="G5012" s="24" t="str">
        <f>IF(OR(E5012="",E5012="!!!"),"",IF(OR(J5012=0,AND(J5012=1,K5012=1),AND(J5012=1,I5012="SBJ"),AND(J5012=1,I5012=0)),"?IN_FOCUS",IF(J5012&lt;=2,"?ACTIVATED",IF(J5012&lt;&gt;"","?FAMILIAR",IF(F5012="NEW",IF(ISNA(VLOOKUP(E5012,#REF!,1,FALSE())),"?TYPE_IDENTIFIABLE","?REFERENTIAL"),"_")))))</f>
        <v> </v>
      </c>
      <c r="H5012" s="25" t="str">
        <f>IF(J5012&lt;&gt;1,"",IF(I5012="SBJ","CB","?"))</f>
        <v> </v>
      </c>
      <c r="I5012" s="26" t="str">
        <f>IF(OR(E5012="",E5012="!!!",F5012="NEW"),"",INDEX(B5011:B$2,-1+SUMPRODUCT(MAX(ROW(E5011:E$2)*(E5012=E5011:E$2)))))</f>
        <v> </v>
      </c>
      <c r="J5012" s="26" t="str">
        <f>IF(OR(E5012="",E5012="!!!",F5012="NEW"),"",COUNTBLANK(OFFSET(A$1,,,SUMPRODUCT(MAX(ROW(E$2:E5012)*(E5012=E$2:E5012)))))-COUNTBLANK(OFFSET(A$1,,,SUMPRODUCT(MAX(ROW(E$1:E5011)*(E2=E$1:E5011))))))</f>
        <v> </v>
      </c>
      <c r="K5012" s="26" t="str">
        <f>IF(OR(E5012="",E5012="!!!",F5012="NEW"),"",INDEX(J$1:J5011,SUMPRODUCT(MAX(ROW(E$1:E5011)*(E5012=E$1:E5011)))))</f>
        <v> </v>
      </c>
      <c r="L5012" s="27"/>
    </row>
    <row r="5013" spans="1:12">
      <c r="A5013" s="20" t="s">
        <v>1199</v>
      </c>
      <c r="E5013" s="22">
        <f>IF(D5013="?OLD","!!!","")</f>
        <v/>
      </c>
      <c r="F5013" s="23" t="str">
        <f>IF(OR(E5013="",E5013="!!!"),"",IF(NOT(ISNA(VLOOKUP(E5013,E$1:E5012,1,FALSE()))),"OLD",IF(AND(E5013&lt;&gt;"",E5013&lt;&gt;"!!!"),"NEW","")))</f>
        <v> </v>
      </c>
      <c r="G5013" s="24" t="str">
        <f>IF(OR(E5013="",E5013="!!!"),"",IF(OR(J5013=0,AND(J5013=1,K5013=1),AND(J5013=1,I5013="SBJ"),AND(J5013=1,I5013=0)),"?IN_FOCUS",IF(J5013&lt;=2,"?ACTIVATED",IF(J5013&lt;&gt;"","?FAMILIAR",IF(F5013="NEW",IF(ISNA(VLOOKUP(E5013,#REF!,1,FALSE())),"?TYPE_IDENTIFIABLE","?REFERENTIAL"),"_")))))</f>
        <v> </v>
      </c>
      <c r="H5013" s="25" t="str">
        <f>IF(J5013&lt;&gt;1,"",IF(I5013="SBJ","CB","?"))</f>
        <v> </v>
      </c>
      <c r="I5013" s="26" t="str">
        <f>IF(OR(E5013="",E5013="!!!",F5013="NEW"),"",INDEX(B5012:B$2,-1+SUMPRODUCT(MAX(ROW(E5012:E$2)*(E5013=E5012:E$2)))))</f>
        <v> </v>
      </c>
      <c r="J5013" s="26" t="str">
        <f>IF(OR(E5013="",E5013="!!!",F5013="NEW"),"",COUNTBLANK(OFFSET(A$1,,,SUMPRODUCT(MAX(ROW(E$2:E5013)*(E5013=E$2:E5013)))))-COUNTBLANK(OFFSET(A$1,,,SUMPRODUCT(MAX(ROW(E$1:E5012)*(E2=E$1:E5012))))))</f>
        <v> </v>
      </c>
      <c r="K5013" s="26" t="str">
        <f>IF(OR(E5013="",E5013="!!!",F5013="NEW"),"",INDEX(J$1:J5012,SUMPRODUCT(MAX(ROW(E$1:E5012)*(E5013=E$1:E5012)))))</f>
        <v> </v>
      </c>
      <c r="L5013" s="27"/>
    </row>
    <row r="5014" spans="1:12">
      <c r="A5014" s="20" t="s">
        <v>1416</v>
      </c>
      <c r="B5014" s="21" t="s">
        <v>1068</v>
      </c>
      <c r="C5014" s="21" t="s">
        <v>1076</v>
      </c>
      <c r="D5014" s="21" t="s">
        <v>1060</v>
      </c>
      <c r="E5014" s="22">
        <f>IF(D5014="?OLD","!!!","")</f>
        <v/>
      </c>
      <c r="F5014" s="23" t="str">
        <f>IF(OR(E5014="",E5014="!!!"),"",IF(NOT(ISNA(VLOOKUP(E5014,E$1:E5013,1,FALSE()))),"OLD",IF(AND(E5014&lt;&gt;"",E5014&lt;&gt;"!!!"),"NEW","")))</f>
        <v> </v>
      </c>
      <c r="G5014" s="24" t="str">
        <f>IF(OR(E5014="",E5014="!!!"),"",IF(OR(J5014=0,AND(J5014=1,K5014=1),AND(J5014=1,I5014="SBJ"),AND(J5014=1,I5014=0)),"?IN_FOCUS",IF(J5014&lt;=2,"?ACTIVATED",IF(J5014&lt;&gt;"","?FAMILIAR",IF(F5014="NEW",IF(ISNA(VLOOKUP(E5014,#REF!,1,FALSE())),"?TYPE_IDENTIFIABLE","?REFERENTIAL"),"_")))))</f>
        <v> </v>
      </c>
      <c r="H5014" s="25" t="str">
        <f>IF(J5014&lt;&gt;1,"",IF(I5014="SBJ","CB","?"))</f>
        <v> </v>
      </c>
      <c r="I5014" s="26" t="str">
        <f>IF(OR(E5014="",E5014="!!!",F5014="NEW"),"",INDEX(B5013:B$2,-1+SUMPRODUCT(MAX(ROW(E5013:E$2)*(E5014=E5013:E$2)))))</f>
        <v> </v>
      </c>
      <c r="J5014" s="26" t="str">
        <f>IF(OR(E5014="",E5014="!!!",F5014="NEW"),"",COUNTBLANK(OFFSET(A$1,,,SUMPRODUCT(MAX(ROW(E$2:E5014)*(E5014=E$2:E5014)))))-COUNTBLANK(OFFSET(A$1,,,SUMPRODUCT(MAX(ROW(E$1:E5013)*(E2=E$1:E5013))))))</f>
        <v> </v>
      </c>
      <c r="K5014" s="26" t="str">
        <f>IF(OR(E5014="",E5014="!!!",F5014="NEW"),"",INDEX(J$1:J5013,SUMPRODUCT(MAX(ROW(E$1:E5013)*(E5014=E$1:E5013)))))</f>
        <v> </v>
      </c>
      <c r="L5014" s="27"/>
    </row>
    <row r="5015" spans="1:12">
      <c r="A5015" s="20" t="s">
        <v>1070</v>
      </c>
      <c r="E5015" s="22">
        <f>IF(D5015="?OLD","!!!","")</f>
        <v/>
      </c>
      <c r="F5015" s="23" t="str">
        <f>IF(OR(E5015="",E5015="!!!"),"",IF(NOT(ISNA(VLOOKUP(E5015,E$1:E5014,1,FALSE()))),"OLD",IF(AND(E5015&lt;&gt;"",E5015&lt;&gt;"!!!"),"NEW","")))</f>
        <v> </v>
      </c>
      <c r="G5015" s="24" t="str">
        <f>IF(OR(E5015="",E5015="!!!"),"",IF(OR(J5015=0,AND(J5015=1,K5015=1),AND(J5015=1,I5015="SBJ"),AND(J5015=1,I5015=0)),"?IN_FOCUS",IF(J5015&lt;=2,"?ACTIVATED",IF(J5015&lt;&gt;"","?FAMILIAR",IF(F5015="NEW",IF(ISNA(VLOOKUP(E5015,#REF!,1,FALSE())),"?TYPE_IDENTIFIABLE","?REFERENTIAL"),"_")))))</f>
        <v> </v>
      </c>
      <c r="H5015" s="25" t="str">
        <f>IF(J5015&lt;&gt;1,"",IF(I5015="SBJ","CB","?"))</f>
        <v> </v>
      </c>
      <c r="I5015" s="26" t="str">
        <f>IF(OR(E5015="",E5015="!!!",F5015="NEW"),"",INDEX(B5014:B$2,-1+SUMPRODUCT(MAX(ROW(E5014:E$2)*(E5015=E5014:E$2)))))</f>
        <v> </v>
      </c>
      <c r="J5015" s="26" t="str">
        <f>IF(OR(E5015="",E5015="!!!",F5015="NEW"),"",COUNTBLANK(OFFSET(A$1,,,SUMPRODUCT(MAX(ROW(E$2:E5015)*(E5015=E$2:E5015)))))-COUNTBLANK(OFFSET(A$1,,,SUMPRODUCT(MAX(ROW(E$1:E5014)*(E2=E$1:E5014))))))</f>
        <v> </v>
      </c>
      <c r="K5015" s="26" t="str">
        <f>IF(OR(E5015="",E5015="!!!",F5015="NEW"),"",INDEX(J$1:J5014,SUMPRODUCT(MAX(ROW(E$1:E5014)*(E5015=E$1:E5014)))))</f>
        <v> </v>
      </c>
      <c r="L5015" s="27"/>
    </row>
    <row r="5016" spans="1:12">
      <c r="A5016" s="20" t="s">
        <v>1156</v>
      </c>
      <c r="E5016" s="22">
        <f>IF(D5016="?OLD","!!!","")</f>
        <v/>
      </c>
      <c r="F5016" s="23" t="str">
        <f>IF(OR(E5016="",E5016="!!!"),"",IF(NOT(ISNA(VLOOKUP(E5016,E$1:E5015,1,FALSE()))),"OLD",IF(AND(E5016&lt;&gt;"",E5016&lt;&gt;"!!!"),"NEW","")))</f>
        <v> </v>
      </c>
      <c r="G5016" s="24" t="str">
        <f>IF(OR(E5016="",E5016="!!!"),"",IF(OR(J5016=0,AND(J5016=1,K5016=1),AND(J5016=1,I5016="SBJ"),AND(J5016=1,I5016=0)),"?IN_FOCUS",IF(J5016&lt;=2,"?ACTIVATED",IF(J5016&lt;&gt;"","?FAMILIAR",IF(F5016="NEW",IF(ISNA(VLOOKUP(E5016,#REF!,1,FALSE())),"?TYPE_IDENTIFIABLE","?REFERENTIAL"),"_")))))</f>
        <v> </v>
      </c>
      <c r="H5016" s="25" t="str">
        <f>IF(J5016&lt;&gt;1,"",IF(I5016="SBJ","CB","?"))</f>
        <v> </v>
      </c>
      <c r="I5016" s="26" t="str">
        <f>IF(OR(E5016="",E5016="!!!",F5016="NEW"),"",INDEX(B5015:B$2,-1+SUMPRODUCT(MAX(ROW(E5015:E$2)*(E5016=E5015:E$2)))))</f>
        <v> </v>
      </c>
      <c r="J5016" s="26" t="str">
        <f>IF(OR(E5016="",E5016="!!!",F5016="NEW"),"",COUNTBLANK(OFFSET(A$1,,,SUMPRODUCT(MAX(ROW(E$2:E5016)*(E5016=E$2:E5016)))))-COUNTBLANK(OFFSET(A$1,,,SUMPRODUCT(MAX(ROW(E$1:E5015)*(E2=E$1:E5015))))))</f>
        <v> </v>
      </c>
      <c r="K5016" s="26" t="str">
        <f>IF(OR(E5016="",E5016="!!!",F5016="NEW"),"",INDEX(J$1:J5015,SUMPRODUCT(MAX(ROW(E$1:E5015)*(E5016=E$1:E5015)))))</f>
        <v> </v>
      </c>
      <c r="L5016" s="27"/>
    </row>
    <row r="5017" spans="1:12">
      <c r="A5017" s="20" t="s">
        <v>1146</v>
      </c>
      <c r="E5017" s="22">
        <f>IF(D5017="?OLD","!!!","")</f>
        <v/>
      </c>
      <c r="F5017" s="23" t="str">
        <f>IF(OR(E5017="",E5017="!!!"),"",IF(NOT(ISNA(VLOOKUP(E5017,E$1:E5016,1,FALSE()))),"OLD",IF(AND(E5017&lt;&gt;"",E5017&lt;&gt;"!!!"),"NEW","")))</f>
        <v> </v>
      </c>
      <c r="G5017" s="24" t="str">
        <f>IF(OR(E5017="",E5017="!!!"),"",IF(OR(J5017=0,AND(J5017=1,K5017=1),AND(J5017=1,I5017="SBJ"),AND(J5017=1,I5017=0)),"?IN_FOCUS",IF(J5017&lt;=2,"?ACTIVATED",IF(J5017&lt;&gt;"","?FAMILIAR",IF(F5017="NEW",IF(ISNA(VLOOKUP(E5017,#REF!,1,FALSE())),"?TYPE_IDENTIFIABLE","?REFERENTIAL"),"_")))))</f>
        <v> </v>
      </c>
      <c r="H5017" s="25" t="str">
        <f>IF(J5017&lt;&gt;1,"",IF(I5017="SBJ","CB","?"))</f>
        <v> </v>
      </c>
      <c r="I5017" s="26" t="str">
        <f>IF(OR(E5017="",E5017="!!!",F5017="NEW"),"",INDEX(B5016:B$2,-1+SUMPRODUCT(MAX(ROW(E5016:E$2)*(E5017=E5016:E$2)))))</f>
        <v> </v>
      </c>
      <c r="J5017" s="26" t="str">
        <f>IF(OR(E5017="",E5017="!!!",F5017="NEW"),"",COUNTBLANK(OFFSET(A$1,,,SUMPRODUCT(MAX(ROW(E$2:E5017)*(E5017=E$2:E5017)))))-COUNTBLANK(OFFSET(A$1,,,SUMPRODUCT(MAX(ROW(E$1:E5016)*(E2=E$1:E5016))))))</f>
        <v> </v>
      </c>
      <c r="K5017" s="26" t="str">
        <f>IF(OR(E5017="",E5017="!!!",F5017="NEW"),"",INDEX(J$1:J5016,SUMPRODUCT(MAX(ROW(E$1:E5016)*(E5017=E$1:E5016)))))</f>
        <v> </v>
      </c>
      <c r="L5017" s="27"/>
    </row>
    <row r="5018" spans="1:12">
      <c r="A5018" s="20" t="s">
        <v>1170</v>
      </c>
      <c r="B5018" s="21" t="s">
        <v>1079</v>
      </c>
      <c r="C5018" s="21" t="s">
        <v>1076</v>
      </c>
      <c r="D5018" s="21" t="s">
        <v>1060</v>
      </c>
      <c r="E5018" s="22">
        <f>IF(D5018="?OLD","!!!","")</f>
        <v/>
      </c>
      <c r="F5018" s="23" t="str">
        <f>IF(OR(E5018="",E5018="!!!"),"",IF(NOT(ISNA(VLOOKUP(E5018,E$1:E5017,1,FALSE()))),"OLD",IF(AND(E5018&lt;&gt;"",E5018&lt;&gt;"!!!"),"NEW","")))</f>
        <v> </v>
      </c>
      <c r="G5018" s="24" t="str">
        <f>IF(OR(E5018="",E5018="!!!"),"",IF(OR(J5018=0,AND(J5018=1,K5018=1),AND(J5018=1,I5018="SBJ"),AND(J5018=1,I5018=0)),"?IN_FOCUS",IF(J5018&lt;=2,"?ACTIVATED",IF(J5018&lt;&gt;"","?FAMILIAR",IF(F5018="NEW",IF(ISNA(VLOOKUP(E5018,#REF!,1,FALSE())),"?TYPE_IDENTIFIABLE","?REFERENTIAL"),"_")))))</f>
        <v> </v>
      </c>
      <c r="H5018" s="25" t="str">
        <f>IF(J5018&lt;&gt;1,"",IF(I5018="SBJ","CB","?"))</f>
        <v> </v>
      </c>
      <c r="I5018" s="26" t="str">
        <f>IF(OR(E5018="",E5018="!!!",F5018="NEW"),"",INDEX(B5017:B$2,-1+SUMPRODUCT(MAX(ROW(E5017:E$2)*(E5018=E5017:E$2)))))</f>
        <v> </v>
      </c>
      <c r="J5018" s="26" t="str">
        <f>IF(OR(E5018="",E5018="!!!",F5018="NEW"),"",COUNTBLANK(OFFSET(A$1,,,SUMPRODUCT(MAX(ROW(E$2:E5018)*(E5018=E$2:E5018)))))-COUNTBLANK(OFFSET(A$1,,,SUMPRODUCT(MAX(ROW(E$1:E5017)*(E2=E$1:E5017))))))</f>
        <v> </v>
      </c>
      <c r="K5018" s="26" t="str">
        <f>IF(OR(E5018="",E5018="!!!",F5018="NEW"),"",INDEX(J$1:J5017,SUMPRODUCT(MAX(ROW(E$1:E5017)*(E5018=E$1:E5017)))))</f>
        <v> </v>
      </c>
      <c r="L5018" s="27"/>
    </row>
    <row r="5019" spans="1:12">
      <c r="A5019" s="20" t="s">
        <v>1168</v>
      </c>
      <c r="E5019" s="22">
        <f>IF(D5019="?OLD","!!!","")</f>
        <v/>
      </c>
      <c r="F5019" s="23" t="str">
        <f>IF(OR(E5019="",E5019="!!!"),"",IF(NOT(ISNA(VLOOKUP(E5019,E$1:E5018,1,FALSE()))),"OLD",IF(AND(E5019&lt;&gt;"",E5019&lt;&gt;"!!!"),"NEW","")))</f>
        <v> </v>
      </c>
      <c r="G5019" s="24" t="str">
        <f>IF(OR(E5019="",E5019="!!!"),"",IF(OR(J5019=0,AND(J5019=1,K5019=1),AND(J5019=1,I5019="SBJ"),AND(J5019=1,I5019=0)),"?IN_FOCUS",IF(J5019&lt;=2,"?ACTIVATED",IF(J5019&lt;&gt;"","?FAMILIAR",IF(F5019="NEW",IF(ISNA(VLOOKUP(E5019,#REF!,1,FALSE())),"?TYPE_IDENTIFIABLE","?REFERENTIAL"),"_")))))</f>
        <v> </v>
      </c>
      <c r="H5019" s="25" t="str">
        <f>IF(J5019&lt;&gt;1,"",IF(I5019="SBJ","CB","?"))</f>
        <v> </v>
      </c>
      <c r="I5019" s="26" t="str">
        <f>IF(OR(E5019="",E5019="!!!",F5019="NEW"),"",INDEX(B5018:B$2,-1+SUMPRODUCT(MAX(ROW(E5018:E$2)*(E5019=E5018:E$2)))))</f>
        <v> </v>
      </c>
      <c r="J5019" s="26" t="str">
        <f>IF(OR(E5019="",E5019="!!!",F5019="NEW"),"",COUNTBLANK(OFFSET(A$1,,,SUMPRODUCT(MAX(ROW(E$2:E5019)*(E5019=E$2:E5019)))))-COUNTBLANK(OFFSET(A$1,,,SUMPRODUCT(MAX(ROW(E$1:E5018)*(E2=E$1:E5018))))))</f>
        <v> </v>
      </c>
      <c r="K5019" s="26" t="str">
        <f>IF(OR(E5019="",E5019="!!!",F5019="NEW"),"",INDEX(J$1:J5018,SUMPRODUCT(MAX(ROW(E$1:E5018)*(E5019=E$1:E5018)))))</f>
        <v> </v>
      </c>
      <c r="L5019" s="27"/>
    </row>
    <row r="5020" spans="1:12">
      <c r="A5020" s="20" t="s">
        <v>1169</v>
      </c>
      <c r="E5020" s="22">
        <f>IF(D5020="?OLD","!!!","")</f>
        <v/>
      </c>
      <c r="F5020" s="23" t="str">
        <f>IF(OR(E5020="",E5020="!!!"),"",IF(NOT(ISNA(VLOOKUP(E5020,E$1:E5019,1,FALSE()))),"OLD",IF(AND(E5020&lt;&gt;"",E5020&lt;&gt;"!!!"),"NEW","")))</f>
        <v> </v>
      </c>
      <c r="G5020" s="24" t="str">
        <f>IF(OR(E5020="",E5020="!!!"),"",IF(OR(J5020=0,AND(J5020=1,K5020=1),AND(J5020=1,I5020="SBJ"),AND(J5020=1,I5020=0)),"?IN_FOCUS",IF(J5020&lt;=2,"?ACTIVATED",IF(J5020&lt;&gt;"","?FAMILIAR",IF(F5020="NEW",IF(ISNA(VLOOKUP(E5020,#REF!,1,FALSE())),"?TYPE_IDENTIFIABLE","?REFERENTIAL"),"_")))))</f>
        <v> </v>
      </c>
      <c r="H5020" s="25" t="str">
        <f>IF(J5020&lt;&gt;1,"",IF(I5020="SBJ","CB","?"))</f>
        <v> </v>
      </c>
      <c r="I5020" s="26" t="str">
        <f>IF(OR(E5020="",E5020="!!!",F5020="NEW"),"",INDEX(B5019:B$2,-1+SUMPRODUCT(MAX(ROW(E5019:E$2)*(E5020=E5019:E$2)))))</f>
        <v> </v>
      </c>
      <c r="J5020" s="26" t="str">
        <f>IF(OR(E5020="",E5020="!!!",F5020="NEW"),"",COUNTBLANK(OFFSET(A$1,,,SUMPRODUCT(MAX(ROW(E$2:E5020)*(E5020=E$2:E5020)))))-COUNTBLANK(OFFSET(A$1,,,SUMPRODUCT(MAX(ROW(E$1:E5019)*(E2=E$1:E5019))))))</f>
        <v> </v>
      </c>
      <c r="K5020" s="26" t="str">
        <f>IF(OR(E5020="",E5020="!!!",F5020="NEW"),"",INDEX(J$1:J5019,SUMPRODUCT(MAX(ROW(E$1:E5019)*(E5020=E$1:E5019)))))</f>
        <v> </v>
      </c>
      <c r="L5020" s="27"/>
    </row>
    <row r="5021" spans="1:12">
      <c r="A5021" s="20" t="s">
        <v>1432</v>
      </c>
      <c r="E5021" s="22">
        <f>IF(D5021="?OLD","!!!","")</f>
        <v/>
      </c>
      <c r="F5021" s="23" t="str">
        <f>IF(OR(E5021="",E5021="!!!"),"",IF(NOT(ISNA(VLOOKUP(E5021,E$1:E5020,1,FALSE()))),"OLD",IF(AND(E5021&lt;&gt;"",E5021&lt;&gt;"!!!"),"NEW","")))</f>
        <v> </v>
      </c>
      <c r="G5021" s="24" t="str">
        <f>IF(OR(E5021="",E5021="!!!"),"",IF(OR(J5021=0,AND(J5021=1,K5021=1),AND(J5021=1,I5021="SBJ"),AND(J5021=1,I5021=0)),"?IN_FOCUS",IF(J5021&lt;=2,"?ACTIVATED",IF(J5021&lt;&gt;"","?FAMILIAR",IF(F5021="NEW",IF(ISNA(VLOOKUP(E5021,#REF!,1,FALSE())),"?TYPE_IDENTIFIABLE","?REFERENTIAL"),"_")))))</f>
        <v> </v>
      </c>
      <c r="H5021" s="25" t="str">
        <f>IF(J5021&lt;&gt;1,"",IF(I5021="SBJ","CB","?"))</f>
        <v> </v>
      </c>
      <c r="I5021" s="26" t="str">
        <f>IF(OR(E5021="",E5021="!!!",F5021="NEW"),"",INDEX(B5020:B$2,-1+SUMPRODUCT(MAX(ROW(E5020:E$2)*(E5021=E5020:E$2)))))</f>
        <v> </v>
      </c>
      <c r="J5021" s="26" t="str">
        <f>IF(OR(E5021="",E5021="!!!",F5021="NEW"),"",COUNTBLANK(OFFSET(A$1,,,SUMPRODUCT(MAX(ROW(E$2:E5021)*(E5021=E$2:E5021)))))-COUNTBLANK(OFFSET(A$1,,,SUMPRODUCT(MAX(ROW(E$1:E5020)*(E2=E$1:E5020))))))</f>
        <v> </v>
      </c>
      <c r="K5021" s="26" t="str">
        <f>IF(OR(E5021="",E5021="!!!",F5021="NEW"),"",INDEX(J$1:J5020,SUMPRODUCT(MAX(ROW(E$1:E5020)*(E5021=E$1:E5020)))))</f>
        <v> </v>
      </c>
      <c r="L5021" s="27"/>
    </row>
    <row r="5022" spans="1:12">
      <c r="A5022" s="20" t="s">
        <v>2452</v>
      </c>
      <c r="E5022" s="22">
        <f>IF(D5022="?OLD","!!!","")</f>
        <v/>
      </c>
      <c r="F5022" s="23" t="str">
        <f>IF(OR(E5022="",E5022="!!!"),"",IF(NOT(ISNA(VLOOKUP(E5022,E$1:E5021,1,FALSE()))),"OLD",IF(AND(E5022&lt;&gt;"",E5022&lt;&gt;"!!!"),"NEW","")))</f>
        <v> </v>
      </c>
      <c r="G5022" s="24" t="str">
        <f>IF(OR(E5022="",E5022="!!!"),"",IF(OR(J5022=0,AND(J5022=1,K5022=1),AND(J5022=1,I5022="SBJ"),AND(J5022=1,I5022=0)),"?IN_FOCUS",IF(J5022&lt;=2,"?ACTIVATED",IF(J5022&lt;&gt;"","?FAMILIAR",IF(F5022="NEW",IF(ISNA(VLOOKUP(E5022,#REF!,1,FALSE())),"?TYPE_IDENTIFIABLE","?REFERENTIAL"),"_")))))</f>
        <v> </v>
      </c>
      <c r="H5022" s="25" t="str">
        <f>IF(J5022&lt;&gt;1,"",IF(I5022="SBJ","CB","?"))</f>
        <v> </v>
      </c>
      <c r="I5022" s="26" t="str">
        <f>IF(OR(E5022="",E5022="!!!",F5022="NEW"),"",INDEX(B5021:B$2,-1+SUMPRODUCT(MAX(ROW(E5021:E$2)*(E5022=E5021:E$2)))))</f>
        <v> </v>
      </c>
      <c r="J5022" s="26" t="str">
        <f>IF(OR(E5022="",E5022="!!!",F5022="NEW"),"",COUNTBLANK(OFFSET(A$1,,,SUMPRODUCT(MAX(ROW(E$2:E5022)*(E5022=E$2:E5022)))))-COUNTBLANK(OFFSET(A$1,,,SUMPRODUCT(MAX(ROW(E$1:E5021)*(E2=E$1:E5021))))))</f>
        <v> </v>
      </c>
      <c r="K5022" s="26" t="str">
        <f>IF(OR(E5022="",E5022="!!!",F5022="NEW"),"",INDEX(J$1:J5021,SUMPRODUCT(MAX(ROW(E$1:E5021)*(E5022=E$1:E5021)))))</f>
        <v> </v>
      </c>
      <c r="L5022" s="27"/>
    </row>
    <row r="5023" spans="1:12">
      <c r="A5023" s="20" t="s">
        <v>1685</v>
      </c>
      <c r="B5023" s="21" t="s">
        <v>1064</v>
      </c>
      <c r="C5023" s="21" t="s">
        <v>1149</v>
      </c>
      <c r="E5023" s="22">
        <f>IF(D5023="?OLD","!!!","")</f>
        <v/>
      </c>
      <c r="F5023" s="23" t="str">
        <f>IF(OR(E5023="",E5023="!!!"),"",IF(NOT(ISNA(VLOOKUP(E5023,E$1:E5022,1,FALSE()))),"OLD",IF(AND(E5023&lt;&gt;"",E5023&lt;&gt;"!!!"),"NEW","")))</f>
        <v> </v>
      </c>
      <c r="G5023" s="24" t="str">
        <f>IF(OR(E5023="",E5023="!!!"),"",IF(OR(J5023=0,AND(J5023=1,K5023=1),AND(J5023=1,I5023="SBJ"),AND(J5023=1,I5023=0)),"?IN_FOCUS",IF(J5023&lt;=2,"?ACTIVATED",IF(J5023&lt;&gt;"","?FAMILIAR",IF(F5023="NEW",IF(ISNA(VLOOKUP(E5023,#REF!,1,FALSE())),"?TYPE_IDENTIFIABLE","?REFERENTIAL"),"_")))))</f>
        <v> </v>
      </c>
      <c r="H5023" s="25" t="str">
        <f>IF(J5023&lt;&gt;1,"",IF(I5023="SBJ","CB","?"))</f>
        <v> </v>
      </c>
      <c r="I5023" s="26" t="str">
        <f>IF(OR(E5023="",E5023="!!!",F5023="NEW"),"",INDEX(B5022:B$2,-1+SUMPRODUCT(MAX(ROW(E5022:E$2)*(E5023=E5022:E$2)))))</f>
        <v> </v>
      </c>
      <c r="J5023" s="26" t="str">
        <f>IF(OR(E5023="",E5023="!!!",F5023="NEW"),"",COUNTBLANK(OFFSET(A$1,,,SUMPRODUCT(MAX(ROW(E$2:E5023)*(E5023=E$2:E5023)))))-COUNTBLANK(OFFSET(A$1,,,SUMPRODUCT(MAX(ROW(E$1:E5022)*(E2=E$1:E5022))))))</f>
        <v> </v>
      </c>
      <c r="K5023" s="26" t="str">
        <f>IF(OR(E5023="",E5023="!!!",F5023="NEW"),"",INDEX(J$1:J5022,SUMPRODUCT(MAX(ROW(E$1:E5022)*(E5023=E$1:E5022)))))</f>
        <v> </v>
      </c>
      <c r="L5023" s="27"/>
    </row>
    <row r="5024" spans="1:12">
      <c r="A5024" s="20" t="s">
        <v>157</v>
      </c>
      <c r="E5024" s="22">
        <f>IF(D5024="?OLD","!!!","")</f>
        <v/>
      </c>
      <c r="F5024" s="23" t="str">
        <f>IF(OR(E5024="",E5024="!!!"),"",IF(NOT(ISNA(VLOOKUP(E5024,E$1:E5023,1,FALSE()))),"OLD",IF(AND(E5024&lt;&gt;"",E5024&lt;&gt;"!!!"),"NEW","")))</f>
        <v> </v>
      </c>
      <c r="G5024" s="24" t="str">
        <f>IF(OR(E5024="",E5024="!!!"),"",IF(OR(J5024=0,AND(J5024=1,K5024=1),AND(J5024=1,I5024="SBJ"),AND(J5024=1,I5024=0)),"?IN_FOCUS",IF(J5024&lt;=2,"?ACTIVATED",IF(J5024&lt;&gt;"","?FAMILIAR",IF(F5024="NEW",IF(ISNA(VLOOKUP(E5024,#REF!,1,FALSE())),"?TYPE_IDENTIFIABLE","?REFERENTIAL"),"_")))))</f>
        <v> </v>
      </c>
      <c r="H5024" s="25" t="str">
        <f>IF(J5024&lt;&gt;1,"",IF(I5024="SBJ","CB","?"))</f>
        <v> </v>
      </c>
      <c r="I5024" s="26" t="str">
        <f>IF(OR(E5024="",E5024="!!!",F5024="NEW"),"",INDEX(B5023:B$2,-1+SUMPRODUCT(MAX(ROW(E5023:E$2)*(E5024=E5023:E$2)))))</f>
        <v> </v>
      </c>
      <c r="J5024" s="26" t="str">
        <f>IF(OR(E5024="",E5024="!!!",F5024="NEW"),"",COUNTBLANK(OFFSET(A$1,,,SUMPRODUCT(MAX(ROW(E$2:E5024)*(E5024=E$2:E5024)))))-COUNTBLANK(OFFSET(A$1,,,SUMPRODUCT(MAX(ROW(E$1:E5023)*(E2=E$1:E5023))))))</f>
        <v> </v>
      </c>
      <c r="K5024" s="26" t="str">
        <f>IF(OR(E5024="",E5024="!!!",F5024="NEW"),"",INDEX(J$1:J5023,SUMPRODUCT(MAX(ROW(E$1:E5023)*(E5024=E$1:E5023)))))</f>
        <v> </v>
      </c>
      <c r="L5024" s="27"/>
    </row>
    <row r="5025" spans="1:12">
      <c r="A5025" s="20" t="s">
        <v>1101</v>
      </c>
      <c r="E5025" s="22">
        <f>IF(D5025="?OLD","!!!","")</f>
        <v/>
      </c>
      <c r="F5025" s="23" t="str">
        <f>IF(OR(E5025="",E5025="!!!"),"",IF(NOT(ISNA(VLOOKUP(E5025,E$1:E5024,1,FALSE()))),"OLD",IF(AND(E5025&lt;&gt;"",E5025&lt;&gt;"!!!"),"NEW","")))</f>
        <v> </v>
      </c>
      <c r="G5025" s="24" t="str">
        <f>IF(OR(E5025="",E5025="!!!"),"",IF(OR(J5025=0,AND(J5025=1,K5025=1),AND(J5025=1,I5025="SBJ"),AND(J5025=1,I5025=0)),"?IN_FOCUS",IF(J5025&lt;=2,"?ACTIVATED",IF(J5025&lt;&gt;"","?FAMILIAR",IF(F5025="NEW",IF(ISNA(VLOOKUP(E5025,#REF!,1,FALSE())),"?TYPE_IDENTIFIABLE","?REFERENTIAL"),"_")))))</f>
        <v> </v>
      </c>
      <c r="H5025" s="25" t="str">
        <f>IF(J5025&lt;&gt;1,"",IF(I5025="SBJ","CB","?"))</f>
        <v> </v>
      </c>
      <c r="I5025" s="26" t="str">
        <f>IF(OR(E5025="",E5025="!!!",F5025="NEW"),"",INDEX(B5024:B$2,-1+SUMPRODUCT(MAX(ROW(E5024:E$2)*(E5025=E5024:E$2)))))</f>
        <v> </v>
      </c>
      <c r="J5025" s="26" t="str">
        <f>IF(OR(E5025="",E5025="!!!",F5025="NEW"),"",COUNTBLANK(OFFSET(A$1,,,SUMPRODUCT(MAX(ROW(E$2:E5025)*(E5025=E$2:E5025)))))-COUNTBLANK(OFFSET(A$1,,,SUMPRODUCT(MAX(ROW(E$1:E5024)*(E2=E$1:E5024))))))</f>
        <v> </v>
      </c>
      <c r="K5025" s="26" t="str">
        <f>IF(OR(E5025="",E5025="!!!",F5025="NEW"),"",INDEX(J$1:J5024,SUMPRODUCT(MAX(ROW(E$1:E5024)*(E5025=E$1:E5024)))))</f>
        <v> </v>
      </c>
      <c r="L5025" s="27"/>
    </row>
    <row r="5026" spans="1:12">
      <c r="A5026" s="20" t="s">
        <v>2453</v>
      </c>
      <c r="B5026" s="21" t="s">
        <v>1099</v>
      </c>
      <c r="C5026" s="21" t="s">
        <v>1140</v>
      </c>
      <c r="D5026" s="21" t="s">
        <v>1060</v>
      </c>
      <c r="E5026" s="22">
        <f>IF(D5026="?OLD","!!!","")</f>
        <v/>
      </c>
      <c r="F5026" s="23" t="str">
        <f>IF(OR(E5026="",E5026="!!!"),"",IF(NOT(ISNA(VLOOKUP(E5026,E$1:E5025,1,FALSE()))),"OLD",IF(AND(E5026&lt;&gt;"",E5026&lt;&gt;"!!!"),"NEW","")))</f>
        <v> </v>
      </c>
      <c r="G5026" s="24" t="str">
        <f>IF(OR(E5026="",E5026="!!!"),"",IF(OR(J5026=0,AND(J5026=1,K5026=1),AND(J5026=1,I5026="SBJ"),AND(J5026=1,I5026=0)),"?IN_FOCUS",IF(J5026&lt;=2,"?ACTIVATED",IF(J5026&lt;&gt;"","?FAMILIAR",IF(F5026="NEW",IF(ISNA(VLOOKUP(E5026,#REF!,1,FALSE())),"?TYPE_IDENTIFIABLE","?REFERENTIAL"),"_")))))</f>
        <v> </v>
      </c>
      <c r="H5026" s="25" t="str">
        <f>IF(J5026&lt;&gt;1,"",IF(I5026="SBJ","CB","?"))</f>
        <v> </v>
      </c>
      <c r="I5026" s="26" t="str">
        <f>IF(OR(E5026="",E5026="!!!",F5026="NEW"),"",INDEX(B5025:B$2,-1+SUMPRODUCT(MAX(ROW(E5025:E$2)*(E5026=E5025:E$2)))))</f>
        <v> </v>
      </c>
      <c r="J5026" s="26" t="str">
        <f>IF(OR(E5026="",E5026="!!!",F5026="NEW"),"",COUNTBLANK(OFFSET(A$1,,,SUMPRODUCT(MAX(ROW(E$2:E5026)*(E5026=E$2:E5026)))))-COUNTBLANK(OFFSET(A$1,,,SUMPRODUCT(MAX(ROW(E$1:E5025)*(E2=E$1:E5025))))))</f>
        <v> </v>
      </c>
      <c r="K5026" s="26" t="str">
        <f>IF(OR(E5026="",E5026="!!!",F5026="NEW"),"",INDEX(J$1:J5025,SUMPRODUCT(MAX(ROW(E$1:E5025)*(E5026=E$1:E5025)))))</f>
        <v> </v>
      </c>
      <c r="L5026" s="27"/>
    </row>
    <row r="5027" spans="1:12">
      <c r="A5027" s="20" t="s">
        <v>1170</v>
      </c>
      <c r="B5027" s="21" t="s">
        <v>1079</v>
      </c>
      <c r="C5027" s="21" t="s">
        <v>1076</v>
      </c>
      <c r="D5027" s="21" t="s">
        <v>1060</v>
      </c>
      <c r="E5027" s="22">
        <f>IF(D5027="?OLD","!!!","")</f>
        <v/>
      </c>
      <c r="F5027" s="23" t="str">
        <f>IF(OR(E5027="",E5027="!!!"),"",IF(NOT(ISNA(VLOOKUP(E5027,E$1:E5026,1,FALSE()))),"OLD",IF(AND(E5027&lt;&gt;"",E5027&lt;&gt;"!!!"),"NEW","")))</f>
        <v> </v>
      </c>
      <c r="G5027" s="24" t="str">
        <f>IF(OR(E5027="",E5027="!!!"),"",IF(OR(J5027=0,AND(J5027=1,K5027=1),AND(J5027=1,I5027="SBJ"),AND(J5027=1,I5027=0)),"?IN_FOCUS",IF(J5027&lt;=2,"?ACTIVATED",IF(J5027&lt;&gt;"","?FAMILIAR",IF(F5027="NEW",IF(ISNA(VLOOKUP(E5027,#REF!,1,FALSE())),"?TYPE_IDENTIFIABLE","?REFERENTIAL"),"_")))))</f>
        <v> </v>
      </c>
      <c r="H5027" s="25" t="str">
        <f>IF(J5027&lt;&gt;1,"",IF(I5027="SBJ","CB","?"))</f>
        <v> </v>
      </c>
      <c r="I5027" s="26" t="str">
        <f>IF(OR(E5027="",E5027="!!!",F5027="NEW"),"",INDEX(B5026:B$2,-1+SUMPRODUCT(MAX(ROW(E5026:E$2)*(E5027=E5026:E$2)))))</f>
        <v> </v>
      </c>
      <c r="J5027" s="26" t="str">
        <f>IF(OR(E5027="",E5027="!!!",F5027="NEW"),"",COUNTBLANK(OFFSET(A$1,,,SUMPRODUCT(MAX(ROW(E$2:E5027)*(E5027=E$2:E5027)))))-COUNTBLANK(OFFSET(A$1,,,SUMPRODUCT(MAX(ROW(E$1:E5026)*(E2=E$1:E5026))))))</f>
        <v> </v>
      </c>
      <c r="K5027" s="26" t="str">
        <f>IF(OR(E5027="",E5027="!!!",F5027="NEW"),"",INDEX(J$1:J5026,SUMPRODUCT(MAX(ROW(E$1:E5026)*(E5027=E$1:E5026)))))</f>
        <v> </v>
      </c>
      <c r="L5027" s="27"/>
    </row>
    <row r="5028" spans="1:12">
      <c r="A5028" s="20" t="s">
        <v>1707</v>
      </c>
      <c r="E5028" s="22">
        <f>IF(D5028="?OLD","!!!","")</f>
        <v/>
      </c>
      <c r="F5028" s="23" t="str">
        <f>IF(OR(E5028="",E5028="!!!"),"",IF(NOT(ISNA(VLOOKUP(E5028,E$1:E5027,1,FALSE()))),"OLD",IF(AND(E5028&lt;&gt;"",E5028&lt;&gt;"!!!"),"NEW","")))</f>
        <v> </v>
      </c>
      <c r="G5028" s="24" t="str">
        <f>IF(OR(E5028="",E5028="!!!"),"",IF(OR(J5028=0,AND(J5028=1,K5028=1),AND(J5028=1,I5028="SBJ"),AND(J5028=1,I5028=0)),"?IN_FOCUS",IF(J5028&lt;=2,"?ACTIVATED",IF(J5028&lt;&gt;"","?FAMILIAR",IF(F5028="NEW",IF(ISNA(VLOOKUP(E5028,#REF!,1,FALSE())),"?TYPE_IDENTIFIABLE","?REFERENTIAL"),"_")))))</f>
        <v> </v>
      </c>
      <c r="H5028" s="25" t="str">
        <f>IF(J5028&lt;&gt;1,"",IF(I5028="SBJ","CB","?"))</f>
        <v> </v>
      </c>
      <c r="I5028" s="26" t="str">
        <f>IF(OR(E5028="",E5028="!!!",F5028="NEW"),"",INDEX(B5027:B$2,-1+SUMPRODUCT(MAX(ROW(E5027:E$2)*(E5028=E5027:E$2)))))</f>
        <v> </v>
      </c>
      <c r="J5028" s="26" t="str">
        <f>IF(OR(E5028="",E5028="!!!",F5028="NEW"),"",COUNTBLANK(OFFSET(A$1,,,SUMPRODUCT(MAX(ROW(E$2:E5028)*(E5028=E$2:E5028)))))-COUNTBLANK(OFFSET(A$1,,,SUMPRODUCT(MAX(ROW(E$1:E5027)*(E2=E$1:E5027))))))</f>
        <v> </v>
      </c>
      <c r="K5028" s="26" t="str">
        <f>IF(OR(E5028="",E5028="!!!",F5028="NEW"),"",INDEX(J$1:J5027,SUMPRODUCT(MAX(ROW(E$1:E5027)*(E5028=E$1:E5027)))))</f>
        <v> </v>
      </c>
      <c r="L5028" s="27"/>
    </row>
    <row r="5029" spans="1:12">
      <c r="A5029" s="20" t="s">
        <v>1460</v>
      </c>
      <c r="E5029" s="22">
        <f>IF(D5029="?OLD","!!!","")</f>
        <v/>
      </c>
      <c r="F5029" s="23" t="str">
        <f>IF(OR(E5029="",E5029="!!!"),"",IF(NOT(ISNA(VLOOKUP(E5029,E$1:E5028,1,FALSE()))),"OLD",IF(AND(E5029&lt;&gt;"",E5029&lt;&gt;"!!!"),"NEW","")))</f>
        <v> </v>
      </c>
      <c r="G5029" s="24" t="str">
        <f>IF(OR(E5029="",E5029="!!!"),"",IF(OR(J5029=0,AND(J5029=1,K5029=1),AND(J5029=1,I5029="SBJ"),AND(J5029=1,I5029=0)),"?IN_FOCUS",IF(J5029&lt;=2,"?ACTIVATED",IF(J5029&lt;&gt;"","?FAMILIAR",IF(F5029="NEW",IF(ISNA(VLOOKUP(E5029,#REF!,1,FALSE())),"?TYPE_IDENTIFIABLE","?REFERENTIAL"),"_")))))</f>
        <v> </v>
      </c>
      <c r="H5029" s="25" t="str">
        <f>IF(J5029&lt;&gt;1,"",IF(I5029="SBJ","CB","?"))</f>
        <v> </v>
      </c>
      <c r="I5029" s="26" t="str">
        <f>IF(OR(E5029="",E5029="!!!",F5029="NEW"),"",INDEX(B5028:B$2,-1+SUMPRODUCT(MAX(ROW(E5028:E$2)*(E5029=E5028:E$2)))))</f>
        <v> </v>
      </c>
      <c r="J5029" s="26" t="str">
        <f>IF(OR(E5029="",E5029="!!!",F5029="NEW"),"",COUNTBLANK(OFFSET(A$1,,,SUMPRODUCT(MAX(ROW(E$2:E5029)*(E5029=E$2:E5029)))))-COUNTBLANK(OFFSET(A$1,,,SUMPRODUCT(MAX(ROW(E$1:E5028)*(E2=E$1:E5028))))))</f>
        <v> </v>
      </c>
      <c r="K5029" s="26" t="str">
        <f>IF(OR(E5029="",E5029="!!!",F5029="NEW"),"",INDEX(J$1:J5028,SUMPRODUCT(MAX(ROW(E$1:E5028)*(E5029=E$1:E5028)))))</f>
        <v> </v>
      </c>
      <c r="L5029" s="27"/>
    </row>
    <row r="5030" spans="1:12">
      <c r="A5030" s="20" t="s">
        <v>2454</v>
      </c>
      <c r="E5030" s="22">
        <f>IF(D5030="?OLD","!!!","")</f>
        <v/>
      </c>
      <c r="F5030" s="23" t="str">
        <f>IF(OR(E5030="",E5030="!!!"),"",IF(NOT(ISNA(VLOOKUP(E5030,E$1:E5029,1,FALSE()))),"OLD",IF(AND(E5030&lt;&gt;"",E5030&lt;&gt;"!!!"),"NEW","")))</f>
        <v> </v>
      </c>
      <c r="G5030" s="24" t="str">
        <f>IF(OR(E5030="",E5030="!!!"),"",IF(OR(J5030=0,AND(J5030=1,K5030=1),AND(J5030=1,I5030="SBJ"),AND(J5030=1,I5030=0)),"?IN_FOCUS",IF(J5030&lt;=2,"?ACTIVATED",IF(J5030&lt;&gt;"","?FAMILIAR",IF(F5030="NEW",IF(ISNA(VLOOKUP(E5030,#REF!,1,FALSE())),"?TYPE_IDENTIFIABLE","?REFERENTIAL"),"_")))))</f>
        <v> </v>
      </c>
      <c r="H5030" s="25" t="str">
        <f>IF(J5030&lt;&gt;1,"",IF(I5030="SBJ","CB","?"))</f>
        <v> </v>
      </c>
      <c r="I5030" s="26" t="str">
        <f>IF(OR(E5030="",E5030="!!!",F5030="NEW"),"",INDEX(B5029:B$2,-1+SUMPRODUCT(MAX(ROW(E5029:E$2)*(E5030=E5029:E$2)))))</f>
        <v> </v>
      </c>
      <c r="J5030" s="26" t="str">
        <f>IF(OR(E5030="",E5030="!!!",F5030="NEW"),"",COUNTBLANK(OFFSET(A$1,,,SUMPRODUCT(MAX(ROW(E$2:E5030)*(E5030=E$2:E5030)))))-COUNTBLANK(OFFSET(A$1,,,SUMPRODUCT(MAX(ROW(E$1:E5029)*(E2=E$1:E5029))))))</f>
        <v> </v>
      </c>
      <c r="K5030" s="26" t="str">
        <f>IF(OR(E5030="",E5030="!!!",F5030="NEW"),"",INDEX(J$1:J5029,SUMPRODUCT(MAX(ROW(E$1:E5029)*(E5030=E$1:E5029)))))</f>
        <v> </v>
      </c>
      <c r="L5030" s="27"/>
    </row>
    <row r="5031" spans="1:12">
      <c r="A5031" s="20" t="s">
        <v>1144</v>
      </c>
      <c r="E5031" s="22">
        <f>IF(D5031="?OLD","!!!","")</f>
        <v/>
      </c>
      <c r="F5031" s="23" t="str">
        <f>IF(OR(E5031="",E5031="!!!"),"",IF(NOT(ISNA(VLOOKUP(E5031,E$1:E5030,1,FALSE()))),"OLD",IF(AND(E5031&lt;&gt;"",E5031&lt;&gt;"!!!"),"NEW","")))</f>
        <v> </v>
      </c>
      <c r="G5031" s="24" t="str">
        <f>IF(OR(E5031="",E5031="!!!"),"",IF(OR(J5031=0,AND(J5031=1,K5031=1),AND(J5031=1,I5031="SBJ"),AND(J5031=1,I5031=0)),"?IN_FOCUS",IF(J5031&lt;=2,"?ACTIVATED",IF(J5031&lt;&gt;"","?FAMILIAR",IF(F5031="NEW",IF(ISNA(VLOOKUP(E5031,#REF!,1,FALSE())),"?TYPE_IDENTIFIABLE","?REFERENTIAL"),"_")))))</f>
        <v> </v>
      </c>
      <c r="H5031" s="25" t="str">
        <f>IF(J5031&lt;&gt;1,"",IF(I5031="SBJ","CB","?"))</f>
        <v> </v>
      </c>
      <c r="I5031" s="26" t="str">
        <f>IF(OR(E5031="",E5031="!!!",F5031="NEW"),"",INDEX(B5030:B$2,-1+SUMPRODUCT(MAX(ROW(E5030:E$2)*(E5031=E5030:E$2)))))</f>
        <v> </v>
      </c>
      <c r="J5031" s="26" t="str">
        <f>IF(OR(E5031="",E5031="!!!",F5031="NEW"),"",COUNTBLANK(OFFSET(A$1,,,SUMPRODUCT(MAX(ROW(E$2:E5031)*(E5031=E$2:E5031)))))-COUNTBLANK(OFFSET(A$1,,,SUMPRODUCT(MAX(ROW(E$1:E5030)*(E2=E$1:E5030))))))</f>
        <v> </v>
      </c>
      <c r="K5031" s="26" t="str">
        <f>IF(OR(E5031="",E5031="!!!",F5031="NEW"),"",INDEX(J$1:J5030,SUMPRODUCT(MAX(ROW(E$1:E5030)*(E5031=E$1:E5030)))))</f>
        <v> </v>
      </c>
      <c r="L5031" s="27"/>
    </row>
    <row r="5032" spans="1:12">
      <c r="A5032" s="20" t="s">
        <v>1416</v>
      </c>
      <c r="B5032" s="21" t="s">
        <v>1068</v>
      </c>
      <c r="C5032" s="21" t="s">
        <v>1076</v>
      </c>
      <c r="D5032" s="21" t="s">
        <v>1060</v>
      </c>
      <c r="E5032" s="22">
        <f>IF(D5032="?OLD","!!!","")</f>
        <v/>
      </c>
      <c r="F5032" s="23" t="str">
        <f>IF(OR(E5032="",E5032="!!!"),"",IF(NOT(ISNA(VLOOKUP(E5032,E$1:E5031,1,FALSE()))),"OLD",IF(AND(E5032&lt;&gt;"",E5032&lt;&gt;"!!!"),"NEW","")))</f>
        <v> </v>
      </c>
      <c r="G5032" s="24" t="str">
        <f>IF(OR(E5032="",E5032="!!!"),"",IF(OR(J5032=0,AND(J5032=1,K5032=1),AND(J5032=1,I5032="SBJ"),AND(J5032=1,I5032=0)),"?IN_FOCUS",IF(J5032&lt;=2,"?ACTIVATED",IF(J5032&lt;&gt;"","?FAMILIAR",IF(F5032="NEW",IF(ISNA(VLOOKUP(E5032,#REF!,1,FALSE())),"?TYPE_IDENTIFIABLE","?REFERENTIAL"),"_")))))</f>
        <v> </v>
      </c>
      <c r="H5032" s="25" t="str">
        <f>IF(J5032&lt;&gt;1,"",IF(I5032="SBJ","CB","?"))</f>
        <v> </v>
      </c>
      <c r="I5032" s="26" t="str">
        <f>IF(OR(E5032="",E5032="!!!",F5032="NEW"),"",INDEX(B5031:B$2,-1+SUMPRODUCT(MAX(ROW(E5031:E$2)*(E5032=E5031:E$2)))))</f>
        <v> </v>
      </c>
      <c r="J5032" s="26" t="str">
        <f>IF(OR(E5032="",E5032="!!!",F5032="NEW"),"",COUNTBLANK(OFFSET(A$1,,,SUMPRODUCT(MAX(ROW(E$2:E5032)*(E5032=E$2:E5032)))))-COUNTBLANK(OFFSET(A$1,,,SUMPRODUCT(MAX(ROW(E$1:E5031)*(E2=E$1:E5031))))))</f>
        <v> </v>
      </c>
      <c r="K5032" s="26" t="str">
        <f>IF(OR(E5032="",E5032="!!!",F5032="NEW"),"",INDEX(J$1:J5031,SUMPRODUCT(MAX(ROW(E$1:E5031)*(E5032=E$1:E5031)))))</f>
        <v> </v>
      </c>
      <c r="L5032" s="27"/>
    </row>
    <row r="5033" spans="1:12">
      <c r="A5033" s="20" t="s">
        <v>923</v>
      </c>
      <c r="E5033" s="22">
        <f>IF(D5033="?OLD","!!!","")</f>
        <v/>
      </c>
      <c r="F5033" s="23" t="str">
        <f>IF(OR(E5033="",E5033="!!!"),"",IF(NOT(ISNA(VLOOKUP(E5033,E$1:E5032,1,FALSE()))),"OLD",IF(AND(E5033&lt;&gt;"",E5033&lt;&gt;"!!!"),"NEW","")))</f>
        <v> </v>
      </c>
      <c r="G5033" s="24" t="str">
        <f>IF(OR(E5033="",E5033="!!!"),"",IF(OR(J5033=0,AND(J5033=1,K5033=1),AND(J5033=1,I5033="SBJ"),AND(J5033=1,I5033=0)),"?IN_FOCUS",IF(J5033&lt;=2,"?ACTIVATED",IF(J5033&lt;&gt;"","?FAMILIAR",IF(F5033="NEW",IF(ISNA(VLOOKUP(E5033,#REF!,1,FALSE())),"?TYPE_IDENTIFIABLE","?REFERENTIAL"),"_")))))</f>
        <v> </v>
      </c>
      <c r="H5033" s="25" t="str">
        <f>IF(J5033&lt;&gt;1,"",IF(I5033="SBJ","CB","?"))</f>
        <v> </v>
      </c>
      <c r="I5033" s="26" t="str">
        <f>IF(OR(E5033="",E5033="!!!",F5033="NEW"),"",INDEX(B5032:B$2,-1+SUMPRODUCT(MAX(ROW(E5032:E$2)*(E5033=E5032:E$2)))))</f>
        <v> </v>
      </c>
      <c r="J5033" s="26" t="str">
        <f>IF(OR(E5033="",E5033="!!!",F5033="NEW"),"",COUNTBLANK(OFFSET(A$1,,,SUMPRODUCT(MAX(ROW(E$2:E5033)*(E5033=E$2:E5033)))))-COUNTBLANK(OFFSET(A$1,,,SUMPRODUCT(MAX(ROW(E$1:E5032)*(E2=E$1:E5032))))))</f>
        <v> </v>
      </c>
      <c r="K5033" s="26" t="str">
        <f>IF(OR(E5033="",E5033="!!!",F5033="NEW"),"",INDEX(J$1:J5032,SUMPRODUCT(MAX(ROW(E$1:E5032)*(E5033=E$1:E5032)))))</f>
        <v> </v>
      </c>
      <c r="L5033" s="27"/>
    </row>
    <row r="5034" spans="1:12">
      <c r="A5034" s="20"/>
    </row>
    <row r="5035" spans="1:12">
      <c r="A5035" s="20" t="s">
        <v>2455</v>
      </c>
    </row>
    <row r="5036" spans="1:12">
      <c r="A5036" s="20" t="s">
        <v>1779</v>
      </c>
      <c r="E5036" s="22">
        <f>IF(D5036="?OLD","!!!","")</f>
        <v/>
      </c>
      <c r="F5036" s="23" t="str">
        <f>IF(OR(E5036="",E5036="!!!"),"",IF(NOT(ISNA(VLOOKUP(E5036,E$1:E5035,1,FALSE()))),"OLD",IF(AND(E5036&lt;&gt;"",E5036&lt;&gt;"!!!"),"NEW","")))</f>
        <v> </v>
      </c>
      <c r="G5036" s="24" t="str">
        <f>IF(OR(E5036="",E5036="!!!"),"",IF(OR(J5036=0,AND(J5036=1,K5036=1),AND(J5036=1,I5036="SBJ"),AND(J5036=1,I5036=0)),"?IN_FOCUS",IF(J5036&lt;=2,"?ACTIVATED",IF(J5036&lt;&gt;"","?FAMILIAR",IF(F5036="NEW",IF(ISNA(VLOOKUP(E5036,#REF!,1,FALSE())),"?TYPE_IDENTIFIABLE","?REFERENTIAL"),"_")))))</f>
        <v> </v>
      </c>
      <c r="H5036" s="25" t="str">
        <f>IF(J5036&lt;&gt;1,"",IF(I5036="SBJ","CB","?"))</f>
        <v> </v>
      </c>
      <c r="I5036" s="26" t="str">
        <f>IF(OR(E5036="",E5036="!!!",F5036="NEW"),"",INDEX(B5035:B$2,-1+SUMPRODUCT(MAX(ROW(E5035:E$2)*(E5036=E5035:E$2)))))</f>
        <v> </v>
      </c>
      <c r="J5036" s="26" t="str">
        <f>IF(OR(E5036="",E5036="!!!",F5036="NEW"),"",COUNTBLANK(OFFSET(A$1,,,SUMPRODUCT(MAX(ROW(E$2:E5036)*(E5036=E$2:E5036)))))-COUNTBLANK(OFFSET(A$1,,,SUMPRODUCT(MAX(ROW(E$1:E5035)*(E2=E$1:E5035))))))</f>
        <v> </v>
      </c>
      <c r="K5036" s="26" t="str">
        <f>IF(OR(E5036="",E5036="!!!",F5036="NEW"),"",INDEX(J$1:J5035,SUMPRODUCT(MAX(ROW(E$1:E5035)*(E5036=E$1:E5035)))))</f>
        <v> </v>
      </c>
      <c r="L5036" s="27"/>
    </row>
    <row r="5037" spans="1:12">
      <c r="A5037" s="20" t="s">
        <v>1109</v>
      </c>
      <c r="E5037" s="22">
        <f>IF(D5037="?OLD","!!!","")</f>
        <v/>
      </c>
      <c r="F5037" s="23" t="str">
        <f>IF(OR(E5037="",E5037="!!!"),"",IF(NOT(ISNA(VLOOKUP(E5037,E$1:E5036,1,FALSE()))),"OLD",IF(AND(E5037&lt;&gt;"",E5037&lt;&gt;"!!!"),"NEW","")))</f>
        <v> </v>
      </c>
      <c r="G5037" s="24" t="str">
        <f>IF(OR(E5037="",E5037="!!!"),"",IF(OR(J5037=0,AND(J5037=1,K5037=1),AND(J5037=1,I5037="SBJ"),AND(J5037=1,I5037=0)),"?IN_FOCUS",IF(J5037&lt;=2,"?ACTIVATED",IF(J5037&lt;&gt;"","?FAMILIAR",IF(F5037="NEW",IF(ISNA(VLOOKUP(E5037,#REF!,1,FALSE())),"?TYPE_IDENTIFIABLE","?REFERENTIAL"),"_")))))</f>
        <v> </v>
      </c>
      <c r="H5037" s="25" t="str">
        <f>IF(J5037&lt;&gt;1,"",IF(I5037="SBJ","CB","?"))</f>
        <v> </v>
      </c>
      <c r="I5037" s="26" t="str">
        <f>IF(OR(E5037="",E5037="!!!",F5037="NEW"),"",INDEX(B5036:B$2,-1+SUMPRODUCT(MAX(ROW(E5036:E$2)*(E5037=E5036:E$2)))))</f>
        <v> </v>
      </c>
      <c r="J5037" s="26" t="str">
        <f>IF(OR(E5037="",E5037="!!!",F5037="NEW"),"",COUNTBLANK(OFFSET(A$1,,,SUMPRODUCT(MAX(ROW(E$2:E5037)*(E5037=E$2:E5037)))))-COUNTBLANK(OFFSET(A$1,,,SUMPRODUCT(MAX(ROW(E$1:E5036)*(E2=E$1:E5036))))))</f>
        <v> </v>
      </c>
      <c r="K5037" s="26" t="str">
        <f>IF(OR(E5037="",E5037="!!!",F5037="NEW"),"",INDEX(J$1:J5036,SUMPRODUCT(MAX(ROW(E$1:E5036)*(E5037=E$1:E5036)))))</f>
        <v> </v>
      </c>
      <c r="L5037" s="27"/>
    </row>
    <row r="5038" spans="1:12">
      <c r="A5038" s="20" t="s">
        <v>2456</v>
      </c>
      <c r="E5038" s="22">
        <f>IF(D5038="?OLD","!!!","")</f>
        <v/>
      </c>
      <c r="F5038" s="23" t="str">
        <f>IF(OR(E5038="",E5038="!!!"),"",IF(NOT(ISNA(VLOOKUP(E5038,E$1:E5037,1,FALSE()))),"OLD",IF(AND(E5038&lt;&gt;"",E5038&lt;&gt;"!!!"),"NEW","")))</f>
        <v> </v>
      </c>
      <c r="G5038" s="24" t="str">
        <f>IF(OR(E5038="",E5038="!!!"),"",IF(OR(J5038=0,AND(J5038=1,K5038=1),AND(J5038=1,I5038="SBJ"),AND(J5038=1,I5038=0)),"?IN_FOCUS",IF(J5038&lt;=2,"?ACTIVATED",IF(J5038&lt;&gt;"","?FAMILIAR",IF(F5038="NEW",IF(ISNA(VLOOKUP(E5038,#REF!,1,FALSE())),"?TYPE_IDENTIFIABLE","?REFERENTIAL"),"_")))))</f>
        <v> </v>
      </c>
      <c r="H5038" s="25" t="str">
        <f>IF(J5038&lt;&gt;1,"",IF(I5038="SBJ","CB","?"))</f>
        <v> </v>
      </c>
      <c r="I5038" s="26" t="str">
        <f>IF(OR(E5038="",E5038="!!!",F5038="NEW"),"",INDEX(B5037:B$2,-1+SUMPRODUCT(MAX(ROW(E5037:E$2)*(E5038=E5037:E$2)))))</f>
        <v> </v>
      </c>
      <c r="J5038" s="26" t="str">
        <f>IF(OR(E5038="",E5038="!!!",F5038="NEW"),"",COUNTBLANK(OFFSET(A$1,,,SUMPRODUCT(MAX(ROW(E$2:E5038)*(E5038=E$2:E5038)))))-COUNTBLANK(OFFSET(A$1,,,SUMPRODUCT(MAX(ROW(E$1:E5037)*(E2=E$1:E5037))))))</f>
        <v> </v>
      </c>
      <c r="K5038" s="26" t="str">
        <f>IF(OR(E5038="",E5038="!!!",F5038="NEW"),"",INDEX(J$1:J5037,SUMPRODUCT(MAX(ROW(E$1:E5037)*(E5038=E$1:E5037)))))</f>
        <v> </v>
      </c>
      <c r="L5038" s="27"/>
    </row>
    <row r="5039" spans="1:12">
      <c r="A5039" s="20" t="s">
        <v>1930</v>
      </c>
      <c r="B5039" s="21" t="s">
        <v>1058</v>
      </c>
      <c r="C5039" s="21" t="s">
        <v>1059</v>
      </c>
      <c r="D5039" s="21" t="s">
        <v>1060</v>
      </c>
      <c r="E5039" s="22">
        <f>IF(D5039="?OLD","!!!","")</f>
        <v/>
      </c>
      <c r="F5039" s="23" t="str">
        <f>IF(OR(E5039="",E5039="!!!"),"",IF(NOT(ISNA(VLOOKUP(E5039,E$1:E5038,1,FALSE()))),"OLD",IF(AND(E5039&lt;&gt;"",E5039&lt;&gt;"!!!"),"NEW","")))</f>
        <v> </v>
      </c>
      <c r="G5039" s="24" t="str">
        <f>IF(OR(E5039="",E5039="!!!"),"",IF(OR(J5039=0,AND(J5039=1,K5039=1),AND(J5039=1,I5039="SBJ"),AND(J5039=1,I5039=0)),"?IN_FOCUS",IF(J5039&lt;=2,"?ACTIVATED",IF(J5039&lt;&gt;"","?FAMILIAR",IF(F5039="NEW",IF(ISNA(VLOOKUP(E5039,#REF!,1,FALSE())),"?TYPE_IDENTIFIABLE","?REFERENTIAL"),"_")))))</f>
        <v> </v>
      </c>
      <c r="H5039" s="25" t="str">
        <f>IF(J5039&lt;&gt;1,"",IF(I5039="SBJ","CB","?"))</f>
        <v> </v>
      </c>
      <c r="I5039" s="26" t="str">
        <f>IF(OR(E5039="",E5039="!!!",F5039="NEW"),"",INDEX(B5038:B$2,-1+SUMPRODUCT(MAX(ROW(E5038:E$2)*(E5039=E5038:E$2)))))</f>
        <v> </v>
      </c>
      <c r="J5039" s="26" t="str">
        <f>IF(OR(E5039="",E5039="!!!",F5039="NEW"),"",COUNTBLANK(OFFSET(A$1,,,SUMPRODUCT(MAX(ROW(E$2:E5039)*(E5039=E$2:E5039)))))-COUNTBLANK(OFFSET(A$1,,,SUMPRODUCT(MAX(ROW(E$1:E5038)*(E2=E$1:E5038))))))</f>
        <v> </v>
      </c>
      <c r="K5039" s="26" t="str">
        <f>IF(OR(E5039="",E5039="!!!",F5039="NEW"),"",INDEX(J$1:J5038,SUMPRODUCT(MAX(ROW(E$1:E5038)*(E5039=E$1:E5038)))))</f>
        <v> </v>
      </c>
      <c r="L5039" s="27"/>
    </row>
    <row r="5040" spans="1:12">
      <c r="A5040" s="20" t="s">
        <v>1061</v>
      </c>
      <c r="E5040" s="22">
        <f>IF(D5040="?OLD","!!!","")</f>
        <v/>
      </c>
      <c r="F5040" s="23" t="str">
        <f>IF(OR(E5040="",E5040="!!!"),"",IF(NOT(ISNA(VLOOKUP(E5040,E$1:E5039,1,FALSE()))),"OLD",IF(AND(E5040&lt;&gt;"",E5040&lt;&gt;"!!!"),"NEW","")))</f>
        <v> </v>
      </c>
      <c r="G5040" s="24" t="str">
        <f>IF(OR(E5040="",E5040="!!!"),"",IF(OR(J5040=0,AND(J5040=1,K5040=1),AND(J5040=1,I5040="SBJ"),AND(J5040=1,I5040=0)),"?IN_FOCUS",IF(J5040&lt;=2,"?ACTIVATED",IF(J5040&lt;&gt;"","?FAMILIAR",IF(F5040="NEW",IF(ISNA(VLOOKUP(E5040,#REF!,1,FALSE())),"?TYPE_IDENTIFIABLE","?REFERENTIAL"),"_")))))</f>
        <v> </v>
      </c>
      <c r="H5040" s="25" t="str">
        <f>IF(J5040&lt;&gt;1,"",IF(I5040="SBJ","CB","?"))</f>
        <v> </v>
      </c>
      <c r="I5040" s="26" t="str">
        <f>IF(OR(E5040="",E5040="!!!",F5040="NEW"),"",INDEX(B5039:B$2,-1+SUMPRODUCT(MAX(ROW(E5039:E$2)*(E5040=E5039:E$2)))))</f>
        <v> </v>
      </c>
      <c r="J5040" s="26" t="str">
        <f>IF(OR(E5040="",E5040="!!!",F5040="NEW"),"",COUNTBLANK(OFFSET(A$1,,,SUMPRODUCT(MAX(ROW(E$2:E5040)*(E5040=E$2:E5040)))))-COUNTBLANK(OFFSET(A$1,,,SUMPRODUCT(MAX(ROW(E$1:E5039)*(E2=E$1:E5039))))))</f>
        <v> </v>
      </c>
      <c r="K5040" s="26" t="str">
        <f>IF(OR(E5040="",E5040="!!!",F5040="NEW"),"",INDEX(J$1:J5039,SUMPRODUCT(MAX(ROW(E$1:E5039)*(E5040=E$1:E5039)))))</f>
        <v> </v>
      </c>
      <c r="L5040" s="27"/>
    </row>
    <row r="5041" spans="1:12">
      <c r="A5041" s="20" t="s">
        <v>1416</v>
      </c>
      <c r="B5041" s="21" t="s">
        <v>1068</v>
      </c>
      <c r="C5041" s="21" t="s">
        <v>1076</v>
      </c>
      <c r="D5041" s="21" t="s">
        <v>1060</v>
      </c>
      <c r="E5041" s="22">
        <f>IF(D5041="?OLD","!!!","")</f>
        <v/>
      </c>
      <c r="F5041" s="23" t="str">
        <f>IF(OR(E5041="",E5041="!!!"),"",IF(NOT(ISNA(VLOOKUP(E5041,E$1:E5040,1,FALSE()))),"OLD",IF(AND(E5041&lt;&gt;"",E5041&lt;&gt;"!!!"),"NEW","")))</f>
        <v> </v>
      </c>
      <c r="G5041" s="24" t="str">
        <f>IF(OR(E5041="",E5041="!!!"),"",IF(OR(J5041=0,AND(J5041=1,K5041=1),AND(J5041=1,I5041="SBJ"),AND(J5041=1,I5041=0)),"?IN_FOCUS",IF(J5041&lt;=2,"?ACTIVATED",IF(J5041&lt;&gt;"","?FAMILIAR",IF(F5041="NEW",IF(ISNA(VLOOKUP(E5041,#REF!,1,FALSE())),"?TYPE_IDENTIFIABLE","?REFERENTIAL"),"_")))))</f>
        <v> </v>
      </c>
      <c r="H5041" s="25" t="str">
        <f>IF(J5041&lt;&gt;1,"",IF(I5041="SBJ","CB","?"))</f>
        <v> </v>
      </c>
      <c r="I5041" s="26" t="str">
        <f>IF(OR(E5041="",E5041="!!!",F5041="NEW"),"",INDEX(B5040:B$2,-1+SUMPRODUCT(MAX(ROW(E5040:E$2)*(E5041=E5040:E$2)))))</f>
        <v> </v>
      </c>
      <c r="J5041" s="26" t="str">
        <f>IF(OR(E5041="",E5041="!!!",F5041="NEW"),"",COUNTBLANK(OFFSET(A$1,,,SUMPRODUCT(MAX(ROW(E$2:E5041)*(E5041=E$2:E5041)))))-COUNTBLANK(OFFSET(A$1,,,SUMPRODUCT(MAX(ROW(E$1:E5040)*(E2=E$1:E5040))))))</f>
        <v> </v>
      </c>
      <c r="K5041" s="26" t="str">
        <f>IF(OR(E5041="",E5041="!!!",F5041="NEW"),"",INDEX(J$1:J5040,SUMPRODUCT(MAX(ROW(E$1:E5040)*(E5041=E$1:E5040)))))</f>
        <v> </v>
      </c>
      <c r="L5041" s="27"/>
    </row>
    <row r="5042" spans="1:12">
      <c r="A5042" s="20" t="s">
        <v>1809</v>
      </c>
      <c r="E5042" s="22">
        <f>IF(D5042="?OLD","!!!","")</f>
        <v/>
      </c>
      <c r="F5042" s="23" t="str">
        <f>IF(OR(E5042="",E5042="!!!"),"",IF(NOT(ISNA(VLOOKUP(E5042,E$1:E5041,1,FALSE()))),"OLD",IF(AND(E5042&lt;&gt;"",E5042&lt;&gt;"!!!"),"NEW","")))</f>
        <v> </v>
      </c>
      <c r="G5042" s="24" t="str">
        <f>IF(OR(E5042="",E5042="!!!"),"",IF(OR(J5042=0,AND(J5042=1,K5042=1),AND(J5042=1,I5042="SBJ"),AND(J5042=1,I5042=0)),"?IN_FOCUS",IF(J5042&lt;=2,"?ACTIVATED",IF(J5042&lt;&gt;"","?FAMILIAR",IF(F5042="NEW",IF(ISNA(VLOOKUP(E5042,#REF!,1,FALSE())),"?TYPE_IDENTIFIABLE","?REFERENTIAL"),"_")))))</f>
        <v> </v>
      </c>
      <c r="H5042" s="25" t="str">
        <f>IF(J5042&lt;&gt;1,"",IF(I5042="SBJ","CB","?"))</f>
        <v> </v>
      </c>
      <c r="I5042" s="26" t="str">
        <f>IF(OR(E5042="",E5042="!!!",F5042="NEW"),"",INDEX(B5041:B$2,-1+SUMPRODUCT(MAX(ROW(E5041:E$2)*(E5042=E5041:E$2)))))</f>
        <v> </v>
      </c>
      <c r="J5042" s="26" t="str">
        <f>IF(OR(E5042="",E5042="!!!",F5042="NEW"),"",COUNTBLANK(OFFSET(A$1,,,SUMPRODUCT(MAX(ROW(E$2:E5042)*(E5042=E$2:E5042)))))-COUNTBLANK(OFFSET(A$1,,,SUMPRODUCT(MAX(ROW(E$1:E5041)*(E2=E$1:E5041))))))</f>
        <v> </v>
      </c>
      <c r="K5042" s="26" t="str">
        <f>IF(OR(E5042="",E5042="!!!",F5042="NEW"),"",INDEX(J$1:J5041,SUMPRODUCT(MAX(ROW(E$1:E5041)*(E5042=E$1:E5041)))))</f>
        <v> </v>
      </c>
      <c r="L5042" s="27"/>
    </row>
    <row r="5043" spans="1:12">
      <c r="A5043" s="20" t="s">
        <v>2083</v>
      </c>
      <c r="E5043" s="22">
        <f>IF(D5043="?OLD","!!!","")</f>
        <v/>
      </c>
      <c r="F5043" s="23" t="str">
        <f>IF(OR(E5043="",E5043="!!!"),"",IF(NOT(ISNA(VLOOKUP(E5043,E$1:E5042,1,FALSE()))),"OLD",IF(AND(E5043&lt;&gt;"",E5043&lt;&gt;"!!!"),"NEW","")))</f>
        <v> </v>
      </c>
      <c r="G5043" s="24" t="str">
        <f>IF(OR(E5043="",E5043="!!!"),"",IF(OR(J5043=0,AND(J5043=1,K5043=1),AND(J5043=1,I5043="SBJ"),AND(J5043=1,I5043=0)),"?IN_FOCUS",IF(J5043&lt;=2,"?ACTIVATED",IF(J5043&lt;&gt;"","?FAMILIAR",IF(F5043="NEW",IF(ISNA(VLOOKUP(E5043,#REF!,1,FALSE())),"?TYPE_IDENTIFIABLE","?REFERENTIAL"),"_")))))</f>
        <v> </v>
      </c>
      <c r="H5043" s="25" t="str">
        <f>IF(J5043&lt;&gt;1,"",IF(I5043="SBJ","CB","?"))</f>
        <v> </v>
      </c>
      <c r="I5043" s="26" t="str">
        <f>IF(OR(E5043="",E5043="!!!",F5043="NEW"),"",INDEX(B5042:B$2,-1+SUMPRODUCT(MAX(ROW(E5042:E$2)*(E5043=E5042:E$2)))))</f>
        <v> </v>
      </c>
      <c r="J5043" s="26" t="str">
        <f>IF(OR(E5043="",E5043="!!!",F5043="NEW"),"",COUNTBLANK(OFFSET(A$1,,,SUMPRODUCT(MAX(ROW(E$2:E5043)*(E5043=E$2:E5043)))))-COUNTBLANK(OFFSET(A$1,,,SUMPRODUCT(MAX(ROW(E$1:E5042)*(E2=E$1:E5042))))))</f>
        <v> </v>
      </c>
      <c r="K5043" s="26" t="str">
        <f>IF(OR(E5043="",E5043="!!!",F5043="NEW"),"",INDEX(J$1:J5042,SUMPRODUCT(MAX(ROW(E$1:E5042)*(E5043=E$1:E5042)))))</f>
        <v> </v>
      </c>
      <c r="L5043" s="27"/>
    </row>
    <row r="5044" spans="1:12">
      <c r="A5044" s="20" t="s">
        <v>1172</v>
      </c>
      <c r="B5044" s="21" t="s">
        <v>1068</v>
      </c>
      <c r="C5044" s="21" t="s">
        <v>1092</v>
      </c>
      <c r="D5044" s="21" t="s">
        <v>1060</v>
      </c>
      <c r="E5044" s="22">
        <f>IF(D5044="?OLD","!!!","")</f>
        <v/>
      </c>
      <c r="F5044" s="23" t="str">
        <f>IF(OR(E5044="",E5044="!!!"),"",IF(NOT(ISNA(VLOOKUP(E5044,E$1:E5043,1,FALSE()))),"OLD",IF(AND(E5044&lt;&gt;"",E5044&lt;&gt;"!!!"),"NEW","")))</f>
        <v> </v>
      </c>
      <c r="G5044" s="24" t="str">
        <f>IF(OR(E5044="",E5044="!!!"),"",IF(OR(J5044=0,AND(J5044=1,K5044=1),AND(J5044=1,I5044="SBJ"),AND(J5044=1,I5044=0)),"?IN_FOCUS",IF(J5044&lt;=2,"?ACTIVATED",IF(J5044&lt;&gt;"","?FAMILIAR",IF(F5044="NEW",IF(ISNA(VLOOKUP(E5044,#REF!,1,FALSE())),"?TYPE_IDENTIFIABLE","?REFERENTIAL"),"_")))))</f>
        <v> </v>
      </c>
      <c r="H5044" s="25" t="str">
        <f>IF(J5044&lt;&gt;1,"",IF(I5044="SBJ","CB","?"))</f>
        <v> </v>
      </c>
      <c r="I5044" s="26" t="str">
        <f>IF(OR(E5044="",E5044="!!!",F5044="NEW"),"",INDEX(B5043:B$2,-1+SUMPRODUCT(MAX(ROW(E5043:E$2)*(E5044=E5043:E$2)))))</f>
        <v> </v>
      </c>
      <c r="J5044" s="26" t="str">
        <f>IF(OR(E5044="",E5044="!!!",F5044="NEW"),"",COUNTBLANK(OFFSET(A$1,,,SUMPRODUCT(MAX(ROW(E$2:E5044)*(E5044=E$2:E5044)))))-COUNTBLANK(OFFSET(A$1,,,SUMPRODUCT(MAX(ROW(E$1:E5043)*(E2=E$1:E5043))))))</f>
        <v> </v>
      </c>
      <c r="K5044" s="26" t="str">
        <f>IF(OR(E5044="",E5044="!!!",F5044="NEW"),"",INDEX(J$1:J5043,SUMPRODUCT(MAX(ROW(E$1:E5043)*(E5044=E$1:E5043)))))</f>
        <v> </v>
      </c>
      <c r="L5044" s="27"/>
    </row>
    <row r="5045" spans="1:12">
      <c r="A5045" s="20" t="s">
        <v>1775</v>
      </c>
      <c r="B5045" s="21" t="s">
        <v>1075</v>
      </c>
      <c r="C5045" s="21" t="s">
        <v>1059</v>
      </c>
      <c r="D5045" s="21" t="s">
        <v>1060</v>
      </c>
      <c r="E5045" s="22">
        <f>IF(D5045="?OLD","!!!","")</f>
        <v/>
      </c>
      <c r="F5045" s="23" t="str">
        <f>IF(OR(E5045="",E5045="!!!"),"",IF(NOT(ISNA(VLOOKUP(E5045,E$1:E5044,1,FALSE()))),"OLD",IF(AND(E5045&lt;&gt;"",E5045&lt;&gt;"!!!"),"NEW","")))</f>
        <v> </v>
      </c>
      <c r="G5045" s="24" t="str">
        <f>IF(OR(E5045="",E5045="!!!"),"",IF(OR(J5045=0,AND(J5045=1,K5045=1),AND(J5045=1,I5045="SBJ"),AND(J5045=1,I5045=0)),"?IN_FOCUS",IF(J5045&lt;=2,"?ACTIVATED",IF(J5045&lt;&gt;"","?FAMILIAR",IF(F5045="NEW",IF(ISNA(VLOOKUP(E5045,#REF!,1,FALSE())),"?TYPE_IDENTIFIABLE","?REFERENTIAL"),"_")))))</f>
        <v> </v>
      </c>
      <c r="H5045" s="25" t="str">
        <f>IF(J5045&lt;&gt;1,"",IF(I5045="SBJ","CB","?"))</f>
        <v> </v>
      </c>
      <c r="I5045" s="26" t="str">
        <f>IF(OR(E5045="",E5045="!!!",F5045="NEW"),"",INDEX(B5044:B$2,-1+SUMPRODUCT(MAX(ROW(E5044:E$2)*(E5045=E5044:E$2)))))</f>
        <v> </v>
      </c>
      <c r="J5045" s="26" t="str">
        <f>IF(OR(E5045="",E5045="!!!",F5045="NEW"),"",COUNTBLANK(OFFSET(A$1,,,SUMPRODUCT(MAX(ROW(E$2:E5045)*(E5045=E$2:E5045)))))-COUNTBLANK(OFFSET(A$1,,,SUMPRODUCT(MAX(ROW(E$1:E5044)*(E2=E$1:E5044))))))</f>
        <v> </v>
      </c>
      <c r="K5045" s="26" t="str">
        <f>IF(OR(E5045="",E5045="!!!",F5045="NEW"),"",INDEX(J$1:J5044,SUMPRODUCT(MAX(ROW(E$1:E5044)*(E5045=E$1:E5044)))))</f>
        <v> </v>
      </c>
      <c r="L5045" s="27"/>
    </row>
    <row r="5046" spans="1:12">
      <c r="A5046" s="20" t="s">
        <v>923</v>
      </c>
      <c r="E5046" s="22">
        <f>IF(D5046="?OLD","!!!","")</f>
        <v/>
      </c>
      <c r="F5046" s="23" t="str">
        <f>IF(OR(E5046="",E5046="!!!"),"",IF(NOT(ISNA(VLOOKUP(E5046,E$1:E5045,1,FALSE()))),"OLD",IF(AND(E5046&lt;&gt;"",E5046&lt;&gt;"!!!"),"NEW","")))</f>
        <v> </v>
      </c>
      <c r="G5046" s="24" t="str">
        <f>IF(OR(E5046="",E5046="!!!"),"",IF(OR(J5046=0,AND(J5046=1,K5046=1),AND(J5046=1,I5046="SBJ"),AND(J5046=1,I5046=0)),"?IN_FOCUS",IF(J5046&lt;=2,"?ACTIVATED",IF(J5046&lt;&gt;"","?FAMILIAR",IF(F5046="NEW",IF(ISNA(VLOOKUP(E5046,#REF!,1,FALSE())),"?TYPE_IDENTIFIABLE","?REFERENTIAL"),"_")))))</f>
        <v> </v>
      </c>
      <c r="H5046" s="25" t="str">
        <f>IF(J5046&lt;&gt;1,"",IF(I5046="SBJ","CB","?"))</f>
        <v> </v>
      </c>
      <c r="I5046" s="26" t="str">
        <f>IF(OR(E5046="",E5046="!!!",F5046="NEW"),"",INDEX(B5045:B$2,-1+SUMPRODUCT(MAX(ROW(E5045:E$2)*(E5046=E5045:E$2)))))</f>
        <v> </v>
      </c>
      <c r="J5046" s="26" t="str">
        <f>IF(OR(E5046="",E5046="!!!",F5046="NEW"),"",COUNTBLANK(OFFSET(A$1,,,SUMPRODUCT(MAX(ROW(E$2:E5046)*(E5046=E$2:E5046)))))-COUNTBLANK(OFFSET(A$1,,,SUMPRODUCT(MAX(ROW(E$1:E5045)*(E2=E$1:E5045))))))</f>
        <v> </v>
      </c>
      <c r="K5046" s="26" t="str">
        <f>IF(OR(E5046="",E5046="!!!",F5046="NEW"),"",INDEX(J$1:J5045,SUMPRODUCT(MAX(ROW(E$1:E5045)*(E5046=E$1:E5045)))))</f>
        <v> </v>
      </c>
      <c r="L5046" s="27"/>
    </row>
    <row r="5047" spans="1:12">
      <c r="A5047" s="20"/>
    </row>
    <row r="5048" spans="1:12">
      <c r="A5048" s="20" t="s">
        <v>2457</v>
      </c>
    </row>
    <row r="5049" spans="1:12">
      <c r="A5049" s="20" t="s">
        <v>1674</v>
      </c>
      <c r="E5049" s="22">
        <f>IF(D5049="?OLD","!!!","")</f>
        <v/>
      </c>
      <c r="F5049" s="23" t="str">
        <f>IF(OR(E5049="",E5049="!!!"),"",IF(NOT(ISNA(VLOOKUP(E5049,E$1:E5048,1,FALSE()))),"OLD",IF(AND(E5049&lt;&gt;"",E5049&lt;&gt;"!!!"),"NEW","")))</f>
        <v> </v>
      </c>
      <c r="G5049" s="24" t="str">
        <f>IF(OR(E5049="",E5049="!!!"),"",IF(OR(J5049=0,AND(J5049=1,K5049=1),AND(J5049=1,I5049="SBJ"),AND(J5049=1,I5049=0)),"?IN_FOCUS",IF(J5049&lt;=2,"?ACTIVATED",IF(J5049&lt;&gt;"","?FAMILIAR",IF(F5049="NEW",IF(ISNA(VLOOKUP(E5049,#REF!,1,FALSE())),"?TYPE_IDENTIFIABLE","?REFERENTIAL"),"_")))))</f>
        <v> </v>
      </c>
      <c r="H5049" s="25" t="str">
        <f>IF(J5049&lt;&gt;1,"",IF(I5049="SBJ","CB","?"))</f>
        <v> </v>
      </c>
      <c r="I5049" s="26" t="str">
        <f>IF(OR(E5049="",E5049="!!!",F5049="NEW"),"",INDEX(B5048:B$2,-1+SUMPRODUCT(MAX(ROW(E5048:E$2)*(E5049=E5048:E$2)))))</f>
        <v> </v>
      </c>
      <c r="J5049" s="26" t="str">
        <f>IF(OR(E5049="",E5049="!!!",F5049="NEW"),"",COUNTBLANK(OFFSET(A$1,,,SUMPRODUCT(MAX(ROW(E$2:E5049)*(E5049=E$2:E5049)))))-COUNTBLANK(OFFSET(A$1,,,SUMPRODUCT(MAX(ROW(E$1:E5048)*(E2=E$1:E5048))))))</f>
        <v> </v>
      </c>
      <c r="K5049" s="26" t="str">
        <f>IF(OR(E5049="",E5049="!!!",F5049="NEW"),"",INDEX(J$1:J5048,SUMPRODUCT(MAX(ROW(E$1:E5048)*(E5049=E$1:E5048)))))</f>
        <v> </v>
      </c>
      <c r="L5049" s="27"/>
    </row>
    <row r="5050" spans="1:12">
      <c r="A5050" s="20" t="s">
        <v>1101</v>
      </c>
      <c r="E5050" s="22">
        <f>IF(D5050="?OLD","!!!","")</f>
        <v/>
      </c>
      <c r="F5050" s="23" t="str">
        <f>IF(OR(E5050="",E5050="!!!"),"",IF(NOT(ISNA(VLOOKUP(E5050,E$1:E5049,1,FALSE()))),"OLD",IF(AND(E5050&lt;&gt;"",E5050&lt;&gt;"!!!"),"NEW","")))</f>
        <v> </v>
      </c>
      <c r="G5050" s="24" t="str">
        <f>IF(OR(E5050="",E5050="!!!"),"",IF(OR(J5050=0,AND(J5050=1,K5050=1),AND(J5050=1,I5050="SBJ"),AND(J5050=1,I5050=0)),"?IN_FOCUS",IF(J5050&lt;=2,"?ACTIVATED",IF(J5050&lt;&gt;"","?FAMILIAR",IF(F5050="NEW",IF(ISNA(VLOOKUP(E5050,#REF!,1,FALSE())),"?TYPE_IDENTIFIABLE","?REFERENTIAL"),"_")))))</f>
        <v> </v>
      </c>
      <c r="H5050" s="25" t="str">
        <f>IF(J5050&lt;&gt;1,"",IF(I5050="SBJ","CB","?"))</f>
        <v> </v>
      </c>
      <c r="I5050" s="26" t="str">
        <f>IF(OR(E5050="",E5050="!!!",F5050="NEW"),"",INDEX(B5049:B$2,-1+SUMPRODUCT(MAX(ROW(E5049:E$2)*(E5050=E5049:E$2)))))</f>
        <v> </v>
      </c>
      <c r="J5050" s="26" t="str">
        <f>IF(OR(E5050="",E5050="!!!",F5050="NEW"),"",COUNTBLANK(OFFSET(A$1,,,SUMPRODUCT(MAX(ROW(E$2:E5050)*(E5050=E$2:E5050)))))-COUNTBLANK(OFFSET(A$1,,,SUMPRODUCT(MAX(ROW(E$1:E5049)*(E2=E$1:E5049))))))</f>
        <v> </v>
      </c>
      <c r="K5050" s="26" t="str">
        <f>IF(OR(E5050="",E5050="!!!",F5050="NEW"),"",INDEX(J$1:J5049,SUMPRODUCT(MAX(ROW(E$1:E5049)*(E5050=E$1:E5049)))))</f>
        <v> </v>
      </c>
      <c r="L5050" s="27"/>
    </row>
    <row r="5051" spans="1:12">
      <c r="A5051" s="20" t="s">
        <v>1574</v>
      </c>
      <c r="B5051" s="21" t="s">
        <v>1079</v>
      </c>
      <c r="C5051" s="21" t="s">
        <v>1140</v>
      </c>
      <c r="D5051" s="21" t="s">
        <v>1060</v>
      </c>
      <c r="E5051" s="22">
        <f>IF(D5051="?OLD","!!!","")</f>
        <v/>
      </c>
      <c r="F5051" s="23" t="str">
        <f>IF(OR(E5051="",E5051="!!!"),"",IF(NOT(ISNA(VLOOKUP(E5051,E$1:E5050,1,FALSE()))),"OLD",IF(AND(E5051&lt;&gt;"",E5051&lt;&gt;"!!!"),"NEW","")))</f>
        <v> </v>
      </c>
      <c r="G5051" s="24" t="str">
        <f>IF(OR(E5051="",E5051="!!!"),"",IF(OR(J5051=0,AND(J5051=1,K5051=1),AND(J5051=1,I5051="SBJ"),AND(J5051=1,I5051=0)),"?IN_FOCUS",IF(J5051&lt;=2,"?ACTIVATED",IF(J5051&lt;&gt;"","?FAMILIAR",IF(F5051="NEW",IF(ISNA(VLOOKUP(E5051,#REF!,1,FALSE())),"?TYPE_IDENTIFIABLE","?REFERENTIAL"),"_")))))</f>
        <v> </v>
      </c>
      <c r="H5051" s="25" t="str">
        <f>IF(J5051&lt;&gt;1,"",IF(I5051="SBJ","CB","?"))</f>
        <v> </v>
      </c>
      <c r="I5051" s="26" t="str">
        <f>IF(OR(E5051="",E5051="!!!",F5051="NEW"),"",INDEX(B5050:B$2,-1+SUMPRODUCT(MAX(ROW(E5050:E$2)*(E5051=E5050:E$2)))))</f>
        <v> </v>
      </c>
      <c r="J5051" s="26" t="str">
        <f>IF(OR(E5051="",E5051="!!!",F5051="NEW"),"",COUNTBLANK(OFFSET(A$1,,,SUMPRODUCT(MAX(ROW(E$2:E5051)*(E5051=E$2:E5051)))))-COUNTBLANK(OFFSET(A$1,,,SUMPRODUCT(MAX(ROW(E$1:E5050)*(E2=E$1:E5050))))))</f>
        <v> </v>
      </c>
      <c r="K5051" s="26" t="str">
        <f>IF(OR(E5051="",E5051="!!!",F5051="NEW"),"",INDEX(J$1:J5050,SUMPRODUCT(MAX(ROW(E$1:E5050)*(E5051=E$1:E5050)))))</f>
        <v> </v>
      </c>
      <c r="L5051" s="27"/>
    </row>
    <row r="5052" spans="1:12">
      <c r="A5052" s="20" t="s">
        <v>1210</v>
      </c>
      <c r="E5052" s="22">
        <f>IF(D5052="?OLD","!!!","")</f>
        <v/>
      </c>
      <c r="F5052" s="23" t="str">
        <f>IF(OR(E5052="",E5052="!!!"),"",IF(NOT(ISNA(VLOOKUP(E5052,E$1:E5051,1,FALSE()))),"OLD",IF(AND(E5052&lt;&gt;"",E5052&lt;&gt;"!!!"),"NEW","")))</f>
        <v> </v>
      </c>
      <c r="G5052" s="24" t="str">
        <f>IF(OR(E5052="",E5052="!!!"),"",IF(OR(J5052=0,AND(J5052=1,K5052=1),AND(J5052=1,I5052="SBJ"),AND(J5052=1,I5052=0)),"?IN_FOCUS",IF(J5052&lt;=2,"?ACTIVATED",IF(J5052&lt;&gt;"","?FAMILIAR",IF(F5052="NEW",IF(ISNA(VLOOKUP(E5052,#REF!,1,FALSE())),"?TYPE_IDENTIFIABLE","?REFERENTIAL"),"_")))))</f>
        <v> </v>
      </c>
      <c r="H5052" s="25" t="str">
        <f>IF(J5052&lt;&gt;1,"",IF(I5052="SBJ","CB","?"))</f>
        <v> </v>
      </c>
      <c r="I5052" s="26" t="str">
        <f>IF(OR(E5052="",E5052="!!!",F5052="NEW"),"",INDEX(B5051:B$2,-1+SUMPRODUCT(MAX(ROW(E5051:E$2)*(E5052=E5051:E$2)))))</f>
        <v> </v>
      </c>
      <c r="J5052" s="26" t="str">
        <f>IF(OR(E5052="",E5052="!!!",F5052="NEW"),"",COUNTBLANK(OFFSET(A$1,,,SUMPRODUCT(MAX(ROW(E$2:E5052)*(E5052=E$2:E5052)))))-COUNTBLANK(OFFSET(A$1,,,SUMPRODUCT(MAX(ROW(E$1:E5051)*(E2=E$1:E5051))))))</f>
        <v> </v>
      </c>
      <c r="K5052" s="26" t="str">
        <f>IF(OR(E5052="",E5052="!!!",F5052="NEW"),"",INDEX(J$1:J5051,SUMPRODUCT(MAX(ROW(E$1:E5051)*(E5052=E$1:E5051)))))</f>
        <v> </v>
      </c>
      <c r="L5052" s="27"/>
    </row>
    <row r="5053" spans="1:12">
      <c r="A5053" s="20" t="s">
        <v>1077</v>
      </c>
      <c r="E5053" s="22">
        <f>IF(D5053="?OLD","!!!","")</f>
        <v/>
      </c>
      <c r="F5053" s="23" t="str">
        <f>IF(OR(E5053="",E5053="!!!"),"",IF(NOT(ISNA(VLOOKUP(E5053,E$1:E5052,1,FALSE()))),"OLD",IF(AND(E5053&lt;&gt;"",E5053&lt;&gt;"!!!"),"NEW","")))</f>
        <v> </v>
      </c>
      <c r="G5053" s="24" t="str">
        <f>IF(OR(E5053="",E5053="!!!"),"",IF(OR(J5053=0,AND(J5053=1,K5053=1),AND(J5053=1,I5053="SBJ"),AND(J5053=1,I5053=0)),"?IN_FOCUS",IF(J5053&lt;=2,"?ACTIVATED",IF(J5053&lt;&gt;"","?FAMILIAR",IF(F5053="NEW",IF(ISNA(VLOOKUP(E5053,#REF!,1,FALSE())),"?TYPE_IDENTIFIABLE","?REFERENTIAL"),"_")))))</f>
        <v> </v>
      </c>
      <c r="H5053" s="25" t="str">
        <f>IF(J5053&lt;&gt;1,"",IF(I5053="SBJ","CB","?"))</f>
        <v> </v>
      </c>
      <c r="I5053" s="26" t="str">
        <f>IF(OR(E5053="",E5053="!!!",F5053="NEW"),"",INDEX(B5052:B$2,-1+SUMPRODUCT(MAX(ROW(E5052:E$2)*(E5053=E5052:E$2)))))</f>
        <v> </v>
      </c>
      <c r="J5053" s="26" t="str">
        <f>IF(OR(E5053="",E5053="!!!",F5053="NEW"),"",COUNTBLANK(OFFSET(A$1,,,SUMPRODUCT(MAX(ROW(E$2:E5053)*(E5053=E$2:E5053)))))-COUNTBLANK(OFFSET(A$1,,,SUMPRODUCT(MAX(ROW(E$1:E5052)*(E2=E$1:E5052))))))</f>
        <v> </v>
      </c>
      <c r="K5053" s="26" t="str">
        <f>IF(OR(E5053="",E5053="!!!",F5053="NEW"),"",INDEX(J$1:J5052,SUMPRODUCT(MAX(ROW(E$1:E5052)*(E5053=E$1:E5052)))))</f>
        <v> </v>
      </c>
      <c r="L5053" s="27"/>
    </row>
    <row r="5054" spans="1:12">
      <c r="A5054" s="20" t="s">
        <v>2458</v>
      </c>
      <c r="E5054" s="22">
        <f>IF(D5054="?OLD","!!!","")</f>
        <v/>
      </c>
      <c r="F5054" s="23" t="str">
        <f>IF(OR(E5054="",E5054="!!!"),"",IF(NOT(ISNA(VLOOKUP(E5054,E$1:E5053,1,FALSE()))),"OLD",IF(AND(E5054&lt;&gt;"",E5054&lt;&gt;"!!!"),"NEW","")))</f>
        <v> </v>
      </c>
      <c r="G5054" s="24" t="str">
        <f>IF(OR(E5054="",E5054="!!!"),"",IF(OR(J5054=0,AND(J5054=1,K5054=1),AND(J5054=1,I5054="SBJ"),AND(J5054=1,I5054=0)),"?IN_FOCUS",IF(J5054&lt;=2,"?ACTIVATED",IF(J5054&lt;&gt;"","?FAMILIAR",IF(F5054="NEW",IF(ISNA(VLOOKUP(E5054,#REF!,1,FALSE())),"?TYPE_IDENTIFIABLE","?REFERENTIAL"),"_")))))</f>
        <v> </v>
      </c>
      <c r="H5054" s="25" t="str">
        <f>IF(J5054&lt;&gt;1,"",IF(I5054="SBJ","CB","?"))</f>
        <v> </v>
      </c>
      <c r="I5054" s="26" t="str">
        <f>IF(OR(E5054="",E5054="!!!",F5054="NEW"),"",INDEX(B5053:B$2,-1+SUMPRODUCT(MAX(ROW(E5053:E$2)*(E5054=E5053:E$2)))))</f>
        <v> </v>
      </c>
      <c r="J5054" s="26" t="str">
        <f>IF(OR(E5054="",E5054="!!!",F5054="NEW"),"",COUNTBLANK(OFFSET(A$1,,,SUMPRODUCT(MAX(ROW(E$2:E5054)*(E5054=E$2:E5054)))))-COUNTBLANK(OFFSET(A$1,,,SUMPRODUCT(MAX(ROW(E$1:E5053)*(E2=E$1:E5053))))))</f>
        <v> </v>
      </c>
      <c r="K5054" s="26" t="str">
        <f>IF(OR(E5054="",E5054="!!!",F5054="NEW"),"",INDEX(J$1:J5053,SUMPRODUCT(MAX(ROW(E$1:E5053)*(E5054=E$1:E5053)))))</f>
        <v> </v>
      </c>
      <c r="L5054" s="27"/>
    </row>
    <row r="5055" spans="1:12">
      <c r="A5055" s="20" t="s">
        <v>2308</v>
      </c>
      <c r="B5055" s="21" t="s">
        <v>1132</v>
      </c>
      <c r="C5055" s="21" t="s">
        <v>1080</v>
      </c>
      <c r="E5055" s="22">
        <f>IF(D5055="?OLD","!!!","")</f>
        <v/>
      </c>
      <c r="F5055" s="23" t="str">
        <f>IF(OR(E5055="",E5055="!!!"),"",IF(NOT(ISNA(VLOOKUP(E5055,E$1:E5054,1,FALSE()))),"OLD",IF(AND(E5055&lt;&gt;"",E5055&lt;&gt;"!!!"),"NEW","")))</f>
        <v> </v>
      </c>
      <c r="G5055" s="24" t="str">
        <f>IF(OR(E5055="",E5055="!!!"),"",IF(OR(J5055=0,AND(J5055=1,K5055=1),AND(J5055=1,I5055="SBJ"),AND(J5055=1,I5055=0)),"?IN_FOCUS",IF(J5055&lt;=2,"?ACTIVATED",IF(J5055&lt;&gt;"","?FAMILIAR",IF(F5055="NEW",IF(ISNA(VLOOKUP(E5055,#REF!,1,FALSE())),"?TYPE_IDENTIFIABLE","?REFERENTIAL"),"_")))))</f>
        <v> </v>
      </c>
      <c r="H5055" s="25" t="str">
        <f>IF(J5055&lt;&gt;1,"",IF(I5055="SBJ","CB","?"))</f>
        <v> </v>
      </c>
      <c r="I5055" s="26" t="str">
        <f>IF(OR(E5055="",E5055="!!!",F5055="NEW"),"",INDEX(B5054:B$2,-1+SUMPRODUCT(MAX(ROW(E5054:E$2)*(E5055=E5054:E$2)))))</f>
        <v> </v>
      </c>
      <c r="J5055" s="26" t="str">
        <f>IF(OR(E5055="",E5055="!!!",F5055="NEW"),"",COUNTBLANK(OFFSET(A$1,,,SUMPRODUCT(MAX(ROW(E$2:E5055)*(E5055=E$2:E5055)))))-COUNTBLANK(OFFSET(A$1,,,SUMPRODUCT(MAX(ROW(E$1:E5054)*(E2=E$1:E5054))))))</f>
        <v> </v>
      </c>
      <c r="K5055" s="26" t="str">
        <f>IF(OR(E5055="",E5055="!!!",F5055="NEW"),"",INDEX(J$1:J5054,SUMPRODUCT(MAX(ROW(E$1:E5054)*(E5055=E$1:E5054)))))</f>
        <v> </v>
      </c>
      <c r="L5055" s="27"/>
    </row>
    <row r="5056" spans="1:12">
      <c r="A5056" s="20" t="s">
        <v>1070</v>
      </c>
      <c r="E5056" s="22">
        <f>IF(D5056="?OLD","!!!","")</f>
        <v/>
      </c>
      <c r="F5056" s="23" t="str">
        <f>IF(OR(E5056="",E5056="!!!"),"",IF(NOT(ISNA(VLOOKUP(E5056,E$1:E5055,1,FALSE()))),"OLD",IF(AND(E5056&lt;&gt;"",E5056&lt;&gt;"!!!"),"NEW","")))</f>
        <v> </v>
      </c>
      <c r="G5056" s="24" t="str">
        <f>IF(OR(E5056="",E5056="!!!"),"",IF(OR(J5056=0,AND(J5056=1,K5056=1),AND(J5056=1,I5056="SBJ"),AND(J5056=1,I5056=0)),"?IN_FOCUS",IF(J5056&lt;=2,"?ACTIVATED",IF(J5056&lt;&gt;"","?FAMILIAR",IF(F5056="NEW",IF(ISNA(VLOOKUP(E5056,#REF!,1,FALSE())),"?TYPE_IDENTIFIABLE","?REFERENTIAL"),"_")))))</f>
        <v> </v>
      </c>
      <c r="H5056" s="25" t="str">
        <f>IF(J5056&lt;&gt;1,"",IF(I5056="SBJ","CB","?"))</f>
        <v> </v>
      </c>
      <c r="I5056" s="26" t="str">
        <f>IF(OR(E5056="",E5056="!!!",F5056="NEW"),"",INDEX(B5055:B$2,-1+SUMPRODUCT(MAX(ROW(E5055:E$2)*(E5056=E5055:E$2)))))</f>
        <v> </v>
      </c>
      <c r="J5056" s="26" t="str">
        <f>IF(OR(E5056="",E5056="!!!",F5056="NEW"),"",COUNTBLANK(OFFSET(A$1,,,SUMPRODUCT(MAX(ROW(E$2:E5056)*(E5056=E$2:E5056)))))-COUNTBLANK(OFFSET(A$1,,,SUMPRODUCT(MAX(ROW(E$1:E5055)*(E2=E$1:E5055))))))</f>
        <v> </v>
      </c>
      <c r="K5056" s="26" t="str">
        <f>IF(OR(E5056="",E5056="!!!",F5056="NEW"),"",INDEX(J$1:J5055,SUMPRODUCT(MAX(ROW(E$1:E5055)*(E5056=E$1:E5055)))))</f>
        <v> </v>
      </c>
      <c r="L5056" s="27"/>
    </row>
    <row r="5057" spans="1:12">
      <c r="A5057" s="20" t="s">
        <v>1510</v>
      </c>
      <c r="E5057" s="22">
        <f>IF(D5057="?OLD","!!!","")</f>
        <v/>
      </c>
      <c r="F5057" s="23" t="str">
        <f>IF(OR(E5057="",E5057="!!!"),"",IF(NOT(ISNA(VLOOKUP(E5057,E$1:E5056,1,FALSE()))),"OLD",IF(AND(E5057&lt;&gt;"",E5057&lt;&gt;"!!!"),"NEW","")))</f>
        <v> </v>
      </c>
      <c r="G5057" s="24" t="str">
        <f>IF(OR(E5057="",E5057="!!!"),"",IF(OR(J5057=0,AND(J5057=1,K5057=1),AND(J5057=1,I5057="SBJ"),AND(J5057=1,I5057=0)),"?IN_FOCUS",IF(J5057&lt;=2,"?ACTIVATED",IF(J5057&lt;&gt;"","?FAMILIAR",IF(F5057="NEW",IF(ISNA(VLOOKUP(E5057,#REF!,1,FALSE())),"?TYPE_IDENTIFIABLE","?REFERENTIAL"),"_")))))</f>
        <v> </v>
      </c>
      <c r="H5057" s="25" t="str">
        <f>IF(J5057&lt;&gt;1,"",IF(I5057="SBJ","CB","?"))</f>
        <v> </v>
      </c>
      <c r="I5057" s="26" t="str">
        <f>IF(OR(E5057="",E5057="!!!",F5057="NEW"),"",INDEX(B5056:B$2,-1+SUMPRODUCT(MAX(ROW(E5056:E$2)*(E5057=E5056:E$2)))))</f>
        <v> </v>
      </c>
      <c r="J5057" s="26" t="str">
        <f>IF(OR(E5057="",E5057="!!!",F5057="NEW"),"",COUNTBLANK(OFFSET(A$1,,,SUMPRODUCT(MAX(ROW(E$2:E5057)*(E5057=E$2:E5057)))))-COUNTBLANK(OFFSET(A$1,,,SUMPRODUCT(MAX(ROW(E$1:E5056)*(E2=E$1:E5056))))))</f>
        <v> </v>
      </c>
      <c r="K5057" s="26" t="str">
        <f>IF(OR(E5057="",E5057="!!!",F5057="NEW"),"",INDEX(J$1:J5056,SUMPRODUCT(MAX(ROW(E$1:E5056)*(E5057=E$1:E5056)))))</f>
        <v> </v>
      </c>
      <c r="L5057" s="27"/>
    </row>
    <row r="5058" spans="1:12">
      <c r="A5058" s="20" t="s">
        <v>1443</v>
      </c>
      <c r="B5058" s="21" t="s">
        <v>1058</v>
      </c>
      <c r="C5058" s="21" t="s">
        <v>1065</v>
      </c>
      <c r="D5058" s="21" t="s">
        <v>1060</v>
      </c>
      <c r="E5058" s="22">
        <f>IF(D5058="?OLD","!!!","")</f>
        <v/>
      </c>
      <c r="F5058" s="23" t="str">
        <f>IF(OR(E5058="",E5058="!!!"),"",IF(NOT(ISNA(VLOOKUP(E5058,E$1:E5057,1,FALSE()))),"OLD",IF(AND(E5058&lt;&gt;"",E5058&lt;&gt;"!!!"),"NEW","")))</f>
        <v> </v>
      </c>
      <c r="G5058" s="24" t="str">
        <f>IF(OR(E5058="",E5058="!!!"),"",IF(OR(J5058=0,AND(J5058=1,K5058=1),AND(J5058=1,I5058="SBJ"),AND(J5058=1,I5058=0)),"?IN_FOCUS",IF(J5058&lt;=2,"?ACTIVATED",IF(J5058&lt;&gt;"","?FAMILIAR",IF(F5058="NEW",IF(ISNA(VLOOKUP(E5058,#REF!,1,FALSE())),"?TYPE_IDENTIFIABLE","?REFERENTIAL"),"_")))))</f>
        <v> </v>
      </c>
      <c r="H5058" s="25" t="str">
        <f>IF(J5058&lt;&gt;1,"",IF(I5058="SBJ","CB","?"))</f>
        <v> </v>
      </c>
      <c r="I5058" s="26" t="str">
        <f>IF(OR(E5058="",E5058="!!!",F5058="NEW"),"",INDEX(B5057:B$2,-1+SUMPRODUCT(MAX(ROW(E5057:E$2)*(E5058=E5057:E$2)))))</f>
        <v> </v>
      </c>
      <c r="J5058" s="26" t="str">
        <f>IF(OR(E5058="",E5058="!!!",F5058="NEW"),"",COUNTBLANK(OFFSET(A$1,,,SUMPRODUCT(MAX(ROW(E$2:E5058)*(E5058=E$2:E5058)))))-COUNTBLANK(OFFSET(A$1,,,SUMPRODUCT(MAX(ROW(E$1:E5057)*(E2=E$1:E5057))))))</f>
        <v> </v>
      </c>
      <c r="K5058" s="26" t="str">
        <f>IF(OR(E5058="",E5058="!!!",F5058="NEW"),"",INDEX(J$1:J5057,SUMPRODUCT(MAX(ROW(E$1:E5057)*(E5058=E$1:E5057)))))</f>
        <v> </v>
      </c>
      <c r="L5058" s="27"/>
    </row>
    <row r="5059" spans="1:12">
      <c r="A5059" s="20" t="s">
        <v>1133</v>
      </c>
      <c r="E5059" s="22">
        <f>IF(D5059="?OLD","!!!","")</f>
        <v/>
      </c>
      <c r="F5059" s="23" t="str">
        <f>IF(OR(E5059="",E5059="!!!"),"",IF(NOT(ISNA(VLOOKUP(E5059,E$1:E5058,1,FALSE()))),"OLD",IF(AND(E5059&lt;&gt;"",E5059&lt;&gt;"!!!"),"NEW","")))</f>
        <v> </v>
      </c>
      <c r="G5059" s="24" t="str">
        <f>IF(OR(E5059="",E5059="!!!"),"",IF(OR(J5059=0,AND(J5059=1,K5059=1),AND(J5059=1,I5059="SBJ"),AND(J5059=1,I5059=0)),"?IN_FOCUS",IF(J5059&lt;=2,"?ACTIVATED",IF(J5059&lt;&gt;"","?FAMILIAR",IF(F5059="NEW",IF(ISNA(VLOOKUP(E5059,#REF!,1,FALSE())),"?TYPE_IDENTIFIABLE","?REFERENTIAL"),"_")))))</f>
        <v> </v>
      </c>
      <c r="H5059" s="25" t="str">
        <f>IF(J5059&lt;&gt;1,"",IF(I5059="SBJ","CB","?"))</f>
        <v> </v>
      </c>
      <c r="I5059" s="26" t="str">
        <f>IF(OR(E5059="",E5059="!!!",F5059="NEW"),"",INDEX(B5058:B$2,-1+SUMPRODUCT(MAX(ROW(E5058:E$2)*(E5059=E5058:E$2)))))</f>
        <v> </v>
      </c>
      <c r="J5059" s="26" t="str">
        <f>IF(OR(E5059="",E5059="!!!",F5059="NEW"),"",COUNTBLANK(OFFSET(A$1,,,SUMPRODUCT(MAX(ROW(E$2:E5059)*(E5059=E$2:E5059)))))-COUNTBLANK(OFFSET(A$1,,,SUMPRODUCT(MAX(ROW(E$1:E5058)*(E2=E$1:E5058))))))</f>
        <v> </v>
      </c>
      <c r="K5059" s="26" t="str">
        <f>IF(OR(E5059="",E5059="!!!",F5059="NEW"),"",INDEX(J$1:J5058,SUMPRODUCT(MAX(ROW(E$1:E5058)*(E5059=E$1:E5058)))))</f>
        <v> </v>
      </c>
      <c r="L5059" s="27"/>
    </row>
    <row r="5060" spans="1:12">
      <c r="A5060" s="20" t="s">
        <v>1432</v>
      </c>
      <c r="E5060" s="22">
        <f>IF(D5060="?OLD","!!!","")</f>
        <v/>
      </c>
      <c r="F5060" s="23" t="str">
        <f>IF(OR(E5060="",E5060="!!!"),"",IF(NOT(ISNA(VLOOKUP(E5060,E$1:E5059,1,FALSE()))),"OLD",IF(AND(E5060&lt;&gt;"",E5060&lt;&gt;"!!!"),"NEW","")))</f>
        <v> </v>
      </c>
      <c r="G5060" s="24" t="str">
        <f>IF(OR(E5060="",E5060="!!!"),"",IF(OR(J5060=0,AND(J5060=1,K5060=1),AND(J5060=1,I5060="SBJ"),AND(J5060=1,I5060=0)),"?IN_FOCUS",IF(J5060&lt;=2,"?ACTIVATED",IF(J5060&lt;&gt;"","?FAMILIAR",IF(F5060="NEW",IF(ISNA(VLOOKUP(E5060,#REF!,1,FALSE())),"?TYPE_IDENTIFIABLE","?REFERENTIAL"),"_")))))</f>
        <v> </v>
      </c>
      <c r="H5060" s="25" t="str">
        <f>IF(J5060&lt;&gt;1,"",IF(I5060="SBJ","CB","?"))</f>
        <v> </v>
      </c>
      <c r="I5060" s="26" t="str">
        <f>IF(OR(E5060="",E5060="!!!",F5060="NEW"),"",INDEX(B5059:B$2,-1+SUMPRODUCT(MAX(ROW(E5059:E$2)*(E5060=E5059:E$2)))))</f>
        <v> </v>
      </c>
      <c r="J5060" s="26" t="str">
        <f>IF(OR(E5060="",E5060="!!!",F5060="NEW"),"",COUNTBLANK(OFFSET(A$1,,,SUMPRODUCT(MAX(ROW(E$2:E5060)*(E5060=E$2:E5060)))))-COUNTBLANK(OFFSET(A$1,,,SUMPRODUCT(MAX(ROW(E$1:E5059)*(E2=E$1:E5059))))))</f>
        <v> </v>
      </c>
      <c r="K5060" s="26" t="str">
        <f>IF(OR(E5060="",E5060="!!!",F5060="NEW"),"",INDEX(J$1:J5059,SUMPRODUCT(MAX(ROW(E$1:E5059)*(E5060=E$1:E5059)))))</f>
        <v> </v>
      </c>
      <c r="L5060" s="27"/>
    </row>
    <row r="5061" spans="1:12">
      <c r="A5061" s="20" t="s">
        <v>1082</v>
      </c>
      <c r="E5061" s="22">
        <f>IF(D5061="?OLD","!!!","")</f>
        <v/>
      </c>
      <c r="F5061" s="23" t="str">
        <f>IF(OR(E5061="",E5061="!!!"),"",IF(NOT(ISNA(VLOOKUP(E5061,E$1:E5060,1,FALSE()))),"OLD",IF(AND(E5061&lt;&gt;"",E5061&lt;&gt;"!!!"),"NEW","")))</f>
        <v> </v>
      </c>
      <c r="G5061" s="24" t="str">
        <f>IF(OR(E5061="",E5061="!!!"),"",IF(OR(J5061=0,AND(J5061=1,K5061=1),AND(J5061=1,I5061="SBJ"),AND(J5061=1,I5061=0)),"?IN_FOCUS",IF(J5061&lt;=2,"?ACTIVATED",IF(J5061&lt;&gt;"","?FAMILIAR",IF(F5061="NEW",IF(ISNA(VLOOKUP(E5061,#REF!,1,FALSE())),"?TYPE_IDENTIFIABLE","?REFERENTIAL"),"_")))))</f>
        <v> </v>
      </c>
      <c r="H5061" s="25" t="str">
        <f>IF(J5061&lt;&gt;1,"",IF(I5061="SBJ","CB","?"))</f>
        <v> </v>
      </c>
      <c r="I5061" s="26" t="str">
        <f>IF(OR(E5061="",E5061="!!!",F5061="NEW"),"",INDEX(B5060:B$2,-1+SUMPRODUCT(MAX(ROW(E5060:E$2)*(E5061=E5060:E$2)))))</f>
        <v> </v>
      </c>
      <c r="J5061" s="26" t="str">
        <f>IF(OR(E5061="",E5061="!!!",F5061="NEW"),"",COUNTBLANK(OFFSET(A$1,,,SUMPRODUCT(MAX(ROW(E$2:E5061)*(E5061=E$2:E5061)))))-COUNTBLANK(OFFSET(A$1,,,SUMPRODUCT(MAX(ROW(E$1:E5060)*(E2=E$1:E5060))))))</f>
        <v> </v>
      </c>
      <c r="K5061" s="26" t="str">
        <f>IF(OR(E5061="",E5061="!!!",F5061="NEW"),"",INDEX(J$1:J5060,SUMPRODUCT(MAX(ROW(E$1:E5060)*(E5061=E$1:E5060)))))</f>
        <v> </v>
      </c>
      <c r="L5061" s="27"/>
    </row>
    <row r="5062" spans="1:12">
      <c r="A5062" s="20" t="s">
        <v>2265</v>
      </c>
      <c r="B5062" s="21" t="s">
        <v>1075</v>
      </c>
      <c r="C5062" s="21" t="s">
        <v>1159</v>
      </c>
      <c r="D5062" s="21" t="s">
        <v>1060</v>
      </c>
      <c r="E5062" s="22">
        <f>IF(D5062="?OLD","!!!","")</f>
        <v/>
      </c>
      <c r="F5062" s="23" t="str">
        <f>IF(OR(E5062="",E5062="!!!"),"",IF(NOT(ISNA(VLOOKUP(E5062,E$1:E5061,1,FALSE()))),"OLD",IF(AND(E5062&lt;&gt;"",E5062&lt;&gt;"!!!"),"NEW","")))</f>
        <v> </v>
      </c>
      <c r="G5062" s="24" t="str">
        <f>IF(OR(E5062="",E5062="!!!"),"",IF(OR(J5062=0,AND(J5062=1,K5062=1),AND(J5062=1,I5062="SBJ"),AND(J5062=1,I5062=0)),"?IN_FOCUS",IF(J5062&lt;=2,"?ACTIVATED",IF(J5062&lt;&gt;"","?FAMILIAR",IF(F5062="NEW",IF(ISNA(VLOOKUP(E5062,#REF!,1,FALSE())),"?TYPE_IDENTIFIABLE","?REFERENTIAL"),"_")))))</f>
        <v> </v>
      </c>
      <c r="H5062" s="25" t="str">
        <f>IF(J5062&lt;&gt;1,"",IF(I5062="SBJ","CB","?"))</f>
        <v> </v>
      </c>
      <c r="I5062" s="26" t="str">
        <f>IF(OR(E5062="",E5062="!!!",F5062="NEW"),"",INDEX(B5061:B$2,-1+SUMPRODUCT(MAX(ROW(E5061:E$2)*(E5062=E5061:E$2)))))</f>
        <v> </v>
      </c>
      <c r="J5062" s="26" t="str">
        <f>IF(OR(E5062="",E5062="!!!",F5062="NEW"),"",COUNTBLANK(OFFSET(A$1,,,SUMPRODUCT(MAX(ROW(E$2:E5062)*(E5062=E$2:E5062)))))-COUNTBLANK(OFFSET(A$1,,,SUMPRODUCT(MAX(ROW(E$1:E5061)*(E2=E$1:E5061))))))</f>
        <v> </v>
      </c>
      <c r="K5062" s="26" t="str">
        <f>IF(OR(E5062="",E5062="!!!",F5062="NEW"),"",INDEX(J$1:J5061,SUMPRODUCT(MAX(ROW(E$1:E5061)*(E5062=E$1:E5061)))))</f>
        <v> </v>
      </c>
      <c r="L5062" s="27"/>
    </row>
    <row r="5063" spans="1:12">
      <c r="A5063" s="20" t="s">
        <v>1061</v>
      </c>
      <c r="E5063" s="22">
        <f>IF(D5063="?OLD","!!!","")</f>
        <v/>
      </c>
      <c r="F5063" s="23" t="str">
        <f>IF(OR(E5063="",E5063="!!!"),"",IF(NOT(ISNA(VLOOKUP(E5063,E$1:E5062,1,FALSE()))),"OLD",IF(AND(E5063&lt;&gt;"",E5063&lt;&gt;"!!!"),"NEW","")))</f>
        <v> </v>
      </c>
      <c r="G5063" s="24" t="str">
        <f>IF(OR(E5063="",E5063="!!!"),"",IF(OR(J5063=0,AND(J5063=1,K5063=1),AND(J5063=1,I5063="SBJ"),AND(J5063=1,I5063=0)),"?IN_FOCUS",IF(J5063&lt;=2,"?ACTIVATED",IF(J5063&lt;&gt;"","?FAMILIAR",IF(F5063="NEW",IF(ISNA(VLOOKUP(E5063,#REF!,1,FALSE())),"?TYPE_IDENTIFIABLE","?REFERENTIAL"),"_")))))</f>
        <v> </v>
      </c>
      <c r="H5063" s="25" t="str">
        <f>IF(J5063&lt;&gt;1,"",IF(I5063="SBJ","CB","?"))</f>
        <v> </v>
      </c>
      <c r="I5063" s="26" t="str">
        <f>IF(OR(E5063="",E5063="!!!",F5063="NEW"),"",INDEX(B5062:B$2,-1+SUMPRODUCT(MAX(ROW(E5062:E$2)*(E5063=E5062:E$2)))))</f>
        <v> </v>
      </c>
      <c r="J5063" s="26" t="str">
        <f>IF(OR(E5063="",E5063="!!!",F5063="NEW"),"",COUNTBLANK(OFFSET(A$1,,,SUMPRODUCT(MAX(ROW(E$2:E5063)*(E5063=E$2:E5063)))))-COUNTBLANK(OFFSET(A$1,,,SUMPRODUCT(MAX(ROW(E$1:E5062)*(E2=E$1:E5062))))))</f>
        <v> </v>
      </c>
      <c r="K5063" s="26" t="str">
        <f>IF(OR(E5063="",E5063="!!!",F5063="NEW"),"",INDEX(J$1:J5062,SUMPRODUCT(MAX(ROW(E$1:E5062)*(E5063=E$1:E5062)))))</f>
        <v> </v>
      </c>
      <c r="L5063" s="27"/>
    </row>
    <row r="5064" spans="1:12">
      <c r="A5064" s="20" t="s">
        <v>2270</v>
      </c>
      <c r="E5064" s="22">
        <f>IF(D5064="?OLD","!!!","")</f>
        <v/>
      </c>
      <c r="F5064" s="23" t="str">
        <f>IF(OR(E5064="",E5064="!!!"),"",IF(NOT(ISNA(VLOOKUP(E5064,E$1:E5063,1,FALSE()))),"OLD",IF(AND(E5064&lt;&gt;"",E5064&lt;&gt;"!!!"),"NEW","")))</f>
        <v> </v>
      </c>
      <c r="G5064" s="24" t="str">
        <f>IF(OR(E5064="",E5064="!!!"),"",IF(OR(J5064=0,AND(J5064=1,K5064=1),AND(J5064=1,I5064="SBJ"),AND(J5064=1,I5064=0)),"?IN_FOCUS",IF(J5064&lt;=2,"?ACTIVATED",IF(J5064&lt;&gt;"","?FAMILIAR",IF(F5064="NEW",IF(ISNA(VLOOKUP(E5064,#REF!,1,FALSE())),"?TYPE_IDENTIFIABLE","?REFERENTIAL"),"_")))))</f>
        <v> </v>
      </c>
      <c r="H5064" s="25" t="str">
        <f>IF(J5064&lt;&gt;1,"",IF(I5064="SBJ","CB","?"))</f>
        <v> </v>
      </c>
      <c r="I5064" s="26" t="str">
        <f>IF(OR(E5064="",E5064="!!!",F5064="NEW"),"",INDEX(B5063:B$2,-1+SUMPRODUCT(MAX(ROW(E5063:E$2)*(E5064=E5063:E$2)))))</f>
        <v> </v>
      </c>
      <c r="J5064" s="26" t="str">
        <f>IF(OR(E5064="",E5064="!!!",F5064="NEW"),"",COUNTBLANK(OFFSET(A$1,,,SUMPRODUCT(MAX(ROW(E$2:E5064)*(E5064=E$2:E5064)))))-COUNTBLANK(OFFSET(A$1,,,SUMPRODUCT(MAX(ROW(E$1:E5063)*(E2=E$1:E5063))))))</f>
        <v> </v>
      </c>
      <c r="K5064" s="26" t="str">
        <f>IF(OR(E5064="",E5064="!!!",F5064="NEW"),"",INDEX(J$1:J5063,SUMPRODUCT(MAX(ROW(E$1:E5063)*(E5064=E$1:E5063)))))</f>
        <v> </v>
      </c>
      <c r="L5064" s="27"/>
    </row>
    <row r="5065" spans="1:12">
      <c r="A5065" s="20" t="s">
        <v>1448</v>
      </c>
      <c r="B5065" s="21" t="s">
        <v>1068</v>
      </c>
      <c r="C5065" s="21" t="s">
        <v>1149</v>
      </c>
      <c r="E5065" s="22">
        <f>IF(D5065="?OLD","!!!","")</f>
        <v/>
      </c>
      <c r="F5065" s="23" t="str">
        <f>IF(OR(E5065="",E5065="!!!"),"",IF(NOT(ISNA(VLOOKUP(E5065,E$1:E5064,1,FALSE()))),"OLD",IF(AND(E5065&lt;&gt;"",E5065&lt;&gt;"!!!"),"NEW","")))</f>
        <v> </v>
      </c>
      <c r="G5065" s="24" t="str">
        <f>IF(OR(E5065="",E5065="!!!"),"",IF(OR(J5065=0,AND(J5065=1,K5065=1),AND(J5065=1,I5065="SBJ"),AND(J5065=1,I5065=0)),"?IN_FOCUS",IF(J5065&lt;=2,"?ACTIVATED",IF(J5065&lt;&gt;"","?FAMILIAR",IF(F5065="NEW",IF(ISNA(VLOOKUP(E5065,#REF!,1,FALSE())),"?TYPE_IDENTIFIABLE","?REFERENTIAL"),"_")))))</f>
        <v> </v>
      </c>
      <c r="H5065" s="25" t="str">
        <f>IF(J5065&lt;&gt;1,"",IF(I5065="SBJ","CB","?"))</f>
        <v> </v>
      </c>
      <c r="I5065" s="26" t="str">
        <f>IF(OR(E5065="",E5065="!!!",F5065="NEW"),"",INDEX(B5064:B$2,-1+SUMPRODUCT(MAX(ROW(E5064:E$2)*(E5065=E5064:E$2)))))</f>
        <v> </v>
      </c>
      <c r="J5065" s="26" t="str">
        <f>IF(OR(E5065="",E5065="!!!",F5065="NEW"),"",COUNTBLANK(OFFSET(A$1,,,SUMPRODUCT(MAX(ROW(E$2:E5065)*(E5065=E$2:E5065)))))-COUNTBLANK(OFFSET(A$1,,,SUMPRODUCT(MAX(ROW(E$1:E5064)*(E2=E$1:E5064))))))</f>
        <v> </v>
      </c>
      <c r="K5065" s="26" t="str">
        <f>IF(OR(E5065="",E5065="!!!",F5065="NEW"),"",INDEX(J$1:J5064,SUMPRODUCT(MAX(ROW(E$1:E5064)*(E5065=E$1:E5064)))))</f>
        <v> </v>
      </c>
      <c r="L5065" s="27"/>
    </row>
    <row r="5066" spans="1:12">
      <c r="A5066" s="20" t="s">
        <v>1115</v>
      </c>
      <c r="B5066" s="21" t="s">
        <v>1095</v>
      </c>
      <c r="E5066" s="22">
        <f>IF(D5066="?OLD","!!!","")</f>
        <v/>
      </c>
      <c r="F5066" s="23" t="str">
        <f>IF(OR(E5066="",E5066="!!!"),"",IF(NOT(ISNA(VLOOKUP(E5066,E$1:E5065,1,FALSE()))),"OLD",IF(AND(E5066&lt;&gt;"",E5066&lt;&gt;"!!!"),"NEW","")))</f>
        <v> </v>
      </c>
      <c r="G5066" s="24" t="str">
        <f>IF(OR(E5066="",E5066="!!!"),"",IF(OR(J5066=0,AND(J5066=1,K5066=1),AND(J5066=1,I5066="SBJ"),AND(J5066=1,I5066=0)),"?IN_FOCUS",IF(J5066&lt;=2,"?ACTIVATED",IF(J5066&lt;&gt;"","?FAMILIAR",IF(F5066="NEW",IF(ISNA(VLOOKUP(E5066,#REF!,1,FALSE())),"?TYPE_IDENTIFIABLE","?REFERENTIAL"),"_")))))</f>
        <v> </v>
      </c>
      <c r="H5066" s="25" t="str">
        <f>IF(J5066&lt;&gt;1,"",IF(I5066="SBJ","CB","?"))</f>
        <v> </v>
      </c>
      <c r="I5066" s="26" t="str">
        <f>IF(OR(E5066="",E5066="!!!",F5066="NEW"),"",INDEX(B5065:B$2,-1+SUMPRODUCT(MAX(ROW(E5065:E$2)*(E5066=E5065:E$2)))))</f>
        <v> </v>
      </c>
      <c r="J5066" s="26" t="str">
        <f>IF(OR(E5066="",E5066="!!!",F5066="NEW"),"",COUNTBLANK(OFFSET(A$1,,,SUMPRODUCT(MAX(ROW(E$2:E5066)*(E5066=E$2:E5066)))))-COUNTBLANK(OFFSET(A$1,,,SUMPRODUCT(MAX(ROW(E$1:E5065)*(E2=E$1:E5065))))))</f>
        <v> </v>
      </c>
      <c r="K5066" s="26" t="str">
        <f>IF(OR(E5066="",E5066="!!!",F5066="NEW"),"",INDEX(J$1:J5065,SUMPRODUCT(MAX(ROW(E$1:E5065)*(E5066=E$1:E5065)))))</f>
        <v> </v>
      </c>
      <c r="L5066" s="27"/>
    </row>
    <row r="5067" spans="1:12">
      <c r="A5067" s="20" t="s">
        <v>1083</v>
      </c>
      <c r="B5067" s="21" t="s">
        <v>1179</v>
      </c>
      <c r="C5067" s="21" t="s">
        <v>1076</v>
      </c>
      <c r="D5067" s="21" t="s">
        <v>1060</v>
      </c>
      <c r="E5067" s="22">
        <f>IF(D5067="?OLD","!!!","")</f>
        <v/>
      </c>
      <c r="F5067" s="23" t="str">
        <f>IF(OR(E5067="",E5067="!!!"),"",IF(NOT(ISNA(VLOOKUP(E5067,E$1:E5066,1,FALSE()))),"OLD",IF(AND(E5067&lt;&gt;"",E5067&lt;&gt;"!!!"),"NEW","")))</f>
        <v> </v>
      </c>
      <c r="G5067" s="24" t="str">
        <f>IF(OR(E5067="",E5067="!!!"),"",IF(OR(J5067=0,AND(J5067=1,K5067=1),AND(J5067=1,I5067="SBJ"),AND(J5067=1,I5067=0)),"?IN_FOCUS",IF(J5067&lt;=2,"?ACTIVATED",IF(J5067&lt;&gt;"","?FAMILIAR",IF(F5067="NEW",IF(ISNA(VLOOKUP(E5067,#REF!,1,FALSE())),"?TYPE_IDENTIFIABLE","?REFERENTIAL"),"_")))))</f>
        <v> </v>
      </c>
      <c r="H5067" s="25" t="str">
        <f>IF(J5067&lt;&gt;1,"",IF(I5067="SBJ","CB","?"))</f>
        <v> </v>
      </c>
      <c r="I5067" s="26" t="str">
        <f>IF(OR(E5067="",E5067="!!!",F5067="NEW"),"",INDEX(B5066:B$2,-1+SUMPRODUCT(MAX(ROW(E5066:E$2)*(E5067=E5066:E$2)))))</f>
        <v> </v>
      </c>
      <c r="J5067" s="26" t="str">
        <f>IF(OR(E5067="",E5067="!!!",F5067="NEW"),"",COUNTBLANK(OFFSET(A$1,,,SUMPRODUCT(MAX(ROW(E$2:E5067)*(E5067=E$2:E5067)))))-COUNTBLANK(OFFSET(A$1,,,SUMPRODUCT(MAX(ROW(E$1:E5066)*(E2=E$1:E5066))))))</f>
        <v> </v>
      </c>
      <c r="K5067" s="26" t="str">
        <f>IF(OR(E5067="",E5067="!!!",F5067="NEW"),"",INDEX(J$1:J5066,SUMPRODUCT(MAX(ROW(E$1:E5066)*(E5067=E$1:E5066)))))</f>
        <v> </v>
      </c>
      <c r="L5067" s="27"/>
    </row>
    <row r="5068" spans="1:12">
      <c r="A5068" s="20" t="s">
        <v>2459</v>
      </c>
      <c r="E5068" s="22">
        <f>IF(D5068="?OLD","!!!","")</f>
        <v/>
      </c>
      <c r="F5068" s="23" t="str">
        <f>IF(OR(E5068="",E5068="!!!"),"",IF(NOT(ISNA(VLOOKUP(E5068,E$1:E5067,1,FALSE()))),"OLD",IF(AND(E5068&lt;&gt;"",E5068&lt;&gt;"!!!"),"NEW","")))</f>
        <v> </v>
      </c>
      <c r="G5068" s="24" t="str">
        <f>IF(OR(E5068="",E5068="!!!"),"",IF(OR(J5068=0,AND(J5068=1,K5068=1),AND(J5068=1,I5068="SBJ"),AND(J5068=1,I5068=0)),"?IN_FOCUS",IF(J5068&lt;=2,"?ACTIVATED",IF(J5068&lt;&gt;"","?FAMILIAR",IF(F5068="NEW",IF(ISNA(VLOOKUP(E5068,#REF!,1,FALSE())),"?TYPE_IDENTIFIABLE","?REFERENTIAL"),"_")))))</f>
        <v> </v>
      </c>
      <c r="H5068" s="25" t="str">
        <f>IF(J5068&lt;&gt;1,"",IF(I5068="SBJ","CB","?"))</f>
        <v> </v>
      </c>
      <c r="I5068" s="26" t="str">
        <f>IF(OR(E5068="",E5068="!!!",F5068="NEW"),"",INDEX(B5067:B$2,-1+SUMPRODUCT(MAX(ROW(E5067:E$2)*(E5068=E5067:E$2)))))</f>
        <v> </v>
      </c>
      <c r="J5068" s="26" t="str">
        <f>IF(OR(E5068="",E5068="!!!",F5068="NEW"),"",COUNTBLANK(OFFSET(A$1,,,SUMPRODUCT(MAX(ROW(E$2:E5068)*(E5068=E$2:E5068)))))-COUNTBLANK(OFFSET(A$1,,,SUMPRODUCT(MAX(ROW(E$1:E5067)*(E2=E$1:E5067))))))</f>
        <v> </v>
      </c>
      <c r="K5068" s="26" t="str">
        <f>IF(OR(E5068="",E5068="!!!",F5068="NEW"),"",INDEX(J$1:J5067,SUMPRODUCT(MAX(ROW(E$1:E5067)*(E5068=E$1:E5067)))))</f>
        <v> </v>
      </c>
      <c r="L5068" s="27"/>
    </row>
    <row r="5069" spans="1:12">
      <c r="A5069" s="20" t="s">
        <v>1436</v>
      </c>
      <c r="E5069" s="22">
        <f>IF(D5069="?OLD","!!!","")</f>
        <v/>
      </c>
      <c r="F5069" s="23" t="str">
        <f>IF(OR(E5069="",E5069="!!!"),"",IF(NOT(ISNA(VLOOKUP(E5069,E$1:E5068,1,FALSE()))),"OLD",IF(AND(E5069&lt;&gt;"",E5069&lt;&gt;"!!!"),"NEW","")))</f>
        <v> </v>
      </c>
      <c r="G5069" s="24" t="str">
        <f>IF(OR(E5069="",E5069="!!!"),"",IF(OR(J5069=0,AND(J5069=1,K5069=1),AND(J5069=1,I5069="SBJ"),AND(J5069=1,I5069=0)),"?IN_FOCUS",IF(J5069&lt;=2,"?ACTIVATED",IF(J5069&lt;&gt;"","?FAMILIAR",IF(F5069="NEW",IF(ISNA(VLOOKUP(E5069,#REF!,1,FALSE())),"?TYPE_IDENTIFIABLE","?REFERENTIAL"),"_")))))</f>
        <v> </v>
      </c>
      <c r="H5069" s="25" t="str">
        <f>IF(J5069&lt;&gt;1,"",IF(I5069="SBJ","CB","?"))</f>
        <v> </v>
      </c>
      <c r="I5069" s="26" t="str">
        <f>IF(OR(E5069="",E5069="!!!",F5069="NEW"),"",INDEX(B5068:B$2,-1+SUMPRODUCT(MAX(ROW(E5068:E$2)*(E5069=E5068:E$2)))))</f>
        <v> </v>
      </c>
      <c r="J5069" s="26" t="str">
        <f>IF(OR(E5069="",E5069="!!!",F5069="NEW"),"",COUNTBLANK(OFFSET(A$1,,,SUMPRODUCT(MAX(ROW(E$2:E5069)*(E5069=E$2:E5069)))))-COUNTBLANK(OFFSET(A$1,,,SUMPRODUCT(MAX(ROW(E$1:E5068)*(E2=E$1:E5068))))))</f>
        <v> </v>
      </c>
      <c r="K5069" s="26" t="str">
        <f>IF(OR(E5069="",E5069="!!!",F5069="NEW"),"",INDEX(J$1:J5068,SUMPRODUCT(MAX(ROW(E$1:E5068)*(E5069=E$1:E5068)))))</f>
        <v> </v>
      </c>
      <c r="L5069" s="27"/>
    </row>
    <row r="5070" spans="1:12">
      <c r="A5070" s="20" t="s">
        <v>1101</v>
      </c>
      <c r="E5070" s="22">
        <f>IF(D5070="?OLD","!!!","")</f>
        <v/>
      </c>
      <c r="F5070" s="23" t="str">
        <f>IF(OR(E5070="",E5070="!!!"),"",IF(NOT(ISNA(VLOOKUP(E5070,E$1:E5069,1,FALSE()))),"OLD",IF(AND(E5070&lt;&gt;"",E5070&lt;&gt;"!!!"),"NEW","")))</f>
        <v> </v>
      </c>
      <c r="G5070" s="24" t="str">
        <f>IF(OR(E5070="",E5070="!!!"),"",IF(OR(J5070=0,AND(J5070=1,K5070=1),AND(J5070=1,I5070="SBJ"),AND(J5070=1,I5070=0)),"?IN_FOCUS",IF(J5070&lt;=2,"?ACTIVATED",IF(J5070&lt;&gt;"","?FAMILIAR",IF(F5070="NEW",IF(ISNA(VLOOKUP(E5070,#REF!,1,FALSE())),"?TYPE_IDENTIFIABLE","?REFERENTIAL"),"_")))))</f>
        <v> </v>
      </c>
      <c r="H5070" s="25" t="str">
        <f>IF(J5070&lt;&gt;1,"",IF(I5070="SBJ","CB","?"))</f>
        <v> </v>
      </c>
      <c r="I5070" s="26" t="str">
        <f>IF(OR(E5070="",E5070="!!!",F5070="NEW"),"",INDEX(B5069:B$2,-1+SUMPRODUCT(MAX(ROW(E5069:E$2)*(E5070=E5069:E$2)))))</f>
        <v> </v>
      </c>
      <c r="J5070" s="26" t="str">
        <f>IF(OR(E5070="",E5070="!!!",F5070="NEW"),"",COUNTBLANK(OFFSET(A$1,,,SUMPRODUCT(MAX(ROW(E$2:E5070)*(E5070=E$2:E5070)))))-COUNTBLANK(OFFSET(A$1,,,SUMPRODUCT(MAX(ROW(E$1:E5069)*(E2=E$1:E5069))))))</f>
        <v> </v>
      </c>
      <c r="K5070" s="26" t="str">
        <f>IF(OR(E5070="",E5070="!!!",F5070="NEW"),"",INDEX(J$1:J5069,SUMPRODUCT(MAX(ROW(E$1:E5069)*(E5070=E$1:E5069)))))</f>
        <v> </v>
      </c>
      <c r="L5070" s="27"/>
    </row>
    <row r="5071" spans="1:12">
      <c r="A5071" s="20" t="s">
        <v>1330</v>
      </c>
      <c r="B5071" s="21" t="s">
        <v>1099</v>
      </c>
      <c r="C5071" s="21" t="s">
        <v>1140</v>
      </c>
      <c r="D5071" s="21" t="s">
        <v>1060</v>
      </c>
      <c r="E5071" s="22">
        <f>IF(D5071="?OLD","!!!","")</f>
        <v/>
      </c>
      <c r="F5071" s="23" t="str">
        <f>IF(OR(E5071="",E5071="!!!"),"",IF(NOT(ISNA(VLOOKUP(E5071,E$1:E5070,1,FALSE()))),"OLD",IF(AND(E5071&lt;&gt;"",E5071&lt;&gt;"!!!"),"NEW","")))</f>
        <v> </v>
      </c>
      <c r="G5071" s="24" t="str">
        <f>IF(OR(E5071="",E5071="!!!"),"",IF(OR(J5071=0,AND(J5071=1,K5071=1),AND(J5071=1,I5071="SBJ"),AND(J5071=1,I5071=0)),"?IN_FOCUS",IF(J5071&lt;=2,"?ACTIVATED",IF(J5071&lt;&gt;"","?FAMILIAR",IF(F5071="NEW",IF(ISNA(VLOOKUP(E5071,#REF!,1,FALSE())),"?TYPE_IDENTIFIABLE","?REFERENTIAL"),"_")))))</f>
        <v> </v>
      </c>
      <c r="H5071" s="25" t="str">
        <f>IF(J5071&lt;&gt;1,"",IF(I5071="SBJ","CB","?"))</f>
        <v> </v>
      </c>
      <c r="I5071" s="26" t="str">
        <f>IF(OR(E5071="",E5071="!!!",F5071="NEW"),"",INDEX(B5070:B$2,-1+SUMPRODUCT(MAX(ROW(E5070:E$2)*(E5071=E5070:E$2)))))</f>
        <v> </v>
      </c>
      <c r="J5071" s="26" t="str">
        <f>IF(OR(E5071="",E5071="!!!",F5071="NEW"),"",COUNTBLANK(OFFSET(A$1,,,SUMPRODUCT(MAX(ROW(E$2:E5071)*(E5071=E$2:E5071)))))-COUNTBLANK(OFFSET(A$1,,,SUMPRODUCT(MAX(ROW(E$1:E5070)*(E2=E$1:E5070))))))</f>
        <v> </v>
      </c>
      <c r="K5071" s="26" t="str">
        <f>IF(OR(E5071="",E5071="!!!",F5071="NEW"),"",INDEX(J$1:J5070,SUMPRODUCT(MAX(ROW(E$1:E5070)*(E5071=E$1:E5070)))))</f>
        <v> </v>
      </c>
      <c r="L5071" s="27"/>
    </row>
    <row r="5072" spans="1:12">
      <c r="A5072" s="20" t="s">
        <v>1199</v>
      </c>
      <c r="E5072" s="22">
        <f>IF(D5072="?OLD","!!!","")</f>
        <v/>
      </c>
      <c r="F5072" s="23" t="str">
        <f>IF(OR(E5072="",E5072="!!!"),"",IF(NOT(ISNA(VLOOKUP(E5072,E$1:E5071,1,FALSE()))),"OLD",IF(AND(E5072&lt;&gt;"",E5072&lt;&gt;"!!!"),"NEW","")))</f>
        <v> </v>
      </c>
      <c r="G5072" s="24" t="str">
        <f>IF(OR(E5072="",E5072="!!!"),"",IF(OR(J5072=0,AND(J5072=1,K5072=1),AND(J5072=1,I5072="SBJ"),AND(J5072=1,I5072=0)),"?IN_FOCUS",IF(J5072&lt;=2,"?ACTIVATED",IF(J5072&lt;&gt;"","?FAMILIAR",IF(F5072="NEW",IF(ISNA(VLOOKUP(E5072,#REF!,1,FALSE())),"?TYPE_IDENTIFIABLE","?REFERENTIAL"),"_")))))</f>
        <v> </v>
      </c>
      <c r="H5072" s="25" t="str">
        <f>IF(J5072&lt;&gt;1,"",IF(I5072="SBJ","CB","?"))</f>
        <v> </v>
      </c>
      <c r="I5072" s="26" t="str">
        <f>IF(OR(E5072="",E5072="!!!",F5072="NEW"),"",INDEX(B5071:B$2,-1+SUMPRODUCT(MAX(ROW(E5071:E$2)*(E5072=E5071:E$2)))))</f>
        <v> </v>
      </c>
      <c r="J5072" s="26" t="str">
        <f>IF(OR(E5072="",E5072="!!!",F5072="NEW"),"",COUNTBLANK(OFFSET(A$1,,,SUMPRODUCT(MAX(ROW(E$2:E5072)*(E5072=E$2:E5072)))))-COUNTBLANK(OFFSET(A$1,,,SUMPRODUCT(MAX(ROW(E$1:E5071)*(E2=E$1:E5071))))))</f>
        <v> </v>
      </c>
      <c r="K5072" s="26" t="str">
        <f>IF(OR(E5072="",E5072="!!!",F5072="NEW"),"",INDEX(J$1:J5071,SUMPRODUCT(MAX(ROW(E$1:E5071)*(E5072=E$1:E5071)))))</f>
        <v> </v>
      </c>
      <c r="L5072" s="27"/>
    </row>
    <row r="5073" spans="1:12">
      <c r="A5073" s="20" t="s">
        <v>1082</v>
      </c>
      <c r="E5073" s="22">
        <f>IF(D5073="?OLD","!!!","")</f>
        <v/>
      </c>
      <c r="F5073" s="23" t="str">
        <f>IF(OR(E5073="",E5073="!!!"),"",IF(NOT(ISNA(VLOOKUP(E5073,E$1:E5072,1,FALSE()))),"OLD",IF(AND(E5073&lt;&gt;"",E5073&lt;&gt;"!!!"),"NEW","")))</f>
        <v> </v>
      </c>
      <c r="G5073" s="24" t="str">
        <f>IF(OR(E5073="",E5073="!!!"),"",IF(OR(J5073=0,AND(J5073=1,K5073=1),AND(J5073=1,I5073="SBJ"),AND(J5073=1,I5073=0)),"?IN_FOCUS",IF(J5073&lt;=2,"?ACTIVATED",IF(J5073&lt;&gt;"","?FAMILIAR",IF(F5073="NEW",IF(ISNA(VLOOKUP(E5073,#REF!,1,FALSE())),"?TYPE_IDENTIFIABLE","?REFERENTIAL"),"_")))))</f>
        <v> </v>
      </c>
      <c r="H5073" s="25" t="str">
        <f>IF(J5073&lt;&gt;1,"",IF(I5073="SBJ","CB","?"))</f>
        <v> </v>
      </c>
      <c r="I5073" s="26" t="str">
        <f>IF(OR(E5073="",E5073="!!!",F5073="NEW"),"",INDEX(B5072:B$2,-1+SUMPRODUCT(MAX(ROW(E5072:E$2)*(E5073=E5072:E$2)))))</f>
        <v> </v>
      </c>
      <c r="J5073" s="26" t="str">
        <f>IF(OR(E5073="",E5073="!!!",F5073="NEW"),"",COUNTBLANK(OFFSET(A$1,,,SUMPRODUCT(MAX(ROW(E$2:E5073)*(E5073=E$2:E5073)))))-COUNTBLANK(OFFSET(A$1,,,SUMPRODUCT(MAX(ROW(E$1:E5072)*(E2=E$1:E5072))))))</f>
        <v> </v>
      </c>
      <c r="K5073" s="26" t="str">
        <f>IF(OR(E5073="",E5073="!!!",F5073="NEW"),"",INDEX(J$1:J5072,SUMPRODUCT(MAX(ROW(E$1:E5072)*(E5073=E$1:E5072)))))</f>
        <v> </v>
      </c>
      <c r="L5073" s="27"/>
    </row>
    <row r="5074" spans="1:12">
      <c r="A5074" s="20" t="s">
        <v>1169</v>
      </c>
      <c r="E5074" s="22">
        <f>IF(D5074="?OLD","!!!","")</f>
        <v/>
      </c>
      <c r="F5074" s="23" t="str">
        <f>IF(OR(E5074="",E5074="!!!"),"",IF(NOT(ISNA(VLOOKUP(E5074,E$1:E5073,1,FALSE()))),"OLD",IF(AND(E5074&lt;&gt;"",E5074&lt;&gt;"!!!"),"NEW","")))</f>
        <v> </v>
      </c>
      <c r="G5074" s="24" t="str">
        <f>IF(OR(E5074="",E5074="!!!"),"",IF(OR(J5074=0,AND(J5074=1,K5074=1),AND(J5074=1,I5074="SBJ"),AND(J5074=1,I5074=0)),"?IN_FOCUS",IF(J5074&lt;=2,"?ACTIVATED",IF(J5074&lt;&gt;"","?FAMILIAR",IF(F5074="NEW",IF(ISNA(VLOOKUP(E5074,#REF!,1,FALSE())),"?TYPE_IDENTIFIABLE","?REFERENTIAL"),"_")))))</f>
        <v> </v>
      </c>
      <c r="H5074" s="25" t="str">
        <f>IF(J5074&lt;&gt;1,"",IF(I5074="SBJ","CB","?"))</f>
        <v> </v>
      </c>
      <c r="I5074" s="26" t="str">
        <f>IF(OR(E5074="",E5074="!!!",F5074="NEW"),"",INDEX(B5073:B$2,-1+SUMPRODUCT(MAX(ROW(E5073:E$2)*(E5074=E5073:E$2)))))</f>
        <v> </v>
      </c>
      <c r="J5074" s="26" t="str">
        <f>IF(OR(E5074="",E5074="!!!",F5074="NEW"),"",COUNTBLANK(OFFSET(A$1,,,SUMPRODUCT(MAX(ROW(E$2:E5074)*(E5074=E$2:E5074)))))-COUNTBLANK(OFFSET(A$1,,,SUMPRODUCT(MAX(ROW(E$1:E5073)*(E2=E$1:E5073))))))</f>
        <v> </v>
      </c>
      <c r="K5074" s="26" t="str">
        <f>IF(OR(E5074="",E5074="!!!",F5074="NEW"),"",INDEX(J$1:J5073,SUMPRODUCT(MAX(ROW(E$1:E5073)*(E5074=E$1:E5073)))))</f>
        <v> </v>
      </c>
      <c r="L5074" s="27"/>
    </row>
    <row r="5075" spans="1:12">
      <c r="A5075" s="20" t="s">
        <v>1590</v>
      </c>
      <c r="B5075" s="21" t="s">
        <v>1099</v>
      </c>
      <c r="C5075" s="21" t="s">
        <v>1159</v>
      </c>
      <c r="D5075" s="21" t="s">
        <v>1060</v>
      </c>
      <c r="E5075" s="22">
        <f>IF(D5075="?OLD","!!!","")</f>
        <v/>
      </c>
      <c r="F5075" s="23" t="str">
        <f>IF(OR(E5075="",E5075="!!!"),"",IF(NOT(ISNA(VLOOKUP(E5075,E$1:E5074,1,FALSE()))),"OLD",IF(AND(E5075&lt;&gt;"",E5075&lt;&gt;"!!!"),"NEW","")))</f>
        <v> </v>
      </c>
      <c r="G5075" s="24" t="str">
        <f>IF(OR(E5075="",E5075="!!!"),"",IF(OR(J5075=0,AND(J5075=1,K5075=1),AND(J5075=1,I5075="SBJ"),AND(J5075=1,I5075=0)),"?IN_FOCUS",IF(J5075&lt;=2,"?ACTIVATED",IF(J5075&lt;&gt;"","?FAMILIAR",IF(F5075="NEW",IF(ISNA(VLOOKUP(E5075,#REF!,1,FALSE())),"?TYPE_IDENTIFIABLE","?REFERENTIAL"),"_")))))</f>
        <v> </v>
      </c>
      <c r="H5075" s="25" t="str">
        <f>IF(J5075&lt;&gt;1,"",IF(I5075="SBJ","CB","?"))</f>
        <v> </v>
      </c>
      <c r="I5075" s="26" t="str">
        <f>IF(OR(E5075="",E5075="!!!",F5075="NEW"),"",INDEX(B5074:B$2,-1+SUMPRODUCT(MAX(ROW(E5074:E$2)*(E5075=E5074:E$2)))))</f>
        <v> </v>
      </c>
      <c r="J5075" s="26" t="str">
        <f>IF(OR(E5075="",E5075="!!!",F5075="NEW"),"",COUNTBLANK(OFFSET(A$1,,,SUMPRODUCT(MAX(ROW(E$2:E5075)*(E5075=E$2:E5075)))))-COUNTBLANK(OFFSET(A$1,,,SUMPRODUCT(MAX(ROW(E$1:E5074)*(E2=E$1:E5074))))))</f>
        <v> </v>
      </c>
      <c r="K5075" s="26" t="str">
        <f>IF(OR(E5075="",E5075="!!!",F5075="NEW"),"",INDEX(J$1:J5074,SUMPRODUCT(MAX(ROW(E$1:E5074)*(E5075=E$1:E5074)))))</f>
        <v> </v>
      </c>
      <c r="L5075" s="27"/>
    </row>
    <row r="5076" spans="1:12">
      <c r="A5076" s="20" t="s">
        <v>923</v>
      </c>
      <c r="E5076" s="22">
        <f>IF(D5076="?OLD","!!!","")</f>
        <v/>
      </c>
      <c r="F5076" s="23" t="str">
        <f>IF(OR(E5076="",E5076="!!!"),"",IF(NOT(ISNA(VLOOKUP(E5076,E$1:E5075,1,FALSE()))),"OLD",IF(AND(E5076&lt;&gt;"",E5076&lt;&gt;"!!!"),"NEW","")))</f>
        <v> </v>
      </c>
      <c r="G5076" s="24" t="str">
        <f>IF(OR(E5076="",E5076="!!!"),"",IF(OR(J5076=0,AND(J5076=1,K5076=1),AND(J5076=1,I5076="SBJ"),AND(J5076=1,I5076=0)),"?IN_FOCUS",IF(J5076&lt;=2,"?ACTIVATED",IF(J5076&lt;&gt;"","?FAMILIAR",IF(F5076="NEW",IF(ISNA(VLOOKUP(E5076,#REF!,1,FALSE())),"?TYPE_IDENTIFIABLE","?REFERENTIAL"),"_")))))</f>
        <v> </v>
      </c>
      <c r="H5076" s="25" t="str">
        <f>IF(J5076&lt;&gt;1,"",IF(I5076="SBJ","CB","?"))</f>
        <v> </v>
      </c>
      <c r="I5076" s="26" t="str">
        <f>IF(OR(E5076="",E5076="!!!",F5076="NEW"),"",INDEX(B5075:B$2,-1+SUMPRODUCT(MAX(ROW(E5075:E$2)*(E5076=E5075:E$2)))))</f>
        <v> </v>
      </c>
      <c r="J5076" s="26" t="str">
        <f>IF(OR(E5076="",E5076="!!!",F5076="NEW"),"",COUNTBLANK(OFFSET(A$1,,,SUMPRODUCT(MAX(ROW(E$2:E5076)*(E5076=E$2:E5076)))))-COUNTBLANK(OFFSET(A$1,,,SUMPRODUCT(MAX(ROW(E$1:E5075)*(E2=E$1:E5075))))))</f>
        <v> </v>
      </c>
      <c r="K5076" s="26" t="str">
        <f>IF(OR(E5076="",E5076="!!!",F5076="NEW"),"",INDEX(J$1:J5075,SUMPRODUCT(MAX(ROW(E$1:E5075)*(E5076=E$1:E5075)))))</f>
        <v> </v>
      </c>
      <c r="L5076" s="27"/>
    </row>
    <row r="5077" spans="1:12">
      <c r="A5077" s="20"/>
    </row>
    <row r="5078" spans="1:12">
      <c r="A5078" s="20" t="s">
        <v>2460</v>
      </c>
    </row>
    <row r="5079" spans="1:12">
      <c r="A5079" s="20" t="s">
        <v>2461</v>
      </c>
      <c r="E5079" s="22">
        <f>IF(D5079="?OLD","!!!","")</f>
        <v/>
      </c>
      <c r="F5079" s="23" t="str">
        <f>IF(OR(E5079="",E5079="!!!"),"",IF(NOT(ISNA(VLOOKUP(E5079,E$1:E5078,1,FALSE()))),"OLD",IF(AND(E5079&lt;&gt;"",E5079&lt;&gt;"!!!"),"NEW","")))</f>
        <v> </v>
      </c>
      <c r="G5079" s="24" t="str">
        <f>IF(OR(E5079="",E5079="!!!"),"",IF(OR(J5079=0,AND(J5079=1,K5079=1),AND(J5079=1,I5079="SBJ"),AND(J5079=1,I5079=0)),"?IN_FOCUS",IF(J5079&lt;=2,"?ACTIVATED",IF(J5079&lt;&gt;"","?FAMILIAR",IF(F5079="NEW",IF(ISNA(VLOOKUP(E5079,#REF!,1,FALSE())),"?TYPE_IDENTIFIABLE","?REFERENTIAL"),"_")))))</f>
        <v> </v>
      </c>
      <c r="H5079" s="25" t="str">
        <f>IF(J5079&lt;&gt;1,"",IF(I5079="SBJ","CB","?"))</f>
        <v> </v>
      </c>
      <c r="I5079" s="26" t="str">
        <f>IF(OR(E5079="",E5079="!!!",F5079="NEW"),"",INDEX(B5078:B$2,-1+SUMPRODUCT(MAX(ROW(E5078:E$2)*(E5079=E5078:E$2)))))</f>
        <v> </v>
      </c>
      <c r="J5079" s="26" t="str">
        <f>IF(OR(E5079="",E5079="!!!",F5079="NEW"),"",COUNTBLANK(OFFSET(A$1,,,SUMPRODUCT(MAX(ROW(E$2:E5079)*(E5079=E$2:E5079)))))-COUNTBLANK(OFFSET(A$1,,,SUMPRODUCT(MAX(ROW(E$1:E5078)*(E2=E$1:E5078))))))</f>
        <v> </v>
      </c>
      <c r="K5079" s="26" t="str">
        <f>IF(OR(E5079="",E5079="!!!",F5079="NEW"),"",INDEX(J$1:J5078,SUMPRODUCT(MAX(ROW(E$1:E5078)*(E5079=E$1:E5078)))))</f>
        <v> </v>
      </c>
      <c r="L5079" s="27"/>
    </row>
    <row r="5080" spans="1:12">
      <c r="A5080" s="20" t="s">
        <v>1160</v>
      </c>
      <c r="E5080" s="22">
        <f>IF(D5080="?OLD","!!!","")</f>
        <v/>
      </c>
      <c r="F5080" s="23" t="str">
        <f>IF(OR(E5080="",E5080="!!!"),"",IF(NOT(ISNA(VLOOKUP(E5080,E$1:E5079,1,FALSE()))),"OLD",IF(AND(E5080&lt;&gt;"",E5080&lt;&gt;"!!!"),"NEW","")))</f>
        <v> </v>
      </c>
      <c r="G5080" s="24" t="str">
        <f>IF(OR(E5080="",E5080="!!!"),"",IF(OR(J5080=0,AND(J5080=1,K5080=1),AND(J5080=1,I5080="SBJ"),AND(J5080=1,I5080=0)),"?IN_FOCUS",IF(J5080&lt;=2,"?ACTIVATED",IF(J5080&lt;&gt;"","?FAMILIAR",IF(F5080="NEW",IF(ISNA(VLOOKUP(E5080,#REF!,1,FALSE())),"?TYPE_IDENTIFIABLE","?REFERENTIAL"),"_")))))</f>
        <v> </v>
      </c>
      <c r="H5080" s="25" t="str">
        <f>IF(J5080&lt;&gt;1,"",IF(I5080="SBJ","CB","?"))</f>
        <v> </v>
      </c>
      <c r="I5080" s="26" t="str">
        <f>IF(OR(E5080="",E5080="!!!",F5080="NEW"),"",INDEX(B5079:B$2,-1+SUMPRODUCT(MAX(ROW(E5079:E$2)*(E5080=E5079:E$2)))))</f>
        <v> </v>
      </c>
      <c r="J5080" s="26" t="str">
        <f>IF(OR(E5080="",E5080="!!!",F5080="NEW"),"",COUNTBLANK(OFFSET(A$1,,,SUMPRODUCT(MAX(ROW(E$2:E5080)*(E5080=E$2:E5080)))))-COUNTBLANK(OFFSET(A$1,,,SUMPRODUCT(MAX(ROW(E$1:E5079)*(E2=E$1:E5079))))))</f>
        <v> </v>
      </c>
      <c r="K5080" s="26" t="str">
        <f>IF(OR(E5080="",E5080="!!!",F5080="NEW"),"",INDEX(J$1:J5079,SUMPRODUCT(MAX(ROW(E$1:E5079)*(E5080=E$1:E5079)))))</f>
        <v> </v>
      </c>
      <c r="L5080" s="27"/>
    </row>
    <row r="5081" spans="1:12">
      <c r="A5081" s="20" t="s">
        <v>1101</v>
      </c>
      <c r="E5081" s="22">
        <f>IF(D5081="?OLD","!!!","")</f>
        <v/>
      </c>
      <c r="F5081" s="23" t="str">
        <f>IF(OR(E5081="",E5081="!!!"),"",IF(NOT(ISNA(VLOOKUP(E5081,E$1:E5080,1,FALSE()))),"OLD",IF(AND(E5081&lt;&gt;"",E5081&lt;&gt;"!!!"),"NEW","")))</f>
        <v> </v>
      </c>
      <c r="G5081" s="24" t="str">
        <f>IF(OR(E5081="",E5081="!!!"),"",IF(OR(J5081=0,AND(J5081=1,K5081=1),AND(J5081=1,I5081="SBJ"),AND(J5081=1,I5081=0)),"?IN_FOCUS",IF(J5081&lt;=2,"?ACTIVATED",IF(J5081&lt;&gt;"","?FAMILIAR",IF(F5081="NEW",IF(ISNA(VLOOKUP(E5081,#REF!,1,FALSE())),"?TYPE_IDENTIFIABLE","?REFERENTIAL"),"_")))))</f>
        <v> </v>
      </c>
      <c r="H5081" s="25" t="str">
        <f>IF(J5081&lt;&gt;1,"",IF(I5081="SBJ","CB","?"))</f>
        <v> </v>
      </c>
      <c r="I5081" s="26" t="str">
        <f>IF(OR(E5081="",E5081="!!!",F5081="NEW"),"",INDEX(B5080:B$2,-1+SUMPRODUCT(MAX(ROW(E5080:E$2)*(E5081=E5080:E$2)))))</f>
        <v> </v>
      </c>
      <c r="J5081" s="26" t="str">
        <f>IF(OR(E5081="",E5081="!!!",F5081="NEW"),"",COUNTBLANK(OFFSET(A$1,,,SUMPRODUCT(MAX(ROW(E$2:E5081)*(E5081=E$2:E5081)))))-COUNTBLANK(OFFSET(A$1,,,SUMPRODUCT(MAX(ROW(E$1:E5080)*(E2=E$1:E5080))))))</f>
        <v> </v>
      </c>
      <c r="K5081" s="26" t="str">
        <f>IF(OR(E5081="",E5081="!!!",F5081="NEW"),"",INDEX(J$1:J5080,SUMPRODUCT(MAX(ROW(E$1:E5080)*(E5081=E$1:E5080)))))</f>
        <v> </v>
      </c>
      <c r="L5081" s="27"/>
    </row>
    <row r="5082" spans="1:12">
      <c r="A5082" s="20" t="s">
        <v>1764</v>
      </c>
      <c r="B5082" s="21" t="s">
        <v>1068</v>
      </c>
      <c r="C5082" s="21" t="s">
        <v>1059</v>
      </c>
      <c r="D5082" s="21" t="s">
        <v>1060</v>
      </c>
      <c r="E5082" s="22">
        <f>IF(D5082="?OLD","!!!","")</f>
        <v/>
      </c>
      <c r="F5082" s="23" t="str">
        <f>IF(OR(E5082="",E5082="!!!"),"",IF(NOT(ISNA(VLOOKUP(E5082,E$1:E5081,1,FALSE()))),"OLD",IF(AND(E5082&lt;&gt;"",E5082&lt;&gt;"!!!"),"NEW","")))</f>
        <v> </v>
      </c>
      <c r="G5082" s="24" t="str">
        <f>IF(OR(E5082="",E5082="!!!"),"",IF(OR(J5082=0,AND(J5082=1,K5082=1),AND(J5082=1,I5082="SBJ"),AND(J5082=1,I5082=0)),"?IN_FOCUS",IF(J5082&lt;=2,"?ACTIVATED",IF(J5082&lt;&gt;"","?FAMILIAR",IF(F5082="NEW",IF(ISNA(VLOOKUP(E5082,#REF!,1,FALSE())),"?TYPE_IDENTIFIABLE","?REFERENTIAL"),"_")))))</f>
        <v> </v>
      </c>
      <c r="H5082" s="25" t="str">
        <f>IF(J5082&lt;&gt;1,"",IF(I5082="SBJ","CB","?"))</f>
        <v> </v>
      </c>
      <c r="I5082" s="26" t="str">
        <f>IF(OR(E5082="",E5082="!!!",F5082="NEW"),"",INDEX(B5081:B$2,-1+SUMPRODUCT(MAX(ROW(E5081:E$2)*(E5082=E5081:E$2)))))</f>
        <v> </v>
      </c>
      <c r="J5082" s="26" t="str">
        <f>IF(OR(E5082="",E5082="!!!",F5082="NEW"),"",COUNTBLANK(OFFSET(A$1,,,SUMPRODUCT(MAX(ROW(E$2:E5082)*(E5082=E$2:E5082)))))-COUNTBLANK(OFFSET(A$1,,,SUMPRODUCT(MAX(ROW(E$1:E5081)*(E2=E$1:E5081))))))</f>
        <v> </v>
      </c>
      <c r="K5082" s="26" t="str">
        <f>IF(OR(E5082="",E5082="!!!",F5082="NEW"),"",INDEX(J$1:J5081,SUMPRODUCT(MAX(ROW(E$1:E5081)*(E5082=E$1:E5081)))))</f>
        <v> </v>
      </c>
      <c r="L5082" s="27"/>
    </row>
    <row r="5083" spans="1:12">
      <c r="A5083" s="20" t="s">
        <v>1061</v>
      </c>
      <c r="E5083" s="22">
        <f>IF(D5083="?OLD","!!!","")</f>
        <v/>
      </c>
      <c r="F5083" s="23" t="str">
        <f>IF(OR(E5083="",E5083="!!!"),"",IF(NOT(ISNA(VLOOKUP(E5083,E$1:E5082,1,FALSE()))),"OLD",IF(AND(E5083&lt;&gt;"",E5083&lt;&gt;"!!!"),"NEW","")))</f>
        <v> </v>
      </c>
      <c r="G5083" s="24" t="str">
        <f>IF(OR(E5083="",E5083="!!!"),"",IF(OR(J5083=0,AND(J5083=1,K5083=1),AND(J5083=1,I5083="SBJ"),AND(J5083=1,I5083=0)),"?IN_FOCUS",IF(J5083&lt;=2,"?ACTIVATED",IF(J5083&lt;&gt;"","?FAMILIAR",IF(F5083="NEW",IF(ISNA(VLOOKUP(E5083,#REF!,1,FALSE())),"?TYPE_IDENTIFIABLE","?REFERENTIAL"),"_")))))</f>
        <v> </v>
      </c>
      <c r="H5083" s="25" t="str">
        <f>IF(J5083&lt;&gt;1,"",IF(I5083="SBJ","CB","?"))</f>
        <v> </v>
      </c>
      <c r="I5083" s="26" t="str">
        <f>IF(OR(E5083="",E5083="!!!",F5083="NEW"),"",INDEX(B5082:B$2,-1+SUMPRODUCT(MAX(ROW(E5082:E$2)*(E5083=E5082:E$2)))))</f>
        <v> </v>
      </c>
      <c r="J5083" s="26" t="str">
        <f>IF(OR(E5083="",E5083="!!!",F5083="NEW"),"",COUNTBLANK(OFFSET(A$1,,,SUMPRODUCT(MAX(ROW(E$2:E5083)*(E5083=E$2:E5083)))))-COUNTBLANK(OFFSET(A$1,,,SUMPRODUCT(MAX(ROW(E$1:E5082)*(E2=E$1:E5082))))))</f>
        <v> </v>
      </c>
      <c r="K5083" s="26" t="str">
        <f>IF(OR(E5083="",E5083="!!!",F5083="NEW"),"",INDEX(J$1:J5082,SUMPRODUCT(MAX(ROW(E$1:E5082)*(E5083=E$1:E5082)))))</f>
        <v> </v>
      </c>
      <c r="L5083" s="27"/>
    </row>
    <row r="5084" spans="1:12">
      <c r="A5084" s="20" t="s">
        <v>1101</v>
      </c>
      <c r="E5084" s="22">
        <f>IF(D5084="?OLD","!!!","")</f>
        <v/>
      </c>
      <c r="F5084" s="23" t="str">
        <f>IF(OR(E5084="",E5084="!!!"),"",IF(NOT(ISNA(VLOOKUP(E5084,E$1:E5083,1,FALSE()))),"OLD",IF(AND(E5084&lt;&gt;"",E5084&lt;&gt;"!!!"),"NEW","")))</f>
        <v> </v>
      </c>
      <c r="G5084" s="24" t="str">
        <f>IF(OR(E5084="",E5084="!!!"),"",IF(OR(J5084=0,AND(J5084=1,K5084=1),AND(J5084=1,I5084="SBJ"),AND(J5084=1,I5084=0)),"?IN_FOCUS",IF(J5084&lt;=2,"?ACTIVATED",IF(J5084&lt;&gt;"","?FAMILIAR",IF(F5084="NEW",IF(ISNA(VLOOKUP(E5084,#REF!,1,FALSE())),"?TYPE_IDENTIFIABLE","?REFERENTIAL"),"_")))))</f>
        <v> </v>
      </c>
      <c r="H5084" s="25" t="str">
        <f>IF(J5084&lt;&gt;1,"",IF(I5084="SBJ","CB","?"))</f>
        <v> </v>
      </c>
      <c r="I5084" s="26" t="str">
        <f>IF(OR(E5084="",E5084="!!!",F5084="NEW"),"",INDEX(B5083:B$2,-1+SUMPRODUCT(MAX(ROW(E5083:E$2)*(E5084=E5083:E$2)))))</f>
        <v> </v>
      </c>
      <c r="J5084" s="26" t="str">
        <f>IF(OR(E5084="",E5084="!!!",F5084="NEW"),"",COUNTBLANK(OFFSET(A$1,,,SUMPRODUCT(MAX(ROW(E$2:E5084)*(E5084=E$2:E5084)))))-COUNTBLANK(OFFSET(A$1,,,SUMPRODUCT(MAX(ROW(E$1:E5083)*(E2=E$1:E5083))))))</f>
        <v> </v>
      </c>
      <c r="K5084" s="26" t="str">
        <f>IF(OR(E5084="",E5084="!!!",F5084="NEW"),"",INDEX(J$1:J5083,SUMPRODUCT(MAX(ROW(E$1:E5083)*(E5084=E$1:E5083)))))</f>
        <v> </v>
      </c>
      <c r="L5084" s="27"/>
    </row>
    <row r="5085" spans="1:12">
      <c r="A5085" s="20" t="s">
        <v>1163</v>
      </c>
      <c r="E5085" s="22">
        <f>IF(D5085="?OLD","!!!","")</f>
        <v/>
      </c>
      <c r="F5085" s="23" t="str">
        <f>IF(OR(E5085="",E5085="!!!"),"",IF(NOT(ISNA(VLOOKUP(E5085,E$1:E5084,1,FALSE()))),"OLD",IF(AND(E5085&lt;&gt;"",E5085&lt;&gt;"!!!"),"NEW","")))</f>
        <v> </v>
      </c>
      <c r="G5085" s="24" t="str">
        <f>IF(OR(E5085="",E5085="!!!"),"",IF(OR(J5085=0,AND(J5085=1,K5085=1),AND(J5085=1,I5085="SBJ"),AND(J5085=1,I5085=0)),"?IN_FOCUS",IF(J5085&lt;=2,"?ACTIVATED",IF(J5085&lt;&gt;"","?FAMILIAR",IF(F5085="NEW",IF(ISNA(VLOOKUP(E5085,#REF!,1,FALSE())),"?TYPE_IDENTIFIABLE","?REFERENTIAL"),"_")))))</f>
        <v> </v>
      </c>
      <c r="H5085" s="25" t="str">
        <f>IF(J5085&lt;&gt;1,"",IF(I5085="SBJ","CB","?"))</f>
        <v> </v>
      </c>
      <c r="I5085" s="26" t="str">
        <f>IF(OR(E5085="",E5085="!!!",F5085="NEW"),"",INDEX(B5084:B$2,-1+SUMPRODUCT(MAX(ROW(E5084:E$2)*(E5085=E5084:E$2)))))</f>
        <v> </v>
      </c>
      <c r="J5085" s="26" t="str">
        <f>IF(OR(E5085="",E5085="!!!",F5085="NEW"),"",COUNTBLANK(OFFSET(A$1,,,SUMPRODUCT(MAX(ROW(E$2:E5085)*(E5085=E$2:E5085)))))-COUNTBLANK(OFFSET(A$1,,,SUMPRODUCT(MAX(ROW(E$1:E5084)*(E2=E$1:E5084))))))</f>
        <v> </v>
      </c>
      <c r="K5085" s="26" t="str">
        <f>IF(OR(E5085="",E5085="!!!",F5085="NEW"),"",INDEX(J$1:J5084,SUMPRODUCT(MAX(ROW(E$1:E5084)*(E5085=E$1:E5084)))))</f>
        <v> </v>
      </c>
      <c r="L5085" s="27"/>
    </row>
    <row r="5086" spans="1:12">
      <c r="A5086" s="20" t="s">
        <v>1333</v>
      </c>
      <c r="E5086" s="22">
        <f>IF(D5086="?OLD","!!!","")</f>
        <v/>
      </c>
      <c r="F5086" s="23" t="str">
        <f>IF(OR(E5086="",E5086="!!!"),"",IF(NOT(ISNA(VLOOKUP(E5086,E$1:E5085,1,FALSE()))),"OLD",IF(AND(E5086&lt;&gt;"",E5086&lt;&gt;"!!!"),"NEW","")))</f>
        <v> </v>
      </c>
      <c r="G5086" s="24" t="str">
        <f>IF(OR(E5086="",E5086="!!!"),"",IF(OR(J5086=0,AND(J5086=1,K5086=1),AND(J5086=1,I5086="SBJ"),AND(J5086=1,I5086=0)),"?IN_FOCUS",IF(J5086&lt;=2,"?ACTIVATED",IF(J5086&lt;&gt;"","?FAMILIAR",IF(F5086="NEW",IF(ISNA(VLOOKUP(E5086,#REF!,1,FALSE())),"?TYPE_IDENTIFIABLE","?REFERENTIAL"),"_")))))</f>
        <v> </v>
      </c>
      <c r="H5086" s="25" t="str">
        <f>IF(J5086&lt;&gt;1,"",IF(I5086="SBJ","CB","?"))</f>
        <v> </v>
      </c>
      <c r="I5086" s="26" t="str">
        <f>IF(OR(E5086="",E5086="!!!",F5086="NEW"),"",INDEX(B5085:B$2,-1+SUMPRODUCT(MAX(ROW(E5085:E$2)*(E5086=E5085:E$2)))))</f>
        <v> </v>
      </c>
      <c r="J5086" s="26" t="str">
        <f>IF(OR(E5086="",E5086="!!!",F5086="NEW"),"",COUNTBLANK(OFFSET(A$1,,,SUMPRODUCT(MAX(ROW(E$2:E5086)*(E5086=E$2:E5086)))))-COUNTBLANK(OFFSET(A$1,,,SUMPRODUCT(MAX(ROW(E$1:E5085)*(E2=E$1:E5085))))))</f>
        <v> </v>
      </c>
      <c r="K5086" s="26" t="str">
        <f>IF(OR(E5086="",E5086="!!!",F5086="NEW"),"",INDEX(J$1:J5085,SUMPRODUCT(MAX(ROW(E$1:E5085)*(E5086=E$1:E5085)))))</f>
        <v> </v>
      </c>
      <c r="L5086" s="27"/>
    </row>
    <row r="5087" spans="1:12">
      <c r="A5087" s="20" t="s">
        <v>1334</v>
      </c>
      <c r="B5087" s="21" t="s">
        <v>1064</v>
      </c>
      <c r="C5087" s="21" t="s">
        <v>1065</v>
      </c>
      <c r="D5087" s="21" t="s">
        <v>1060</v>
      </c>
      <c r="E5087" s="22">
        <f>IF(D5087="?OLD","!!!","")</f>
        <v/>
      </c>
      <c r="F5087" s="23" t="str">
        <f>IF(OR(E5087="",E5087="!!!"),"",IF(NOT(ISNA(VLOOKUP(E5087,E$1:E5086,1,FALSE()))),"OLD",IF(AND(E5087&lt;&gt;"",E5087&lt;&gt;"!!!"),"NEW","")))</f>
        <v> </v>
      </c>
      <c r="G5087" s="24" t="str">
        <f>IF(OR(E5087="",E5087="!!!"),"",IF(OR(J5087=0,AND(J5087=1,K5087=1),AND(J5087=1,I5087="SBJ"),AND(J5087=1,I5087=0)),"?IN_FOCUS",IF(J5087&lt;=2,"?ACTIVATED",IF(J5087&lt;&gt;"","?FAMILIAR",IF(F5087="NEW",IF(ISNA(VLOOKUP(E5087,#REF!,1,FALSE())),"?TYPE_IDENTIFIABLE","?REFERENTIAL"),"_")))))</f>
        <v> </v>
      </c>
      <c r="H5087" s="25" t="str">
        <f>IF(J5087&lt;&gt;1,"",IF(I5087="SBJ","CB","?"))</f>
        <v> </v>
      </c>
      <c r="I5087" s="26" t="str">
        <f>IF(OR(E5087="",E5087="!!!",F5087="NEW"),"",INDEX(B5086:B$2,-1+SUMPRODUCT(MAX(ROW(E5086:E$2)*(E5087=E5086:E$2)))))</f>
        <v> </v>
      </c>
      <c r="J5087" s="26" t="str">
        <f>IF(OR(E5087="",E5087="!!!",F5087="NEW"),"",COUNTBLANK(OFFSET(A$1,,,SUMPRODUCT(MAX(ROW(E$2:E5087)*(E5087=E$2:E5087)))))-COUNTBLANK(OFFSET(A$1,,,SUMPRODUCT(MAX(ROW(E$1:E5086)*(E2=E$1:E5086))))))</f>
        <v> </v>
      </c>
      <c r="K5087" s="26" t="str">
        <f>IF(OR(E5087="",E5087="!!!",F5087="NEW"),"",INDEX(J$1:J5086,SUMPRODUCT(MAX(ROW(E$1:E5086)*(E5087=E$1:E5086)))))</f>
        <v> </v>
      </c>
      <c r="L5087" s="27"/>
    </row>
    <row r="5088" spans="1:12">
      <c r="A5088" s="20" t="s">
        <v>1070</v>
      </c>
      <c r="E5088" s="22">
        <f>IF(D5088="?OLD","!!!","")</f>
        <v/>
      </c>
      <c r="F5088" s="23" t="str">
        <f>IF(OR(E5088="",E5088="!!!"),"",IF(NOT(ISNA(VLOOKUP(E5088,E$1:E5087,1,FALSE()))),"OLD",IF(AND(E5088&lt;&gt;"",E5088&lt;&gt;"!!!"),"NEW","")))</f>
        <v> </v>
      </c>
      <c r="G5088" s="24" t="str">
        <f>IF(OR(E5088="",E5088="!!!"),"",IF(OR(J5088=0,AND(J5088=1,K5088=1),AND(J5088=1,I5088="SBJ"),AND(J5088=1,I5088=0)),"?IN_FOCUS",IF(J5088&lt;=2,"?ACTIVATED",IF(J5088&lt;&gt;"","?FAMILIAR",IF(F5088="NEW",IF(ISNA(VLOOKUP(E5088,#REF!,1,FALSE())),"?TYPE_IDENTIFIABLE","?REFERENTIAL"),"_")))))</f>
        <v> </v>
      </c>
      <c r="H5088" s="25" t="str">
        <f>IF(J5088&lt;&gt;1,"",IF(I5088="SBJ","CB","?"))</f>
        <v> </v>
      </c>
      <c r="I5088" s="26" t="str">
        <f>IF(OR(E5088="",E5088="!!!",F5088="NEW"),"",INDEX(B5087:B$2,-1+SUMPRODUCT(MAX(ROW(E5087:E$2)*(E5088=E5087:E$2)))))</f>
        <v> </v>
      </c>
      <c r="J5088" s="26" t="str">
        <f>IF(OR(E5088="",E5088="!!!",F5088="NEW"),"",COUNTBLANK(OFFSET(A$1,,,SUMPRODUCT(MAX(ROW(E$2:E5088)*(E5088=E$2:E5088)))))-COUNTBLANK(OFFSET(A$1,,,SUMPRODUCT(MAX(ROW(E$1:E5087)*(E2=E$1:E5087))))))</f>
        <v> </v>
      </c>
      <c r="K5088" s="26" t="str">
        <f>IF(OR(E5088="",E5088="!!!",F5088="NEW"),"",INDEX(J$1:J5087,SUMPRODUCT(MAX(ROW(E$1:E5087)*(E5088=E$1:E5087)))))</f>
        <v> </v>
      </c>
      <c r="L5088" s="27"/>
    </row>
    <row r="5089" spans="1:12">
      <c r="A5089" s="20" t="s">
        <v>1260</v>
      </c>
      <c r="E5089" s="22">
        <f>IF(D5089="?OLD","!!!","")</f>
        <v/>
      </c>
      <c r="F5089" s="23" t="str">
        <f>IF(OR(E5089="",E5089="!!!"),"",IF(NOT(ISNA(VLOOKUP(E5089,E$1:E5088,1,FALSE()))),"OLD",IF(AND(E5089&lt;&gt;"",E5089&lt;&gt;"!!!"),"NEW","")))</f>
        <v> </v>
      </c>
      <c r="G5089" s="24" t="str">
        <f>IF(OR(E5089="",E5089="!!!"),"",IF(OR(J5089=0,AND(J5089=1,K5089=1),AND(J5089=1,I5089="SBJ"),AND(J5089=1,I5089=0)),"?IN_FOCUS",IF(J5089&lt;=2,"?ACTIVATED",IF(J5089&lt;&gt;"","?FAMILIAR",IF(F5089="NEW",IF(ISNA(VLOOKUP(E5089,#REF!,1,FALSE())),"?TYPE_IDENTIFIABLE","?REFERENTIAL"),"_")))))</f>
        <v> </v>
      </c>
      <c r="H5089" s="25" t="str">
        <f>IF(J5089&lt;&gt;1,"",IF(I5089="SBJ","CB","?"))</f>
        <v> </v>
      </c>
      <c r="I5089" s="26" t="str">
        <f>IF(OR(E5089="",E5089="!!!",F5089="NEW"),"",INDEX(B5088:B$2,-1+SUMPRODUCT(MAX(ROW(E5088:E$2)*(E5089=E5088:E$2)))))</f>
        <v> </v>
      </c>
      <c r="J5089" s="26" t="str">
        <f>IF(OR(E5089="",E5089="!!!",F5089="NEW"),"",COUNTBLANK(OFFSET(A$1,,,SUMPRODUCT(MAX(ROW(E$2:E5089)*(E5089=E$2:E5089)))))-COUNTBLANK(OFFSET(A$1,,,SUMPRODUCT(MAX(ROW(E$1:E5088)*(E2=E$1:E5088))))))</f>
        <v> </v>
      </c>
      <c r="K5089" s="26" t="str">
        <f>IF(OR(E5089="",E5089="!!!",F5089="NEW"),"",INDEX(J$1:J5088,SUMPRODUCT(MAX(ROW(E$1:E5088)*(E5089=E$1:E5088)))))</f>
        <v> </v>
      </c>
      <c r="L5089" s="27"/>
    </row>
    <row r="5090" spans="1:12">
      <c r="A5090" s="20" t="s">
        <v>1160</v>
      </c>
      <c r="E5090" s="22">
        <f>IF(D5090="?OLD","!!!","")</f>
        <v/>
      </c>
      <c r="F5090" s="23" t="str">
        <f>IF(OR(E5090="",E5090="!!!"),"",IF(NOT(ISNA(VLOOKUP(E5090,E$1:E5089,1,FALSE()))),"OLD",IF(AND(E5090&lt;&gt;"",E5090&lt;&gt;"!!!"),"NEW","")))</f>
        <v> </v>
      </c>
      <c r="G5090" s="24" t="str">
        <f>IF(OR(E5090="",E5090="!!!"),"",IF(OR(J5090=0,AND(J5090=1,K5090=1),AND(J5090=1,I5090="SBJ"),AND(J5090=1,I5090=0)),"?IN_FOCUS",IF(J5090&lt;=2,"?ACTIVATED",IF(J5090&lt;&gt;"","?FAMILIAR",IF(F5090="NEW",IF(ISNA(VLOOKUP(E5090,#REF!,1,FALSE())),"?TYPE_IDENTIFIABLE","?REFERENTIAL"),"_")))))</f>
        <v> </v>
      </c>
      <c r="H5090" s="25" t="str">
        <f>IF(J5090&lt;&gt;1,"",IF(I5090="SBJ","CB","?"))</f>
        <v> </v>
      </c>
      <c r="I5090" s="26" t="str">
        <f>IF(OR(E5090="",E5090="!!!",F5090="NEW"),"",INDEX(B5089:B$2,-1+SUMPRODUCT(MAX(ROW(E5089:E$2)*(E5090=E5089:E$2)))))</f>
        <v> </v>
      </c>
      <c r="J5090" s="26" t="str">
        <f>IF(OR(E5090="",E5090="!!!",F5090="NEW"),"",COUNTBLANK(OFFSET(A$1,,,SUMPRODUCT(MAX(ROW(E$2:E5090)*(E5090=E$2:E5090)))))-COUNTBLANK(OFFSET(A$1,,,SUMPRODUCT(MAX(ROW(E$1:E5089)*(E2=E$1:E5089))))))</f>
        <v> </v>
      </c>
      <c r="K5090" s="26" t="str">
        <f>IF(OR(E5090="",E5090="!!!",F5090="NEW"),"",INDEX(J$1:J5089,SUMPRODUCT(MAX(ROW(E$1:E5089)*(E5090=E$1:E5089)))))</f>
        <v> </v>
      </c>
      <c r="L5090" s="27"/>
    </row>
    <row r="5091" spans="1:12">
      <c r="A5091" s="20" t="s">
        <v>1101</v>
      </c>
      <c r="E5091" s="22">
        <f>IF(D5091="?OLD","!!!","")</f>
        <v/>
      </c>
      <c r="F5091" s="23" t="str">
        <f>IF(OR(E5091="",E5091="!!!"),"",IF(NOT(ISNA(VLOOKUP(E5091,E$1:E5090,1,FALSE()))),"OLD",IF(AND(E5091&lt;&gt;"",E5091&lt;&gt;"!!!"),"NEW","")))</f>
        <v> </v>
      </c>
      <c r="G5091" s="24" t="str">
        <f>IF(OR(E5091="",E5091="!!!"),"",IF(OR(J5091=0,AND(J5091=1,K5091=1),AND(J5091=1,I5091="SBJ"),AND(J5091=1,I5091=0)),"?IN_FOCUS",IF(J5091&lt;=2,"?ACTIVATED",IF(J5091&lt;&gt;"","?FAMILIAR",IF(F5091="NEW",IF(ISNA(VLOOKUP(E5091,#REF!,1,FALSE())),"?TYPE_IDENTIFIABLE","?REFERENTIAL"),"_")))))</f>
        <v> </v>
      </c>
      <c r="H5091" s="25" t="str">
        <f>IF(J5091&lt;&gt;1,"",IF(I5091="SBJ","CB","?"))</f>
        <v> </v>
      </c>
      <c r="I5091" s="26" t="str">
        <f>IF(OR(E5091="",E5091="!!!",F5091="NEW"),"",INDEX(B5090:B$2,-1+SUMPRODUCT(MAX(ROW(E5090:E$2)*(E5091=E5090:E$2)))))</f>
        <v> </v>
      </c>
      <c r="J5091" s="26" t="str">
        <f>IF(OR(E5091="",E5091="!!!",F5091="NEW"),"",COUNTBLANK(OFFSET(A$1,,,SUMPRODUCT(MAX(ROW(E$2:E5091)*(E5091=E$2:E5091)))))-COUNTBLANK(OFFSET(A$1,,,SUMPRODUCT(MAX(ROW(E$1:E5090)*(E2=E$1:E5090))))))</f>
        <v> </v>
      </c>
      <c r="K5091" s="26" t="str">
        <f>IF(OR(E5091="",E5091="!!!",F5091="NEW"),"",INDEX(J$1:J5090,SUMPRODUCT(MAX(ROW(E$1:E5090)*(E5091=E$1:E5090)))))</f>
        <v> </v>
      </c>
      <c r="L5091" s="27"/>
    </row>
    <row r="5092" spans="1:12">
      <c r="A5092" s="20" t="s">
        <v>2371</v>
      </c>
      <c r="E5092" s="22">
        <f>IF(D5092="?OLD","!!!","")</f>
        <v/>
      </c>
      <c r="F5092" s="23" t="str">
        <f>IF(OR(E5092="",E5092="!!!"),"",IF(NOT(ISNA(VLOOKUP(E5092,E$1:E5091,1,FALSE()))),"OLD",IF(AND(E5092&lt;&gt;"",E5092&lt;&gt;"!!!"),"NEW","")))</f>
        <v> </v>
      </c>
      <c r="G5092" s="24" t="str">
        <f>IF(OR(E5092="",E5092="!!!"),"",IF(OR(J5092=0,AND(J5092=1,K5092=1),AND(J5092=1,I5092="SBJ"),AND(J5092=1,I5092=0)),"?IN_FOCUS",IF(J5092&lt;=2,"?ACTIVATED",IF(J5092&lt;&gt;"","?FAMILIAR",IF(F5092="NEW",IF(ISNA(VLOOKUP(E5092,#REF!,1,FALSE())),"?TYPE_IDENTIFIABLE","?REFERENTIAL"),"_")))))</f>
        <v> </v>
      </c>
      <c r="H5092" s="25" t="str">
        <f>IF(J5092&lt;&gt;1,"",IF(I5092="SBJ","CB","?"))</f>
        <v> </v>
      </c>
      <c r="I5092" s="26" t="str">
        <f>IF(OR(E5092="",E5092="!!!",F5092="NEW"),"",INDEX(B5091:B$2,-1+SUMPRODUCT(MAX(ROW(E5091:E$2)*(E5092=E5091:E$2)))))</f>
        <v> </v>
      </c>
      <c r="J5092" s="26" t="str">
        <f>IF(OR(E5092="",E5092="!!!",F5092="NEW"),"",COUNTBLANK(OFFSET(A$1,,,SUMPRODUCT(MAX(ROW(E$2:E5092)*(E5092=E$2:E5092)))))-COUNTBLANK(OFFSET(A$1,,,SUMPRODUCT(MAX(ROW(E$1:E5091)*(E2=E$1:E5091))))))</f>
        <v> </v>
      </c>
      <c r="K5092" s="26" t="str">
        <f>IF(OR(E5092="",E5092="!!!",F5092="NEW"),"",INDEX(J$1:J5091,SUMPRODUCT(MAX(ROW(E$1:E5091)*(E5092=E$1:E5091)))))</f>
        <v> </v>
      </c>
      <c r="L5092" s="27"/>
    </row>
    <row r="5093" spans="1:12">
      <c r="A5093" s="20" t="s">
        <v>2414</v>
      </c>
      <c r="B5093" s="21" t="s">
        <v>1068</v>
      </c>
      <c r="C5093" s="21" t="s">
        <v>1140</v>
      </c>
      <c r="D5093" s="21" t="s">
        <v>1060</v>
      </c>
      <c r="E5093" s="22">
        <f>IF(D5093="?OLD","!!!","")</f>
        <v/>
      </c>
      <c r="F5093" s="23" t="str">
        <f>IF(OR(E5093="",E5093="!!!"),"",IF(NOT(ISNA(VLOOKUP(E5093,E$1:E5092,1,FALSE()))),"OLD",IF(AND(E5093&lt;&gt;"",E5093&lt;&gt;"!!!"),"NEW","")))</f>
        <v> </v>
      </c>
      <c r="G5093" s="24" t="str">
        <f>IF(OR(E5093="",E5093="!!!"),"",IF(OR(J5093=0,AND(J5093=1,K5093=1),AND(J5093=1,I5093="SBJ"),AND(J5093=1,I5093=0)),"?IN_FOCUS",IF(J5093&lt;=2,"?ACTIVATED",IF(J5093&lt;&gt;"","?FAMILIAR",IF(F5093="NEW",IF(ISNA(VLOOKUP(E5093,#REF!,1,FALSE())),"?TYPE_IDENTIFIABLE","?REFERENTIAL"),"_")))))</f>
        <v> </v>
      </c>
      <c r="H5093" s="25" t="str">
        <f>IF(J5093&lt;&gt;1,"",IF(I5093="SBJ","CB","?"))</f>
        <v> </v>
      </c>
      <c r="I5093" s="26" t="str">
        <f>IF(OR(E5093="",E5093="!!!",F5093="NEW"),"",INDEX(B5092:B$2,-1+SUMPRODUCT(MAX(ROW(E5092:E$2)*(E5093=E5092:E$2)))))</f>
        <v> </v>
      </c>
      <c r="J5093" s="26" t="str">
        <f>IF(OR(E5093="",E5093="!!!",F5093="NEW"),"",COUNTBLANK(OFFSET(A$1,,,SUMPRODUCT(MAX(ROW(E$2:E5093)*(E5093=E$2:E5093)))))-COUNTBLANK(OFFSET(A$1,,,SUMPRODUCT(MAX(ROW(E$1:E5092)*(E2=E$1:E5092))))))</f>
        <v> </v>
      </c>
      <c r="K5093" s="26" t="str">
        <f>IF(OR(E5093="",E5093="!!!",F5093="NEW"),"",INDEX(J$1:J5092,SUMPRODUCT(MAX(ROW(E$1:E5092)*(E5093=E$1:E5092)))))</f>
        <v> </v>
      </c>
      <c r="L5093" s="27"/>
    </row>
    <row r="5094" spans="1:12">
      <c r="A5094" s="20" t="s">
        <v>1061</v>
      </c>
      <c r="E5094" s="22">
        <f>IF(D5094="?OLD","!!!","")</f>
        <v/>
      </c>
      <c r="F5094" s="23" t="str">
        <f>IF(OR(E5094="",E5094="!!!"),"",IF(NOT(ISNA(VLOOKUP(E5094,E$1:E5093,1,FALSE()))),"OLD",IF(AND(E5094&lt;&gt;"",E5094&lt;&gt;"!!!"),"NEW","")))</f>
        <v> </v>
      </c>
      <c r="G5094" s="24" t="str">
        <f>IF(OR(E5094="",E5094="!!!"),"",IF(OR(J5094=0,AND(J5094=1,K5094=1),AND(J5094=1,I5094="SBJ"),AND(J5094=1,I5094=0)),"?IN_FOCUS",IF(J5094&lt;=2,"?ACTIVATED",IF(J5094&lt;&gt;"","?FAMILIAR",IF(F5094="NEW",IF(ISNA(VLOOKUP(E5094,#REF!,1,FALSE())),"?TYPE_IDENTIFIABLE","?REFERENTIAL"),"_")))))</f>
        <v> </v>
      </c>
      <c r="H5094" s="25" t="str">
        <f>IF(J5094&lt;&gt;1,"",IF(I5094="SBJ","CB","?"))</f>
        <v> </v>
      </c>
      <c r="I5094" s="26" t="str">
        <f>IF(OR(E5094="",E5094="!!!",F5094="NEW"),"",INDEX(B5093:B$2,-1+SUMPRODUCT(MAX(ROW(E5093:E$2)*(E5094=E5093:E$2)))))</f>
        <v> </v>
      </c>
      <c r="J5094" s="26" t="str">
        <f>IF(OR(E5094="",E5094="!!!",F5094="NEW"),"",COUNTBLANK(OFFSET(A$1,,,SUMPRODUCT(MAX(ROW(E$2:E5094)*(E5094=E$2:E5094)))))-COUNTBLANK(OFFSET(A$1,,,SUMPRODUCT(MAX(ROW(E$1:E5093)*(E2=E$1:E5093))))))</f>
        <v> </v>
      </c>
      <c r="K5094" s="26" t="str">
        <f>IF(OR(E5094="",E5094="!!!",F5094="NEW"),"",INDEX(J$1:J5093,SUMPRODUCT(MAX(ROW(E$1:E5093)*(E5094=E$1:E5093)))))</f>
        <v> </v>
      </c>
      <c r="L5094" s="27"/>
    </row>
    <row r="5095" spans="1:12">
      <c r="A5095" s="20" t="s">
        <v>1101</v>
      </c>
      <c r="E5095" s="22">
        <f>IF(D5095="?OLD","!!!","")</f>
        <v/>
      </c>
      <c r="F5095" s="23" t="str">
        <f>IF(OR(E5095="",E5095="!!!"),"",IF(NOT(ISNA(VLOOKUP(E5095,E$1:E5094,1,FALSE()))),"OLD",IF(AND(E5095&lt;&gt;"",E5095&lt;&gt;"!!!"),"NEW","")))</f>
        <v> </v>
      </c>
      <c r="G5095" s="24" t="str">
        <f>IF(OR(E5095="",E5095="!!!"),"",IF(OR(J5095=0,AND(J5095=1,K5095=1),AND(J5095=1,I5095="SBJ"),AND(J5095=1,I5095=0)),"?IN_FOCUS",IF(J5095&lt;=2,"?ACTIVATED",IF(J5095&lt;&gt;"","?FAMILIAR",IF(F5095="NEW",IF(ISNA(VLOOKUP(E5095,#REF!,1,FALSE())),"?TYPE_IDENTIFIABLE","?REFERENTIAL"),"_")))))</f>
        <v> </v>
      </c>
      <c r="H5095" s="25" t="str">
        <f>IF(J5095&lt;&gt;1,"",IF(I5095="SBJ","CB","?"))</f>
        <v> </v>
      </c>
      <c r="I5095" s="26" t="str">
        <f>IF(OR(E5095="",E5095="!!!",F5095="NEW"),"",INDEX(B5094:B$2,-1+SUMPRODUCT(MAX(ROW(E5094:E$2)*(E5095=E5094:E$2)))))</f>
        <v> </v>
      </c>
      <c r="J5095" s="26" t="str">
        <f>IF(OR(E5095="",E5095="!!!",F5095="NEW"),"",COUNTBLANK(OFFSET(A$1,,,SUMPRODUCT(MAX(ROW(E$2:E5095)*(E5095=E$2:E5095)))))-COUNTBLANK(OFFSET(A$1,,,SUMPRODUCT(MAX(ROW(E$1:E5094)*(E2=E$1:E5094))))))</f>
        <v> </v>
      </c>
      <c r="K5095" s="26" t="str">
        <f>IF(OR(E5095="",E5095="!!!",F5095="NEW"),"",INDEX(J$1:J5094,SUMPRODUCT(MAX(ROW(E$1:E5094)*(E5095=E$1:E5094)))))</f>
        <v> </v>
      </c>
      <c r="L5095" s="27"/>
    </row>
    <row r="5096" spans="1:12">
      <c r="A5096" s="20" t="s">
        <v>1328</v>
      </c>
      <c r="E5096" s="22">
        <f>IF(D5096="?OLD","!!!","")</f>
        <v/>
      </c>
      <c r="F5096" s="23" t="str">
        <f>IF(OR(E5096="",E5096="!!!"),"",IF(NOT(ISNA(VLOOKUP(E5096,E$1:E5095,1,FALSE()))),"OLD",IF(AND(E5096&lt;&gt;"",E5096&lt;&gt;"!!!"),"NEW","")))</f>
        <v> </v>
      </c>
      <c r="G5096" s="24" t="str">
        <f>IF(OR(E5096="",E5096="!!!"),"",IF(OR(J5096=0,AND(J5096=1,K5096=1),AND(J5096=1,I5096="SBJ"),AND(J5096=1,I5096=0)),"?IN_FOCUS",IF(J5096&lt;=2,"?ACTIVATED",IF(J5096&lt;&gt;"","?FAMILIAR",IF(F5096="NEW",IF(ISNA(VLOOKUP(E5096,#REF!,1,FALSE())),"?TYPE_IDENTIFIABLE","?REFERENTIAL"),"_")))))</f>
        <v> </v>
      </c>
      <c r="H5096" s="25" t="str">
        <f>IF(J5096&lt;&gt;1,"",IF(I5096="SBJ","CB","?"))</f>
        <v> </v>
      </c>
      <c r="I5096" s="26" t="str">
        <f>IF(OR(E5096="",E5096="!!!",F5096="NEW"),"",INDEX(B5095:B$2,-1+SUMPRODUCT(MAX(ROW(E5095:E$2)*(E5096=E5095:E$2)))))</f>
        <v> </v>
      </c>
      <c r="J5096" s="26" t="str">
        <f>IF(OR(E5096="",E5096="!!!",F5096="NEW"),"",COUNTBLANK(OFFSET(A$1,,,SUMPRODUCT(MAX(ROW(E$2:E5096)*(E5096=E$2:E5096)))))-COUNTBLANK(OFFSET(A$1,,,SUMPRODUCT(MAX(ROW(E$1:E5095)*(E2=E$1:E5095))))))</f>
        <v> </v>
      </c>
      <c r="K5096" s="26" t="str">
        <f>IF(OR(E5096="",E5096="!!!",F5096="NEW"),"",INDEX(J$1:J5095,SUMPRODUCT(MAX(ROW(E$1:E5095)*(E5096=E$1:E5095)))))</f>
        <v> </v>
      </c>
      <c r="L5096" s="27"/>
    </row>
    <row r="5097" spans="1:12">
      <c r="A5097" s="20" t="s">
        <v>2453</v>
      </c>
      <c r="B5097" s="21" t="s">
        <v>1064</v>
      </c>
      <c r="C5097" s="21" t="s">
        <v>1140</v>
      </c>
      <c r="D5097" s="21" t="s">
        <v>1060</v>
      </c>
      <c r="E5097" s="22">
        <f>IF(D5097="?OLD","!!!","")</f>
        <v/>
      </c>
      <c r="F5097" s="23" t="str">
        <f>IF(OR(E5097="",E5097="!!!"),"",IF(NOT(ISNA(VLOOKUP(E5097,E$1:E5096,1,FALSE()))),"OLD",IF(AND(E5097&lt;&gt;"",E5097&lt;&gt;"!!!"),"NEW","")))</f>
        <v> </v>
      </c>
      <c r="G5097" s="24" t="str">
        <f>IF(OR(E5097="",E5097="!!!"),"",IF(OR(J5097=0,AND(J5097=1,K5097=1),AND(J5097=1,I5097="SBJ"),AND(J5097=1,I5097=0)),"?IN_FOCUS",IF(J5097&lt;=2,"?ACTIVATED",IF(J5097&lt;&gt;"","?FAMILIAR",IF(F5097="NEW",IF(ISNA(VLOOKUP(E5097,#REF!,1,FALSE())),"?TYPE_IDENTIFIABLE","?REFERENTIAL"),"_")))))</f>
        <v> </v>
      </c>
      <c r="H5097" s="25" t="str">
        <f>IF(J5097&lt;&gt;1,"",IF(I5097="SBJ","CB","?"))</f>
        <v> </v>
      </c>
      <c r="I5097" s="26" t="str">
        <f>IF(OR(E5097="",E5097="!!!",F5097="NEW"),"",INDEX(B5096:B$2,-1+SUMPRODUCT(MAX(ROW(E5096:E$2)*(E5097=E5096:E$2)))))</f>
        <v> </v>
      </c>
      <c r="J5097" s="26" t="str">
        <f>IF(OR(E5097="",E5097="!!!",F5097="NEW"),"",COUNTBLANK(OFFSET(A$1,,,SUMPRODUCT(MAX(ROW(E$2:E5097)*(E5097=E$2:E5097)))))-COUNTBLANK(OFFSET(A$1,,,SUMPRODUCT(MAX(ROW(E$1:E5096)*(E2=E$1:E5096))))))</f>
        <v> </v>
      </c>
      <c r="K5097" s="26" t="str">
        <f>IF(OR(E5097="",E5097="!!!",F5097="NEW"),"",INDEX(J$1:J5096,SUMPRODUCT(MAX(ROW(E$1:E5096)*(E5097=E$1:E5096)))))</f>
        <v> </v>
      </c>
      <c r="L5097" s="27"/>
    </row>
    <row r="5098" spans="1:12">
      <c r="A5098" s="20" t="s">
        <v>1115</v>
      </c>
      <c r="B5098" s="21" t="s">
        <v>1331</v>
      </c>
      <c r="E5098" s="22">
        <f>IF(D5098="?OLD","!!!","")</f>
        <v/>
      </c>
      <c r="F5098" s="23" t="str">
        <f>IF(OR(E5098="",E5098="!!!"),"",IF(NOT(ISNA(VLOOKUP(E5098,E$1:E5097,1,FALSE()))),"OLD",IF(AND(E5098&lt;&gt;"",E5098&lt;&gt;"!!!"),"NEW","")))</f>
        <v> </v>
      </c>
      <c r="G5098" s="24" t="str">
        <f>IF(OR(E5098="",E5098="!!!"),"",IF(OR(J5098=0,AND(J5098=1,K5098=1),AND(J5098=1,I5098="SBJ"),AND(J5098=1,I5098=0)),"?IN_FOCUS",IF(J5098&lt;=2,"?ACTIVATED",IF(J5098&lt;&gt;"","?FAMILIAR",IF(F5098="NEW",IF(ISNA(VLOOKUP(E5098,#REF!,1,FALSE())),"?TYPE_IDENTIFIABLE","?REFERENTIAL"),"_")))))</f>
        <v> </v>
      </c>
      <c r="H5098" s="25" t="str">
        <f>IF(J5098&lt;&gt;1,"",IF(I5098="SBJ","CB","?"))</f>
        <v> </v>
      </c>
      <c r="I5098" s="26" t="str">
        <f>IF(OR(E5098="",E5098="!!!",F5098="NEW"),"",INDEX(B5097:B$2,-1+SUMPRODUCT(MAX(ROW(E5097:E$2)*(E5098=E5097:E$2)))))</f>
        <v> </v>
      </c>
      <c r="J5098" s="26" t="str">
        <f>IF(OR(E5098="",E5098="!!!",F5098="NEW"),"",COUNTBLANK(OFFSET(A$1,,,SUMPRODUCT(MAX(ROW(E$2:E5098)*(E5098=E$2:E5098)))))-COUNTBLANK(OFFSET(A$1,,,SUMPRODUCT(MAX(ROW(E$1:E5097)*(E2=E$1:E5097))))))</f>
        <v> </v>
      </c>
      <c r="K5098" s="26" t="str">
        <f>IF(OR(E5098="",E5098="!!!",F5098="NEW"),"",INDEX(J$1:J5097,SUMPRODUCT(MAX(ROW(E$1:E5097)*(E5098=E$1:E5097)))))</f>
        <v> </v>
      </c>
      <c r="L5098" s="27"/>
    </row>
    <row r="5099" spans="1:12">
      <c r="A5099" s="20" t="s">
        <v>1152</v>
      </c>
      <c r="E5099" s="22">
        <f>IF(D5099="?OLD","!!!","")</f>
        <v/>
      </c>
      <c r="F5099" s="23" t="str">
        <f>IF(OR(E5099="",E5099="!!!"),"",IF(NOT(ISNA(VLOOKUP(E5099,E$1:E5098,1,FALSE()))),"OLD",IF(AND(E5099&lt;&gt;"",E5099&lt;&gt;"!!!"),"NEW","")))</f>
        <v> </v>
      </c>
      <c r="G5099" s="24" t="str">
        <f>IF(OR(E5099="",E5099="!!!"),"",IF(OR(J5099=0,AND(J5099=1,K5099=1),AND(J5099=1,I5099="SBJ"),AND(J5099=1,I5099=0)),"?IN_FOCUS",IF(J5099&lt;=2,"?ACTIVATED",IF(J5099&lt;&gt;"","?FAMILIAR",IF(F5099="NEW",IF(ISNA(VLOOKUP(E5099,#REF!,1,FALSE())),"?TYPE_IDENTIFIABLE","?REFERENTIAL"),"_")))))</f>
        <v> </v>
      </c>
      <c r="H5099" s="25" t="str">
        <f>IF(J5099&lt;&gt;1,"",IF(I5099="SBJ","CB","?"))</f>
        <v> </v>
      </c>
      <c r="I5099" s="26" t="str">
        <f>IF(OR(E5099="",E5099="!!!",F5099="NEW"),"",INDEX(B5098:B$2,-1+SUMPRODUCT(MAX(ROW(E5098:E$2)*(E5099=E5098:E$2)))))</f>
        <v> </v>
      </c>
      <c r="J5099" s="26" t="str">
        <f>IF(OR(E5099="",E5099="!!!",F5099="NEW"),"",COUNTBLANK(OFFSET(A$1,,,SUMPRODUCT(MAX(ROW(E$2:E5099)*(E5099=E$2:E5099)))))-COUNTBLANK(OFFSET(A$1,,,SUMPRODUCT(MAX(ROW(E$1:E5098)*(E2=E$1:E5098))))))</f>
        <v> </v>
      </c>
      <c r="K5099" s="26" t="str">
        <f>IF(OR(E5099="",E5099="!!!",F5099="NEW"),"",INDEX(J$1:J5098,SUMPRODUCT(MAX(ROW(E$1:E5098)*(E5099=E$1:E5098)))))</f>
        <v> </v>
      </c>
      <c r="L5099" s="27"/>
    </row>
    <row r="5100" spans="1:12">
      <c r="A5100" s="20" t="s">
        <v>2462</v>
      </c>
      <c r="E5100" s="22">
        <f>IF(D5100="?OLD","!!!","")</f>
        <v/>
      </c>
      <c r="F5100" s="23" t="str">
        <f>IF(OR(E5100="",E5100="!!!"),"",IF(NOT(ISNA(VLOOKUP(E5100,E$1:E5099,1,FALSE()))),"OLD",IF(AND(E5100&lt;&gt;"",E5100&lt;&gt;"!!!"),"NEW","")))</f>
        <v> </v>
      </c>
      <c r="G5100" s="24" t="str">
        <f>IF(OR(E5100="",E5100="!!!"),"",IF(OR(J5100=0,AND(J5100=1,K5100=1),AND(J5100=1,I5100="SBJ"),AND(J5100=1,I5100=0)),"?IN_FOCUS",IF(J5100&lt;=2,"?ACTIVATED",IF(J5100&lt;&gt;"","?FAMILIAR",IF(F5100="NEW",IF(ISNA(VLOOKUP(E5100,#REF!,1,FALSE())),"?TYPE_IDENTIFIABLE","?REFERENTIAL"),"_")))))</f>
        <v> </v>
      </c>
      <c r="H5100" s="25" t="str">
        <f>IF(J5100&lt;&gt;1,"",IF(I5100="SBJ","CB","?"))</f>
        <v> </v>
      </c>
      <c r="I5100" s="26" t="str">
        <f>IF(OR(E5100="",E5100="!!!",F5100="NEW"),"",INDEX(B5099:B$2,-1+SUMPRODUCT(MAX(ROW(E5099:E$2)*(E5100=E5099:E$2)))))</f>
        <v> </v>
      </c>
      <c r="J5100" s="26" t="str">
        <f>IF(OR(E5100="",E5100="!!!",F5100="NEW"),"",COUNTBLANK(OFFSET(A$1,,,SUMPRODUCT(MAX(ROW(E$2:E5100)*(E5100=E$2:E5100)))))-COUNTBLANK(OFFSET(A$1,,,SUMPRODUCT(MAX(ROW(E$1:E5099)*(E2=E$1:E5099))))))</f>
        <v> </v>
      </c>
      <c r="K5100" s="26" t="str">
        <f>IF(OR(E5100="",E5100="!!!",F5100="NEW"),"",INDEX(J$1:J5099,SUMPRODUCT(MAX(ROW(E$1:E5099)*(E5100=E$1:E5099)))))</f>
        <v> </v>
      </c>
      <c r="L5100" s="27"/>
    </row>
    <row r="5101" spans="1:12">
      <c r="A5101" s="20" t="s">
        <v>1127</v>
      </c>
      <c r="B5101" s="21" t="s">
        <v>1121</v>
      </c>
      <c r="C5101" s="21" t="s">
        <v>1076</v>
      </c>
      <c r="D5101" s="21" t="s">
        <v>1060</v>
      </c>
      <c r="E5101" s="22">
        <f>IF(D5101="?OLD","!!!","")</f>
        <v/>
      </c>
      <c r="F5101" s="23" t="str">
        <f>IF(OR(E5101="",E5101="!!!"),"",IF(NOT(ISNA(VLOOKUP(E5101,E$1:E5100,1,FALSE()))),"OLD",IF(AND(E5101&lt;&gt;"",E5101&lt;&gt;"!!!"),"NEW","")))</f>
        <v> </v>
      </c>
      <c r="G5101" s="24" t="str">
        <f>IF(OR(E5101="",E5101="!!!"),"",IF(OR(J5101=0,AND(J5101=1,K5101=1),AND(J5101=1,I5101="SBJ"),AND(J5101=1,I5101=0)),"?IN_FOCUS",IF(J5101&lt;=2,"?ACTIVATED",IF(J5101&lt;&gt;"","?FAMILIAR",IF(F5101="NEW",IF(ISNA(VLOOKUP(E5101,#REF!,1,FALSE())),"?TYPE_IDENTIFIABLE","?REFERENTIAL"),"_")))))</f>
        <v> </v>
      </c>
      <c r="H5101" s="25" t="str">
        <f>IF(J5101&lt;&gt;1,"",IF(I5101="SBJ","CB","?"))</f>
        <v> </v>
      </c>
      <c r="I5101" s="26" t="str">
        <f>IF(OR(E5101="",E5101="!!!",F5101="NEW"),"",INDEX(B5100:B$2,-1+SUMPRODUCT(MAX(ROW(E5100:E$2)*(E5101=E5100:E$2)))))</f>
        <v> </v>
      </c>
      <c r="J5101" s="26" t="str">
        <f>IF(OR(E5101="",E5101="!!!",F5101="NEW"),"",COUNTBLANK(OFFSET(A$1,,,SUMPRODUCT(MAX(ROW(E$2:E5101)*(E5101=E$2:E5101)))))-COUNTBLANK(OFFSET(A$1,,,SUMPRODUCT(MAX(ROW(E$1:E5100)*(E2=E$1:E5100))))))</f>
        <v> </v>
      </c>
      <c r="K5101" s="26" t="str">
        <f>IF(OR(E5101="",E5101="!!!",F5101="NEW"),"",INDEX(J$1:J5100,SUMPRODUCT(MAX(ROW(E$1:E5100)*(E5101=E$1:E5100)))))</f>
        <v> </v>
      </c>
      <c r="L5101" s="27"/>
    </row>
    <row r="5102" spans="1:12">
      <c r="A5102" s="20" t="s">
        <v>1160</v>
      </c>
      <c r="E5102" s="22">
        <f>IF(D5102="?OLD","!!!","")</f>
        <v/>
      </c>
      <c r="F5102" s="23" t="str">
        <f>IF(OR(E5102="",E5102="!!!"),"",IF(NOT(ISNA(VLOOKUP(E5102,E$1:E5101,1,FALSE()))),"OLD",IF(AND(E5102&lt;&gt;"",E5102&lt;&gt;"!!!"),"NEW","")))</f>
        <v> </v>
      </c>
      <c r="G5102" s="24" t="str">
        <f>IF(OR(E5102="",E5102="!!!"),"",IF(OR(J5102=0,AND(J5102=1,K5102=1),AND(J5102=1,I5102="SBJ"),AND(J5102=1,I5102=0)),"?IN_FOCUS",IF(J5102&lt;=2,"?ACTIVATED",IF(J5102&lt;&gt;"","?FAMILIAR",IF(F5102="NEW",IF(ISNA(VLOOKUP(E5102,#REF!,1,FALSE())),"?TYPE_IDENTIFIABLE","?REFERENTIAL"),"_")))))</f>
        <v> </v>
      </c>
      <c r="H5102" s="25" t="str">
        <f>IF(J5102&lt;&gt;1,"",IF(I5102="SBJ","CB","?"))</f>
        <v> </v>
      </c>
      <c r="I5102" s="26" t="str">
        <f>IF(OR(E5102="",E5102="!!!",F5102="NEW"),"",INDEX(B5101:B$2,-1+SUMPRODUCT(MAX(ROW(E5101:E$2)*(E5102=E5101:E$2)))))</f>
        <v> </v>
      </c>
      <c r="J5102" s="26" t="str">
        <f>IF(OR(E5102="",E5102="!!!",F5102="NEW"),"",COUNTBLANK(OFFSET(A$1,,,SUMPRODUCT(MAX(ROW(E$2:E5102)*(E5102=E$2:E5102)))))-COUNTBLANK(OFFSET(A$1,,,SUMPRODUCT(MAX(ROW(E$1:E5101)*(E2=E$1:E5101))))))</f>
        <v> </v>
      </c>
      <c r="K5102" s="26" t="str">
        <f>IF(OR(E5102="",E5102="!!!",F5102="NEW"),"",INDEX(J$1:J5101,SUMPRODUCT(MAX(ROW(E$1:E5101)*(E5102=E$1:E5101)))))</f>
        <v> </v>
      </c>
      <c r="L5102" s="27"/>
    </row>
    <row r="5103" spans="1:12">
      <c r="A5103" s="20" t="s">
        <v>1070</v>
      </c>
      <c r="E5103" s="22">
        <f>IF(D5103="?OLD","!!!","")</f>
        <v/>
      </c>
      <c r="F5103" s="23" t="str">
        <f>IF(OR(E5103="",E5103="!!!"),"",IF(NOT(ISNA(VLOOKUP(E5103,E$1:E5102,1,FALSE()))),"OLD",IF(AND(E5103&lt;&gt;"",E5103&lt;&gt;"!!!"),"NEW","")))</f>
        <v> </v>
      </c>
      <c r="G5103" s="24" t="str">
        <f>IF(OR(E5103="",E5103="!!!"),"",IF(OR(J5103=0,AND(J5103=1,K5103=1),AND(J5103=1,I5103="SBJ"),AND(J5103=1,I5103=0)),"?IN_FOCUS",IF(J5103&lt;=2,"?ACTIVATED",IF(J5103&lt;&gt;"","?FAMILIAR",IF(F5103="NEW",IF(ISNA(VLOOKUP(E5103,#REF!,1,FALSE())),"?TYPE_IDENTIFIABLE","?REFERENTIAL"),"_")))))</f>
        <v> </v>
      </c>
      <c r="H5103" s="25" t="str">
        <f>IF(J5103&lt;&gt;1,"",IF(I5103="SBJ","CB","?"))</f>
        <v> </v>
      </c>
      <c r="I5103" s="26" t="str">
        <f>IF(OR(E5103="",E5103="!!!",F5103="NEW"),"",INDEX(B5102:B$2,-1+SUMPRODUCT(MAX(ROW(E5102:E$2)*(E5103=E5102:E$2)))))</f>
        <v> </v>
      </c>
      <c r="J5103" s="26" t="str">
        <f>IF(OR(E5103="",E5103="!!!",F5103="NEW"),"",COUNTBLANK(OFFSET(A$1,,,SUMPRODUCT(MAX(ROW(E$2:E5103)*(E5103=E$2:E5103)))))-COUNTBLANK(OFFSET(A$1,,,SUMPRODUCT(MAX(ROW(E$1:E5102)*(E2=E$1:E5102))))))</f>
        <v> </v>
      </c>
      <c r="K5103" s="26" t="str">
        <f>IF(OR(E5103="",E5103="!!!",F5103="NEW"),"",INDEX(J$1:J5102,SUMPRODUCT(MAX(ROW(E$1:E5102)*(E5103=E$1:E5102)))))</f>
        <v> </v>
      </c>
      <c r="L5103" s="27"/>
    </row>
    <row r="5104" spans="1:12">
      <c r="A5104" s="20" t="s">
        <v>1311</v>
      </c>
      <c r="E5104" s="22">
        <f>IF(D5104="?OLD","!!!","")</f>
        <v/>
      </c>
      <c r="F5104" s="23" t="str">
        <f>IF(OR(E5104="",E5104="!!!"),"",IF(NOT(ISNA(VLOOKUP(E5104,E$1:E5103,1,FALSE()))),"OLD",IF(AND(E5104&lt;&gt;"",E5104&lt;&gt;"!!!"),"NEW","")))</f>
        <v> </v>
      </c>
      <c r="G5104" s="24" t="str">
        <f>IF(OR(E5104="",E5104="!!!"),"",IF(OR(J5104=0,AND(J5104=1,K5104=1),AND(J5104=1,I5104="SBJ"),AND(J5104=1,I5104=0)),"?IN_FOCUS",IF(J5104&lt;=2,"?ACTIVATED",IF(J5104&lt;&gt;"","?FAMILIAR",IF(F5104="NEW",IF(ISNA(VLOOKUP(E5104,#REF!,1,FALSE())),"?TYPE_IDENTIFIABLE","?REFERENTIAL"),"_")))))</f>
        <v> </v>
      </c>
      <c r="H5104" s="25" t="str">
        <f>IF(J5104&lt;&gt;1,"",IF(I5104="SBJ","CB","?"))</f>
        <v> </v>
      </c>
      <c r="I5104" s="26" t="str">
        <f>IF(OR(E5104="",E5104="!!!",F5104="NEW"),"",INDEX(B5103:B$2,-1+SUMPRODUCT(MAX(ROW(E5103:E$2)*(E5104=E5103:E$2)))))</f>
        <v> </v>
      </c>
      <c r="J5104" s="26" t="str">
        <f>IF(OR(E5104="",E5104="!!!",F5104="NEW"),"",COUNTBLANK(OFFSET(A$1,,,SUMPRODUCT(MAX(ROW(E$2:E5104)*(E5104=E$2:E5104)))))-COUNTBLANK(OFFSET(A$1,,,SUMPRODUCT(MAX(ROW(E$1:E5103)*(E2=E$1:E5103))))))</f>
        <v> </v>
      </c>
      <c r="K5104" s="26" t="str">
        <f>IF(OR(E5104="",E5104="!!!",F5104="NEW"),"",INDEX(J$1:J5103,SUMPRODUCT(MAX(ROW(E$1:E5103)*(E5104=E$1:E5103)))))</f>
        <v> </v>
      </c>
      <c r="L5104" s="27"/>
    </row>
    <row r="5105" spans="1:12">
      <c r="A5105" s="20" t="s">
        <v>1197</v>
      </c>
      <c r="E5105" s="22">
        <f>IF(D5105="?OLD","!!!","")</f>
        <v/>
      </c>
      <c r="F5105" s="23" t="str">
        <f>IF(OR(E5105="",E5105="!!!"),"",IF(NOT(ISNA(VLOOKUP(E5105,E$1:E5104,1,FALSE()))),"OLD",IF(AND(E5105&lt;&gt;"",E5105&lt;&gt;"!!!"),"NEW","")))</f>
        <v> </v>
      </c>
      <c r="G5105" s="24" t="str">
        <f>IF(OR(E5105="",E5105="!!!"),"",IF(OR(J5105=0,AND(J5105=1,K5105=1),AND(J5105=1,I5105="SBJ"),AND(J5105=1,I5105=0)),"?IN_FOCUS",IF(J5105&lt;=2,"?ACTIVATED",IF(J5105&lt;&gt;"","?FAMILIAR",IF(F5105="NEW",IF(ISNA(VLOOKUP(E5105,#REF!,1,FALSE())),"?TYPE_IDENTIFIABLE","?REFERENTIAL"),"_")))))</f>
        <v> </v>
      </c>
      <c r="H5105" s="25" t="str">
        <f>IF(J5105&lt;&gt;1,"",IF(I5105="SBJ","CB","?"))</f>
        <v> </v>
      </c>
      <c r="I5105" s="26" t="str">
        <f>IF(OR(E5105="",E5105="!!!",F5105="NEW"),"",INDEX(B5104:B$2,-1+SUMPRODUCT(MAX(ROW(E5104:E$2)*(E5105=E5104:E$2)))))</f>
        <v> </v>
      </c>
      <c r="J5105" s="26" t="str">
        <f>IF(OR(E5105="",E5105="!!!",F5105="NEW"),"",COUNTBLANK(OFFSET(A$1,,,SUMPRODUCT(MAX(ROW(E$2:E5105)*(E5105=E$2:E5105)))))-COUNTBLANK(OFFSET(A$1,,,SUMPRODUCT(MAX(ROW(E$1:E5104)*(E2=E$1:E5104))))))</f>
        <v> </v>
      </c>
      <c r="K5105" s="26" t="str">
        <f>IF(OR(E5105="",E5105="!!!",F5105="NEW"),"",INDEX(J$1:J5104,SUMPRODUCT(MAX(ROW(E$1:E5104)*(E5105=E$1:E5104)))))</f>
        <v> </v>
      </c>
      <c r="L5105" s="27"/>
    </row>
    <row r="5106" spans="1:12">
      <c r="A5106" s="20" t="s">
        <v>1118</v>
      </c>
      <c r="E5106" s="22">
        <f>IF(D5106="?OLD","!!!","")</f>
        <v/>
      </c>
      <c r="F5106" s="23" t="str">
        <f>IF(OR(E5106="",E5106="!!!"),"",IF(NOT(ISNA(VLOOKUP(E5106,E$1:E5105,1,FALSE()))),"OLD",IF(AND(E5106&lt;&gt;"",E5106&lt;&gt;"!!!"),"NEW","")))</f>
        <v> </v>
      </c>
      <c r="G5106" s="24" t="str">
        <f>IF(OR(E5106="",E5106="!!!"),"",IF(OR(J5106=0,AND(J5106=1,K5106=1),AND(J5106=1,I5106="SBJ"),AND(J5106=1,I5106=0)),"?IN_FOCUS",IF(J5106&lt;=2,"?ACTIVATED",IF(J5106&lt;&gt;"","?FAMILIAR",IF(F5106="NEW",IF(ISNA(VLOOKUP(E5106,#REF!,1,FALSE())),"?TYPE_IDENTIFIABLE","?REFERENTIAL"),"_")))))</f>
        <v> </v>
      </c>
      <c r="H5106" s="25" t="str">
        <f>IF(J5106&lt;&gt;1,"",IF(I5106="SBJ","CB","?"))</f>
        <v> </v>
      </c>
      <c r="I5106" s="26" t="str">
        <f>IF(OR(E5106="",E5106="!!!",F5106="NEW"),"",INDEX(B5105:B$2,-1+SUMPRODUCT(MAX(ROW(E5105:E$2)*(E5106=E5105:E$2)))))</f>
        <v> </v>
      </c>
      <c r="J5106" s="26" t="str">
        <f>IF(OR(E5106="",E5106="!!!",F5106="NEW"),"",COUNTBLANK(OFFSET(A$1,,,SUMPRODUCT(MAX(ROW(E$2:E5106)*(E5106=E$2:E5106)))))-COUNTBLANK(OFFSET(A$1,,,SUMPRODUCT(MAX(ROW(E$1:E5105)*(E2=E$1:E5105))))))</f>
        <v> </v>
      </c>
      <c r="K5106" s="26" t="str">
        <f>IF(OR(E5106="",E5106="!!!",F5106="NEW"),"",INDEX(J$1:J5105,SUMPRODUCT(MAX(ROW(E$1:E5105)*(E5106=E$1:E5105)))))</f>
        <v> </v>
      </c>
      <c r="L5106" s="27"/>
    </row>
    <row r="5107" spans="1:12">
      <c r="A5107" s="20" t="s">
        <v>1981</v>
      </c>
      <c r="E5107" s="22">
        <f>IF(D5107="?OLD","!!!","")</f>
        <v/>
      </c>
      <c r="F5107" s="23" t="str">
        <f>IF(OR(E5107="",E5107="!!!"),"",IF(NOT(ISNA(VLOOKUP(E5107,E$1:E5106,1,FALSE()))),"OLD",IF(AND(E5107&lt;&gt;"",E5107&lt;&gt;"!!!"),"NEW","")))</f>
        <v> </v>
      </c>
      <c r="G5107" s="24" t="str">
        <f>IF(OR(E5107="",E5107="!!!"),"",IF(OR(J5107=0,AND(J5107=1,K5107=1),AND(J5107=1,I5107="SBJ"),AND(J5107=1,I5107=0)),"?IN_FOCUS",IF(J5107&lt;=2,"?ACTIVATED",IF(J5107&lt;&gt;"","?FAMILIAR",IF(F5107="NEW",IF(ISNA(VLOOKUP(E5107,#REF!,1,FALSE())),"?TYPE_IDENTIFIABLE","?REFERENTIAL"),"_")))))</f>
        <v> </v>
      </c>
      <c r="H5107" s="25" t="str">
        <f>IF(J5107&lt;&gt;1,"",IF(I5107="SBJ","CB","?"))</f>
        <v> </v>
      </c>
      <c r="I5107" s="26" t="str">
        <f>IF(OR(E5107="",E5107="!!!",F5107="NEW"),"",INDEX(B5106:B$2,-1+SUMPRODUCT(MAX(ROW(E5106:E$2)*(E5107=E5106:E$2)))))</f>
        <v> </v>
      </c>
      <c r="J5107" s="26" t="str">
        <f>IF(OR(E5107="",E5107="!!!",F5107="NEW"),"",COUNTBLANK(OFFSET(A$1,,,SUMPRODUCT(MAX(ROW(E$2:E5107)*(E5107=E$2:E5107)))))-COUNTBLANK(OFFSET(A$1,,,SUMPRODUCT(MAX(ROW(E$1:E5106)*(E2=E$1:E5106))))))</f>
        <v> </v>
      </c>
      <c r="K5107" s="26" t="str">
        <f>IF(OR(E5107="",E5107="!!!",F5107="NEW"),"",INDEX(J$1:J5106,SUMPRODUCT(MAX(ROW(E$1:E5106)*(E5107=E$1:E5106)))))</f>
        <v> </v>
      </c>
      <c r="L5107" s="27"/>
    </row>
    <row r="5108" spans="1:12">
      <c r="A5108" s="20" t="s">
        <v>16</v>
      </c>
      <c r="E5108" s="22">
        <f>IF(D5108="?OLD","!!!","")</f>
        <v/>
      </c>
      <c r="F5108" s="23" t="str">
        <f>IF(OR(E5108="",E5108="!!!"),"",IF(NOT(ISNA(VLOOKUP(E5108,E$1:E5107,1,FALSE()))),"OLD",IF(AND(E5108&lt;&gt;"",E5108&lt;&gt;"!!!"),"NEW","")))</f>
        <v> </v>
      </c>
      <c r="G5108" s="24" t="str">
        <f>IF(OR(E5108="",E5108="!!!"),"",IF(OR(J5108=0,AND(J5108=1,K5108=1),AND(J5108=1,I5108="SBJ"),AND(J5108=1,I5108=0)),"?IN_FOCUS",IF(J5108&lt;=2,"?ACTIVATED",IF(J5108&lt;&gt;"","?FAMILIAR",IF(F5108="NEW",IF(ISNA(VLOOKUP(E5108,#REF!,1,FALSE())),"?TYPE_IDENTIFIABLE","?REFERENTIAL"),"_")))))</f>
        <v> </v>
      </c>
      <c r="H5108" s="25" t="str">
        <f>IF(J5108&lt;&gt;1,"",IF(I5108="SBJ","CB","?"))</f>
        <v> </v>
      </c>
      <c r="I5108" s="26" t="str">
        <f>IF(OR(E5108="",E5108="!!!",F5108="NEW"),"",INDEX(B5107:B$2,-1+SUMPRODUCT(MAX(ROW(E5107:E$2)*(E5108=E5107:E$2)))))</f>
        <v> </v>
      </c>
      <c r="J5108" s="26" t="str">
        <f>IF(OR(E5108="",E5108="!!!",F5108="NEW"),"",COUNTBLANK(OFFSET(A$1,,,SUMPRODUCT(MAX(ROW(E$2:E5108)*(E5108=E$2:E5108)))))-COUNTBLANK(OFFSET(A$1,,,SUMPRODUCT(MAX(ROW(E$1:E5107)*(E2=E$1:E5107))))))</f>
        <v> </v>
      </c>
      <c r="K5108" s="26" t="str">
        <f>IF(OR(E5108="",E5108="!!!",F5108="NEW"),"",INDEX(J$1:J5107,SUMPRODUCT(MAX(ROW(E$1:E5107)*(E5108=E$1:E5107)))))</f>
        <v> </v>
      </c>
      <c r="L5108" s="27"/>
    </row>
    <row r="5109" spans="1:12">
      <c r="A5109" s="20" t="s">
        <v>2463</v>
      </c>
      <c r="E5109" s="22">
        <f>IF(D5109="?OLD","!!!","")</f>
        <v/>
      </c>
      <c r="F5109" s="23" t="str">
        <f>IF(OR(E5109="",E5109="!!!"),"",IF(NOT(ISNA(VLOOKUP(E5109,E$1:E5108,1,FALSE()))),"OLD",IF(AND(E5109&lt;&gt;"",E5109&lt;&gt;"!!!"),"NEW","")))</f>
        <v> </v>
      </c>
      <c r="G5109" s="24" t="str">
        <f>IF(OR(E5109="",E5109="!!!"),"",IF(OR(J5109=0,AND(J5109=1,K5109=1),AND(J5109=1,I5109="SBJ"),AND(J5109=1,I5109=0)),"?IN_FOCUS",IF(J5109&lt;=2,"?ACTIVATED",IF(J5109&lt;&gt;"","?FAMILIAR",IF(F5109="NEW",IF(ISNA(VLOOKUP(E5109,#REF!,1,FALSE())),"?TYPE_IDENTIFIABLE","?REFERENTIAL"),"_")))))</f>
        <v> </v>
      </c>
      <c r="H5109" s="25" t="str">
        <f>IF(J5109&lt;&gt;1,"",IF(I5109="SBJ","CB","?"))</f>
        <v> </v>
      </c>
      <c r="I5109" s="26" t="str">
        <f>IF(OR(E5109="",E5109="!!!",F5109="NEW"),"",INDEX(B5108:B$2,-1+SUMPRODUCT(MAX(ROW(E5108:E$2)*(E5109=E5108:E$2)))))</f>
        <v> </v>
      </c>
      <c r="J5109" s="26" t="str">
        <f>IF(OR(E5109="",E5109="!!!",F5109="NEW"),"",COUNTBLANK(OFFSET(A$1,,,SUMPRODUCT(MAX(ROW(E$2:E5109)*(E5109=E$2:E5109)))))-COUNTBLANK(OFFSET(A$1,,,SUMPRODUCT(MAX(ROW(E$1:E5108)*(E2=E$1:E5108))))))</f>
        <v> </v>
      </c>
      <c r="K5109" s="26" t="str">
        <f>IF(OR(E5109="",E5109="!!!",F5109="NEW"),"",INDEX(J$1:J5108,SUMPRODUCT(MAX(ROW(E$1:E5108)*(E5109=E$1:E5108)))))</f>
        <v> </v>
      </c>
      <c r="L5109" s="27"/>
    </row>
    <row r="5110" spans="1:12">
      <c r="A5110" s="20" t="s">
        <v>1733</v>
      </c>
      <c r="B5110" s="21" t="s">
        <v>1058</v>
      </c>
      <c r="C5110" s="21" t="s">
        <v>1159</v>
      </c>
      <c r="D5110" s="21" t="s">
        <v>1060</v>
      </c>
      <c r="E5110" s="22">
        <f>IF(D5110="?OLD","!!!","")</f>
        <v/>
      </c>
      <c r="F5110" s="23" t="str">
        <f>IF(OR(E5110="",E5110="!!!"),"",IF(NOT(ISNA(VLOOKUP(E5110,E$1:E5109,1,FALSE()))),"OLD",IF(AND(E5110&lt;&gt;"",E5110&lt;&gt;"!!!"),"NEW","")))</f>
        <v> </v>
      </c>
      <c r="G5110" s="24" t="str">
        <f>IF(OR(E5110="",E5110="!!!"),"",IF(OR(J5110=0,AND(J5110=1,K5110=1),AND(J5110=1,I5110="SBJ"),AND(J5110=1,I5110=0)),"?IN_FOCUS",IF(J5110&lt;=2,"?ACTIVATED",IF(J5110&lt;&gt;"","?FAMILIAR",IF(F5110="NEW",IF(ISNA(VLOOKUP(E5110,#REF!,1,FALSE())),"?TYPE_IDENTIFIABLE","?REFERENTIAL"),"_")))))</f>
        <v> </v>
      </c>
      <c r="H5110" s="25" t="str">
        <f>IF(J5110&lt;&gt;1,"",IF(I5110="SBJ","CB","?"))</f>
        <v> </v>
      </c>
      <c r="I5110" s="26" t="str">
        <f>IF(OR(E5110="",E5110="!!!",F5110="NEW"),"",INDEX(B5109:B$2,-1+SUMPRODUCT(MAX(ROW(E5109:E$2)*(E5110=E5109:E$2)))))</f>
        <v> </v>
      </c>
      <c r="J5110" s="26" t="str">
        <f>IF(OR(E5110="",E5110="!!!",F5110="NEW"),"",COUNTBLANK(OFFSET(A$1,,,SUMPRODUCT(MAX(ROW(E$2:E5110)*(E5110=E$2:E5110)))))-COUNTBLANK(OFFSET(A$1,,,SUMPRODUCT(MAX(ROW(E$1:E5109)*(E2=E$1:E5109))))))</f>
        <v> </v>
      </c>
      <c r="K5110" s="26" t="str">
        <f>IF(OR(E5110="",E5110="!!!",F5110="NEW"),"",INDEX(J$1:J5109,SUMPRODUCT(MAX(ROW(E$1:E5109)*(E5110=E$1:E5109)))))</f>
        <v> </v>
      </c>
      <c r="L5110" s="27"/>
    </row>
    <row r="5111" spans="1:12">
      <c r="A5111" s="20" t="s">
        <v>1340</v>
      </c>
      <c r="E5111" s="22">
        <f>IF(D5111="?OLD","!!!","")</f>
        <v/>
      </c>
      <c r="F5111" s="23" t="str">
        <f>IF(OR(E5111="",E5111="!!!"),"",IF(NOT(ISNA(VLOOKUP(E5111,E$1:E5110,1,FALSE()))),"OLD",IF(AND(E5111&lt;&gt;"",E5111&lt;&gt;"!!!"),"NEW","")))</f>
        <v> </v>
      </c>
      <c r="G5111" s="24" t="str">
        <f>IF(OR(E5111="",E5111="!!!"),"",IF(OR(J5111=0,AND(J5111=1,K5111=1),AND(J5111=1,I5111="SBJ"),AND(J5111=1,I5111=0)),"?IN_FOCUS",IF(J5111&lt;=2,"?ACTIVATED",IF(J5111&lt;&gt;"","?FAMILIAR",IF(F5111="NEW",IF(ISNA(VLOOKUP(E5111,#REF!,1,FALSE())),"?TYPE_IDENTIFIABLE","?REFERENTIAL"),"_")))))</f>
        <v> </v>
      </c>
      <c r="H5111" s="25" t="str">
        <f>IF(J5111&lt;&gt;1,"",IF(I5111="SBJ","CB","?"))</f>
        <v> </v>
      </c>
      <c r="I5111" s="26" t="str">
        <f>IF(OR(E5111="",E5111="!!!",F5111="NEW"),"",INDEX(B5110:B$2,-1+SUMPRODUCT(MAX(ROW(E5110:E$2)*(E5111=E5110:E$2)))))</f>
        <v> </v>
      </c>
      <c r="J5111" s="26" t="str">
        <f>IF(OR(E5111="",E5111="!!!",F5111="NEW"),"",COUNTBLANK(OFFSET(A$1,,,SUMPRODUCT(MAX(ROW(E$2:E5111)*(E5111=E$2:E5111)))))-COUNTBLANK(OFFSET(A$1,,,SUMPRODUCT(MAX(ROW(E$1:E5110)*(E2=E$1:E5110))))))</f>
        <v> </v>
      </c>
      <c r="K5111" s="26" t="str">
        <f>IF(OR(E5111="",E5111="!!!",F5111="NEW"),"",INDEX(J$1:J5110,SUMPRODUCT(MAX(ROW(E$1:E5110)*(E5111=E$1:E5110)))))</f>
        <v> </v>
      </c>
      <c r="L5111" s="27"/>
    </row>
    <row r="5112" spans="1:12">
      <c r="A5112" s="20" t="s">
        <v>1955</v>
      </c>
      <c r="E5112" s="22">
        <f>IF(D5112="?OLD","!!!","")</f>
        <v/>
      </c>
      <c r="F5112" s="23" t="str">
        <f>IF(OR(E5112="",E5112="!!!"),"",IF(NOT(ISNA(VLOOKUP(E5112,E$1:E5111,1,FALSE()))),"OLD",IF(AND(E5112&lt;&gt;"",E5112&lt;&gt;"!!!"),"NEW","")))</f>
        <v> </v>
      </c>
      <c r="G5112" s="24" t="str">
        <f>IF(OR(E5112="",E5112="!!!"),"",IF(OR(J5112=0,AND(J5112=1,K5112=1),AND(J5112=1,I5112="SBJ"),AND(J5112=1,I5112=0)),"?IN_FOCUS",IF(J5112&lt;=2,"?ACTIVATED",IF(J5112&lt;&gt;"","?FAMILIAR",IF(F5112="NEW",IF(ISNA(VLOOKUP(E5112,#REF!,1,FALSE())),"?TYPE_IDENTIFIABLE","?REFERENTIAL"),"_")))))</f>
        <v> </v>
      </c>
      <c r="H5112" s="25" t="str">
        <f>IF(J5112&lt;&gt;1,"",IF(I5112="SBJ","CB","?"))</f>
        <v> </v>
      </c>
      <c r="I5112" s="26" t="str">
        <f>IF(OR(E5112="",E5112="!!!",F5112="NEW"),"",INDEX(B5111:B$2,-1+SUMPRODUCT(MAX(ROW(E5111:E$2)*(E5112=E5111:E$2)))))</f>
        <v> </v>
      </c>
      <c r="J5112" s="26" t="str">
        <f>IF(OR(E5112="",E5112="!!!",F5112="NEW"),"",COUNTBLANK(OFFSET(A$1,,,SUMPRODUCT(MAX(ROW(E$2:E5112)*(E5112=E$2:E5112)))))-COUNTBLANK(OFFSET(A$1,,,SUMPRODUCT(MAX(ROW(E$1:E5111)*(E2=E$1:E5111))))))</f>
        <v> </v>
      </c>
      <c r="K5112" s="26" t="str">
        <f>IF(OR(E5112="",E5112="!!!",F5112="NEW"),"",INDEX(J$1:J5111,SUMPRODUCT(MAX(ROW(E$1:E5111)*(E5112=E$1:E5111)))))</f>
        <v> </v>
      </c>
      <c r="L5112" s="27"/>
    </row>
    <row r="5113" spans="1:12">
      <c r="A5113" s="20" t="s">
        <v>2044</v>
      </c>
      <c r="E5113" s="22">
        <f>IF(D5113="?OLD","!!!","")</f>
        <v/>
      </c>
      <c r="F5113" s="23" t="str">
        <f>IF(OR(E5113="",E5113="!!!"),"",IF(NOT(ISNA(VLOOKUP(E5113,E$1:E5112,1,FALSE()))),"OLD",IF(AND(E5113&lt;&gt;"",E5113&lt;&gt;"!!!"),"NEW","")))</f>
        <v> </v>
      </c>
      <c r="G5113" s="24" t="str">
        <f>IF(OR(E5113="",E5113="!!!"),"",IF(OR(J5113=0,AND(J5113=1,K5113=1),AND(J5113=1,I5113="SBJ"),AND(J5113=1,I5113=0)),"?IN_FOCUS",IF(J5113&lt;=2,"?ACTIVATED",IF(J5113&lt;&gt;"","?FAMILIAR",IF(F5113="NEW",IF(ISNA(VLOOKUP(E5113,#REF!,1,FALSE())),"?TYPE_IDENTIFIABLE","?REFERENTIAL"),"_")))))</f>
        <v> </v>
      </c>
      <c r="H5113" s="25" t="str">
        <f>IF(J5113&lt;&gt;1,"",IF(I5113="SBJ","CB","?"))</f>
        <v> </v>
      </c>
      <c r="I5113" s="26" t="str">
        <f>IF(OR(E5113="",E5113="!!!",F5113="NEW"),"",INDEX(B5112:B$2,-1+SUMPRODUCT(MAX(ROW(E5112:E$2)*(E5113=E5112:E$2)))))</f>
        <v> </v>
      </c>
      <c r="J5113" s="26" t="str">
        <f>IF(OR(E5113="",E5113="!!!",F5113="NEW"),"",COUNTBLANK(OFFSET(A$1,,,SUMPRODUCT(MAX(ROW(E$2:E5113)*(E5113=E$2:E5113)))))-COUNTBLANK(OFFSET(A$1,,,SUMPRODUCT(MAX(ROW(E$1:E5112)*(E2=E$1:E5112))))))</f>
        <v> </v>
      </c>
      <c r="K5113" s="26" t="str">
        <f>IF(OR(E5113="",E5113="!!!",F5113="NEW"),"",INDEX(J$1:J5112,SUMPRODUCT(MAX(ROW(E$1:E5112)*(E5113=E$1:E5112)))))</f>
        <v> </v>
      </c>
      <c r="L5113" s="27"/>
    </row>
    <row r="5114" spans="1:12">
      <c r="A5114" s="20" t="s">
        <v>923</v>
      </c>
      <c r="E5114" s="22">
        <f>IF(D5114="?OLD","!!!","")</f>
        <v/>
      </c>
      <c r="F5114" s="23" t="str">
        <f>IF(OR(E5114="",E5114="!!!"),"",IF(NOT(ISNA(VLOOKUP(E5114,E$1:E5113,1,FALSE()))),"OLD",IF(AND(E5114&lt;&gt;"",E5114&lt;&gt;"!!!"),"NEW","")))</f>
        <v> </v>
      </c>
      <c r="G5114" s="24" t="str">
        <f>IF(OR(E5114="",E5114="!!!"),"",IF(OR(J5114=0,AND(J5114=1,K5114=1),AND(J5114=1,I5114="SBJ"),AND(J5114=1,I5114=0)),"?IN_FOCUS",IF(J5114&lt;=2,"?ACTIVATED",IF(J5114&lt;&gt;"","?FAMILIAR",IF(F5114="NEW",IF(ISNA(VLOOKUP(E5114,#REF!,1,FALSE())),"?TYPE_IDENTIFIABLE","?REFERENTIAL"),"_")))))</f>
        <v> </v>
      </c>
      <c r="H5114" s="25" t="str">
        <f>IF(J5114&lt;&gt;1,"",IF(I5114="SBJ","CB","?"))</f>
        <v> </v>
      </c>
      <c r="I5114" s="26" t="str">
        <f>IF(OR(E5114="",E5114="!!!",F5114="NEW"),"",INDEX(B5113:B$2,-1+SUMPRODUCT(MAX(ROW(E5113:E$2)*(E5114=E5113:E$2)))))</f>
        <v> </v>
      </c>
      <c r="J5114" s="26" t="str">
        <f>IF(OR(E5114="",E5114="!!!",F5114="NEW"),"",COUNTBLANK(OFFSET(A$1,,,SUMPRODUCT(MAX(ROW(E$2:E5114)*(E5114=E$2:E5114)))))-COUNTBLANK(OFFSET(A$1,,,SUMPRODUCT(MAX(ROW(E$1:E5113)*(E2=E$1:E5113))))))</f>
        <v> </v>
      </c>
      <c r="K5114" s="26" t="str">
        <f>IF(OR(E5114="",E5114="!!!",F5114="NEW"),"",INDEX(J$1:J5113,SUMPRODUCT(MAX(ROW(E$1:E5113)*(E5114=E$1:E5113)))))</f>
        <v> </v>
      </c>
      <c r="L5114" s="27"/>
    </row>
    <row r="5115" spans="1:12">
      <c r="A5115" s="20"/>
    </row>
    <row r="5116" spans="1:12">
      <c r="A5116" s="20" t="s">
        <v>2464</v>
      </c>
    </row>
    <row r="5117" spans="1:12">
      <c r="A5117" s="20" t="s">
        <v>2465</v>
      </c>
      <c r="E5117" s="22">
        <f>IF(D5117="?OLD","!!!","")</f>
        <v/>
      </c>
      <c r="F5117" s="23" t="str">
        <f>IF(OR(E5117="",E5117="!!!"),"",IF(NOT(ISNA(VLOOKUP(E5117,E$1:E5116,1,FALSE()))),"OLD",IF(AND(E5117&lt;&gt;"",E5117&lt;&gt;"!!!"),"NEW","")))</f>
        <v> </v>
      </c>
      <c r="G5117" s="24" t="str">
        <f>IF(OR(E5117="",E5117="!!!"),"",IF(OR(J5117=0,AND(J5117=1,K5117=1),AND(J5117=1,I5117="SBJ"),AND(J5117=1,I5117=0)),"?IN_FOCUS",IF(J5117&lt;=2,"?ACTIVATED",IF(J5117&lt;&gt;"","?FAMILIAR",IF(F5117="NEW",IF(ISNA(VLOOKUP(E5117,#REF!,1,FALSE())),"?TYPE_IDENTIFIABLE","?REFERENTIAL"),"_")))))</f>
        <v> </v>
      </c>
      <c r="H5117" s="25" t="str">
        <f>IF(J5117&lt;&gt;1,"",IF(I5117="SBJ","CB","?"))</f>
        <v> </v>
      </c>
      <c r="I5117" s="26" t="str">
        <f>IF(OR(E5117="",E5117="!!!",F5117="NEW"),"",INDEX(B5116:B$2,-1+SUMPRODUCT(MAX(ROW(E5116:E$2)*(E5117=E5116:E$2)))))</f>
        <v> </v>
      </c>
      <c r="J5117" s="26" t="str">
        <f>IF(OR(E5117="",E5117="!!!",F5117="NEW"),"",COUNTBLANK(OFFSET(A$1,,,SUMPRODUCT(MAX(ROW(E$2:E5117)*(E5117=E$2:E5117)))))-COUNTBLANK(OFFSET(A$1,,,SUMPRODUCT(MAX(ROW(E$1:E5116)*(E2=E$1:E5116))))))</f>
        <v> </v>
      </c>
      <c r="K5117" s="26" t="str">
        <f>IF(OR(E5117="",E5117="!!!",F5117="NEW"),"",INDEX(J$1:J5116,SUMPRODUCT(MAX(ROW(E$1:E5116)*(E5117=E$1:E5116)))))</f>
        <v> </v>
      </c>
      <c r="L5117" s="27"/>
    </row>
    <row r="5118" spans="1:12">
      <c r="A5118" s="20" t="s">
        <v>2466</v>
      </c>
      <c r="B5118" s="21" t="s">
        <v>1097</v>
      </c>
      <c r="C5118" s="21" t="s">
        <v>1358</v>
      </c>
      <c r="E5118" s="22">
        <f>IF(D5118="?OLD","!!!","")</f>
        <v/>
      </c>
      <c r="F5118" s="23" t="str">
        <f>IF(OR(E5118="",E5118="!!!"),"",IF(NOT(ISNA(VLOOKUP(E5118,E$1:E5117,1,FALSE()))),"OLD",IF(AND(E5118&lt;&gt;"",E5118&lt;&gt;"!!!"),"NEW","")))</f>
        <v> </v>
      </c>
      <c r="G5118" s="24" t="str">
        <f>IF(OR(E5118="",E5118="!!!"),"",IF(OR(J5118=0,AND(J5118=1,K5118=1),AND(J5118=1,I5118="SBJ"),AND(J5118=1,I5118=0)),"?IN_FOCUS",IF(J5118&lt;=2,"?ACTIVATED",IF(J5118&lt;&gt;"","?FAMILIAR",IF(F5118="NEW",IF(ISNA(VLOOKUP(E5118,#REF!,1,FALSE())),"?TYPE_IDENTIFIABLE","?REFERENTIAL"),"_")))))</f>
        <v> </v>
      </c>
      <c r="H5118" s="25" t="str">
        <f>IF(J5118&lt;&gt;1,"",IF(I5118="SBJ","CB","?"))</f>
        <v> </v>
      </c>
      <c r="I5118" s="26" t="str">
        <f>IF(OR(E5118="",E5118="!!!",F5118="NEW"),"",INDEX(B5117:B$2,-1+SUMPRODUCT(MAX(ROW(E5117:E$2)*(E5118=E5117:E$2)))))</f>
        <v> </v>
      </c>
      <c r="J5118" s="26" t="str">
        <f>IF(OR(E5118="",E5118="!!!",F5118="NEW"),"",COUNTBLANK(OFFSET(A$1,,,SUMPRODUCT(MAX(ROW(E$2:E5118)*(E5118=E$2:E5118)))))-COUNTBLANK(OFFSET(A$1,,,SUMPRODUCT(MAX(ROW(E$1:E5117)*(E2=E$1:E5117))))))</f>
        <v> </v>
      </c>
      <c r="K5118" s="26" t="str">
        <f>IF(OR(E5118="",E5118="!!!",F5118="NEW"),"",INDEX(J$1:J5117,SUMPRODUCT(MAX(ROW(E$1:E5117)*(E5118=E$1:E5117)))))</f>
        <v> </v>
      </c>
      <c r="L5118" s="27"/>
    </row>
    <row r="5119" spans="1:12">
      <c r="A5119" s="20" t="s">
        <v>1170</v>
      </c>
      <c r="B5119" s="21" t="s">
        <v>1079</v>
      </c>
      <c r="C5119" s="21" t="s">
        <v>1076</v>
      </c>
      <c r="D5119" s="21" t="s">
        <v>1060</v>
      </c>
      <c r="E5119" s="22">
        <f>IF(D5119="?OLD","!!!","")</f>
        <v/>
      </c>
      <c r="F5119" s="23" t="str">
        <f>IF(OR(E5119="",E5119="!!!"),"",IF(NOT(ISNA(VLOOKUP(E5119,E$1:E5118,1,FALSE()))),"OLD",IF(AND(E5119&lt;&gt;"",E5119&lt;&gt;"!!!"),"NEW","")))</f>
        <v> </v>
      </c>
      <c r="G5119" s="24" t="str">
        <f>IF(OR(E5119="",E5119="!!!"),"",IF(OR(J5119=0,AND(J5119=1,K5119=1),AND(J5119=1,I5119="SBJ"),AND(J5119=1,I5119=0)),"?IN_FOCUS",IF(J5119&lt;=2,"?ACTIVATED",IF(J5119&lt;&gt;"","?FAMILIAR",IF(F5119="NEW",IF(ISNA(VLOOKUP(E5119,#REF!,1,FALSE())),"?TYPE_IDENTIFIABLE","?REFERENTIAL"),"_")))))</f>
        <v> </v>
      </c>
      <c r="H5119" s="25" t="str">
        <f>IF(J5119&lt;&gt;1,"",IF(I5119="SBJ","CB","?"))</f>
        <v> </v>
      </c>
      <c r="I5119" s="26" t="str">
        <f>IF(OR(E5119="",E5119="!!!",F5119="NEW"),"",INDEX(B5118:B$2,-1+SUMPRODUCT(MAX(ROW(E5118:E$2)*(E5119=E5118:E$2)))))</f>
        <v> </v>
      </c>
      <c r="J5119" s="26" t="str">
        <f>IF(OR(E5119="",E5119="!!!",F5119="NEW"),"",COUNTBLANK(OFFSET(A$1,,,SUMPRODUCT(MAX(ROW(E$2:E5119)*(E5119=E$2:E5119)))))-COUNTBLANK(OFFSET(A$1,,,SUMPRODUCT(MAX(ROW(E$1:E5118)*(E2=E$1:E5118))))))</f>
        <v> </v>
      </c>
      <c r="K5119" s="26" t="str">
        <f>IF(OR(E5119="",E5119="!!!",F5119="NEW"),"",INDEX(J$1:J5118,SUMPRODUCT(MAX(ROW(E$1:E5118)*(E5119=E$1:E5118)))))</f>
        <v> </v>
      </c>
      <c r="L5119" s="27"/>
    </row>
    <row r="5120" spans="1:12">
      <c r="A5120" s="20" t="s">
        <v>2350</v>
      </c>
      <c r="E5120" s="22">
        <f>IF(D5120="?OLD","!!!","")</f>
        <v/>
      </c>
      <c r="F5120" s="23" t="str">
        <f>IF(OR(E5120="",E5120="!!!"),"",IF(NOT(ISNA(VLOOKUP(E5120,E$1:E5119,1,FALSE()))),"OLD",IF(AND(E5120&lt;&gt;"",E5120&lt;&gt;"!!!"),"NEW","")))</f>
        <v> </v>
      </c>
      <c r="G5120" s="24" t="str">
        <f>IF(OR(E5120="",E5120="!!!"),"",IF(OR(J5120=0,AND(J5120=1,K5120=1),AND(J5120=1,I5120="SBJ"),AND(J5120=1,I5120=0)),"?IN_FOCUS",IF(J5120&lt;=2,"?ACTIVATED",IF(J5120&lt;&gt;"","?FAMILIAR",IF(F5120="NEW",IF(ISNA(VLOOKUP(E5120,#REF!,1,FALSE())),"?TYPE_IDENTIFIABLE","?REFERENTIAL"),"_")))))</f>
        <v> </v>
      </c>
      <c r="H5120" s="25" t="str">
        <f>IF(J5120&lt;&gt;1,"",IF(I5120="SBJ","CB","?"))</f>
        <v> </v>
      </c>
      <c r="I5120" s="26" t="str">
        <f>IF(OR(E5120="",E5120="!!!",F5120="NEW"),"",INDEX(B5119:B$2,-1+SUMPRODUCT(MAX(ROW(E5119:E$2)*(E5120=E5119:E$2)))))</f>
        <v> </v>
      </c>
      <c r="J5120" s="26" t="str">
        <f>IF(OR(E5120="",E5120="!!!",F5120="NEW"),"",COUNTBLANK(OFFSET(A$1,,,SUMPRODUCT(MAX(ROW(E$2:E5120)*(E5120=E$2:E5120)))))-COUNTBLANK(OFFSET(A$1,,,SUMPRODUCT(MAX(ROW(E$1:E5119)*(E2=E$1:E5119))))))</f>
        <v> </v>
      </c>
      <c r="K5120" s="26" t="str">
        <f>IF(OR(E5120="",E5120="!!!",F5120="NEW"),"",INDEX(J$1:J5119,SUMPRODUCT(MAX(ROW(E$1:E5119)*(E5120=E$1:E5119)))))</f>
        <v> </v>
      </c>
      <c r="L5120" s="27"/>
    </row>
    <row r="5121" spans="1:12">
      <c r="A5121" s="20" t="s">
        <v>1061</v>
      </c>
      <c r="E5121" s="22">
        <f>IF(D5121="?OLD","!!!","")</f>
        <v/>
      </c>
      <c r="F5121" s="23" t="str">
        <f>IF(OR(E5121="",E5121="!!!"),"",IF(NOT(ISNA(VLOOKUP(E5121,E$1:E5120,1,FALSE()))),"OLD",IF(AND(E5121&lt;&gt;"",E5121&lt;&gt;"!!!"),"NEW","")))</f>
        <v> </v>
      </c>
      <c r="G5121" s="24" t="str">
        <f>IF(OR(E5121="",E5121="!!!"),"",IF(OR(J5121=0,AND(J5121=1,K5121=1),AND(J5121=1,I5121="SBJ"),AND(J5121=1,I5121=0)),"?IN_FOCUS",IF(J5121&lt;=2,"?ACTIVATED",IF(J5121&lt;&gt;"","?FAMILIAR",IF(F5121="NEW",IF(ISNA(VLOOKUP(E5121,#REF!,1,FALSE())),"?TYPE_IDENTIFIABLE","?REFERENTIAL"),"_")))))</f>
        <v> </v>
      </c>
      <c r="H5121" s="25" t="str">
        <f>IF(J5121&lt;&gt;1,"",IF(I5121="SBJ","CB","?"))</f>
        <v> </v>
      </c>
      <c r="I5121" s="26" t="str">
        <f>IF(OR(E5121="",E5121="!!!",F5121="NEW"),"",INDEX(B5120:B$2,-1+SUMPRODUCT(MAX(ROW(E5120:E$2)*(E5121=E5120:E$2)))))</f>
        <v> </v>
      </c>
      <c r="J5121" s="26" t="str">
        <f>IF(OR(E5121="",E5121="!!!",F5121="NEW"),"",COUNTBLANK(OFFSET(A$1,,,SUMPRODUCT(MAX(ROW(E$2:E5121)*(E5121=E$2:E5121)))))-COUNTBLANK(OFFSET(A$1,,,SUMPRODUCT(MAX(ROW(E$1:E5120)*(E2=E$1:E5120))))))</f>
        <v> </v>
      </c>
      <c r="K5121" s="26" t="str">
        <f>IF(OR(E5121="",E5121="!!!",F5121="NEW"),"",INDEX(J$1:J5120,SUMPRODUCT(MAX(ROW(E$1:E5120)*(E5121=E$1:E5120)))))</f>
        <v> </v>
      </c>
      <c r="L5121" s="27"/>
    </row>
    <row r="5122" spans="1:12">
      <c r="A5122" s="20" t="s">
        <v>1127</v>
      </c>
      <c r="B5122" s="21" t="s">
        <v>1068</v>
      </c>
      <c r="C5122" s="21" t="s">
        <v>1076</v>
      </c>
      <c r="D5122" s="21" t="s">
        <v>1060</v>
      </c>
      <c r="E5122" s="22">
        <f>IF(D5122="?OLD","!!!","")</f>
        <v/>
      </c>
      <c r="F5122" s="23" t="str">
        <f>IF(OR(E5122="",E5122="!!!"),"",IF(NOT(ISNA(VLOOKUP(E5122,E$1:E5121,1,FALSE()))),"OLD",IF(AND(E5122&lt;&gt;"",E5122&lt;&gt;"!!!"),"NEW","")))</f>
        <v> </v>
      </c>
      <c r="G5122" s="24" t="str">
        <f>IF(OR(E5122="",E5122="!!!"),"",IF(OR(J5122=0,AND(J5122=1,K5122=1),AND(J5122=1,I5122="SBJ"),AND(J5122=1,I5122=0)),"?IN_FOCUS",IF(J5122&lt;=2,"?ACTIVATED",IF(J5122&lt;&gt;"","?FAMILIAR",IF(F5122="NEW",IF(ISNA(VLOOKUP(E5122,#REF!,1,FALSE())),"?TYPE_IDENTIFIABLE","?REFERENTIAL"),"_")))))</f>
        <v> </v>
      </c>
      <c r="H5122" s="25" t="str">
        <f>IF(J5122&lt;&gt;1,"",IF(I5122="SBJ","CB","?"))</f>
        <v> </v>
      </c>
      <c r="I5122" s="26" t="str">
        <f>IF(OR(E5122="",E5122="!!!",F5122="NEW"),"",INDEX(B5121:B$2,-1+SUMPRODUCT(MAX(ROW(E5121:E$2)*(E5122=E5121:E$2)))))</f>
        <v> </v>
      </c>
      <c r="J5122" s="26" t="str">
        <f>IF(OR(E5122="",E5122="!!!",F5122="NEW"),"",COUNTBLANK(OFFSET(A$1,,,SUMPRODUCT(MAX(ROW(E$2:E5122)*(E5122=E$2:E5122)))))-COUNTBLANK(OFFSET(A$1,,,SUMPRODUCT(MAX(ROW(E$1:E5121)*(E2=E$1:E5121))))))</f>
        <v> </v>
      </c>
      <c r="K5122" s="26" t="str">
        <f>IF(OR(E5122="",E5122="!!!",F5122="NEW"),"",INDEX(J$1:J5121,SUMPRODUCT(MAX(ROW(E$1:E5121)*(E5122=E$1:E5121)))))</f>
        <v> </v>
      </c>
      <c r="L5122" s="27"/>
    </row>
    <row r="5123" spans="1:12">
      <c r="A5123" s="20" t="s">
        <v>1160</v>
      </c>
      <c r="E5123" s="22">
        <f>IF(D5123="?OLD","!!!","")</f>
        <v/>
      </c>
      <c r="F5123" s="23" t="str">
        <f>IF(OR(E5123="",E5123="!!!"),"",IF(NOT(ISNA(VLOOKUP(E5123,E$1:E5122,1,FALSE()))),"OLD",IF(AND(E5123&lt;&gt;"",E5123&lt;&gt;"!!!"),"NEW","")))</f>
        <v> </v>
      </c>
      <c r="G5123" s="24" t="str">
        <f>IF(OR(E5123="",E5123="!!!"),"",IF(OR(J5123=0,AND(J5123=1,K5123=1),AND(J5123=1,I5123="SBJ"),AND(J5123=1,I5123=0)),"?IN_FOCUS",IF(J5123&lt;=2,"?ACTIVATED",IF(J5123&lt;&gt;"","?FAMILIAR",IF(F5123="NEW",IF(ISNA(VLOOKUP(E5123,#REF!,1,FALSE())),"?TYPE_IDENTIFIABLE","?REFERENTIAL"),"_")))))</f>
        <v> </v>
      </c>
      <c r="H5123" s="25" t="str">
        <f>IF(J5123&lt;&gt;1,"",IF(I5123="SBJ","CB","?"))</f>
        <v> </v>
      </c>
      <c r="I5123" s="26" t="str">
        <f>IF(OR(E5123="",E5123="!!!",F5123="NEW"),"",INDEX(B5122:B$2,-1+SUMPRODUCT(MAX(ROW(E5122:E$2)*(E5123=E5122:E$2)))))</f>
        <v> </v>
      </c>
      <c r="J5123" s="26" t="str">
        <f>IF(OR(E5123="",E5123="!!!",F5123="NEW"),"",COUNTBLANK(OFFSET(A$1,,,SUMPRODUCT(MAX(ROW(E$2:E5123)*(E5123=E$2:E5123)))))-COUNTBLANK(OFFSET(A$1,,,SUMPRODUCT(MAX(ROW(E$1:E5122)*(E2=E$1:E5122))))))</f>
        <v> </v>
      </c>
      <c r="K5123" s="26" t="str">
        <f>IF(OR(E5123="",E5123="!!!",F5123="NEW"),"",INDEX(J$1:J5122,SUMPRODUCT(MAX(ROW(E$1:E5122)*(E5123=E$1:E5122)))))</f>
        <v> </v>
      </c>
      <c r="L5123" s="27"/>
    </row>
    <row r="5124" spans="1:12">
      <c r="A5124" s="20" t="s">
        <v>1101</v>
      </c>
      <c r="E5124" s="22">
        <f>IF(D5124="?OLD","!!!","")</f>
        <v/>
      </c>
      <c r="F5124" s="23" t="str">
        <f>IF(OR(E5124="",E5124="!!!"),"",IF(NOT(ISNA(VLOOKUP(E5124,E$1:E5123,1,FALSE()))),"OLD",IF(AND(E5124&lt;&gt;"",E5124&lt;&gt;"!!!"),"NEW","")))</f>
        <v> </v>
      </c>
      <c r="G5124" s="24" t="str">
        <f>IF(OR(E5124="",E5124="!!!"),"",IF(OR(J5124=0,AND(J5124=1,K5124=1),AND(J5124=1,I5124="SBJ"),AND(J5124=1,I5124=0)),"?IN_FOCUS",IF(J5124&lt;=2,"?ACTIVATED",IF(J5124&lt;&gt;"","?FAMILIAR",IF(F5124="NEW",IF(ISNA(VLOOKUP(E5124,#REF!,1,FALSE())),"?TYPE_IDENTIFIABLE","?REFERENTIAL"),"_")))))</f>
        <v> </v>
      </c>
      <c r="H5124" s="25" t="str">
        <f>IF(J5124&lt;&gt;1,"",IF(I5124="SBJ","CB","?"))</f>
        <v> </v>
      </c>
      <c r="I5124" s="26" t="str">
        <f>IF(OR(E5124="",E5124="!!!",F5124="NEW"),"",INDEX(B5123:B$2,-1+SUMPRODUCT(MAX(ROW(E5123:E$2)*(E5124=E5123:E$2)))))</f>
        <v> </v>
      </c>
      <c r="J5124" s="26" t="str">
        <f>IF(OR(E5124="",E5124="!!!",F5124="NEW"),"",COUNTBLANK(OFFSET(A$1,,,SUMPRODUCT(MAX(ROW(E$2:E5124)*(E5124=E$2:E5124)))))-COUNTBLANK(OFFSET(A$1,,,SUMPRODUCT(MAX(ROW(E$1:E5123)*(E2=E$1:E5123))))))</f>
        <v> </v>
      </c>
      <c r="K5124" s="26" t="str">
        <f>IF(OR(E5124="",E5124="!!!",F5124="NEW"),"",INDEX(J$1:J5123,SUMPRODUCT(MAX(ROW(E$1:E5123)*(E5124=E$1:E5123)))))</f>
        <v> </v>
      </c>
      <c r="L5124" s="27"/>
    </row>
    <row r="5125" spans="1:12">
      <c r="A5125" s="20" t="s">
        <v>2351</v>
      </c>
      <c r="E5125" s="22">
        <f>IF(D5125="?OLD","!!!","")</f>
        <v/>
      </c>
      <c r="F5125" s="23" t="str">
        <f>IF(OR(E5125="",E5125="!!!"),"",IF(NOT(ISNA(VLOOKUP(E5125,E$1:E5124,1,FALSE()))),"OLD",IF(AND(E5125&lt;&gt;"",E5125&lt;&gt;"!!!"),"NEW","")))</f>
        <v> </v>
      </c>
      <c r="G5125" s="24" t="str">
        <f>IF(OR(E5125="",E5125="!!!"),"",IF(OR(J5125=0,AND(J5125=1,K5125=1),AND(J5125=1,I5125="SBJ"),AND(J5125=1,I5125=0)),"?IN_FOCUS",IF(J5125&lt;=2,"?ACTIVATED",IF(J5125&lt;&gt;"","?FAMILIAR",IF(F5125="NEW",IF(ISNA(VLOOKUP(E5125,#REF!,1,FALSE())),"?TYPE_IDENTIFIABLE","?REFERENTIAL"),"_")))))</f>
        <v> </v>
      </c>
      <c r="H5125" s="25" t="str">
        <f>IF(J5125&lt;&gt;1,"",IF(I5125="SBJ","CB","?"))</f>
        <v> </v>
      </c>
      <c r="I5125" s="26" t="str">
        <f>IF(OR(E5125="",E5125="!!!",F5125="NEW"),"",INDEX(B5124:B$2,-1+SUMPRODUCT(MAX(ROW(E5124:E$2)*(E5125=E5124:E$2)))))</f>
        <v> </v>
      </c>
      <c r="J5125" s="26" t="str">
        <f>IF(OR(E5125="",E5125="!!!",F5125="NEW"),"",COUNTBLANK(OFFSET(A$1,,,SUMPRODUCT(MAX(ROW(E$2:E5125)*(E5125=E$2:E5125)))))-COUNTBLANK(OFFSET(A$1,,,SUMPRODUCT(MAX(ROW(E$1:E5124)*(E2=E$1:E5124))))))</f>
        <v> </v>
      </c>
      <c r="K5125" s="26" t="str">
        <f>IF(OR(E5125="",E5125="!!!",F5125="NEW"),"",INDEX(J$1:J5124,SUMPRODUCT(MAX(ROW(E$1:E5124)*(E5125=E$1:E5124)))))</f>
        <v> </v>
      </c>
      <c r="L5125" s="27"/>
    </row>
    <row r="5126" spans="1:12">
      <c r="A5126" s="20" t="s">
        <v>16</v>
      </c>
      <c r="E5126" s="22">
        <f>IF(D5126="?OLD","!!!","")</f>
        <v/>
      </c>
      <c r="F5126" s="23" t="str">
        <f>IF(OR(E5126="",E5126="!!!"),"",IF(NOT(ISNA(VLOOKUP(E5126,E$1:E5125,1,FALSE()))),"OLD",IF(AND(E5126&lt;&gt;"",E5126&lt;&gt;"!!!"),"NEW","")))</f>
        <v> </v>
      </c>
      <c r="G5126" s="24" t="str">
        <f>IF(OR(E5126="",E5126="!!!"),"",IF(OR(J5126=0,AND(J5126=1,K5126=1),AND(J5126=1,I5126="SBJ"),AND(J5126=1,I5126=0)),"?IN_FOCUS",IF(J5126&lt;=2,"?ACTIVATED",IF(J5126&lt;&gt;"","?FAMILIAR",IF(F5126="NEW",IF(ISNA(VLOOKUP(E5126,#REF!,1,FALSE())),"?TYPE_IDENTIFIABLE","?REFERENTIAL"),"_")))))</f>
        <v> </v>
      </c>
      <c r="H5126" s="25" t="str">
        <f>IF(J5126&lt;&gt;1,"",IF(I5126="SBJ","CB","?"))</f>
        <v> </v>
      </c>
      <c r="I5126" s="26" t="str">
        <f>IF(OR(E5126="",E5126="!!!",F5126="NEW"),"",INDEX(B5125:B$2,-1+SUMPRODUCT(MAX(ROW(E5125:E$2)*(E5126=E5125:E$2)))))</f>
        <v> </v>
      </c>
      <c r="J5126" s="26" t="str">
        <f>IF(OR(E5126="",E5126="!!!",F5126="NEW"),"",COUNTBLANK(OFFSET(A$1,,,SUMPRODUCT(MAX(ROW(E$2:E5126)*(E5126=E$2:E5126)))))-COUNTBLANK(OFFSET(A$1,,,SUMPRODUCT(MAX(ROW(E$1:E5125)*(E2=E$1:E5125))))))</f>
        <v> </v>
      </c>
      <c r="K5126" s="26" t="str">
        <f>IF(OR(E5126="",E5126="!!!",F5126="NEW"),"",INDEX(J$1:J5125,SUMPRODUCT(MAX(ROW(E$1:E5125)*(E5126=E$1:E5125)))))</f>
        <v> </v>
      </c>
      <c r="L5126" s="27"/>
    </row>
    <row r="5127" spans="1:12">
      <c r="A5127" s="20" t="s">
        <v>2467</v>
      </c>
      <c r="E5127" s="22">
        <f>IF(D5127="?OLD","!!!","")</f>
        <v/>
      </c>
      <c r="F5127" s="23" t="str">
        <f>IF(OR(E5127="",E5127="!!!"),"",IF(NOT(ISNA(VLOOKUP(E5127,E$1:E5126,1,FALSE()))),"OLD",IF(AND(E5127&lt;&gt;"",E5127&lt;&gt;"!!!"),"NEW","")))</f>
        <v> </v>
      </c>
      <c r="G5127" s="24" t="str">
        <f>IF(OR(E5127="",E5127="!!!"),"",IF(OR(J5127=0,AND(J5127=1,K5127=1),AND(J5127=1,I5127="SBJ"),AND(J5127=1,I5127=0)),"?IN_FOCUS",IF(J5127&lt;=2,"?ACTIVATED",IF(J5127&lt;&gt;"","?FAMILIAR",IF(F5127="NEW",IF(ISNA(VLOOKUP(E5127,#REF!,1,FALSE())),"?TYPE_IDENTIFIABLE","?REFERENTIAL"),"_")))))</f>
        <v> </v>
      </c>
      <c r="H5127" s="25" t="str">
        <f>IF(J5127&lt;&gt;1,"",IF(I5127="SBJ","CB","?"))</f>
        <v> </v>
      </c>
      <c r="I5127" s="26" t="str">
        <f>IF(OR(E5127="",E5127="!!!",F5127="NEW"),"",INDEX(B5126:B$2,-1+SUMPRODUCT(MAX(ROW(E5126:E$2)*(E5127=E5126:E$2)))))</f>
        <v> </v>
      </c>
      <c r="J5127" s="26" t="str">
        <f>IF(OR(E5127="",E5127="!!!",F5127="NEW"),"",COUNTBLANK(OFFSET(A$1,,,SUMPRODUCT(MAX(ROW(E$2:E5127)*(E5127=E$2:E5127)))))-COUNTBLANK(OFFSET(A$1,,,SUMPRODUCT(MAX(ROW(E$1:E5126)*(E2=E$1:E5126))))))</f>
        <v> </v>
      </c>
      <c r="K5127" s="26" t="str">
        <f>IF(OR(E5127="",E5127="!!!",F5127="NEW"),"",INDEX(J$1:J5126,SUMPRODUCT(MAX(ROW(E$1:E5126)*(E5127=E$1:E5126)))))</f>
        <v> </v>
      </c>
      <c r="L5127" s="27"/>
    </row>
    <row r="5128" spans="1:12">
      <c r="A5128" s="20" t="s">
        <v>2265</v>
      </c>
      <c r="B5128" s="21" t="s">
        <v>1068</v>
      </c>
      <c r="C5128" s="21" t="s">
        <v>1140</v>
      </c>
      <c r="D5128" s="21" t="s">
        <v>1060</v>
      </c>
      <c r="E5128" s="22">
        <f>IF(D5128="?OLD","!!!","")</f>
        <v/>
      </c>
      <c r="F5128" s="23" t="str">
        <f>IF(OR(E5128="",E5128="!!!"),"",IF(NOT(ISNA(VLOOKUP(E5128,E$1:E5127,1,FALSE()))),"OLD",IF(AND(E5128&lt;&gt;"",E5128&lt;&gt;"!!!"),"NEW","")))</f>
        <v> </v>
      </c>
      <c r="G5128" s="24" t="str">
        <f>IF(OR(E5128="",E5128="!!!"),"",IF(OR(J5128=0,AND(J5128=1,K5128=1),AND(J5128=1,I5128="SBJ"),AND(J5128=1,I5128=0)),"?IN_FOCUS",IF(J5128&lt;=2,"?ACTIVATED",IF(J5128&lt;&gt;"","?FAMILIAR",IF(F5128="NEW",IF(ISNA(VLOOKUP(E5128,#REF!,1,FALSE())),"?TYPE_IDENTIFIABLE","?REFERENTIAL"),"_")))))</f>
        <v> </v>
      </c>
      <c r="H5128" s="25" t="str">
        <f>IF(J5128&lt;&gt;1,"",IF(I5128="SBJ","CB","?"))</f>
        <v> </v>
      </c>
      <c r="I5128" s="26" t="str">
        <f>IF(OR(E5128="",E5128="!!!",F5128="NEW"),"",INDEX(B5127:B$2,-1+SUMPRODUCT(MAX(ROW(E5127:E$2)*(E5128=E5127:E$2)))))</f>
        <v> </v>
      </c>
      <c r="J5128" s="26" t="str">
        <f>IF(OR(E5128="",E5128="!!!",F5128="NEW"),"",COUNTBLANK(OFFSET(A$1,,,SUMPRODUCT(MAX(ROW(E$2:E5128)*(E5128=E$2:E5128)))))-COUNTBLANK(OFFSET(A$1,,,SUMPRODUCT(MAX(ROW(E$1:E5127)*(E2=E$1:E5127))))))</f>
        <v> </v>
      </c>
      <c r="K5128" s="26" t="str">
        <f>IF(OR(E5128="",E5128="!!!",F5128="NEW"),"",INDEX(J$1:J5127,SUMPRODUCT(MAX(ROW(E$1:E5127)*(E5128=E$1:E5127)))))</f>
        <v> </v>
      </c>
      <c r="L5128" s="27"/>
    </row>
    <row r="5129" spans="1:12">
      <c r="A5129" s="20" t="s">
        <v>1516</v>
      </c>
      <c r="E5129" s="22">
        <f>IF(D5129="?OLD","!!!","")</f>
        <v/>
      </c>
      <c r="F5129" s="23" t="str">
        <f>IF(OR(E5129="",E5129="!!!"),"",IF(NOT(ISNA(VLOOKUP(E5129,E$1:E5128,1,FALSE()))),"OLD",IF(AND(E5129&lt;&gt;"",E5129&lt;&gt;"!!!"),"NEW","")))</f>
        <v> </v>
      </c>
      <c r="G5129" s="24" t="str">
        <f>IF(OR(E5129="",E5129="!!!"),"",IF(OR(J5129=0,AND(J5129=1,K5129=1),AND(J5129=1,I5129="SBJ"),AND(J5129=1,I5129=0)),"?IN_FOCUS",IF(J5129&lt;=2,"?ACTIVATED",IF(J5129&lt;&gt;"","?FAMILIAR",IF(F5129="NEW",IF(ISNA(VLOOKUP(E5129,#REF!,1,FALSE())),"?TYPE_IDENTIFIABLE","?REFERENTIAL"),"_")))))</f>
        <v> </v>
      </c>
      <c r="H5129" s="25" t="str">
        <f>IF(J5129&lt;&gt;1,"",IF(I5129="SBJ","CB","?"))</f>
        <v> </v>
      </c>
      <c r="I5129" s="26" t="str">
        <f>IF(OR(E5129="",E5129="!!!",F5129="NEW"),"",INDEX(B5128:B$2,-1+SUMPRODUCT(MAX(ROW(E5128:E$2)*(E5129=E5128:E$2)))))</f>
        <v> </v>
      </c>
      <c r="J5129" s="26" t="str">
        <f>IF(OR(E5129="",E5129="!!!",F5129="NEW"),"",COUNTBLANK(OFFSET(A$1,,,SUMPRODUCT(MAX(ROW(E$2:E5129)*(E5129=E$2:E5129)))))-COUNTBLANK(OFFSET(A$1,,,SUMPRODUCT(MAX(ROW(E$1:E5128)*(E2=E$1:E5128))))))</f>
        <v> </v>
      </c>
      <c r="K5129" s="26" t="str">
        <f>IF(OR(E5129="",E5129="!!!",F5129="NEW"),"",INDEX(J$1:J5128,SUMPRODUCT(MAX(ROW(E$1:E5128)*(E5129=E$1:E5128)))))</f>
        <v> </v>
      </c>
      <c r="L5129" s="27"/>
    </row>
    <row r="5130" spans="1:12">
      <c r="A5130" s="20" t="s">
        <v>1083</v>
      </c>
      <c r="B5130" s="21" t="s">
        <v>1179</v>
      </c>
      <c r="C5130" s="21" t="s">
        <v>1076</v>
      </c>
      <c r="D5130" s="21" t="s">
        <v>1060</v>
      </c>
      <c r="E5130" s="22">
        <f>IF(D5130="?OLD","!!!","")</f>
        <v/>
      </c>
      <c r="F5130" s="23" t="str">
        <f>IF(OR(E5130="",E5130="!!!"),"",IF(NOT(ISNA(VLOOKUP(E5130,E$1:E5129,1,FALSE()))),"OLD",IF(AND(E5130&lt;&gt;"",E5130&lt;&gt;"!!!"),"NEW","")))</f>
        <v> </v>
      </c>
      <c r="G5130" s="24" t="str">
        <f>IF(OR(E5130="",E5130="!!!"),"",IF(OR(J5130=0,AND(J5130=1,K5130=1),AND(J5130=1,I5130="SBJ"),AND(J5130=1,I5130=0)),"?IN_FOCUS",IF(J5130&lt;=2,"?ACTIVATED",IF(J5130&lt;&gt;"","?FAMILIAR",IF(F5130="NEW",IF(ISNA(VLOOKUP(E5130,#REF!,1,FALSE())),"?TYPE_IDENTIFIABLE","?REFERENTIAL"),"_")))))</f>
        <v> </v>
      </c>
      <c r="H5130" s="25" t="str">
        <f>IF(J5130&lt;&gt;1,"",IF(I5130="SBJ","CB","?"))</f>
        <v> </v>
      </c>
      <c r="I5130" s="26" t="str">
        <f>IF(OR(E5130="",E5130="!!!",F5130="NEW"),"",INDEX(B5129:B$2,-1+SUMPRODUCT(MAX(ROW(E5129:E$2)*(E5130=E5129:E$2)))))</f>
        <v> </v>
      </c>
      <c r="J5130" s="26" t="str">
        <f>IF(OR(E5130="",E5130="!!!",F5130="NEW"),"",COUNTBLANK(OFFSET(A$1,,,SUMPRODUCT(MAX(ROW(E$2:E5130)*(E5130=E$2:E5130)))))-COUNTBLANK(OFFSET(A$1,,,SUMPRODUCT(MAX(ROW(E$1:E5129)*(E2=E$1:E5129))))))</f>
        <v> </v>
      </c>
      <c r="K5130" s="26" t="str">
        <f>IF(OR(E5130="",E5130="!!!",F5130="NEW"),"",INDEX(J$1:J5129,SUMPRODUCT(MAX(ROW(E$1:E5129)*(E5130=E$1:E5129)))))</f>
        <v> </v>
      </c>
      <c r="L5130" s="27"/>
    </row>
    <row r="5131" spans="1:12">
      <c r="A5131" s="20" t="s">
        <v>1152</v>
      </c>
      <c r="E5131" s="22">
        <f>IF(D5131="?OLD","!!!","")</f>
        <v/>
      </c>
      <c r="F5131" s="23" t="str">
        <f>IF(OR(E5131="",E5131="!!!"),"",IF(NOT(ISNA(VLOOKUP(E5131,E$1:E5130,1,FALSE()))),"OLD",IF(AND(E5131&lt;&gt;"",E5131&lt;&gt;"!!!"),"NEW","")))</f>
        <v> </v>
      </c>
      <c r="G5131" s="24" t="str">
        <f>IF(OR(E5131="",E5131="!!!"),"",IF(OR(J5131=0,AND(J5131=1,K5131=1),AND(J5131=1,I5131="SBJ"),AND(J5131=1,I5131=0)),"?IN_FOCUS",IF(J5131&lt;=2,"?ACTIVATED",IF(J5131&lt;&gt;"","?FAMILIAR",IF(F5131="NEW",IF(ISNA(VLOOKUP(E5131,#REF!,1,FALSE())),"?TYPE_IDENTIFIABLE","?REFERENTIAL"),"_")))))</f>
        <v> </v>
      </c>
      <c r="H5131" s="25" t="str">
        <f>IF(J5131&lt;&gt;1,"",IF(I5131="SBJ","CB","?"))</f>
        <v> </v>
      </c>
      <c r="I5131" s="26" t="str">
        <f>IF(OR(E5131="",E5131="!!!",F5131="NEW"),"",INDEX(B5130:B$2,-1+SUMPRODUCT(MAX(ROW(E5130:E$2)*(E5131=E5130:E$2)))))</f>
        <v> </v>
      </c>
      <c r="J5131" s="26" t="str">
        <f>IF(OR(E5131="",E5131="!!!",F5131="NEW"),"",COUNTBLANK(OFFSET(A$1,,,SUMPRODUCT(MAX(ROW(E$2:E5131)*(E5131=E$2:E5131)))))-COUNTBLANK(OFFSET(A$1,,,SUMPRODUCT(MAX(ROW(E$1:E5130)*(E2=E$1:E5130))))))</f>
        <v> </v>
      </c>
      <c r="K5131" s="26" t="str">
        <f>IF(OR(E5131="",E5131="!!!",F5131="NEW"),"",INDEX(J$1:J5130,SUMPRODUCT(MAX(ROW(E$1:E5130)*(E5131=E$1:E5130)))))</f>
        <v> </v>
      </c>
      <c r="L5131" s="27"/>
    </row>
    <row r="5132" spans="1:12">
      <c r="A5132" s="20" t="s">
        <v>2468</v>
      </c>
      <c r="E5132" s="22">
        <f>IF(D5132="?OLD","!!!","")</f>
        <v/>
      </c>
      <c r="F5132" s="23" t="str">
        <f>IF(OR(E5132="",E5132="!!!"),"",IF(NOT(ISNA(VLOOKUP(E5132,E$1:E5131,1,FALSE()))),"OLD",IF(AND(E5132&lt;&gt;"",E5132&lt;&gt;"!!!"),"NEW","")))</f>
        <v> </v>
      </c>
      <c r="G5132" s="24" t="str">
        <f>IF(OR(E5132="",E5132="!!!"),"",IF(OR(J5132=0,AND(J5132=1,K5132=1),AND(J5132=1,I5132="SBJ"),AND(J5132=1,I5132=0)),"?IN_FOCUS",IF(J5132&lt;=2,"?ACTIVATED",IF(J5132&lt;&gt;"","?FAMILIAR",IF(F5132="NEW",IF(ISNA(VLOOKUP(E5132,#REF!,1,FALSE())),"?TYPE_IDENTIFIABLE","?REFERENTIAL"),"_")))))</f>
        <v> </v>
      </c>
      <c r="H5132" s="25" t="str">
        <f>IF(J5132&lt;&gt;1,"",IF(I5132="SBJ","CB","?"))</f>
        <v> </v>
      </c>
      <c r="I5132" s="26" t="str">
        <f>IF(OR(E5132="",E5132="!!!",F5132="NEW"),"",INDEX(B5131:B$2,-1+SUMPRODUCT(MAX(ROW(E5131:E$2)*(E5132=E5131:E$2)))))</f>
        <v> </v>
      </c>
      <c r="J5132" s="26" t="str">
        <f>IF(OR(E5132="",E5132="!!!",F5132="NEW"),"",COUNTBLANK(OFFSET(A$1,,,SUMPRODUCT(MAX(ROW(E$2:E5132)*(E5132=E$2:E5132)))))-COUNTBLANK(OFFSET(A$1,,,SUMPRODUCT(MAX(ROW(E$1:E5131)*(E2=E$1:E5131))))))</f>
        <v> </v>
      </c>
      <c r="K5132" s="26" t="str">
        <f>IF(OR(E5132="",E5132="!!!",F5132="NEW"),"",INDEX(J$1:J5131,SUMPRODUCT(MAX(ROW(E$1:E5131)*(E5132=E$1:E5131)))))</f>
        <v> </v>
      </c>
      <c r="L5132" s="27"/>
    </row>
    <row r="5133" spans="1:12">
      <c r="A5133" s="20" t="s">
        <v>1090</v>
      </c>
      <c r="B5133" s="21" t="s">
        <v>1091</v>
      </c>
      <c r="C5133" s="21" t="s">
        <v>1092</v>
      </c>
      <c r="D5133" s="21" t="s">
        <v>1060</v>
      </c>
      <c r="E5133" s="22">
        <f>IF(D5133="?OLD","!!!","")</f>
        <v/>
      </c>
      <c r="F5133" s="23" t="str">
        <f>IF(OR(E5133="",E5133="!!!"),"",IF(NOT(ISNA(VLOOKUP(E5133,E$1:E5132,1,FALSE()))),"OLD",IF(AND(E5133&lt;&gt;"",E5133&lt;&gt;"!!!"),"NEW","")))</f>
        <v> </v>
      </c>
      <c r="G5133" s="24" t="str">
        <f>IF(OR(E5133="",E5133="!!!"),"",IF(OR(J5133=0,AND(J5133=1,K5133=1),AND(J5133=1,I5133="SBJ"),AND(J5133=1,I5133=0)),"?IN_FOCUS",IF(J5133&lt;=2,"?ACTIVATED",IF(J5133&lt;&gt;"","?FAMILIAR",IF(F5133="NEW",IF(ISNA(VLOOKUP(E5133,#REF!,1,FALSE())),"?TYPE_IDENTIFIABLE","?REFERENTIAL"),"_")))))</f>
        <v> </v>
      </c>
      <c r="H5133" s="25" t="str">
        <f>IF(J5133&lt;&gt;1,"",IF(I5133="SBJ","CB","?"))</f>
        <v> </v>
      </c>
      <c r="I5133" s="26" t="str">
        <f>IF(OR(E5133="",E5133="!!!",F5133="NEW"),"",INDEX(B5132:B$2,-1+SUMPRODUCT(MAX(ROW(E5132:E$2)*(E5133=E5132:E$2)))))</f>
        <v> </v>
      </c>
      <c r="J5133" s="26" t="str">
        <f>IF(OR(E5133="",E5133="!!!",F5133="NEW"),"",COUNTBLANK(OFFSET(A$1,,,SUMPRODUCT(MAX(ROW(E$2:E5133)*(E5133=E$2:E5133)))))-COUNTBLANK(OFFSET(A$1,,,SUMPRODUCT(MAX(ROW(E$1:E5132)*(E2=E$1:E5132))))))</f>
        <v> </v>
      </c>
      <c r="K5133" s="26" t="str">
        <f>IF(OR(E5133="",E5133="!!!",F5133="NEW"),"",INDEX(J$1:J5132,SUMPRODUCT(MAX(ROW(E$1:E5132)*(E5133=E$1:E5132)))))</f>
        <v> </v>
      </c>
      <c r="L5133" s="27"/>
    </row>
    <row r="5134" spans="1:12">
      <c r="A5134" s="20" t="s">
        <v>1829</v>
      </c>
      <c r="B5134" s="21" t="s">
        <v>1095</v>
      </c>
      <c r="C5134" s="21" t="s">
        <v>1059</v>
      </c>
      <c r="D5134" s="21" t="s">
        <v>1060</v>
      </c>
      <c r="E5134" s="22">
        <f>IF(D5134="?OLD","!!!","")</f>
        <v/>
      </c>
      <c r="F5134" s="23" t="str">
        <f>IF(OR(E5134="",E5134="!!!"),"",IF(NOT(ISNA(VLOOKUP(E5134,E$1:E5133,1,FALSE()))),"OLD",IF(AND(E5134&lt;&gt;"",E5134&lt;&gt;"!!!"),"NEW","")))</f>
        <v> </v>
      </c>
      <c r="G5134" s="24" t="str">
        <f>IF(OR(E5134="",E5134="!!!"),"",IF(OR(J5134=0,AND(J5134=1,K5134=1),AND(J5134=1,I5134="SBJ"),AND(J5134=1,I5134=0)),"?IN_FOCUS",IF(J5134&lt;=2,"?ACTIVATED",IF(J5134&lt;&gt;"","?FAMILIAR",IF(F5134="NEW",IF(ISNA(VLOOKUP(E5134,#REF!,1,FALSE())),"?TYPE_IDENTIFIABLE","?REFERENTIAL"),"_")))))</f>
        <v> </v>
      </c>
      <c r="H5134" s="25" t="str">
        <f>IF(J5134&lt;&gt;1,"",IF(I5134="SBJ","CB","?"))</f>
        <v> </v>
      </c>
      <c r="I5134" s="26" t="str">
        <f>IF(OR(E5134="",E5134="!!!",F5134="NEW"),"",INDEX(B5133:B$2,-1+SUMPRODUCT(MAX(ROW(E5133:E$2)*(E5134=E5133:E$2)))))</f>
        <v> </v>
      </c>
      <c r="J5134" s="26" t="str">
        <f>IF(OR(E5134="",E5134="!!!",F5134="NEW"),"",COUNTBLANK(OFFSET(A$1,,,SUMPRODUCT(MAX(ROW(E$2:E5134)*(E5134=E$2:E5134)))))-COUNTBLANK(OFFSET(A$1,,,SUMPRODUCT(MAX(ROW(E$1:E5133)*(E2=E$1:E5133))))))</f>
        <v> </v>
      </c>
      <c r="K5134" s="26" t="str">
        <f>IF(OR(E5134="",E5134="!!!",F5134="NEW"),"",INDEX(J$1:J5133,SUMPRODUCT(MAX(ROW(E$1:E5133)*(E5134=E$1:E5133)))))</f>
        <v> </v>
      </c>
      <c r="L5134" s="27"/>
    </row>
    <row r="5135" spans="1:12">
      <c r="A5135" s="20" t="s">
        <v>2469</v>
      </c>
      <c r="E5135" s="22">
        <f>IF(D5135="?OLD","!!!","")</f>
        <v/>
      </c>
      <c r="F5135" s="23" t="str">
        <f>IF(OR(E5135="",E5135="!!!"),"",IF(NOT(ISNA(VLOOKUP(E5135,E$1:E5134,1,FALSE()))),"OLD",IF(AND(E5135&lt;&gt;"",E5135&lt;&gt;"!!!"),"NEW","")))</f>
        <v> </v>
      </c>
      <c r="G5135" s="24" t="str">
        <f>IF(OR(E5135="",E5135="!!!"),"",IF(OR(J5135=0,AND(J5135=1,K5135=1),AND(J5135=1,I5135="SBJ"),AND(J5135=1,I5135=0)),"?IN_FOCUS",IF(J5135&lt;=2,"?ACTIVATED",IF(J5135&lt;&gt;"","?FAMILIAR",IF(F5135="NEW",IF(ISNA(VLOOKUP(E5135,#REF!,1,FALSE())),"?TYPE_IDENTIFIABLE","?REFERENTIAL"),"_")))))</f>
        <v> </v>
      </c>
      <c r="H5135" s="25" t="str">
        <f>IF(J5135&lt;&gt;1,"",IF(I5135="SBJ","CB","?"))</f>
        <v> </v>
      </c>
      <c r="I5135" s="26" t="str">
        <f>IF(OR(E5135="",E5135="!!!",F5135="NEW"),"",INDEX(B5134:B$2,-1+SUMPRODUCT(MAX(ROW(E5134:E$2)*(E5135=E5134:E$2)))))</f>
        <v> </v>
      </c>
      <c r="J5135" s="26" t="str">
        <f>IF(OR(E5135="",E5135="!!!",F5135="NEW"),"",COUNTBLANK(OFFSET(A$1,,,SUMPRODUCT(MAX(ROW(E$2:E5135)*(E5135=E$2:E5135)))))-COUNTBLANK(OFFSET(A$1,,,SUMPRODUCT(MAX(ROW(E$1:E5134)*(E2=E$1:E5134))))))</f>
        <v> </v>
      </c>
      <c r="K5135" s="26" t="str">
        <f>IF(OR(E5135="",E5135="!!!",F5135="NEW"),"",INDEX(J$1:J5134,SUMPRODUCT(MAX(ROW(E$1:E5134)*(E5135=E$1:E5134)))))</f>
        <v> </v>
      </c>
      <c r="L5135" s="27"/>
    </row>
    <row r="5136" spans="1:12">
      <c r="A5136" s="20" t="s">
        <v>923</v>
      </c>
      <c r="E5136" s="22">
        <f>IF(D5136="?OLD","!!!","")</f>
        <v/>
      </c>
      <c r="F5136" s="23" t="str">
        <f>IF(OR(E5136="",E5136="!!!"),"",IF(NOT(ISNA(VLOOKUP(E5136,E$1:E5135,1,FALSE()))),"OLD",IF(AND(E5136&lt;&gt;"",E5136&lt;&gt;"!!!"),"NEW","")))</f>
        <v> </v>
      </c>
      <c r="G5136" s="24" t="str">
        <f>IF(OR(E5136="",E5136="!!!"),"",IF(OR(J5136=0,AND(J5136=1,K5136=1),AND(J5136=1,I5136="SBJ"),AND(J5136=1,I5136=0)),"?IN_FOCUS",IF(J5136&lt;=2,"?ACTIVATED",IF(J5136&lt;&gt;"","?FAMILIAR",IF(F5136="NEW",IF(ISNA(VLOOKUP(E5136,#REF!,1,FALSE())),"?TYPE_IDENTIFIABLE","?REFERENTIAL"),"_")))))</f>
        <v> </v>
      </c>
      <c r="H5136" s="25" t="str">
        <f>IF(J5136&lt;&gt;1,"",IF(I5136="SBJ","CB","?"))</f>
        <v> </v>
      </c>
      <c r="I5136" s="26" t="str">
        <f>IF(OR(E5136="",E5136="!!!",F5136="NEW"),"",INDEX(B5135:B$2,-1+SUMPRODUCT(MAX(ROW(E5135:E$2)*(E5136=E5135:E$2)))))</f>
        <v> </v>
      </c>
      <c r="J5136" s="26" t="str">
        <f>IF(OR(E5136="",E5136="!!!",F5136="NEW"),"",COUNTBLANK(OFFSET(A$1,,,SUMPRODUCT(MAX(ROW(E$2:E5136)*(E5136=E$2:E5136)))))-COUNTBLANK(OFFSET(A$1,,,SUMPRODUCT(MAX(ROW(E$1:E5135)*(E2=E$1:E5135))))))</f>
        <v> </v>
      </c>
      <c r="K5136" s="26" t="str">
        <f>IF(OR(E5136="",E5136="!!!",F5136="NEW"),"",INDEX(J$1:J5135,SUMPRODUCT(MAX(ROW(E$1:E5135)*(E5136=E$1:E5135)))))</f>
        <v> </v>
      </c>
      <c r="L5136" s="27"/>
    </row>
    <row r="5137" spans="1:12">
      <c r="A5137" s="20"/>
    </row>
    <row r="5138" spans="1:12">
      <c r="A5138" s="20" t="s">
        <v>2470</v>
      </c>
    </row>
    <row r="5139" spans="1:12">
      <c r="A5139" s="20" t="s">
        <v>1317</v>
      </c>
      <c r="E5139" s="22">
        <f>IF(D5139="?OLD","!!!","")</f>
        <v/>
      </c>
      <c r="F5139" s="23" t="str">
        <f>IF(OR(E5139="",E5139="!!!"),"",IF(NOT(ISNA(VLOOKUP(E5139,E$1:E5138,1,FALSE()))),"OLD",IF(AND(E5139&lt;&gt;"",E5139&lt;&gt;"!!!"),"NEW","")))</f>
        <v> </v>
      </c>
      <c r="G5139" s="24" t="str">
        <f>IF(OR(E5139="",E5139="!!!"),"",IF(OR(J5139=0,AND(J5139=1,K5139=1),AND(J5139=1,I5139="SBJ"),AND(J5139=1,I5139=0)),"?IN_FOCUS",IF(J5139&lt;=2,"?ACTIVATED",IF(J5139&lt;&gt;"","?FAMILIAR",IF(F5139="NEW",IF(ISNA(VLOOKUP(E5139,#REF!,1,FALSE())),"?TYPE_IDENTIFIABLE","?REFERENTIAL"),"_")))))</f>
        <v> </v>
      </c>
      <c r="H5139" s="25" t="str">
        <f>IF(J5139&lt;&gt;1,"",IF(I5139="SBJ","CB","?"))</f>
        <v> </v>
      </c>
      <c r="I5139" s="26" t="str">
        <f>IF(OR(E5139="",E5139="!!!",F5139="NEW"),"",INDEX(B5138:B$2,-1+SUMPRODUCT(MAX(ROW(E5138:E$2)*(E5139=E5138:E$2)))))</f>
        <v> </v>
      </c>
      <c r="J5139" s="26" t="str">
        <f>IF(OR(E5139="",E5139="!!!",F5139="NEW"),"",COUNTBLANK(OFFSET(A$1,,,SUMPRODUCT(MAX(ROW(E$2:E5139)*(E5139=E$2:E5139)))))-COUNTBLANK(OFFSET(A$1,,,SUMPRODUCT(MAX(ROW(E$1:E5138)*(E2=E$1:E5138))))))</f>
        <v> </v>
      </c>
      <c r="K5139" s="26" t="str">
        <f>IF(OR(E5139="",E5139="!!!",F5139="NEW"),"",INDEX(J$1:J5138,SUMPRODUCT(MAX(ROW(E$1:E5138)*(E5139=E$1:E5138)))))</f>
        <v> </v>
      </c>
      <c r="L5139" s="27"/>
    </row>
    <row r="5140" spans="1:12">
      <c r="A5140" s="20" t="s">
        <v>1328</v>
      </c>
      <c r="E5140" s="22">
        <f>IF(D5140="?OLD","!!!","")</f>
        <v/>
      </c>
      <c r="F5140" s="23" t="str">
        <f>IF(OR(E5140="",E5140="!!!"),"",IF(NOT(ISNA(VLOOKUP(E5140,E$1:E5139,1,FALSE()))),"OLD",IF(AND(E5140&lt;&gt;"",E5140&lt;&gt;"!!!"),"NEW","")))</f>
        <v> </v>
      </c>
      <c r="G5140" s="24" t="str">
        <f>IF(OR(E5140="",E5140="!!!"),"",IF(OR(J5140=0,AND(J5140=1,K5140=1),AND(J5140=1,I5140="SBJ"),AND(J5140=1,I5140=0)),"?IN_FOCUS",IF(J5140&lt;=2,"?ACTIVATED",IF(J5140&lt;&gt;"","?FAMILIAR",IF(F5140="NEW",IF(ISNA(VLOOKUP(E5140,#REF!,1,FALSE())),"?TYPE_IDENTIFIABLE","?REFERENTIAL"),"_")))))</f>
        <v> </v>
      </c>
      <c r="H5140" s="25" t="str">
        <f>IF(J5140&lt;&gt;1,"",IF(I5140="SBJ","CB","?"))</f>
        <v> </v>
      </c>
      <c r="I5140" s="26" t="str">
        <f>IF(OR(E5140="",E5140="!!!",F5140="NEW"),"",INDEX(B5139:B$2,-1+SUMPRODUCT(MAX(ROW(E5139:E$2)*(E5140=E5139:E$2)))))</f>
        <v> </v>
      </c>
      <c r="J5140" s="26" t="str">
        <f>IF(OR(E5140="",E5140="!!!",F5140="NEW"),"",COUNTBLANK(OFFSET(A$1,,,SUMPRODUCT(MAX(ROW(E$2:E5140)*(E5140=E$2:E5140)))))-COUNTBLANK(OFFSET(A$1,,,SUMPRODUCT(MAX(ROW(E$1:E5139)*(E2=E$1:E5139))))))</f>
        <v> </v>
      </c>
      <c r="K5140" s="26" t="str">
        <f>IF(OR(E5140="",E5140="!!!",F5140="NEW"),"",INDEX(J$1:J5139,SUMPRODUCT(MAX(ROW(E$1:E5139)*(E5140=E$1:E5139)))))</f>
        <v> </v>
      </c>
      <c r="L5140" s="27"/>
    </row>
    <row r="5141" spans="1:12">
      <c r="A5141" s="20" t="s">
        <v>2471</v>
      </c>
      <c r="E5141" s="22">
        <f>IF(D5141="?OLD","!!!","")</f>
        <v/>
      </c>
      <c r="F5141" s="23" t="str">
        <f>IF(OR(E5141="",E5141="!!!"),"",IF(NOT(ISNA(VLOOKUP(E5141,E$1:E5140,1,FALSE()))),"OLD",IF(AND(E5141&lt;&gt;"",E5141&lt;&gt;"!!!"),"NEW","")))</f>
        <v> </v>
      </c>
      <c r="G5141" s="24" t="str">
        <f>IF(OR(E5141="",E5141="!!!"),"",IF(OR(J5141=0,AND(J5141=1,K5141=1),AND(J5141=1,I5141="SBJ"),AND(J5141=1,I5141=0)),"?IN_FOCUS",IF(J5141&lt;=2,"?ACTIVATED",IF(J5141&lt;&gt;"","?FAMILIAR",IF(F5141="NEW",IF(ISNA(VLOOKUP(E5141,#REF!,1,FALSE())),"?TYPE_IDENTIFIABLE","?REFERENTIAL"),"_")))))</f>
        <v> </v>
      </c>
      <c r="H5141" s="25" t="str">
        <f>IF(J5141&lt;&gt;1,"",IF(I5141="SBJ","CB","?"))</f>
        <v> </v>
      </c>
      <c r="I5141" s="26" t="str">
        <f>IF(OR(E5141="",E5141="!!!",F5141="NEW"),"",INDEX(B5140:B$2,-1+SUMPRODUCT(MAX(ROW(E5140:E$2)*(E5141=E5140:E$2)))))</f>
        <v> </v>
      </c>
      <c r="J5141" s="26" t="str">
        <f>IF(OR(E5141="",E5141="!!!",F5141="NEW"),"",COUNTBLANK(OFFSET(A$1,,,SUMPRODUCT(MAX(ROW(E$2:E5141)*(E5141=E$2:E5141)))))-COUNTBLANK(OFFSET(A$1,,,SUMPRODUCT(MAX(ROW(E$1:E5140)*(E2=E$1:E5140))))))</f>
        <v> </v>
      </c>
      <c r="K5141" s="26" t="str">
        <f>IF(OR(E5141="",E5141="!!!",F5141="NEW"),"",INDEX(J$1:J5140,SUMPRODUCT(MAX(ROW(E$1:E5140)*(E5141=E$1:E5140)))))</f>
        <v> </v>
      </c>
      <c r="L5141" s="27"/>
    </row>
    <row r="5142" spans="1:12">
      <c r="A5142" s="20" t="s">
        <v>16</v>
      </c>
      <c r="E5142" s="22">
        <f>IF(D5142="?OLD","!!!","")</f>
        <v/>
      </c>
      <c r="F5142" s="23" t="str">
        <f>IF(OR(E5142="",E5142="!!!"),"",IF(NOT(ISNA(VLOOKUP(E5142,E$1:E5141,1,FALSE()))),"OLD",IF(AND(E5142&lt;&gt;"",E5142&lt;&gt;"!!!"),"NEW","")))</f>
        <v> </v>
      </c>
      <c r="G5142" s="24" t="str">
        <f>IF(OR(E5142="",E5142="!!!"),"",IF(OR(J5142=0,AND(J5142=1,K5142=1),AND(J5142=1,I5142="SBJ"),AND(J5142=1,I5142=0)),"?IN_FOCUS",IF(J5142&lt;=2,"?ACTIVATED",IF(J5142&lt;&gt;"","?FAMILIAR",IF(F5142="NEW",IF(ISNA(VLOOKUP(E5142,#REF!,1,FALSE())),"?TYPE_IDENTIFIABLE","?REFERENTIAL"),"_")))))</f>
        <v> </v>
      </c>
      <c r="H5142" s="25" t="str">
        <f>IF(J5142&lt;&gt;1,"",IF(I5142="SBJ","CB","?"))</f>
        <v> </v>
      </c>
      <c r="I5142" s="26" t="str">
        <f>IF(OR(E5142="",E5142="!!!",F5142="NEW"),"",INDEX(B5141:B$2,-1+SUMPRODUCT(MAX(ROW(E5141:E$2)*(E5142=E5141:E$2)))))</f>
        <v> </v>
      </c>
      <c r="J5142" s="26" t="str">
        <f>IF(OR(E5142="",E5142="!!!",F5142="NEW"),"",COUNTBLANK(OFFSET(A$1,,,SUMPRODUCT(MAX(ROW(E$2:E5142)*(E5142=E$2:E5142)))))-COUNTBLANK(OFFSET(A$1,,,SUMPRODUCT(MAX(ROW(E$1:E5141)*(E2=E$1:E5141))))))</f>
        <v> </v>
      </c>
      <c r="K5142" s="26" t="str">
        <f>IF(OR(E5142="",E5142="!!!",F5142="NEW"),"",INDEX(J$1:J5141,SUMPRODUCT(MAX(ROW(E$1:E5141)*(E5142=E$1:E5141)))))</f>
        <v> </v>
      </c>
      <c r="L5142" s="27"/>
    </row>
    <row r="5143" spans="1:12">
      <c r="A5143" s="20" t="s">
        <v>2472</v>
      </c>
      <c r="B5143" s="21" t="s">
        <v>1058</v>
      </c>
      <c r="C5143" s="21" t="s">
        <v>1080</v>
      </c>
      <c r="E5143" s="22">
        <f>IF(D5143="?OLD","!!!","")</f>
        <v/>
      </c>
      <c r="F5143" s="23" t="str">
        <f>IF(OR(E5143="",E5143="!!!"),"",IF(NOT(ISNA(VLOOKUP(E5143,E$1:E5142,1,FALSE()))),"OLD",IF(AND(E5143&lt;&gt;"",E5143&lt;&gt;"!!!"),"NEW","")))</f>
        <v> </v>
      </c>
      <c r="G5143" s="24" t="str">
        <f>IF(OR(E5143="",E5143="!!!"),"",IF(OR(J5143=0,AND(J5143=1,K5143=1),AND(J5143=1,I5143="SBJ"),AND(J5143=1,I5143=0)),"?IN_FOCUS",IF(J5143&lt;=2,"?ACTIVATED",IF(J5143&lt;&gt;"","?FAMILIAR",IF(F5143="NEW",IF(ISNA(VLOOKUP(E5143,#REF!,1,FALSE())),"?TYPE_IDENTIFIABLE","?REFERENTIAL"),"_")))))</f>
        <v> </v>
      </c>
      <c r="H5143" s="25" t="str">
        <f>IF(J5143&lt;&gt;1,"",IF(I5143="SBJ","CB","?"))</f>
        <v> </v>
      </c>
      <c r="I5143" s="26" t="str">
        <f>IF(OR(E5143="",E5143="!!!",F5143="NEW"),"",INDEX(B5142:B$2,-1+SUMPRODUCT(MAX(ROW(E5142:E$2)*(E5143=E5142:E$2)))))</f>
        <v> </v>
      </c>
      <c r="J5143" s="26" t="str">
        <f>IF(OR(E5143="",E5143="!!!",F5143="NEW"),"",COUNTBLANK(OFFSET(A$1,,,SUMPRODUCT(MAX(ROW(E$2:E5143)*(E5143=E$2:E5143)))))-COUNTBLANK(OFFSET(A$1,,,SUMPRODUCT(MAX(ROW(E$1:E5142)*(E2=E$1:E5142))))))</f>
        <v> </v>
      </c>
      <c r="K5143" s="26" t="str">
        <f>IF(OR(E5143="",E5143="!!!",F5143="NEW"),"",INDEX(J$1:J5142,SUMPRODUCT(MAX(ROW(E$1:E5142)*(E5143=E$1:E5142)))))</f>
        <v> </v>
      </c>
      <c r="L5143" s="27"/>
    </row>
    <row r="5144" spans="1:12">
      <c r="A5144" s="20" t="s">
        <v>1118</v>
      </c>
      <c r="E5144" s="22">
        <f>IF(D5144="?OLD","!!!","")</f>
        <v/>
      </c>
      <c r="F5144" s="23" t="str">
        <f>IF(OR(E5144="",E5144="!!!"),"",IF(NOT(ISNA(VLOOKUP(E5144,E$1:E5143,1,FALSE()))),"OLD",IF(AND(E5144&lt;&gt;"",E5144&lt;&gt;"!!!"),"NEW","")))</f>
        <v> </v>
      </c>
      <c r="G5144" s="24" t="str">
        <f>IF(OR(E5144="",E5144="!!!"),"",IF(OR(J5144=0,AND(J5144=1,K5144=1),AND(J5144=1,I5144="SBJ"),AND(J5144=1,I5144=0)),"?IN_FOCUS",IF(J5144&lt;=2,"?ACTIVATED",IF(J5144&lt;&gt;"","?FAMILIAR",IF(F5144="NEW",IF(ISNA(VLOOKUP(E5144,#REF!,1,FALSE())),"?TYPE_IDENTIFIABLE","?REFERENTIAL"),"_")))))</f>
        <v> </v>
      </c>
      <c r="H5144" s="25" t="str">
        <f>IF(J5144&lt;&gt;1,"",IF(I5144="SBJ","CB","?"))</f>
        <v> </v>
      </c>
      <c r="I5144" s="26" t="str">
        <f>IF(OR(E5144="",E5144="!!!",F5144="NEW"),"",INDEX(B5143:B$2,-1+SUMPRODUCT(MAX(ROW(E5143:E$2)*(E5144=E5143:E$2)))))</f>
        <v> </v>
      </c>
      <c r="J5144" s="26" t="str">
        <f>IF(OR(E5144="",E5144="!!!",F5144="NEW"),"",COUNTBLANK(OFFSET(A$1,,,SUMPRODUCT(MAX(ROW(E$2:E5144)*(E5144=E$2:E5144)))))-COUNTBLANK(OFFSET(A$1,,,SUMPRODUCT(MAX(ROW(E$1:E5143)*(E2=E$1:E5143))))))</f>
        <v> </v>
      </c>
      <c r="K5144" s="26" t="str">
        <f>IF(OR(E5144="",E5144="!!!",F5144="NEW"),"",INDEX(J$1:J5143,SUMPRODUCT(MAX(ROW(E$1:E5143)*(E5144=E$1:E5143)))))</f>
        <v> </v>
      </c>
      <c r="L5144" s="27"/>
    </row>
    <row r="5145" spans="1:12">
      <c r="A5145" s="20" t="s">
        <v>1077</v>
      </c>
      <c r="E5145" s="22">
        <f>IF(D5145="?OLD","!!!","")</f>
        <v/>
      </c>
      <c r="F5145" s="23" t="str">
        <f>IF(OR(E5145="",E5145="!!!"),"",IF(NOT(ISNA(VLOOKUP(E5145,E$1:E5144,1,FALSE()))),"OLD",IF(AND(E5145&lt;&gt;"",E5145&lt;&gt;"!!!"),"NEW","")))</f>
        <v> </v>
      </c>
      <c r="G5145" s="24" t="str">
        <f>IF(OR(E5145="",E5145="!!!"),"",IF(OR(J5145=0,AND(J5145=1,K5145=1),AND(J5145=1,I5145="SBJ"),AND(J5145=1,I5145=0)),"?IN_FOCUS",IF(J5145&lt;=2,"?ACTIVATED",IF(J5145&lt;&gt;"","?FAMILIAR",IF(F5145="NEW",IF(ISNA(VLOOKUP(E5145,#REF!,1,FALSE())),"?TYPE_IDENTIFIABLE","?REFERENTIAL"),"_")))))</f>
        <v> </v>
      </c>
      <c r="H5145" s="25" t="str">
        <f>IF(J5145&lt;&gt;1,"",IF(I5145="SBJ","CB","?"))</f>
        <v> </v>
      </c>
      <c r="I5145" s="26" t="str">
        <f>IF(OR(E5145="",E5145="!!!",F5145="NEW"),"",INDEX(B5144:B$2,-1+SUMPRODUCT(MAX(ROW(E5144:E$2)*(E5145=E5144:E$2)))))</f>
        <v> </v>
      </c>
      <c r="J5145" s="26" t="str">
        <f>IF(OR(E5145="",E5145="!!!",F5145="NEW"),"",COUNTBLANK(OFFSET(A$1,,,SUMPRODUCT(MAX(ROW(E$2:E5145)*(E5145=E$2:E5145)))))-COUNTBLANK(OFFSET(A$1,,,SUMPRODUCT(MAX(ROW(E$1:E5144)*(E2=E$1:E5144))))))</f>
        <v> </v>
      </c>
      <c r="K5145" s="26" t="str">
        <f>IF(OR(E5145="",E5145="!!!",F5145="NEW"),"",INDEX(J$1:J5144,SUMPRODUCT(MAX(ROW(E$1:E5144)*(E5145=E$1:E5144)))))</f>
        <v> </v>
      </c>
      <c r="L5145" s="27"/>
    </row>
    <row r="5146" spans="1:12">
      <c r="A5146" s="20" t="s">
        <v>2473</v>
      </c>
      <c r="E5146" s="22">
        <f>IF(D5146="?OLD","!!!","")</f>
        <v/>
      </c>
      <c r="F5146" s="23" t="str">
        <f>IF(OR(E5146="",E5146="!!!"),"",IF(NOT(ISNA(VLOOKUP(E5146,E$1:E5145,1,FALSE()))),"OLD",IF(AND(E5146&lt;&gt;"",E5146&lt;&gt;"!!!"),"NEW","")))</f>
        <v> </v>
      </c>
      <c r="G5146" s="24" t="str">
        <f>IF(OR(E5146="",E5146="!!!"),"",IF(OR(J5146=0,AND(J5146=1,K5146=1),AND(J5146=1,I5146="SBJ"),AND(J5146=1,I5146=0)),"?IN_FOCUS",IF(J5146&lt;=2,"?ACTIVATED",IF(J5146&lt;&gt;"","?FAMILIAR",IF(F5146="NEW",IF(ISNA(VLOOKUP(E5146,#REF!,1,FALSE())),"?TYPE_IDENTIFIABLE","?REFERENTIAL"),"_")))))</f>
        <v> </v>
      </c>
      <c r="H5146" s="25" t="str">
        <f>IF(J5146&lt;&gt;1,"",IF(I5146="SBJ","CB","?"))</f>
        <v> </v>
      </c>
      <c r="I5146" s="26" t="str">
        <f>IF(OR(E5146="",E5146="!!!",F5146="NEW"),"",INDEX(B5145:B$2,-1+SUMPRODUCT(MAX(ROW(E5145:E$2)*(E5146=E5145:E$2)))))</f>
        <v> </v>
      </c>
      <c r="J5146" s="26" t="str">
        <f>IF(OR(E5146="",E5146="!!!",F5146="NEW"),"",COUNTBLANK(OFFSET(A$1,,,SUMPRODUCT(MAX(ROW(E$2:E5146)*(E5146=E$2:E5146)))))-COUNTBLANK(OFFSET(A$1,,,SUMPRODUCT(MAX(ROW(E$1:E5145)*(E2=E$1:E5145))))))</f>
        <v> </v>
      </c>
      <c r="K5146" s="26" t="str">
        <f>IF(OR(E5146="",E5146="!!!",F5146="NEW"),"",INDEX(J$1:J5145,SUMPRODUCT(MAX(ROW(E$1:E5145)*(E5146=E$1:E5145)))))</f>
        <v> </v>
      </c>
      <c r="L5146" s="27"/>
    </row>
    <row r="5147" spans="1:12">
      <c r="A5147" s="20" t="s">
        <v>1596</v>
      </c>
      <c r="B5147" s="21" t="s">
        <v>1068</v>
      </c>
      <c r="C5147" s="21" t="s">
        <v>1080</v>
      </c>
      <c r="E5147" s="22">
        <f>IF(D5147="?OLD","!!!","")</f>
        <v/>
      </c>
      <c r="F5147" s="23" t="str">
        <f>IF(OR(E5147="",E5147="!!!"),"",IF(NOT(ISNA(VLOOKUP(E5147,E$1:E5146,1,FALSE()))),"OLD",IF(AND(E5147&lt;&gt;"",E5147&lt;&gt;"!!!"),"NEW","")))</f>
        <v> </v>
      </c>
      <c r="G5147" s="24" t="str">
        <f>IF(OR(E5147="",E5147="!!!"),"",IF(OR(J5147=0,AND(J5147=1,K5147=1),AND(J5147=1,I5147="SBJ"),AND(J5147=1,I5147=0)),"?IN_FOCUS",IF(J5147&lt;=2,"?ACTIVATED",IF(J5147&lt;&gt;"","?FAMILIAR",IF(F5147="NEW",IF(ISNA(VLOOKUP(E5147,#REF!,1,FALSE())),"?TYPE_IDENTIFIABLE","?REFERENTIAL"),"_")))))</f>
        <v> </v>
      </c>
      <c r="H5147" s="25" t="str">
        <f>IF(J5147&lt;&gt;1,"",IF(I5147="SBJ","CB","?"))</f>
        <v> </v>
      </c>
      <c r="I5147" s="26" t="str">
        <f>IF(OR(E5147="",E5147="!!!",F5147="NEW"),"",INDEX(B5146:B$2,-1+SUMPRODUCT(MAX(ROW(E5146:E$2)*(E5147=E5146:E$2)))))</f>
        <v> </v>
      </c>
      <c r="J5147" s="26" t="str">
        <f>IF(OR(E5147="",E5147="!!!",F5147="NEW"),"",COUNTBLANK(OFFSET(A$1,,,SUMPRODUCT(MAX(ROW(E$2:E5147)*(E5147=E$2:E5147)))))-COUNTBLANK(OFFSET(A$1,,,SUMPRODUCT(MAX(ROW(E$1:E5146)*(E2=E$1:E5146))))))</f>
        <v> </v>
      </c>
      <c r="K5147" s="26" t="str">
        <f>IF(OR(E5147="",E5147="!!!",F5147="NEW"),"",INDEX(J$1:J5146,SUMPRODUCT(MAX(ROW(E$1:E5146)*(E5147=E$1:E5146)))))</f>
        <v> </v>
      </c>
      <c r="L5147" s="27"/>
    </row>
    <row r="5148" spans="1:12">
      <c r="A5148" s="20" t="s">
        <v>16</v>
      </c>
      <c r="E5148" s="22">
        <f>IF(D5148="?OLD","!!!","")</f>
        <v/>
      </c>
      <c r="F5148" s="23" t="str">
        <f>IF(OR(E5148="",E5148="!!!"),"",IF(NOT(ISNA(VLOOKUP(E5148,E$1:E5147,1,FALSE()))),"OLD",IF(AND(E5148&lt;&gt;"",E5148&lt;&gt;"!!!"),"NEW","")))</f>
        <v> </v>
      </c>
      <c r="G5148" s="24" t="str">
        <f>IF(OR(E5148="",E5148="!!!"),"",IF(OR(J5148=0,AND(J5148=1,K5148=1),AND(J5148=1,I5148="SBJ"),AND(J5148=1,I5148=0)),"?IN_FOCUS",IF(J5148&lt;=2,"?ACTIVATED",IF(J5148&lt;&gt;"","?FAMILIAR",IF(F5148="NEW",IF(ISNA(VLOOKUP(E5148,#REF!,1,FALSE())),"?TYPE_IDENTIFIABLE","?REFERENTIAL"),"_")))))</f>
        <v> </v>
      </c>
      <c r="H5148" s="25" t="str">
        <f>IF(J5148&lt;&gt;1,"",IF(I5148="SBJ","CB","?"))</f>
        <v> </v>
      </c>
      <c r="I5148" s="26" t="str">
        <f>IF(OR(E5148="",E5148="!!!",F5148="NEW"),"",INDEX(B5147:B$2,-1+SUMPRODUCT(MAX(ROW(E5147:E$2)*(E5148=E5147:E$2)))))</f>
        <v> </v>
      </c>
      <c r="J5148" s="26" t="str">
        <f>IF(OR(E5148="",E5148="!!!",F5148="NEW"),"",COUNTBLANK(OFFSET(A$1,,,SUMPRODUCT(MAX(ROW(E$2:E5148)*(E5148=E$2:E5148)))))-COUNTBLANK(OFFSET(A$1,,,SUMPRODUCT(MAX(ROW(E$1:E5147)*(E2=E$1:E5147))))))</f>
        <v> </v>
      </c>
      <c r="K5148" s="26" t="str">
        <f>IF(OR(E5148="",E5148="!!!",F5148="NEW"),"",INDEX(J$1:J5147,SUMPRODUCT(MAX(ROW(E$1:E5147)*(E5148=E$1:E5147)))))</f>
        <v> </v>
      </c>
      <c r="L5148" s="27"/>
    </row>
    <row r="5149" spans="1:12">
      <c r="A5149" s="20" t="s">
        <v>1476</v>
      </c>
      <c r="E5149" s="22">
        <f>IF(D5149="?OLD","!!!","")</f>
        <v/>
      </c>
      <c r="F5149" s="23" t="str">
        <f>IF(OR(E5149="",E5149="!!!"),"",IF(NOT(ISNA(VLOOKUP(E5149,E$1:E5148,1,FALSE()))),"OLD",IF(AND(E5149&lt;&gt;"",E5149&lt;&gt;"!!!"),"NEW","")))</f>
        <v> </v>
      </c>
      <c r="G5149" s="24" t="str">
        <f>IF(OR(E5149="",E5149="!!!"),"",IF(OR(J5149=0,AND(J5149=1,K5149=1),AND(J5149=1,I5149="SBJ"),AND(J5149=1,I5149=0)),"?IN_FOCUS",IF(J5149&lt;=2,"?ACTIVATED",IF(J5149&lt;&gt;"","?FAMILIAR",IF(F5149="NEW",IF(ISNA(VLOOKUP(E5149,#REF!,1,FALSE())),"?TYPE_IDENTIFIABLE","?REFERENTIAL"),"_")))))</f>
        <v> </v>
      </c>
      <c r="H5149" s="25" t="str">
        <f>IF(J5149&lt;&gt;1,"",IF(I5149="SBJ","CB","?"))</f>
        <v> </v>
      </c>
      <c r="I5149" s="26" t="str">
        <f>IF(OR(E5149="",E5149="!!!",F5149="NEW"),"",INDEX(B5148:B$2,-1+SUMPRODUCT(MAX(ROW(E5148:E$2)*(E5149=E5148:E$2)))))</f>
        <v> </v>
      </c>
      <c r="J5149" s="26" t="str">
        <f>IF(OR(E5149="",E5149="!!!",F5149="NEW"),"",COUNTBLANK(OFFSET(A$1,,,SUMPRODUCT(MAX(ROW(E$2:E5149)*(E5149=E$2:E5149)))))-COUNTBLANK(OFFSET(A$1,,,SUMPRODUCT(MAX(ROW(E$1:E5148)*(E2=E$1:E5148))))))</f>
        <v> </v>
      </c>
      <c r="K5149" s="26" t="str">
        <f>IF(OR(E5149="",E5149="!!!",F5149="NEW"),"",INDEX(J$1:J5148,SUMPRODUCT(MAX(ROW(E$1:E5148)*(E5149=E$1:E5148)))))</f>
        <v> </v>
      </c>
      <c r="L5149" s="27"/>
    </row>
    <row r="5150" spans="1:12">
      <c r="A5150" s="20" t="s">
        <v>1194</v>
      </c>
      <c r="E5150" s="22">
        <f>IF(D5150="?OLD","!!!","")</f>
        <v/>
      </c>
      <c r="F5150" s="23" t="str">
        <f>IF(OR(E5150="",E5150="!!!"),"",IF(NOT(ISNA(VLOOKUP(E5150,E$1:E5149,1,FALSE()))),"OLD",IF(AND(E5150&lt;&gt;"",E5150&lt;&gt;"!!!"),"NEW","")))</f>
        <v> </v>
      </c>
      <c r="G5150" s="24" t="str">
        <f>IF(OR(E5150="",E5150="!!!"),"",IF(OR(J5150=0,AND(J5150=1,K5150=1),AND(J5150=1,I5150="SBJ"),AND(J5150=1,I5150=0)),"?IN_FOCUS",IF(J5150&lt;=2,"?ACTIVATED",IF(J5150&lt;&gt;"","?FAMILIAR",IF(F5150="NEW",IF(ISNA(VLOOKUP(E5150,#REF!,1,FALSE())),"?TYPE_IDENTIFIABLE","?REFERENTIAL"),"_")))))</f>
        <v> </v>
      </c>
      <c r="H5150" s="25" t="str">
        <f>IF(J5150&lt;&gt;1,"",IF(I5150="SBJ","CB","?"))</f>
        <v> </v>
      </c>
      <c r="I5150" s="26" t="str">
        <f>IF(OR(E5150="",E5150="!!!",F5150="NEW"),"",INDEX(B5149:B$2,-1+SUMPRODUCT(MAX(ROW(E5149:E$2)*(E5150=E5149:E$2)))))</f>
        <v> </v>
      </c>
      <c r="J5150" s="26" t="str">
        <f>IF(OR(E5150="",E5150="!!!",F5150="NEW"),"",COUNTBLANK(OFFSET(A$1,,,SUMPRODUCT(MAX(ROW(E$2:E5150)*(E5150=E$2:E5150)))))-COUNTBLANK(OFFSET(A$1,,,SUMPRODUCT(MAX(ROW(E$1:E5149)*(E2=E$1:E5149))))))</f>
        <v> </v>
      </c>
      <c r="K5150" s="26" t="str">
        <f>IF(OR(E5150="",E5150="!!!",F5150="NEW"),"",INDEX(J$1:J5149,SUMPRODUCT(MAX(ROW(E$1:E5149)*(E5150=E$1:E5149)))))</f>
        <v> </v>
      </c>
      <c r="L5150" s="27"/>
    </row>
    <row r="5151" spans="1:12">
      <c r="A5151" s="20" t="s">
        <v>2474</v>
      </c>
      <c r="B5151" s="21" t="s">
        <v>1064</v>
      </c>
      <c r="C5151" s="21" t="s">
        <v>1149</v>
      </c>
      <c r="E5151" s="22">
        <f>IF(D5151="?OLD","!!!","")</f>
        <v/>
      </c>
      <c r="F5151" s="23" t="str">
        <f>IF(OR(E5151="",E5151="!!!"),"",IF(NOT(ISNA(VLOOKUP(E5151,E$1:E5150,1,FALSE()))),"OLD",IF(AND(E5151&lt;&gt;"",E5151&lt;&gt;"!!!"),"NEW","")))</f>
        <v> </v>
      </c>
      <c r="G5151" s="24" t="str">
        <f>IF(OR(E5151="",E5151="!!!"),"",IF(OR(J5151=0,AND(J5151=1,K5151=1),AND(J5151=1,I5151="SBJ"),AND(J5151=1,I5151=0)),"?IN_FOCUS",IF(J5151&lt;=2,"?ACTIVATED",IF(J5151&lt;&gt;"","?FAMILIAR",IF(F5151="NEW",IF(ISNA(VLOOKUP(E5151,#REF!,1,FALSE())),"?TYPE_IDENTIFIABLE","?REFERENTIAL"),"_")))))</f>
        <v> </v>
      </c>
      <c r="H5151" s="25" t="str">
        <f>IF(J5151&lt;&gt;1,"",IF(I5151="SBJ","CB","?"))</f>
        <v> </v>
      </c>
      <c r="I5151" s="26" t="str">
        <f>IF(OR(E5151="",E5151="!!!",F5151="NEW"),"",INDEX(B5150:B$2,-1+SUMPRODUCT(MAX(ROW(E5150:E$2)*(E5151=E5150:E$2)))))</f>
        <v> </v>
      </c>
      <c r="J5151" s="26" t="str">
        <f>IF(OR(E5151="",E5151="!!!",F5151="NEW"),"",COUNTBLANK(OFFSET(A$1,,,SUMPRODUCT(MAX(ROW(E$2:E5151)*(E5151=E$2:E5151)))))-COUNTBLANK(OFFSET(A$1,,,SUMPRODUCT(MAX(ROW(E$1:E5150)*(E2=E$1:E5150))))))</f>
        <v> </v>
      </c>
      <c r="K5151" s="26" t="str">
        <f>IF(OR(E5151="",E5151="!!!",F5151="NEW"),"",INDEX(J$1:J5150,SUMPRODUCT(MAX(ROW(E$1:E5150)*(E5151=E$1:E5150)))))</f>
        <v> </v>
      </c>
      <c r="L5151" s="27"/>
    </row>
    <row r="5152" spans="1:12">
      <c r="A5152" s="20" t="s">
        <v>1851</v>
      </c>
      <c r="E5152" s="22">
        <f>IF(D5152="?OLD","!!!","")</f>
        <v/>
      </c>
      <c r="F5152" s="23" t="str">
        <f>IF(OR(E5152="",E5152="!!!"),"",IF(NOT(ISNA(VLOOKUP(E5152,E$1:E5151,1,FALSE()))),"OLD",IF(AND(E5152&lt;&gt;"",E5152&lt;&gt;"!!!"),"NEW","")))</f>
        <v> </v>
      </c>
      <c r="G5152" s="24" t="str">
        <f>IF(OR(E5152="",E5152="!!!"),"",IF(OR(J5152=0,AND(J5152=1,K5152=1),AND(J5152=1,I5152="SBJ"),AND(J5152=1,I5152=0)),"?IN_FOCUS",IF(J5152&lt;=2,"?ACTIVATED",IF(J5152&lt;&gt;"","?FAMILIAR",IF(F5152="NEW",IF(ISNA(VLOOKUP(E5152,#REF!,1,FALSE())),"?TYPE_IDENTIFIABLE","?REFERENTIAL"),"_")))))</f>
        <v> </v>
      </c>
      <c r="H5152" s="25" t="str">
        <f>IF(J5152&lt;&gt;1,"",IF(I5152="SBJ","CB","?"))</f>
        <v> </v>
      </c>
      <c r="I5152" s="26" t="str">
        <f>IF(OR(E5152="",E5152="!!!",F5152="NEW"),"",INDEX(B5151:B$2,-1+SUMPRODUCT(MAX(ROW(E5151:E$2)*(E5152=E5151:E$2)))))</f>
        <v> </v>
      </c>
      <c r="J5152" s="26" t="str">
        <f>IF(OR(E5152="",E5152="!!!",F5152="NEW"),"",COUNTBLANK(OFFSET(A$1,,,SUMPRODUCT(MAX(ROW(E$2:E5152)*(E5152=E$2:E5152)))))-COUNTBLANK(OFFSET(A$1,,,SUMPRODUCT(MAX(ROW(E$1:E5151)*(E2=E$1:E5151))))))</f>
        <v> </v>
      </c>
      <c r="K5152" s="26" t="str">
        <f>IF(OR(E5152="",E5152="!!!",F5152="NEW"),"",INDEX(J$1:J5151,SUMPRODUCT(MAX(ROW(E$1:E5151)*(E5152=E$1:E5151)))))</f>
        <v> </v>
      </c>
      <c r="L5152" s="27"/>
    </row>
    <row r="5153" spans="1:12">
      <c r="A5153" s="20" t="s">
        <v>1101</v>
      </c>
      <c r="E5153" s="22">
        <f>IF(D5153="?OLD","!!!","")</f>
        <v/>
      </c>
      <c r="F5153" s="23" t="str">
        <f>IF(OR(E5153="",E5153="!!!"),"",IF(NOT(ISNA(VLOOKUP(E5153,E$1:E5152,1,FALSE()))),"OLD",IF(AND(E5153&lt;&gt;"",E5153&lt;&gt;"!!!"),"NEW","")))</f>
        <v> </v>
      </c>
      <c r="G5153" s="24" t="str">
        <f>IF(OR(E5153="",E5153="!!!"),"",IF(OR(J5153=0,AND(J5153=1,K5153=1),AND(J5153=1,I5153="SBJ"),AND(J5153=1,I5153=0)),"?IN_FOCUS",IF(J5153&lt;=2,"?ACTIVATED",IF(J5153&lt;&gt;"","?FAMILIAR",IF(F5153="NEW",IF(ISNA(VLOOKUP(E5153,#REF!,1,FALSE())),"?TYPE_IDENTIFIABLE","?REFERENTIAL"),"_")))))</f>
        <v> </v>
      </c>
      <c r="H5153" s="25" t="str">
        <f>IF(J5153&lt;&gt;1,"",IF(I5153="SBJ","CB","?"))</f>
        <v> </v>
      </c>
      <c r="I5153" s="26" t="str">
        <f>IF(OR(E5153="",E5153="!!!",F5153="NEW"),"",INDEX(B5152:B$2,-1+SUMPRODUCT(MAX(ROW(E5152:E$2)*(E5153=E5152:E$2)))))</f>
        <v> </v>
      </c>
      <c r="J5153" s="26" t="str">
        <f>IF(OR(E5153="",E5153="!!!",F5153="NEW"),"",COUNTBLANK(OFFSET(A$1,,,SUMPRODUCT(MAX(ROW(E$2:E5153)*(E5153=E$2:E5153)))))-COUNTBLANK(OFFSET(A$1,,,SUMPRODUCT(MAX(ROW(E$1:E5152)*(E2=E$1:E5152))))))</f>
        <v> </v>
      </c>
      <c r="K5153" s="26" t="str">
        <f>IF(OR(E5153="",E5153="!!!",F5153="NEW"),"",INDEX(J$1:J5152,SUMPRODUCT(MAX(ROW(E$1:E5152)*(E5153=E$1:E5152)))))</f>
        <v> </v>
      </c>
      <c r="L5153" s="27"/>
    </row>
    <row r="5154" spans="1:12">
      <c r="A5154" s="20" t="s">
        <v>1384</v>
      </c>
      <c r="B5154" s="21" t="s">
        <v>1075</v>
      </c>
      <c r="C5154" s="21" t="s">
        <v>1059</v>
      </c>
      <c r="D5154" s="21" t="s">
        <v>1060</v>
      </c>
      <c r="E5154" s="22">
        <f>IF(D5154="?OLD","!!!","")</f>
        <v/>
      </c>
      <c r="F5154" s="23" t="str">
        <f>IF(OR(E5154="",E5154="!!!"),"",IF(NOT(ISNA(VLOOKUP(E5154,E$1:E5153,1,FALSE()))),"OLD",IF(AND(E5154&lt;&gt;"",E5154&lt;&gt;"!!!"),"NEW","")))</f>
        <v> </v>
      </c>
      <c r="G5154" s="24" t="str">
        <f>IF(OR(E5154="",E5154="!!!"),"",IF(OR(J5154=0,AND(J5154=1,K5154=1),AND(J5154=1,I5154="SBJ"),AND(J5154=1,I5154=0)),"?IN_FOCUS",IF(J5154&lt;=2,"?ACTIVATED",IF(J5154&lt;&gt;"","?FAMILIAR",IF(F5154="NEW",IF(ISNA(VLOOKUP(E5154,#REF!,1,FALSE())),"?TYPE_IDENTIFIABLE","?REFERENTIAL"),"_")))))</f>
        <v> </v>
      </c>
      <c r="H5154" s="25" t="str">
        <f>IF(J5154&lt;&gt;1,"",IF(I5154="SBJ","CB","?"))</f>
        <v> </v>
      </c>
      <c r="I5154" s="26" t="str">
        <f>IF(OR(E5154="",E5154="!!!",F5154="NEW"),"",INDEX(B5153:B$2,-1+SUMPRODUCT(MAX(ROW(E5153:E$2)*(E5154=E5153:E$2)))))</f>
        <v> </v>
      </c>
      <c r="J5154" s="26" t="str">
        <f>IF(OR(E5154="",E5154="!!!",F5154="NEW"),"",COUNTBLANK(OFFSET(A$1,,,SUMPRODUCT(MAX(ROW(E$2:E5154)*(E5154=E$2:E5154)))))-COUNTBLANK(OFFSET(A$1,,,SUMPRODUCT(MAX(ROW(E$1:E5153)*(E2=E$1:E5153))))))</f>
        <v> </v>
      </c>
      <c r="K5154" s="26" t="str">
        <f>IF(OR(E5154="",E5154="!!!",F5154="NEW"),"",INDEX(J$1:J5153,SUMPRODUCT(MAX(ROW(E$1:E5153)*(E5154=E$1:E5153)))))</f>
        <v> </v>
      </c>
      <c r="L5154" s="27"/>
    </row>
    <row r="5155" spans="1:12">
      <c r="A5155" s="20" t="s">
        <v>1061</v>
      </c>
      <c r="E5155" s="22">
        <f>IF(D5155="?OLD","!!!","")</f>
        <v/>
      </c>
      <c r="F5155" s="23" t="str">
        <f>IF(OR(E5155="",E5155="!!!"),"",IF(NOT(ISNA(VLOOKUP(E5155,E$1:E5154,1,FALSE()))),"OLD",IF(AND(E5155&lt;&gt;"",E5155&lt;&gt;"!!!"),"NEW","")))</f>
        <v> </v>
      </c>
      <c r="G5155" s="24" t="str">
        <f>IF(OR(E5155="",E5155="!!!"),"",IF(OR(J5155=0,AND(J5155=1,K5155=1),AND(J5155=1,I5155="SBJ"),AND(J5155=1,I5155=0)),"?IN_FOCUS",IF(J5155&lt;=2,"?ACTIVATED",IF(J5155&lt;&gt;"","?FAMILIAR",IF(F5155="NEW",IF(ISNA(VLOOKUP(E5155,#REF!,1,FALSE())),"?TYPE_IDENTIFIABLE","?REFERENTIAL"),"_")))))</f>
        <v> </v>
      </c>
      <c r="H5155" s="25" t="str">
        <f>IF(J5155&lt;&gt;1,"",IF(I5155="SBJ","CB","?"))</f>
        <v> </v>
      </c>
      <c r="I5155" s="26" t="str">
        <f>IF(OR(E5155="",E5155="!!!",F5155="NEW"),"",INDEX(B5154:B$2,-1+SUMPRODUCT(MAX(ROW(E5154:E$2)*(E5155=E5154:E$2)))))</f>
        <v> </v>
      </c>
      <c r="J5155" s="26" t="str">
        <f>IF(OR(E5155="",E5155="!!!",F5155="NEW"),"",COUNTBLANK(OFFSET(A$1,,,SUMPRODUCT(MAX(ROW(E$2:E5155)*(E5155=E$2:E5155)))))-COUNTBLANK(OFFSET(A$1,,,SUMPRODUCT(MAX(ROW(E$1:E5154)*(E2=E$1:E5154))))))</f>
        <v> </v>
      </c>
      <c r="K5155" s="26" t="str">
        <f>IF(OR(E5155="",E5155="!!!",F5155="NEW"),"",INDEX(J$1:J5154,SUMPRODUCT(MAX(ROW(E$1:E5154)*(E5155=E$1:E5154)))))</f>
        <v> </v>
      </c>
      <c r="L5155" s="27"/>
    </row>
    <row r="5156" spans="1:12">
      <c r="A5156" s="20" t="s">
        <v>1366</v>
      </c>
      <c r="E5156" s="22">
        <f>IF(D5156="?OLD","!!!","")</f>
        <v/>
      </c>
      <c r="F5156" s="23" t="str">
        <f>IF(OR(E5156="",E5156="!!!"),"",IF(NOT(ISNA(VLOOKUP(E5156,E$1:E5155,1,FALSE()))),"OLD",IF(AND(E5156&lt;&gt;"",E5156&lt;&gt;"!!!"),"NEW","")))</f>
        <v> </v>
      </c>
      <c r="G5156" s="24" t="str">
        <f>IF(OR(E5156="",E5156="!!!"),"",IF(OR(J5156=0,AND(J5156=1,K5156=1),AND(J5156=1,I5156="SBJ"),AND(J5156=1,I5156=0)),"?IN_FOCUS",IF(J5156&lt;=2,"?ACTIVATED",IF(J5156&lt;&gt;"","?FAMILIAR",IF(F5156="NEW",IF(ISNA(VLOOKUP(E5156,#REF!,1,FALSE())),"?TYPE_IDENTIFIABLE","?REFERENTIAL"),"_")))))</f>
        <v> </v>
      </c>
      <c r="H5156" s="25" t="str">
        <f>IF(J5156&lt;&gt;1,"",IF(I5156="SBJ","CB","?"))</f>
        <v> </v>
      </c>
      <c r="I5156" s="26" t="str">
        <f>IF(OR(E5156="",E5156="!!!",F5156="NEW"),"",INDEX(B5155:B$2,-1+SUMPRODUCT(MAX(ROW(E5155:E$2)*(E5156=E5155:E$2)))))</f>
        <v> </v>
      </c>
      <c r="J5156" s="26" t="str">
        <f>IF(OR(E5156="",E5156="!!!",F5156="NEW"),"",COUNTBLANK(OFFSET(A$1,,,SUMPRODUCT(MAX(ROW(E$2:E5156)*(E5156=E$2:E5156)))))-COUNTBLANK(OFFSET(A$1,,,SUMPRODUCT(MAX(ROW(E$1:E5155)*(E2=E$1:E5155))))))</f>
        <v> </v>
      </c>
      <c r="K5156" s="26" t="str">
        <f>IF(OR(E5156="",E5156="!!!",F5156="NEW"),"",INDEX(J$1:J5155,SUMPRODUCT(MAX(ROW(E$1:E5155)*(E5156=E$1:E5155)))))</f>
        <v> </v>
      </c>
      <c r="L5156" s="27"/>
    </row>
    <row r="5157" spans="1:12">
      <c r="A5157" s="20" t="s">
        <v>2475</v>
      </c>
      <c r="E5157" s="22">
        <f>IF(D5157="?OLD","!!!","")</f>
        <v/>
      </c>
      <c r="F5157" s="23" t="str">
        <f>IF(OR(E5157="",E5157="!!!"),"",IF(NOT(ISNA(VLOOKUP(E5157,E$1:E5156,1,FALSE()))),"OLD",IF(AND(E5157&lt;&gt;"",E5157&lt;&gt;"!!!"),"NEW","")))</f>
        <v> </v>
      </c>
      <c r="G5157" s="24" t="str">
        <f>IF(OR(E5157="",E5157="!!!"),"",IF(OR(J5157=0,AND(J5157=1,K5157=1),AND(J5157=1,I5157="SBJ"),AND(J5157=1,I5157=0)),"?IN_FOCUS",IF(J5157&lt;=2,"?ACTIVATED",IF(J5157&lt;&gt;"","?FAMILIAR",IF(F5157="NEW",IF(ISNA(VLOOKUP(E5157,#REF!,1,FALSE())),"?TYPE_IDENTIFIABLE","?REFERENTIAL"),"_")))))</f>
        <v> </v>
      </c>
      <c r="H5157" s="25" t="str">
        <f>IF(J5157&lt;&gt;1,"",IF(I5157="SBJ","CB","?"))</f>
        <v> </v>
      </c>
      <c r="I5157" s="26" t="str">
        <f>IF(OR(E5157="",E5157="!!!",F5157="NEW"),"",INDEX(B5156:B$2,-1+SUMPRODUCT(MAX(ROW(E5156:E$2)*(E5157=E5156:E$2)))))</f>
        <v> </v>
      </c>
      <c r="J5157" s="26" t="str">
        <f>IF(OR(E5157="",E5157="!!!",F5157="NEW"),"",COUNTBLANK(OFFSET(A$1,,,SUMPRODUCT(MAX(ROW(E$2:E5157)*(E5157=E$2:E5157)))))-COUNTBLANK(OFFSET(A$1,,,SUMPRODUCT(MAX(ROW(E$1:E5156)*(E2=E$1:E5156))))))</f>
        <v> </v>
      </c>
      <c r="K5157" s="26" t="str">
        <f>IF(OR(E5157="",E5157="!!!",F5157="NEW"),"",INDEX(J$1:J5156,SUMPRODUCT(MAX(ROW(E$1:E5156)*(E5157=E$1:E5156)))))</f>
        <v> </v>
      </c>
      <c r="L5157" s="27"/>
    </row>
    <row r="5158" spans="1:12">
      <c r="A5158" s="20" t="s">
        <v>2264</v>
      </c>
      <c r="B5158" s="21" t="s">
        <v>1068</v>
      </c>
      <c r="C5158" s="21" t="s">
        <v>1178</v>
      </c>
      <c r="D5158" s="21" t="s">
        <v>1060</v>
      </c>
      <c r="E5158" s="22">
        <f>IF(D5158="?OLD","!!!","")</f>
        <v/>
      </c>
      <c r="F5158" s="23" t="str">
        <f>IF(OR(E5158="",E5158="!!!"),"",IF(NOT(ISNA(VLOOKUP(E5158,E$1:E5157,1,FALSE()))),"OLD",IF(AND(E5158&lt;&gt;"",E5158&lt;&gt;"!!!"),"NEW","")))</f>
        <v> </v>
      </c>
      <c r="G5158" s="24" t="str">
        <f>IF(OR(E5158="",E5158="!!!"),"",IF(OR(J5158=0,AND(J5158=1,K5158=1),AND(J5158=1,I5158="SBJ"),AND(J5158=1,I5158=0)),"?IN_FOCUS",IF(J5158&lt;=2,"?ACTIVATED",IF(J5158&lt;&gt;"","?FAMILIAR",IF(F5158="NEW",IF(ISNA(VLOOKUP(E5158,#REF!,1,FALSE())),"?TYPE_IDENTIFIABLE","?REFERENTIAL"),"_")))))</f>
        <v> </v>
      </c>
      <c r="H5158" s="25" t="str">
        <f>IF(J5158&lt;&gt;1,"",IF(I5158="SBJ","CB","?"))</f>
        <v> </v>
      </c>
      <c r="I5158" s="26" t="str">
        <f>IF(OR(E5158="",E5158="!!!",F5158="NEW"),"",INDEX(B5157:B$2,-1+SUMPRODUCT(MAX(ROW(E5157:E$2)*(E5158=E5157:E$2)))))</f>
        <v> </v>
      </c>
      <c r="J5158" s="26" t="str">
        <f>IF(OR(E5158="",E5158="!!!",F5158="NEW"),"",COUNTBLANK(OFFSET(A$1,,,SUMPRODUCT(MAX(ROW(E$2:E5158)*(E5158=E$2:E5158)))))-COUNTBLANK(OFFSET(A$1,,,SUMPRODUCT(MAX(ROW(E$1:E5157)*(E2=E$1:E5157))))))</f>
        <v> </v>
      </c>
      <c r="K5158" s="26" t="str">
        <f>IF(OR(E5158="",E5158="!!!",F5158="NEW"),"",INDEX(J$1:J5157,SUMPRODUCT(MAX(ROW(E$1:E5157)*(E5158=E$1:E5157)))))</f>
        <v> </v>
      </c>
      <c r="L5158" s="27"/>
    </row>
    <row r="5159" spans="1:12">
      <c r="A5159" s="20" t="s">
        <v>923</v>
      </c>
      <c r="E5159" s="22">
        <f>IF(D5159="?OLD","!!!","")</f>
        <v/>
      </c>
      <c r="F5159" s="23" t="str">
        <f>IF(OR(E5159="",E5159="!!!"),"",IF(NOT(ISNA(VLOOKUP(E5159,E$1:E5158,1,FALSE()))),"OLD",IF(AND(E5159&lt;&gt;"",E5159&lt;&gt;"!!!"),"NEW","")))</f>
        <v> </v>
      </c>
      <c r="G5159" s="24" t="str">
        <f>IF(OR(E5159="",E5159="!!!"),"",IF(OR(J5159=0,AND(J5159=1,K5159=1),AND(J5159=1,I5159="SBJ"),AND(J5159=1,I5159=0)),"?IN_FOCUS",IF(J5159&lt;=2,"?ACTIVATED",IF(J5159&lt;&gt;"","?FAMILIAR",IF(F5159="NEW",IF(ISNA(VLOOKUP(E5159,#REF!,1,FALSE())),"?TYPE_IDENTIFIABLE","?REFERENTIAL"),"_")))))</f>
        <v> </v>
      </c>
      <c r="H5159" s="25" t="str">
        <f>IF(J5159&lt;&gt;1,"",IF(I5159="SBJ","CB","?"))</f>
        <v> </v>
      </c>
      <c r="I5159" s="26" t="str">
        <f>IF(OR(E5159="",E5159="!!!",F5159="NEW"),"",INDEX(B5158:B$2,-1+SUMPRODUCT(MAX(ROW(E5158:E$2)*(E5159=E5158:E$2)))))</f>
        <v> </v>
      </c>
      <c r="J5159" s="26" t="str">
        <f>IF(OR(E5159="",E5159="!!!",F5159="NEW"),"",COUNTBLANK(OFFSET(A$1,,,SUMPRODUCT(MAX(ROW(E$2:E5159)*(E5159=E$2:E5159)))))-COUNTBLANK(OFFSET(A$1,,,SUMPRODUCT(MAX(ROW(E$1:E5158)*(E2=E$1:E5158))))))</f>
        <v> </v>
      </c>
      <c r="K5159" s="26" t="str">
        <f>IF(OR(E5159="",E5159="!!!",F5159="NEW"),"",INDEX(J$1:J5158,SUMPRODUCT(MAX(ROW(E$1:E5158)*(E5159=E$1:E5158)))))</f>
        <v> </v>
      </c>
      <c r="L5159" s="27"/>
    </row>
    <row r="5160" spans="1:12">
      <c r="A5160" s="20"/>
    </row>
    <row r="5161" spans="1:12">
      <c r="A5161" s="20" t="s">
        <v>2476</v>
      </c>
    </row>
    <row r="5162" spans="1:12">
      <c r="A5162" s="20" t="s">
        <v>2477</v>
      </c>
      <c r="E5162" s="22">
        <f>IF(D5162="?OLD","!!!","")</f>
        <v/>
      </c>
      <c r="F5162" s="23" t="str">
        <f>IF(OR(E5162="",E5162="!!!"),"",IF(NOT(ISNA(VLOOKUP(E5162,E$1:E5161,1,FALSE()))),"OLD",IF(AND(E5162&lt;&gt;"",E5162&lt;&gt;"!!!"),"NEW","")))</f>
        <v> </v>
      </c>
      <c r="G5162" s="24" t="str">
        <f>IF(OR(E5162="",E5162="!!!"),"",IF(OR(J5162=0,AND(J5162=1,K5162=1),AND(J5162=1,I5162="SBJ"),AND(J5162=1,I5162=0)),"?IN_FOCUS",IF(J5162&lt;=2,"?ACTIVATED",IF(J5162&lt;&gt;"","?FAMILIAR",IF(F5162="NEW",IF(ISNA(VLOOKUP(E5162,#REF!,1,FALSE())),"?TYPE_IDENTIFIABLE","?REFERENTIAL"),"_")))))</f>
        <v> </v>
      </c>
      <c r="H5162" s="25" t="str">
        <f>IF(J5162&lt;&gt;1,"",IF(I5162="SBJ","CB","?"))</f>
        <v> </v>
      </c>
      <c r="I5162" s="26" t="str">
        <f>IF(OR(E5162="",E5162="!!!",F5162="NEW"),"",INDEX(B5161:B$2,-1+SUMPRODUCT(MAX(ROW(E5161:E$2)*(E5162=E5161:E$2)))))</f>
        <v> </v>
      </c>
      <c r="J5162" s="26" t="str">
        <f>IF(OR(E5162="",E5162="!!!",F5162="NEW"),"",COUNTBLANK(OFFSET(A$1,,,SUMPRODUCT(MAX(ROW(E$2:E5162)*(E5162=E$2:E5162)))))-COUNTBLANK(OFFSET(A$1,,,SUMPRODUCT(MAX(ROW(E$1:E5161)*(E2=E$1:E5161))))))</f>
        <v> </v>
      </c>
      <c r="K5162" s="26" t="str">
        <f>IF(OR(E5162="",E5162="!!!",F5162="NEW"),"",INDEX(J$1:J5161,SUMPRODUCT(MAX(ROW(E$1:E5161)*(E5162=E$1:E5161)))))</f>
        <v> </v>
      </c>
      <c r="L5162" s="27"/>
    </row>
    <row r="5163" spans="1:12">
      <c r="A5163" s="20" t="s">
        <v>1074</v>
      </c>
      <c r="B5163" s="21" t="s">
        <v>1058</v>
      </c>
      <c r="C5163" s="21" t="s">
        <v>1076</v>
      </c>
      <c r="D5163" s="21" t="s">
        <v>1060</v>
      </c>
      <c r="E5163" s="22">
        <f>IF(D5163="?OLD","!!!","")</f>
        <v/>
      </c>
      <c r="F5163" s="23" t="str">
        <f>IF(OR(E5163="",E5163="!!!"),"",IF(NOT(ISNA(VLOOKUP(E5163,E$1:E5162,1,FALSE()))),"OLD",IF(AND(E5163&lt;&gt;"",E5163&lt;&gt;"!!!"),"NEW","")))</f>
        <v> </v>
      </c>
      <c r="G5163" s="24" t="str">
        <f>IF(OR(E5163="",E5163="!!!"),"",IF(OR(J5163=0,AND(J5163=1,K5163=1),AND(J5163=1,I5163="SBJ"),AND(J5163=1,I5163=0)),"?IN_FOCUS",IF(J5163&lt;=2,"?ACTIVATED",IF(J5163&lt;&gt;"","?FAMILIAR",IF(F5163="NEW",IF(ISNA(VLOOKUP(E5163,#REF!,1,FALSE())),"?TYPE_IDENTIFIABLE","?REFERENTIAL"),"_")))))</f>
        <v> </v>
      </c>
      <c r="H5163" s="25" t="str">
        <f>IF(J5163&lt;&gt;1,"",IF(I5163="SBJ","CB","?"))</f>
        <v> </v>
      </c>
      <c r="I5163" s="26" t="str">
        <f>IF(OR(E5163="",E5163="!!!",F5163="NEW"),"",INDEX(B5162:B$2,-1+SUMPRODUCT(MAX(ROW(E5162:E$2)*(E5163=E5162:E$2)))))</f>
        <v> </v>
      </c>
      <c r="J5163" s="26" t="str">
        <f>IF(OR(E5163="",E5163="!!!",F5163="NEW"),"",COUNTBLANK(OFFSET(A$1,,,SUMPRODUCT(MAX(ROW(E$2:E5163)*(E5163=E$2:E5163)))))-COUNTBLANK(OFFSET(A$1,,,SUMPRODUCT(MAX(ROW(E$1:E5162)*(E2=E$1:E5162))))))</f>
        <v> </v>
      </c>
      <c r="K5163" s="26" t="str">
        <f>IF(OR(E5163="",E5163="!!!",F5163="NEW"),"",INDEX(J$1:J5162,SUMPRODUCT(MAX(ROW(E$1:E5162)*(E5163=E$1:E5162)))))</f>
        <v> </v>
      </c>
      <c r="L5163" s="27"/>
    </row>
    <row r="5164" spans="1:12">
      <c r="A5164" s="20" t="s">
        <v>1125</v>
      </c>
      <c r="E5164" s="22">
        <f>IF(D5164="?OLD","!!!","")</f>
        <v/>
      </c>
      <c r="F5164" s="23" t="str">
        <f>IF(OR(E5164="",E5164="!!!"),"",IF(NOT(ISNA(VLOOKUP(E5164,E$1:E5163,1,FALSE()))),"OLD",IF(AND(E5164&lt;&gt;"",E5164&lt;&gt;"!!!"),"NEW","")))</f>
        <v> </v>
      </c>
      <c r="G5164" s="24" t="str">
        <f>IF(OR(E5164="",E5164="!!!"),"",IF(OR(J5164=0,AND(J5164=1,K5164=1),AND(J5164=1,I5164="SBJ"),AND(J5164=1,I5164=0)),"?IN_FOCUS",IF(J5164&lt;=2,"?ACTIVATED",IF(J5164&lt;&gt;"","?FAMILIAR",IF(F5164="NEW",IF(ISNA(VLOOKUP(E5164,#REF!,1,FALSE())),"?TYPE_IDENTIFIABLE","?REFERENTIAL"),"_")))))</f>
        <v> </v>
      </c>
      <c r="H5164" s="25" t="str">
        <f>IF(J5164&lt;&gt;1,"",IF(I5164="SBJ","CB","?"))</f>
        <v> </v>
      </c>
      <c r="I5164" s="26" t="str">
        <f>IF(OR(E5164="",E5164="!!!",F5164="NEW"),"",INDEX(B5163:B$2,-1+SUMPRODUCT(MAX(ROW(E5163:E$2)*(E5164=E5163:E$2)))))</f>
        <v> </v>
      </c>
      <c r="J5164" s="26" t="str">
        <f>IF(OR(E5164="",E5164="!!!",F5164="NEW"),"",COUNTBLANK(OFFSET(A$1,,,SUMPRODUCT(MAX(ROW(E$2:E5164)*(E5164=E$2:E5164)))))-COUNTBLANK(OFFSET(A$1,,,SUMPRODUCT(MAX(ROW(E$1:E5163)*(E2=E$1:E5163))))))</f>
        <v> </v>
      </c>
      <c r="K5164" s="26" t="str">
        <f>IF(OR(E5164="",E5164="!!!",F5164="NEW"),"",INDEX(J$1:J5163,SUMPRODUCT(MAX(ROW(E$1:E5163)*(E5164=E$1:E5163)))))</f>
        <v> </v>
      </c>
      <c r="L5164" s="27"/>
    </row>
    <row r="5165" spans="1:12">
      <c r="A5165" s="20" t="s">
        <v>1101</v>
      </c>
      <c r="E5165" s="22">
        <f>IF(D5165="?OLD","!!!","")</f>
        <v/>
      </c>
      <c r="F5165" s="23" t="str">
        <f>IF(OR(E5165="",E5165="!!!"),"",IF(NOT(ISNA(VLOOKUP(E5165,E$1:E5164,1,FALSE()))),"OLD",IF(AND(E5165&lt;&gt;"",E5165&lt;&gt;"!!!"),"NEW","")))</f>
        <v> </v>
      </c>
      <c r="G5165" s="24" t="str">
        <f>IF(OR(E5165="",E5165="!!!"),"",IF(OR(J5165=0,AND(J5165=1,K5165=1),AND(J5165=1,I5165="SBJ"),AND(J5165=1,I5165=0)),"?IN_FOCUS",IF(J5165&lt;=2,"?ACTIVATED",IF(J5165&lt;&gt;"","?FAMILIAR",IF(F5165="NEW",IF(ISNA(VLOOKUP(E5165,#REF!,1,FALSE())),"?TYPE_IDENTIFIABLE","?REFERENTIAL"),"_")))))</f>
        <v> </v>
      </c>
      <c r="H5165" s="25" t="str">
        <f>IF(J5165&lt;&gt;1,"",IF(I5165="SBJ","CB","?"))</f>
        <v> </v>
      </c>
      <c r="I5165" s="26" t="str">
        <f>IF(OR(E5165="",E5165="!!!",F5165="NEW"),"",INDEX(B5164:B$2,-1+SUMPRODUCT(MAX(ROW(E5164:E$2)*(E5165=E5164:E$2)))))</f>
        <v> </v>
      </c>
      <c r="J5165" s="26" t="str">
        <f>IF(OR(E5165="",E5165="!!!",F5165="NEW"),"",COUNTBLANK(OFFSET(A$1,,,SUMPRODUCT(MAX(ROW(E$2:E5165)*(E5165=E$2:E5165)))))-COUNTBLANK(OFFSET(A$1,,,SUMPRODUCT(MAX(ROW(E$1:E5164)*(E2=E$1:E5164))))))</f>
        <v> </v>
      </c>
      <c r="K5165" s="26" t="str">
        <f>IF(OR(E5165="",E5165="!!!",F5165="NEW"),"",INDEX(J$1:J5164,SUMPRODUCT(MAX(ROW(E$1:E5164)*(E5165=E$1:E5164)))))</f>
        <v> </v>
      </c>
      <c r="L5165" s="27"/>
    </row>
    <row r="5166" spans="1:12">
      <c r="A5166" s="20" t="s">
        <v>2478</v>
      </c>
      <c r="E5166" s="22">
        <f>IF(D5166="?OLD","!!!","")</f>
        <v/>
      </c>
      <c r="F5166" s="23" t="str">
        <f>IF(OR(E5166="",E5166="!!!"),"",IF(NOT(ISNA(VLOOKUP(E5166,E$1:E5165,1,FALSE()))),"OLD",IF(AND(E5166&lt;&gt;"",E5166&lt;&gt;"!!!"),"NEW","")))</f>
        <v> </v>
      </c>
      <c r="G5166" s="24" t="str">
        <f>IF(OR(E5166="",E5166="!!!"),"",IF(OR(J5166=0,AND(J5166=1,K5166=1),AND(J5166=1,I5166="SBJ"),AND(J5166=1,I5166=0)),"?IN_FOCUS",IF(J5166&lt;=2,"?ACTIVATED",IF(J5166&lt;&gt;"","?FAMILIAR",IF(F5166="NEW",IF(ISNA(VLOOKUP(E5166,#REF!,1,FALSE())),"?TYPE_IDENTIFIABLE","?REFERENTIAL"),"_")))))</f>
        <v> </v>
      </c>
      <c r="H5166" s="25" t="str">
        <f>IF(J5166&lt;&gt;1,"",IF(I5166="SBJ","CB","?"))</f>
        <v> </v>
      </c>
      <c r="I5166" s="26" t="str">
        <f>IF(OR(E5166="",E5166="!!!",F5166="NEW"),"",INDEX(B5165:B$2,-1+SUMPRODUCT(MAX(ROW(E5165:E$2)*(E5166=E5165:E$2)))))</f>
        <v> </v>
      </c>
      <c r="J5166" s="26" t="str">
        <f>IF(OR(E5166="",E5166="!!!",F5166="NEW"),"",COUNTBLANK(OFFSET(A$1,,,SUMPRODUCT(MAX(ROW(E$2:E5166)*(E5166=E$2:E5166)))))-COUNTBLANK(OFFSET(A$1,,,SUMPRODUCT(MAX(ROW(E$1:E5165)*(E2=E$1:E5165))))))</f>
        <v> </v>
      </c>
      <c r="K5166" s="26" t="str">
        <f>IF(OR(E5166="",E5166="!!!",F5166="NEW"),"",INDEX(J$1:J5165,SUMPRODUCT(MAX(ROW(E$1:E5165)*(E5166=E$1:E5165)))))</f>
        <v> </v>
      </c>
      <c r="L5166" s="27"/>
    </row>
    <row r="5167" spans="1:12">
      <c r="A5167" s="20" t="s">
        <v>2479</v>
      </c>
      <c r="B5167" s="21" t="s">
        <v>1097</v>
      </c>
      <c r="C5167" s="21" t="s">
        <v>1140</v>
      </c>
      <c r="D5167" s="21" t="s">
        <v>1060</v>
      </c>
      <c r="E5167" s="22">
        <f>IF(D5167="?OLD","!!!","")</f>
        <v/>
      </c>
      <c r="F5167" s="23" t="str">
        <f>IF(OR(E5167="",E5167="!!!"),"",IF(NOT(ISNA(VLOOKUP(E5167,E$1:E5166,1,FALSE()))),"OLD",IF(AND(E5167&lt;&gt;"",E5167&lt;&gt;"!!!"),"NEW","")))</f>
        <v> </v>
      </c>
      <c r="G5167" s="24" t="str">
        <f>IF(OR(E5167="",E5167="!!!"),"",IF(OR(J5167=0,AND(J5167=1,K5167=1),AND(J5167=1,I5167="SBJ"),AND(J5167=1,I5167=0)),"?IN_FOCUS",IF(J5167&lt;=2,"?ACTIVATED",IF(J5167&lt;&gt;"","?FAMILIAR",IF(F5167="NEW",IF(ISNA(VLOOKUP(E5167,#REF!,1,FALSE())),"?TYPE_IDENTIFIABLE","?REFERENTIAL"),"_")))))</f>
        <v> </v>
      </c>
      <c r="H5167" s="25" t="str">
        <f>IF(J5167&lt;&gt;1,"",IF(I5167="SBJ","CB","?"))</f>
        <v> </v>
      </c>
      <c r="I5167" s="26" t="str">
        <f>IF(OR(E5167="",E5167="!!!",F5167="NEW"),"",INDEX(B5166:B$2,-1+SUMPRODUCT(MAX(ROW(E5166:E$2)*(E5167=E5166:E$2)))))</f>
        <v> </v>
      </c>
      <c r="J5167" s="26" t="str">
        <f>IF(OR(E5167="",E5167="!!!",F5167="NEW"),"",COUNTBLANK(OFFSET(A$1,,,SUMPRODUCT(MAX(ROW(E$2:E5167)*(E5167=E$2:E5167)))))-COUNTBLANK(OFFSET(A$1,,,SUMPRODUCT(MAX(ROW(E$1:E5166)*(E2=E$1:E5166))))))</f>
        <v> </v>
      </c>
      <c r="K5167" s="26" t="str">
        <f>IF(OR(E5167="",E5167="!!!",F5167="NEW"),"",INDEX(J$1:J5166,SUMPRODUCT(MAX(ROW(E$1:E5166)*(E5167=E$1:E5166)))))</f>
        <v> </v>
      </c>
      <c r="L5167" s="27"/>
    </row>
    <row r="5168" spans="1:12">
      <c r="A5168" s="20" t="s">
        <v>1061</v>
      </c>
      <c r="E5168" s="22">
        <f>IF(D5168="?OLD","!!!","")</f>
        <v/>
      </c>
      <c r="F5168" s="23" t="str">
        <f>IF(OR(E5168="",E5168="!!!"),"",IF(NOT(ISNA(VLOOKUP(E5168,E$1:E5167,1,FALSE()))),"OLD",IF(AND(E5168&lt;&gt;"",E5168&lt;&gt;"!!!"),"NEW","")))</f>
        <v> </v>
      </c>
      <c r="G5168" s="24" t="str">
        <f>IF(OR(E5168="",E5168="!!!"),"",IF(OR(J5168=0,AND(J5168=1,K5168=1),AND(J5168=1,I5168="SBJ"),AND(J5168=1,I5168=0)),"?IN_FOCUS",IF(J5168&lt;=2,"?ACTIVATED",IF(J5168&lt;&gt;"","?FAMILIAR",IF(F5168="NEW",IF(ISNA(VLOOKUP(E5168,#REF!,1,FALSE())),"?TYPE_IDENTIFIABLE","?REFERENTIAL"),"_")))))</f>
        <v> </v>
      </c>
      <c r="H5168" s="25" t="str">
        <f>IF(J5168&lt;&gt;1,"",IF(I5168="SBJ","CB","?"))</f>
        <v> </v>
      </c>
      <c r="I5168" s="26" t="str">
        <f>IF(OR(E5168="",E5168="!!!",F5168="NEW"),"",INDEX(B5167:B$2,-1+SUMPRODUCT(MAX(ROW(E5167:E$2)*(E5168=E5167:E$2)))))</f>
        <v> </v>
      </c>
      <c r="J5168" s="26" t="str">
        <f>IF(OR(E5168="",E5168="!!!",F5168="NEW"),"",COUNTBLANK(OFFSET(A$1,,,SUMPRODUCT(MAX(ROW(E$2:E5168)*(E5168=E$2:E5168)))))-COUNTBLANK(OFFSET(A$1,,,SUMPRODUCT(MAX(ROW(E$1:E5167)*(E2=E$1:E5167))))))</f>
        <v> </v>
      </c>
      <c r="K5168" s="26" t="str">
        <f>IF(OR(E5168="",E5168="!!!",F5168="NEW"),"",INDEX(J$1:J5167,SUMPRODUCT(MAX(ROW(E$1:E5167)*(E5168=E$1:E5167)))))</f>
        <v> </v>
      </c>
      <c r="L5168" s="27"/>
    </row>
    <row r="5169" spans="1:12">
      <c r="A5169" s="20" t="s">
        <v>1101</v>
      </c>
      <c r="E5169" s="22">
        <f>IF(D5169="?OLD","!!!","")</f>
        <v/>
      </c>
      <c r="F5169" s="23" t="str">
        <f>IF(OR(E5169="",E5169="!!!"),"",IF(NOT(ISNA(VLOOKUP(E5169,E$1:E5168,1,FALSE()))),"OLD",IF(AND(E5169&lt;&gt;"",E5169&lt;&gt;"!!!"),"NEW","")))</f>
        <v> </v>
      </c>
      <c r="G5169" s="24" t="str">
        <f>IF(OR(E5169="",E5169="!!!"),"",IF(OR(J5169=0,AND(J5169=1,K5169=1),AND(J5169=1,I5169="SBJ"),AND(J5169=1,I5169=0)),"?IN_FOCUS",IF(J5169&lt;=2,"?ACTIVATED",IF(J5169&lt;&gt;"","?FAMILIAR",IF(F5169="NEW",IF(ISNA(VLOOKUP(E5169,#REF!,1,FALSE())),"?TYPE_IDENTIFIABLE","?REFERENTIAL"),"_")))))</f>
        <v> </v>
      </c>
      <c r="H5169" s="25" t="str">
        <f>IF(J5169&lt;&gt;1,"",IF(I5169="SBJ","CB","?"))</f>
        <v> </v>
      </c>
      <c r="I5169" s="26" t="str">
        <f>IF(OR(E5169="",E5169="!!!",F5169="NEW"),"",INDEX(B5168:B$2,-1+SUMPRODUCT(MAX(ROW(E5168:E$2)*(E5169=E5168:E$2)))))</f>
        <v> </v>
      </c>
      <c r="J5169" s="26" t="str">
        <f>IF(OR(E5169="",E5169="!!!",F5169="NEW"),"",COUNTBLANK(OFFSET(A$1,,,SUMPRODUCT(MAX(ROW(E$2:E5169)*(E5169=E$2:E5169)))))-COUNTBLANK(OFFSET(A$1,,,SUMPRODUCT(MAX(ROW(E$1:E5168)*(E2=E$1:E5168))))))</f>
        <v> </v>
      </c>
      <c r="K5169" s="26" t="str">
        <f>IF(OR(E5169="",E5169="!!!",F5169="NEW"),"",INDEX(J$1:J5168,SUMPRODUCT(MAX(ROW(E$1:E5168)*(E5169=E$1:E5168)))))</f>
        <v> </v>
      </c>
      <c r="L5169" s="27"/>
    </row>
    <row r="5170" spans="1:12">
      <c r="A5170" s="20" t="s">
        <v>2480</v>
      </c>
      <c r="B5170" s="21" t="s">
        <v>1097</v>
      </c>
      <c r="C5170" s="21" t="s">
        <v>1140</v>
      </c>
      <c r="D5170" s="21" t="s">
        <v>1060</v>
      </c>
      <c r="E5170" s="22">
        <f>IF(D5170="?OLD","!!!","")</f>
        <v/>
      </c>
      <c r="F5170" s="23" t="str">
        <f>IF(OR(E5170="",E5170="!!!"),"",IF(NOT(ISNA(VLOOKUP(E5170,E$1:E5169,1,FALSE()))),"OLD",IF(AND(E5170&lt;&gt;"",E5170&lt;&gt;"!!!"),"NEW","")))</f>
        <v> </v>
      </c>
      <c r="G5170" s="24" t="str">
        <f>IF(OR(E5170="",E5170="!!!"),"",IF(OR(J5170=0,AND(J5170=1,K5170=1),AND(J5170=1,I5170="SBJ"),AND(J5170=1,I5170=0)),"?IN_FOCUS",IF(J5170&lt;=2,"?ACTIVATED",IF(J5170&lt;&gt;"","?FAMILIAR",IF(F5170="NEW",IF(ISNA(VLOOKUP(E5170,#REF!,1,FALSE())),"?TYPE_IDENTIFIABLE","?REFERENTIAL"),"_")))))</f>
        <v> </v>
      </c>
      <c r="H5170" s="25" t="str">
        <f>IF(J5170&lt;&gt;1,"",IF(I5170="SBJ","CB","?"))</f>
        <v> </v>
      </c>
      <c r="I5170" s="26" t="str">
        <f>IF(OR(E5170="",E5170="!!!",F5170="NEW"),"",INDEX(B5169:B$2,-1+SUMPRODUCT(MAX(ROW(E5169:E$2)*(E5170=E5169:E$2)))))</f>
        <v> </v>
      </c>
      <c r="J5170" s="26" t="str">
        <f>IF(OR(E5170="",E5170="!!!",F5170="NEW"),"",COUNTBLANK(OFFSET(A$1,,,SUMPRODUCT(MAX(ROW(E$2:E5170)*(E5170=E$2:E5170)))))-COUNTBLANK(OFFSET(A$1,,,SUMPRODUCT(MAX(ROW(E$1:E5169)*(E2=E$1:E5169))))))</f>
        <v> </v>
      </c>
      <c r="K5170" s="26" t="str">
        <f>IF(OR(E5170="",E5170="!!!",F5170="NEW"),"",INDEX(J$1:J5169,SUMPRODUCT(MAX(ROW(E$1:E5169)*(E5170=E$1:E5169)))))</f>
        <v> </v>
      </c>
      <c r="L5170" s="27"/>
    </row>
    <row r="5171" spans="1:12">
      <c r="A5171" s="20" t="s">
        <v>1061</v>
      </c>
      <c r="E5171" s="22">
        <f>IF(D5171="?OLD","!!!","")</f>
        <v/>
      </c>
      <c r="F5171" s="23" t="str">
        <f>IF(OR(E5171="",E5171="!!!"),"",IF(NOT(ISNA(VLOOKUP(E5171,E$1:E5170,1,FALSE()))),"OLD",IF(AND(E5171&lt;&gt;"",E5171&lt;&gt;"!!!"),"NEW","")))</f>
        <v> </v>
      </c>
      <c r="G5171" s="24" t="str">
        <f>IF(OR(E5171="",E5171="!!!"),"",IF(OR(J5171=0,AND(J5171=1,K5171=1),AND(J5171=1,I5171="SBJ"),AND(J5171=1,I5171=0)),"?IN_FOCUS",IF(J5171&lt;=2,"?ACTIVATED",IF(J5171&lt;&gt;"","?FAMILIAR",IF(F5171="NEW",IF(ISNA(VLOOKUP(E5171,#REF!,1,FALSE())),"?TYPE_IDENTIFIABLE","?REFERENTIAL"),"_")))))</f>
        <v> </v>
      </c>
      <c r="H5171" s="25" t="str">
        <f>IF(J5171&lt;&gt;1,"",IF(I5171="SBJ","CB","?"))</f>
        <v> </v>
      </c>
      <c r="I5171" s="26" t="str">
        <f>IF(OR(E5171="",E5171="!!!",F5171="NEW"),"",INDEX(B5170:B$2,-1+SUMPRODUCT(MAX(ROW(E5170:E$2)*(E5171=E5170:E$2)))))</f>
        <v> </v>
      </c>
      <c r="J5171" s="26" t="str">
        <f>IF(OR(E5171="",E5171="!!!",F5171="NEW"),"",COUNTBLANK(OFFSET(A$1,,,SUMPRODUCT(MAX(ROW(E$2:E5171)*(E5171=E$2:E5171)))))-COUNTBLANK(OFFSET(A$1,,,SUMPRODUCT(MAX(ROW(E$1:E5170)*(E2=E$1:E5170))))))</f>
        <v> </v>
      </c>
      <c r="K5171" s="26" t="str">
        <f>IF(OR(E5171="",E5171="!!!",F5171="NEW"),"",INDEX(J$1:J5170,SUMPRODUCT(MAX(ROW(E$1:E5170)*(E5171=E$1:E5170)))))</f>
        <v> </v>
      </c>
      <c r="L5171" s="27"/>
    </row>
    <row r="5172" spans="1:12">
      <c r="A5172" s="20" t="s">
        <v>1101</v>
      </c>
      <c r="E5172" s="22">
        <f>IF(D5172="?OLD","!!!","")</f>
        <v/>
      </c>
      <c r="F5172" s="23" t="str">
        <f>IF(OR(E5172="",E5172="!!!"),"",IF(NOT(ISNA(VLOOKUP(E5172,E$1:E5171,1,FALSE()))),"OLD",IF(AND(E5172&lt;&gt;"",E5172&lt;&gt;"!!!"),"NEW","")))</f>
        <v> </v>
      </c>
      <c r="G5172" s="24" t="str">
        <f>IF(OR(E5172="",E5172="!!!"),"",IF(OR(J5172=0,AND(J5172=1,K5172=1),AND(J5172=1,I5172="SBJ"),AND(J5172=1,I5172=0)),"?IN_FOCUS",IF(J5172&lt;=2,"?ACTIVATED",IF(J5172&lt;&gt;"","?FAMILIAR",IF(F5172="NEW",IF(ISNA(VLOOKUP(E5172,#REF!,1,FALSE())),"?TYPE_IDENTIFIABLE","?REFERENTIAL"),"_")))))</f>
        <v> </v>
      </c>
      <c r="H5172" s="25" t="str">
        <f>IF(J5172&lt;&gt;1,"",IF(I5172="SBJ","CB","?"))</f>
        <v> </v>
      </c>
      <c r="I5172" s="26" t="str">
        <f>IF(OR(E5172="",E5172="!!!",F5172="NEW"),"",INDEX(B5171:B$2,-1+SUMPRODUCT(MAX(ROW(E5171:E$2)*(E5172=E5171:E$2)))))</f>
        <v> </v>
      </c>
      <c r="J5172" s="26" t="str">
        <f>IF(OR(E5172="",E5172="!!!",F5172="NEW"),"",COUNTBLANK(OFFSET(A$1,,,SUMPRODUCT(MAX(ROW(E$2:E5172)*(E5172=E$2:E5172)))))-COUNTBLANK(OFFSET(A$1,,,SUMPRODUCT(MAX(ROW(E$1:E5171)*(E2=E$1:E5171))))))</f>
        <v> </v>
      </c>
      <c r="K5172" s="26" t="str">
        <f>IF(OR(E5172="",E5172="!!!",F5172="NEW"),"",INDEX(J$1:J5171,SUMPRODUCT(MAX(ROW(E$1:E5171)*(E5172=E$1:E5171)))))</f>
        <v> </v>
      </c>
      <c r="L5172" s="27"/>
    </row>
    <row r="5173" spans="1:12">
      <c r="A5173" s="20" t="s">
        <v>2481</v>
      </c>
      <c r="B5173" s="21" t="s">
        <v>1068</v>
      </c>
      <c r="C5173" s="21" t="s">
        <v>1140</v>
      </c>
      <c r="D5173" s="21" t="s">
        <v>1060</v>
      </c>
      <c r="E5173" s="22">
        <f>IF(D5173="?OLD","!!!","")</f>
        <v/>
      </c>
      <c r="F5173" s="23" t="str">
        <f>IF(OR(E5173="",E5173="!!!"),"",IF(NOT(ISNA(VLOOKUP(E5173,E$1:E5172,1,FALSE()))),"OLD",IF(AND(E5173&lt;&gt;"",E5173&lt;&gt;"!!!"),"NEW","")))</f>
        <v> </v>
      </c>
      <c r="G5173" s="24" t="str">
        <f>IF(OR(E5173="",E5173="!!!"),"",IF(OR(J5173=0,AND(J5173=1,K5173=1),AND(J5173=1,I5173="SBJ"),AND(J5173=1,I5173=0)),"?IN_FOCUS",IF(J5173&lt;=2,"?ACTIVATED",IF(J5173&lt;&gt;"","?FAMILIAR",IF(F5173="NEW",IF(ISNA(VLOOKUP(E5173,#REF!,1,FALSE())),"?TYPE_IDENTIFIABLE","?REFERENTIAL"),"_")))))</f>
        <v> </v>
      </c>
      <c r="H5173" s="25" t="str">
        <f>IF(J5173&lt;&gt;1,"",IF(I5173="SBJ","CB","?"))</f>
        <v> </v>
      </c>
      <c r="I5173" s="26" t="str">
        <f>IF(OR(E5173="",E5173="!!!",F5173="NEW"),"",INDEX(B5172:B$2,-1+SUMPRODUCT(MAX(ROW(E5172:E$2)*(E5173=E5172:E$2)))))</f>
        <v> </v>
      </c>
      <c r="J5173" s="26" t="str">
        <f>IF(OR(E5173="",E5173="!!!",F5173="NEW"),"",COUNTBLANK(OFFSET(A$1,,,SUMPRODUCT(MAX(ROW(E$2:E5173)*(E5173=E$2:E5173)))))-COUNTBLANK(OFFSET(A$1,,,SUMPRODUCT(MAX(ROW(E$1:E5172)*(E2=E$1:E5172))))))</f>
        <v> </v>
      </c>
      <c r="K5173" s="26" t="str">
        <f>IF(OR(E5173="",E5173="!!!",F5173="NEW"),"",INDEX(J$1:J5172,SUMPRODUCT(MAX(ROW(E$1:E5172)*(E5173=E$1:E5172)))))</f>
        <v> </v>
      </c>
      <c r="L5173" s="27"/>
    </row>
    <row r="5174" spans="1:12">
      <c r="A5174" s="20" t="s">
        <v>1070</v>
      </c>
      <c r="E5174" s="22">
        <f>IF(D5174="?OLD","!!!","")</f>
        <v/>
      </c>
      <c r="F5174" s="23" t="str">
        <f>IF(OR(E5174="",E5174="!!!"),"",IF(NOT(ISNA(VLOOKUP(E5174,E$1:E5173,1,FALSE()))),"OLD",IF(AND(E5174&lt;&gt;"",E5174&lt;&gt;"!!!"),"NEW","")))</f>
        <v> </v>
      </c>
      <c r="G5174" s="24" t="str">
        <f>IF(OR(E5174="",E5174="!!!"),"",IF(OR(J5174=0,AND(J5174=1,K5174=1),AND(J5174=1,I5174="SBJ"),AND(J5174=1,I5174=0)),"?IN_FOCUS",IF(J5174&lt;=2,"?ACTIVATED",IF(J5174&lt;&gt;"","?FAMILIAR",IF(F5174="NEW",IF(ISNA(VLOOKUP(E5174,#REF!,1,FALSE())),"?TYPE_IDENTIFIABLE","?REFERENTIAL"),"_")))))</f>
        <v> </v>
      </c>
      <c r="H5174" s="25" t="str">
        <f>IF(J5174&lt;&gt;1,"",IF(I5174="SBJ","CB","?"))</f>
        <v> </v>
      </c>
      <c r="I5174" s="26" t="str">
        <f>IF(OR(E5174="",E5174="!!!",F5174="NEW"),"",INDEX(B5173:B$2,-1+SUMPRODUCT(MAX(ROW(E5173:E$2)*(E5174=E5173:E$2)))))</f>
        <v> </v>
      </c>
      <c r="J5174" s="26" t="str">
        <f>IF(OR(E5174="",E5174="!!!",F5174="NEW"),"",COUNTBLANK(OFFSET(A$1,,,SUMPRODUCT(MAX(ROW(E$2:E5174)*(E5174=E$2:E5174)))))-COUNTBLANK(OFFSET(A$1,,,SUMPRODUCT(MAX(ROW(E$1:E5173)*(E2=E$1:E5173))))))</f>
        <v> </v>
      </c>
      <c r="K5174" s="26" t="str">
        <f>IF(OR(E5174="",E5174="!!!",F5174="NEW"),"",INDEX(J$1:J5173,SUMPRODUCT(MAX(ROW(E$1:E5173)*(E5174=E$1:E5173)))))</f>
        <v> </v>
      </c>
      <c r="L5174" s="27"/>
    </row>
    <row r="5175" spans="1:12">
      <c r="A5175" s="20" t="s">
        <v>2482</v>
      </c>
      <c r="E5175" s="22">
        <f>IF(D5175="?OLD","!!!","")</f>
        <v/>
      </c>
      <c r="F5175" s="23" t="str">
        <f>IF(OR(E5175="",E5175="!!!"),"",IF(NOT(ISNA(VLOOKUP(E5175,E$1:E5174,1,FALSE()))),"OLD",IF(AND(E5175&lt;&gt;"",E5175&lt;&gt;"!!!"),"NEW","")))</f>
        <v> </v>
      </c>
      <c r="G5175" s="24" t="str">
        <f>IF(OR(E5175="",E5175="!!!"),"",IF(OR(J5175=0,AND(J5175=1,K5175=1),AND(J5175=1,I5175="SBJ"),AND(J5175=1,I5175=0)),"?IN_FOCUS",IF(J5175&lt;=2,"?ACTIVATED",IF(J5175&lt;&gt;"","?FAMILIAR",IF(F5175="NEW",IF(ISNA(VLOOKUP(E5175,#REF!,1,FALSE())),"?TYPE_IDENTIFIABLE","?REFERENTIAL"),"_")))))</f>
        <v> </v>
      </c>
      <c r="H5175" s="25" t="str">
        <f>IF(J5175&lt;&gt;1,"",IF(I5175="SBJ","CB","?"))</f>
        <v> </v>
      </c>
      <c r="I5175" s="26" t="str">
        <f>IF(OR(E5175="",E5175="!!!",F5175="NEW"),"",INDEX(B5174:B$2,-1+SUMPRODUCT(MAX(ROW(E5174:E$2)*(E5175=E5174:E$2)))))</f>
        <v> </v>
      </c>
      <c r="J5175" s="26" t="str">
        <f>IF(OR(E5175="",E5175="!!!",F5175="NEW"),"",COUNTBLANK(OFFSET(A$1,,,SUMPRODUCT(MAX(ROW(E$2:E5175)*(E5175=E$2:E5175)))))-COUNTBLANK(OFFSET(A$1,,,SUMPRODUCT(MAX(ROW(E$1:E5174)*(E2=E$1:E5174))))))</f>
        <v> </v>
      </c>
      <c r="K5175" s="26" t="str">
        <f>IF(OR(E5175="",E5175="!!!",F5175="NEW"),"",INDEX(J$1:J5174,SUMPRODUCT(MAX(ROW(E$1:E5174)*(E5175=E$1:E5174)))))</f>
        <v> </v>
      </c>
      <c r="L5175" s="27"/>
    </row>
    <row r="5176" spans="1:12">
      <c r="A5176" s="20" t="s">
        <v>1858</v>
      </c>
      <c r="E5176" s="22">
        <f>IF(D5176="?OLD","!!!","")</f>
        <v/>
      </c>
      <c r="F5176" s="23" t="str">
        <f>IF(OR(E5176="",E5176="!!!"),"",IF(NOT(ISNA(VLOOKUP(E5176,E$1:E5175,1,FALSE()))),"OLD",IF(AND(E5176&lt;&gt;"",E5176&lt;&gt;"!!!"),"NEW","")))</f>
        <v> </v>
      </c>
      <c r="G5176" s="24" t="str">
        <f>IF(OR(E5176="",E5176="!!!"),"",IF(OR(J5176=0,AND(J5176=1,K5176=1),AND(J5176=1,I5176="SBJ"),AND(J5176=1,I5176=0)),"?IN_FOCUS",IF(J5176&lt;=2,"?ACTIVATED",IF(J5176&lt;&gt;"","?FAMILIAR",IF(F5176="NEW",IF(ISNA(VLOOKUP(E5176,#REF!,1,FALSE())),"?TYPE_IDENTIFIABLE","?REFERENTIAL"),"_")))))</f>
        <v> </v>
      </c>
      <c r="H5176" s="25" t="str">
        <f>IF(J5176&lt;&gt;1,"",IF(I5176="SBJ","CB","?"))</f>
        <v> </v>
      </c>
      <c r="I5176" s="26" t="str">
        <f>IF(OR(E5176="",E5176="!!!",F5176="NEW"),"",INDEX(B5175:B$2,-1+SUMPRODUCT(MAX(ROW(E5175:E$2)*(E5176=E5175:E$2)))))</f>
        <v> </v>
      </c>
      <c r="J5176" s="26" t="str">
        <f>IF(OR(E5176="",E5176="!!!",F5176="NEW"),"",COUNTBLANK(OFFSET(A$1,,,SUMPRODUCT(MAX(ROW(E$2:E5176)*(E5176=E$2:E5176)))))-COUNTBLANK(OFFSET(A$1,,,SUMPRODUCT(MAX(ROW(E$1:E5175)*(E2=E$1:E5175))))))</f>
        <v> </v>
      </c>
      <c r="K5176" s="26" t="str">
        <f>IF(OR(E5176="",E5176="!!!",F5176="NEW"),"",INDEX(J$1:J5175,SUMPRODUCT(MAX(ROW(E$1:E5175)*(E5176=E$1:E5175)))))</f>
        <v> </v>
      </c>
      <c r="L5176" s="27"/>
    </row>
    <row r="5177" spans="1:12">
      <c r="A5177" s="20" t="s">
        <v>1109</v>
      </c>
      <c r="E5177" s="22">
        <f>IF(D5177="?OLD","!!!","")</f>
        <v/>
      </c>
      <c r="F5177" s="23" t="str">
        <f>IF(OR(E5177="",E5177="!!!"),"",IF(NOT(ISNA(VLOOKUP(E5177,E$1:E5176,1,FALSE()))),"OLD",IF(AND(E5177&lt;&gt;"",E5177&lt;&gt;"!!!"),"NEW","")))</f>
        <v> </v>
      </c>
      <c r="G5177" s="24" t="str">
        <f>IF(OR(E5177="",E5177="!!!"),"",IF(OR(J5177=0,AND(J5177=1,K5177=1),AND(J5177=1,I5177="SBJ"),AND(J5177=1,I5177=0)),"?IN_FOCUS",IF(J5177&lt;=2,"?ACTIVATED",IF(J5177&lt;&gt;"","?FAMILIAR",IF(F5177="NEW",IF(ISNA(VLOOKUP(E5177,#REF!,1,FALSE())),"?TYPE_IDENTIFIABLE","?REFERENTIAL"),"_")))))</f>
        <v> </v>
      </c>
      <c r="H5177" s="25" t="str">
        <f>IF(J5177&lt;&gt;1,"",IF(I5177="SBJ","CB","?"))</f>
        <v> </v>
      </c>
      <c r="I5177" s="26" t="str">
        <f>IF(OR(E5177="",E5177="!!!",F5177="NEW"),"",INDEX(B5176:B$2,-1+SUMPRODUCT(MAX(ROW(E5176:E$2)*(E5177=E5176:E$2)))))</f>
        <v> </v>
      </c>
      <c r="J5177" s="26" t="str">
        <f>IF(OR(E5177="",E5177="!!!",F5177="NEW"),"",COUNTBLANK(OFFSET(A$1,,,SUMPRODUCT(MAX(ROW(E$2:E5177)*(E5177=E$2:E5177)))))-COUNTBLANK(OFFSET(A$1,,,SUMPRODUCT(MAX(ROW(E$1:E5176)*(E2=E$1:E5176))))))</f>
        <v> </v>
      </c>
      <c r="K5177" s="26" t="str">
        <f>IF(OR(E5177="",E5177="!!!",F5177="NEW"),"",INDEX(J$1:J5176,SUMPRODUCT(MAX(ROW(E$1:E5176)*(E5177=E$1:E5176)))))</f>
        <v> </v>
      </c>
      <c r="L5177" s="27"/>
    </row>
    <row r="5178" spans="1:12">
      <c r="A5178" s="20" t="s">
        <v>1110</v>
      </c>
      <c r="B5178" s="21" t="s">
        <v>1132</v>
      </c>
      <c r="C5178" s="21" t="s">
        <v>1358</v>
      </c>
      <c r="E5178" s="22">
        <f>IF(D5178="?OLD","!!!","")</f>
        <v/>
      </c>
      <c r="F5178" s="23" t="str">
        <f>IF(OR(E5178="",E5178="!!!"),"",IF(NOT(ISNA(VLOOKUP(E5178,E$1:E5177,1,FALSE()))),"OLD",IF(AND(E5178&lt;&gt;"",E5178&lt;&gt;"!!!"),"NEW","")))</f>
        <v> </v>
      </c>
      <c r="G5178" s="24" t="str">
        <f>IF(OR(E5178="",E5178="!!!"),"",IF(OR(J5178=0,AND(J5178=1,K5178=1),AND(J5178=1,I5178="SBJ"),AND(J5178=1,I5178=0)),"?IN_FOCUS",IF(J5178&lt;=2,"?ACTIVATED",IF(J5178&lt;&gt;"","?FAMILIAR",IF(F5178="NEW",IF(ISNA(VLOOKUP(E5178,#REF!,1,FALSE())),"?TYPE_IDENTIFIABLE","?REFERENTIAL"),"_")))))</f>
        <v> </v>
      </c>
      <c r="H5178" s="25" t="str">
        <f>IF(J5178&lt;&gt;1,"",IF(I5178="SBJ","CB","?"))</f>
        <v> </v>
      </c>
      <c r="I5178" s="26" t="str">
        <f>IF(OR(E5178="",E5178="!!!",F5178="NEW"),"",INDEX(B5177:B$2,-1+SUMPRODUCT(MAX(ROW(E5177:E$2)*(E5178=E5177:E$2)))))</f>
        <v> </v>
      </c>
      <c r="J5178" s="26" t="str">
        <f>IF(OR(E5178="",E5178="!!!",F5178="NEW"),"",COUNTBLANK(OFFSET(A$1,,,SUMPRODUCT(MAX(ROW(E$2:E5178)*(E5178=E$2:E5178)))))-COUNTBLANK(OFFSET(A$1,,,SUMPRODUCT(MAX(ROW(E$1:E5177)*(E2=E$1:E5177))))))</f>
        <v> </v>
      </c>
      <c r="K5178" s="26" t="str">
        <f>IF(OR(E5178="",E5178="!!!",F5178="NEW"),"",INDEX(J$1:J5177,SUMPRODUCT(MAX(ROW(E$1:E5177)*(E5178=E$1:E5177)))))</f>
        <v> </v>
      </c>
      <c r="L5178" s="27"/>
    </row>
    <row r="5179" spans="1:12">
      <c r="A5179" s="20" t="s">
        <v>1229</v>
      </c>
      <c r="E5179" s="22">
        <f>IF(D5179="?OLD","!!!","")</f>
        <v/>
      </c>
      <c r="F5179" s="23" t="str">
        <f>IF(OR(E5179="",E5179="!!!"),"",IF(NOT(ISNA(VLOOKUP(E5179,E$1:E5178,1,FALSE()))),"OLD",IF(AND(E5179&lt;&gt;"",E5179&lt;&gt;"!!!"),"NEW","")))</f>
        <v> </v>
      </c>
      <c r="G5179" s="24" t="str">
        <f>IF(OR(E5179="",E5179="!!!"),"",IF(OR(J5179=0,AND(J5179=1,K5179=1),AND(J5179=1,I5179="SBJ"),AND(J5179=1,I5179=0)),"?IN_FOCUS",IF(J5179&lt;=2,"?ACTIVATED",IF(J5179&lt;&gt;"","?FAMILIAR",IF(F5179="NEW",IF(ISNA(VLOOKUP(E5179,#REF!,1,FALSE())),"?TYPE_IDENTIFIABLE","?REFERENTIAL"),"_")))))</f>
        <v> </v>
      </c>
      <c r="H5179" s="25" t="str">
        <f>IF(J5179&lt;&gt;1,"",IF(I5179="SBJ","CB","?"))</f>
        <v> </v>
      </c>
      <c r="I5179" s="26" t="str">
        <f>IF(OR(E5179="",E5179="!!!",F5179="NEW"),"",INDEX(B5178:B$2,-1+SUMPRODUCT(MAX(ROW(E5178:E$2)*(E5179=E5178:E$2)))))</f>
        <v> </v>
      </c>
      <c r="J5179" s="26" t="str">
        <f>IF(OR(E5179="",E5179="!!!",F5179="NEW"),"",COUNTBLANK(OFFSET(A$1,,,SUMPRODUCT(MAX(ROW(E$2:E5179)*(E5179=E$2:E5179)))))-COUNTBLANK(OFFSET(A$1,,,SUMPRODUCT(MAX(ROW(E$1:E5178)*(E2=E$1:E5178))))))</f>
        <v> </v>
      </c>
      <c r="K5179" s="26" t="str">
        <f>IF(OR(E5179="",E5179="!!!",F5179="NEW"),"",INDEX(J$1:J5178,SUMPRODUCT(MAX(ROW(E$1:E5178)*(E5179=E$1:E5178)))))</f>
        <v> </v>
      </c>
      <c r="L5179" s="27"/>
    </row>
    <row r="5180" spans="1:12">
      <c r="A5180" s="20" t="s">
        <v>1101</v>
      </c>
      <c r="E5180" s="22">
        <f>IF(D5180="?OLD","!!!","")</f>
        <v/>
      </c>
      <c r="F5180" s="23" t="str">
        <f>IF(OR(E5180="",E5180="!!!"),"",IF(NOT(ISNA(VLOOKUP(E5180,E$1:E5179,1,FALSE()))),"OLD",IF(AND(E5180&lt;&gt;"",E5180&lt;&gt;"!!!"),"NEW","")))</f>
        <v> </v>
      </c>
      <c r="G5180" s="24" t="str">
        <f>IF(OR(E5180="",E5180="!!!"),"",IF(OR(J5180=0,AND(J5180=1,K5180=1),AND(J5180=1,I5180="SBJ"),AND(J5180=1,I5180=0)),"?IN_FOCUS",IF(J5180&lt;=2,"?ACTIVATED",IF(J5180&lt;&gt;"","?FAMILIAR",IF(F5180="NEW",IF(ISNA(VLOOKUP(E5180,#REF!,1,FALSE())),"?TYPE_IDENTIFIABLE","?REFERENTIAL"),"_")))))</f>
        <v> </v>
      </c>
      <c r="H5180" s="25" t="str">
        <f>IF(J5180&lt;&gt;1,"",IF(I5180="SBJ","CB","?"))</f>
        <v> </v>
      </c>
      <c r="I5180" s="26" t="str">
        <f>IF(OR(E5180="",E5180="!!!",F5180="NEW"),"",INDEX(B5179:B$2,-1+SUMPRODUCT(MAX(ROW(E5179:E$2)*(E5180=E5179:E$2)))))</f>
        <v> </v>
      </c>
      <c r="J5180" s="26" t="str">
        <f>IF(OR(E5180="",E5180="!!!",F5180="NEW"),"",COUNTBLANK(OFFSET(A$1,,,SUMPRODUCT(MAX(ROW(E$2:E5180)*(E5180=E$2:E5180)))))-COUNTBLANK(OFFSET(A$1,,,SUMPRODUCT(MAX(ROW(E$1:E5179)*(E2=E$1:E5179))))))</f>
        <v> </v>
      </c>
      <c r="K5180" s="26" t="str">
        <f>IF(OR(E5180="",E5180="!!!",F5180="NEW"),"",INDEX(J$1:J5179,SUMPRODUCT(MAX(ROW(E$1:E5179)*(E5180=E$1:E5179)))))</f>
        <v> </v>
      </c>
      <c r="L5180" s="27"/>
    </row>
    <row r="5181" spans="1:12">
      <c r="A5181" s="20" t="s">
        <v>2371</v>
      </c>
      <c r="E5181" s="22">
        <f>IF(D5181="?OLD","!!!","")</f>
        <v/>
      </c>
      <c r="F5181" s="23" t="str">
        <f>IF(OR(E5181="",E5181="!!!"),"",IF(NOT(ISNA(VLOOKUP(E5181,E$1:E5180,1,FALSE()))),"OLD",IF(AND(E5181&lt;&gt;"",E5181&lt;&gt;"!!!"),"NEW","")))</f>
        <v> </v>
      </c>
      <c r="G5181" s="24" t="str">
        <f>IF(OR(E5181="",E5181="!!!"),"",IF(OR(J5181=0,AND(J5181=1,K5181=1),AND(J5181=1,I5181="SBJ"),AND(J5181=1,I5181=0)),"?IN_FOCUS",IF(J5181&lt;=2,"?ACTIVATED",IF(J5181&lt;&gt;"","?FAMILIAR",IF(F5181="NEW",IF(ISNA(VLOOKUP(E5181,#REF!,1,FALSE())),"?TYPE_IDENTIFIABLE","?REFERENTIAL"),"_")))))</f>
        <v> </v>
      </c>
      <c r="H5181" s="25" t="str">
        <f>IF(J5181&lt;&gt;1,"",IF(I5181="SBJ","CB","?"))</f>
        <v> </v>
      </c>
      <c r="I5181" s="26" t="str">
        <f>IF(OR(E5181="",E5181="!!!",F5181="NEW"),"",INDEX(B5180:B$2,-1+SUMPRODUCT(MAX(ROW(E5180:E$2)*(E5181=E5180:E$2)))))</f>
        <v> </v>
      </c>
      <c r="J5181" s="26" t="str">
        <f>IF(OR(E5181="",E5181="!!!",F5181="NEW"),"",COUNTBLANK(OFFSET(A$1,,,SUMPRODUCT(MAX(ROW(E$2:E5181)*(E5181=E$2:E5181)))))-COUNTBLANK(OFFSET(A$1,,,SUMPRODUCT(MAX(ROW(E$1:E5180)*(E2=E$1:E5180))))))</f>
        <v> </v>
      </c>
      <c r="K5181" s="26" t="str">
        <f>IF(OR(E5181="",E5181="!!!",F5181="NEW"),"",INDEX(J$1:J5180,SUMPRODUCT(MAX(ROW(E$1:E5180)*(E5181=E$1:E5180)))))</f>
        <v> </v>
      </c>
      <c r="L5181" s="27"/>
    </row>
    <row r="5182" spans="1:12">
      <c r="A5182" s="20" t="s">
        <v>2483</v>
      </c>
      <c r="B5182" s="21" t="s">
        <v>1064</v>
      </c>
      <c r="C5182" s="21" t="s">
        <v>1140</v>
      </c>
      <c r="D5182" s="21" t="s">
        <v>1060</v>
      </c>
      <c r="E5182" s="22">
        <f>IF(D5182="?OLD","!!!","")</f>
        <v/>
      </c>
      <c r="F5182" s="23" t="str">
        <f>IF(OR(E5182="",E5182="!!!"),"",IF(NOT(ISNA(VLOOKUP(E5182,E$1:E5181,1,FALSE()))),"OLD",IF(AND(E5182&lt;&gt;"",E5182&lt;&gt;"!!!"),"NEW","")))</f>
        <v> </v>
      </c>
      <c r="G5182" s="24" t="str">
        <f>IF(OR(E5182="",E5182="!!!"),"",IF(OR(J5182=0,AND(J5182=1,K5182=1),AND(J5182=1,I5182="SBJ"),AND(J5182=1,I5182=0)),"?IN_FOCUS",IF(J5182&lt;=2,"?ACTIVATED",IF(J5182&lt;&gt;"","?FAMILIAR",IF(F5182="NEW",IF(ISNA(VLOOKUP(E5182,#REF!,1,FALSE())),"?TYPE_IDENTIFIABLE","?REFERENTIAL"),"_")))))</f>
        <v> </v>
      </c>
      <c r="H5182" s="25" t="str">
        <f>IF(J5182&lt;&gt;1,"",IF(I5182="SBJ","CB","?"))</f>
        <v> </v>
      </c>
      <c r="I5182" s="26" t="str">
        <f>IF(OR(E5182="",E5182="!!!",F5182="NEW"),"",INDEX(B5181:B$2,-1+SUMPRODUCT(MAX(ROW(E5181:E$2)*(E5182=E5181:E$2)))))</f>
        <v> </v>
      </c>
      <c r="J5182" s="26" t="str">
        <f>IF(OR(E5182="",E5182="!!!",F5182="NEW"),"",COUNTBLANK(OFFSET(A$1,,,SUMPRODUCT(MAX(ROW(E$2:E5182)*(E5182=E$2:E5182)))))-COUNTBLANK(OFFSET(A$1,,,SUMPRODUCT(MAX(ROW(E$1:E5181)*(E2=E$1:E5181))))))</f>
        <v> </v>
      </c>
      <c r="K5182" s="26" t="str">
        <f>IF(OR(E5182="",E5182="!!!",F5182="NEW"),"",INDEX(J$1:J5181,SUMPRODUCT(MAX(ROW(E$1:E5181)*(E5182=E$1:E5181)))))</f>
        <v> </v>
      </c>
      <c r="L5182" s="27"/>
    </row>
    <row r="5183" spans="1:12">
      <c r="A5183" s="20" t="s">
        <v>1061</v>
      </c>
      <c r="E5183" s="22">
        <f>IF(D5183="?OLD","!!!","")</f>
        <v/>
      </c>
      <c r="F5183" s="23" t="str">
        <f>IF(OR(E5183="",E5183="!!!"),"",IF(NOT(ISNA(VLOOKUP(E5183,E$1:E5182,1,FALSE()))),"OLD",IF(AND(E5183&lt;&gt;"",E5183&lt;&gt;"!!!"),"NEW","")))</f>
        <v> </v>
      </c>
      <c r="G5183" s="24" t="str">
        <f>IF(OR(E5183="",E5183="!!!"),"",IF(OR(J5183=0,AND(J5183=1,K5183=1),AND(J5183=1,I5183="SBJ"),AND(J5183=1,I5183=0)),"?IN_FOCUS",IF(J5183&lt;=2,"?ACTIVATED",IF(J5183&lt;&gt;"","?FAMILIAR",IF(F5183="NEW",IF(ISNA(VLOOKUP(E5183,#REF!,1,FALSE())),"?TYPE_IDENTIFIABLE","?REFERENTIAL"),"_")))))</f>
        <v> </v>
      </c>
      <c r="H5183" s="25" t="str">
        <f>IF(J5183&lt;&gt;1,"",IF(I5183="SBJ","CB","?"))</f>
        <v> </v>
      </c>
      <c r="I5183" s="26" t="str">
        <f>IF(OR(E5183="",E5183="!!!",F5183="NEW"),"",INDEX(B5182:B$2,-1+SUMPRODUCT(MAX(ROW(E5182:E$2)*(E5183=E5182:E$2)))))</f>
        <v> </v>
      </c>
      <c r="J5183" s="26" t="str">
        <f>IF(OR(E5183="",E5183="!!!",F5183="NEW"),"",COUNTBLANK(OFFSET(A$1,,,SUMPRODUCT(MAX(ROW(E$2:E5183)*(E5183=E$2:E5183)))))-COUNTBLANK(OFFSET(A$1,,,SUMPRODUCT(MAX(ROW(E$1:E5182)*(E2=E$1:E5182))))))</f>
        <v> </v>
      </c>
      <c r="K5183" s="26" t="str">
        <f>IF(OR(E5183="",E5183="!!!",F5183="NEW"),"",INDEX(J$1:J5182,SUMPRODUCT(MAX(ROW(E$1:E5182)*(E5183=E$1:E5182)))))</f>
        <v> </v>
      </c>
      <c r="L5183" s="27"/>
    </row>
    <row r="5184" spans="1:12">
      <c r="A5184" s="20" t="s">
        <v>1101</v>
      </c>
      <c r="E5184" s="22">
        <f>IF(D5184="?OLD","!!!","")</f>
        <v/>
      </c>
      <c r="F5184" s="23" t="str">
        <f>IF(OR(E5184="",E5184="!!!"),"",IF(NOT(ISNA(VLOOKUP(E5184,E$1:E5183,1,FALSE()))),"OLD",IF(AND(E5184&lt;&gt;"",E5184&lt;&gt;"!!!"),"NEW","")))</f>
        <v> </v>
      </c>
      <c r="G5184" s="24" t="str">
        <f>IF(OR(E5184="",E5184="!!!"),"",IF(OR(J5184=0,AND(J5184=1,K5184=1),AND(J5184=1,I5184="SBJ"),AND(J5184=1,I5184=0)),"?IN_FOCUS",IF(J5184&lt;=2,"?ACTIVATED",IF(J5184&lt;&gt;"","?FAMILIAR",IF(F5184="NEW",IF(ISNA(VLOOKUP(E5184,#REF!,1,FALSE())),"?TYPE_IDENTIFIABLE","?REFERENTIAL"),"_")))))</f>
        <v> </v>
      </c>
      <c r="H5184" s="25" t="str">
        <f>IF(J5184&lt;&gt;1,"",IF(I5184="SBJ","CB","?"))</f>
        <v> </v>
      </c>
      <c r="I5184" s="26" t="str">
        <f>IF(OR(E5184="",E5184="!!!",F5184="NEW"),"",INDEX(B5183:B$2,-1+SUMPRODUCT(MAX(ROW(E5183:E$2)*(E5184=E5183:E$2)))))</f>
        <v> </v>
      </c>
      <c r="J5184" s="26" t="str">
        <f>IF(OR(E5184="",E5184="!!!",F5184="NEW"),"",COUNTBLANK(OFFSET(A$1,,,SUMPRODUCT(MAX(ROW(E$2:E5184)*(E5184=E$2:E5184)))))-COUNTBLANK(OFFSET(A$1,,,SUMPRODUCT(MAX(ROW(E$1:E5183)*(E2=E$1:E5183))))))</f>
        <v> </v>
      </c>
      <c r="K5184" s="26" t="str">
        <f>IF(OR(E5184="",E5184="!!!",F5184="NEW"),"",INDEX(J$1:J5183,SUMPRODUCT(MAX(ROW(E$1:E5183)*(E5184=E$1:E5183)))))</f>
        <v> </v>
      </c>
      <c r="L5184" s="27"/>
    </row>
    <row r="5185" spans="1:12">
      <c r="A5185" s="20" t="s">
        <v>2484</v>
      </c>
      <c r="E5185" s="22">
        <f>IF(D5185="?OLD","!!!","")</f>
        <v/>
      </c>
      <c r="F5185" s="23" t="str">
        <f>IF(OR(E5185="",E5185="!!!"),"",IF(NOT(ISNA(VLOOKUP(E5185,E$1:E5184,1,FALSE()))),"OLD",IF(AND(E5185&lt;&gt;"",E5185&lt;&gt;"!!!"),"NEW","")))</f>
        <v> </v>
      </c>
      <c r="G5185" s="24" t="str">
        <f>IF(OR(E5185="",E5185="!!!"),"",IF(OR(J5185=0,AND(J5185=1,K5185=1),AND(J5185=1,I5185="SBJ"),AND(J5185=1,I5185=0)),"?IN_FOCUS",IF(J5185&lt;=2,"?ACTIVATED",IF(J5185&lt;&gt;"","?FAMILIAR",IF(F5185="NEW",IF(ISNA(VLOOKUP(E5185,#REF!,1,FALSE())),"?TYPE_IDENTIFIABLE","?REFERENTIAL"),"_")))))</f>
        <v> </v>
      </c>
      <c r="H5185" s="25" t="str">
        <f>IF(J5185&lt;&gt;1,"",IF(I5185="SBJ","CB","?"))</f>
        <v> </v>
      </c>
      <c r="I5185" s="26" t="str">
        <f>IF(OR(E5185="",E5185="!!!",F5185="NEW"),"",INDEX(B5184:B$2,-1+SUMPRODUCT(MAX(ROW(E5184:E$2)*(E5185=E5184:E$2)))))</f>
        <v> </v>
      </c>
      <c r="J5185" s="26" t="str">
        <f>IF(OR(E5185="",E5185="!!!",F5185="NEW"),"",COUNTBLANK(OFFSET(A$1,,,SUMPRODUCT(MAX(ROW(E$2:E5185)*(E5185=E$2:E5185)))))-COUNTBLANK(OFFSET(A$1,,,SUMPRODUCT(MAX(ROW(E$1:E5184)*(E2=E$1:E5184))))))</f>
        <v> </v>
      </c>
      <c r="K5185" s="26" t="str">
        <f>IF(OR(E5185="",E5185="!!!",F5185="NEW"),"",INDEX(J$1:J5184,SUMPRODUCT(MAX(ROW(E$1:E5184)*(E5185=E$1:E5184)))))</f>
        <v> </v>
      </c>
      <c r="L5185" s="27"/>
    </row>
    <row r="5186" spans="1:12">
      <c r="A5186" s="20" t="s">
        <v>2485</v>
      </c>
      <c r="B5186" s="21" t="s">
        <v>1099</v>
      </c>
      <c r="C5186" s="21" t="s">
        <v>1140</v>
      </c>
      <c r="D5186" s="21" t="s">
        <v>1060</v>
      </c>
      <c r="E5186" s="22">
        <f>IF(D5186="?OLD","!!!","")</f>
        <v/>
      </c>
      <c r="F5186" s="23" t="str">
        <f>IF(OR(E5186="",E5186="!!!"),"",IF(NOT(ISNA(VLOOKUP(E5186,E$1:E5185,1,FALSE()))),"OLD",IF(AND(E5186&lt;&gt;"",E5186&lt;&gt;"!!!"),"NEW","")))</f>
        <v> </v>
      </c>
      <c r="G5186" s="24" t="str">
        <f>IF(OR(E5186="",E5186="!!!"),"",IF(OR(J5186=0,AND(J5186=1,K5186=1),AND(J5186=1,I5186="SBJ"),AND(J5186=1,I5186=0)),"?IN_FOCUS",IF(J5186&lt;=2,"?ACTIVATED",IF(J5186&lt;&gt;"","?FAMILIAR",IF(F5186="NEW",IF(ISNA(VLOOKUP(E5186,#REF!,1,FALSE())),"?TYPE_IDENTIFIABLE","?REFERENTIAL"),"_")))))</f>
        <v> </v>
      </c>
      <c r="H5186" s="25" t="str">
        <f>IF(J5186&lt;&gt;1,"",IF(I5186="SBJ","CB","?"))</f>
        <v> </v>
      </c>
      <c r="I5186" s="26" t="str">
        <f>IF(OR(E5186="",E5186="!!!",F5186="NEW"),"",INDEX(B5185:B$2,-1+SUMPRODUCT(MAX(ROW(E5185:E$2)*(E5186=E5185:E$2)))))</f>
        <v> </v>
      </c>
      <c r="J5186" s="26" t="str">
        <f>IF(OR(E5186="",E5186="!!!",F5186="NEW"),"",COUNTBLANK(OFFSET(A$1,,,SUMPRODUCT(MAX(ROW(E$2:E5186)*(E5186=E$2:E5186)))))-COUNTBLANK(OFFSET(A$1,,,SUMPRODUCT(MAX(ROW(E$1:E5185)*(E2=E$1:E5185))))))</f>
        <v> </v>
      </c>
      <c r="K5186" s="26" t="str">
        <f>IF(OR(E5186="",E5186="!!!",F5186="NEW"),"",INDEX(J$1:J5185,SUMPRODUCT(MAX(ROW(E$1:E5185)*(E5186=E$1:E5185)))))</f>
        <v> </v>
      </c>
      <c r="L5186" s="27"/>
    </row>
    <row r="5187" spans="1:12">
      <c r="A5187" s="20" t="s">
        <v>923</v>
      </c>
      <c r="E5187" s="22">
        <f>IF(D5187="?OLD","!!!","")</f>
        <v/>
      </c>
      <c r="F5187" s="23" t="str">
        <f>IF(OR(E5187="",E5187="!!!"),"",IF(NOT(ISNA(VLOOKUP(E5187,E$1:E5186,1,FALSE()))),"OLD",IF(AND(E5187&lt;&gt;"",E5187&lt;&gt;"!!!"),"NEW","")))</f>
        <v> </v>
      </c>
      <c r="G5187" s="24" t="str">
        <f>IF(OR(E5187="",E5187="!!!"),"",IF(OR(J5187=0,AND(J5187=1,K5187=1),AND(J5187=1,I5187="SBJ"),AND(J5187=1,I5187=0)),"?IN_FOCUS",IF(J5187&lt;=2,"?ACTIVATED",IF(J5187&lt;&gt;"","?FAMILIAR",IF(F5187="NEW",IF(ISNA(VLOOKUP(E5187,#REF!,1,FALSE())),"?TYPE_IDENTIFIABLE","?REFERENTIAL"),"_")))))</f>
        <v> </v>
      </c>
      <c r="H5187" s="25" t="str">
        <f>IF(J5187&lt;&gt;1,"",IF(I5187="SBJ","CB","?"))</f>
        <v> </v>
      </c>
      <c r="I5187" s="26" t="str">
        <f>IF(OR(E5187="",E5187="!!!",F5187="NEW"),"",INDEX(B5186:B$2,-1+SUMPRODUCT(MAX(ROW(E5186:E$2)*(E5187=E5186:E$2)))))</f>
        <v> </v>
      </c>
      <c r="J5187" s="26" t="str">
        <f>IF(OR(E5187="",E5187="!!!",F5187="NEW"),"",COUNTBLANK(OFFSET(A$1,,,SUMPRODUCT(MAX(ROW(E$2:E5187)*(E5187=E$2:E5187)))))-COUNTBLANK(OFFSET(A$1,,,SUMPRODUCT(MAX(ROW(E$1:E5186)*(E2=E$1:E5186))))))</f>
        <v> </v>
      </c>
      <c r="K5187" s="26" t="str">
        <f>IF(OR(E5187="",E5187="!!!",F5187="NEW"),"",INDEX(J$1:J5186,SUMPRODUCT(MAX(ROW(E$1:E5186)*(E5187=E$1:E5186)))))</f>
        <v> </v>
      </c>
      <c r="L5187" s="27"/>
    </row>
    <row r="5188" spans="1:12">
      <c r="A5188" s="20"/>
    </row>
    <row r="5189" spans="1:12">
      <c r="A5189" s="20" t="s">
        <v>2486</v>
      </c>
    </row>
    <row r="5190" spans="1:12">
      <c r="A5190" s="20" t="s">
        <v>1678</v>
      </c>
      <c r="E5190" s="22">
        <f>IF(D5190="?OLD","!!!","")</f>
        <v/>
      </c>
      <c r="F5190" s="23" t="str">
        <f>IF(OR(E5190="",E5190="!!!"),"",IF(NOT(ISNA(VLOOKUP(E5190,E$1:E5189,1,FALSE()))),"OLD",IF(AND(E5190&lt;&gt;"",E5190&lt;&gt;"!!!"),"NEW","")))</f>
        <v> </v>
      </c>
      <c r="G5190" s="24" t="str">
        <f>IF(OR(E5190="",E5190="!!!"),"",IF(OR(J5190=0,AND(J5190=1,K5190=1),AND(J5190=1,I5190="SBJ"),AND(J5190=1,I5190=0)),"?IN_FOCUS",IF(J5190&lt;=2,"?ACTIVATED",IF(J5190&lt;&gt;"","?FAMILIAR",IF(F5190="NEW",IF(ISNA(VLOOKUP(E5190,#REF!,1,FALSE())),"?TYPE_IDENTIFIABLE","?REFERENTIAL"),"_")))))</f>
        <v> </v>
      </c>
      <c r="H5190" s="25" t="str">
        <f>IF(J5190&lt;&gt;1,"",IF(I5190="SBJ","CB","?"))</f>
        <v> </v>
      </c>
      <c r="I5190" s="26" t="str">
        <f>IF(OR(E5190="",E5190="!!!",F5190="NEW"),"",INDEX(B5189:B$2,-1+SUMPRODUCT(MAX(ROW(E5189:E$2)*(E5190=E5189:E$2)))))</f>
        <v> </v>
      </c>
      <c r="J5190" s="26" t="str">
        <f>IF(OR(E5190="",E5190="!!!",F5190="NEW"),"",COUNTBLANK(OFFSET(A$1,,,SUMPRODUCT(MAX(ROW(E$2:E5190)*(E5190=E$2:E5190)))))-COUNTBLANK(OFFSET(A$1,,,SUMPRODUCT(MAX(ROW(E$1:E5189)*(E2=E$1:E5189))))))</f>
        <v> </v>
      </c>
      <c r="K5190" s="26" t="str">
        <f>IF(OR(E5190="",E5190="!!!",F5190="NEW"),"",INDEX(J$1:J5189,SUMPRODUCT(MAX(ROW(E$1:E5189)*(E5190=E$1:E5189)))))</f>
        <v> </v>
      </c>
      <c r="L5190" s="27"/>
    </row>
    <row r="5191" spans="1:12">
      <c r="A5191" s="20" t="s">
        <v>1072</v>
      </c>
      <c r="B5191" s="21" t="s">
        <v>1097</v>
      </c>
      <c r="C5191" s="21" t="s">
        <v>1059</v>
      </c>
      <c r="D5191" s="21" t="s">
        <v>1060</v>
      </c>
      <c r="E5191" s="22">
        <f>IF(D5191="?OLD","!!!","")</f>
        <v/>
      </c>
      <c r="F5191" s="23" t="str">
        <f>IF(OR(E5191="",E5191="!!!"),"",IF(NOT(ISNA(VLOOKUP(E5191,E$1:E5190,1,FALSE()))),"OLD",IF(AND(E5191&lt;&gt;"",E5191&lt;&gt;"!!!"),"NEW","")))</f>
        <v> </v>
      </c>
      <c r="G5191" s="24" t="str">
        <f>IF(OR(E5191="",E5191="!!!"),"",IF(OR(J5191=0,AND(J5191=1,K5191=1),AND(J5191=1,I5191="SBJ"),AND(J5191=1,I5191=0)),"?IN_FOCUS",IF(J5191&lt;=2,"?ACTIVATED",IF(J5191&lt;&gt;"","?FAMILIAR",IF(F5191="NEW",IF(ISNA(VLOOKUP(E5191,#REF!,1,FALSE())),"?TYPE_IDENTIFIABLE","?REFERENTIAL"),"_")))))</f>
        <v> </v>
      </c>
      <c r="H5191" s="25" t="str">
        <f>IF(J5191&lt;&gt;1,"",IF(I5191="SBJ","CB","?"))</f>
        <v> </v>
      </c>
      <c r="I5191" s="26" t="str">
        <f>IF(OR(E5191="",E5191="!!!",F5191="NEW"),"",INDEX(B5190:B$2,-1+SUMPRODUCT(MAX(ROW(E5190:E$2)*(E5191=E5190:E$2)))))</f>
        <v> </v>
      </c>
      <c r="J5191" s="26" t="str">
        <f>IF(OR(E5191="",E5191="!!!",F5191="NEW"),"",COUNTBLANK(OFFSET(A$1,,,SUMPRODUCT(MAX(ROW(E$2:E5191)*(E5191=E$2:E5191)))))-COUNTBLANK(OFFSET(A$1,,,SUMPRODUCT(MAX(ROW(E$1:E5190)*(E2=E$1:E5190))))))</f>
        <v> </v>
      </c>
      <c r="K5191" s="26" t="str">
        <f>IF(OR(E5191="",E5191="!!!",F5191="NEW"),"",INDEX(J$1:J5190,SUMPRODUCT(MAX(ROW(E$1:E5190)*(E5191=E$1:E5190)))))</f>
        <v> </v>
      </c>
      <c r="L5191" s="27"/>
    </row>
    <row r="5192" spans="1:12">
      <c r="A5192" s="20" t="s">
        <v>1061</v>
      </c>
      <c r="E5192" s="22">
        <f>IF(D5192="?OLD","!!!","")</f>
        <v/>
      </c>
      <c r="F5192" s="23" t="str">
        <f>IF(OR(E5192="",E5192="!!!"),"",IF(NOT(ISNA(VLOOKUP(E5192,E$1:E5191,1,FALSE()))),"OLD",IF(AND(E5192&lt;&gt;"",E5192&lt;&gt;"!!!"),"NEW","")))</f>
        <v> </v>
      </c>
      <c r="G5192" s="24" t="str">
        <f>IF(OR(E5192="",E5192="!!!"),"",IF(OR(J5192=0,AND(J5192=1,K5192=1),AND(J5192=1,I5192="SBJ"),AND(J5192=1,I5192=0)),"?IN_FOCUS",IF(J5192&lt;=2,"?ACTIVATED",IF(J5192&lt;&gt;"","?FAMILIAR",IF(F5192="NEW",IF(ISNA(VLOOKUP(E5192,#REF!,1,FALSE())),"?TYPE_IDENTIFIABLE","?REFERENTIAL"),"_")))))</f>
        <v> </v>
      </c>
      <c r="H5192" s="25" t="str">
        <f>IF(J5192&lt;&gt;1,"",IF(I5192="SBJ","CB","?"))</f>
        <v> </v>
      </c>
      <c r="I5192" s="26" t="str">
        <f>IF(OR(E5192="",E5192="!!!",F5192="NEW"),"",INDEX(B5191:B$2,-1+SUMPRODUCT(MAX(ROW(E5191:E$2)*(E5192=E5191:E$2)))))</f>
        <v> </v>
      </c>
      <c r="J5192" s="26" t="str">
        <f>IF(OR(E5192="",E5192="!!!",F5192="NEW"),"",COUNTBLANK(OFFSET(A$1,,,SUMPRODUCT(MAX(ROW(E$2:E5192)*(E5192=E$2:E5192)))))-COUNTBLANK(OFFSET(A$1,,,SUMPRODUCT(MAX(ROW(E$1:E5191)*(E2=E$1:E5191))))))</f>
        <v> </v>
      </c>
      <c r="K5192" s="26" t="str">
        <f>IF(OR(E5192="",E5192="!!!",F5192="NEW"),"",INDEX(J$1:J5191,SUMPRODUCT(MAX(ROW(E$1:E5191)*(E5192=E$1:E5191)))))</f>
        <v> </v>
      </c>
      <c r="L5192" s="27"/>
    </row>
    <row r="5193" spans="1:12">
      <c r="A5193" s="20" t="s">
        <v>2487</v>
      </c>
      <c r="E5193" s="22">
        <f>IF(D5193="?OLD","!!!","")</f>
        <v/>
      </c>
      <c r="F5193" s="23" t="str">
        <f>IF(OR(E5193="",E5193="!!!"),"",IF(NOT(ISNA(VLOOKUP(E5193,E$1:E5192,1,FALSE()))),"OLD",IF(AND(E5193&lt;&gt;"",E5193&lt;&gt;"!!!"),"NEW","")))</f>
        <v> </v>
      </c>
      <c r="G5193" s="24" t="str">
        <f>IF(OR(E5193="",E5193="!!!"),"",IF(OR(J5193=0,AND(J5193=1,K5193=1),AND(J5193=1,I5193="SBJ"),AND(J5193=1,I5193=0)),"?IN_FOCUS",IF(J5193&lt;=2,"?ACTIVATED",IF(J5193&lt;&gt;"","?FAMILIAR",IF(F5193="NEW",IF(ISNA(VLOOKUP(E5193,#REF!,1,FALSE())),"?TYPE_IDENTIFIABLE","?REFERENTIAL"),"_")))))</f>
        <v> </v>
      </c>
      <c r="H5193" s="25" t="str">
        <f>IF(J5193&lt;&gt;1,"",IF(I5193="SBJ","CB","?"))</f>
        <v> </v>
      </c>
      <c r="I5193" s="26" t="str">
        <f>IF(OR(E5193="",E5193="!!!",F5193="NEW"),"",INDEX(B5192:B$2,-1+SUMPRODUCT(MAX(ROW(E5192:E$2)*(E5193=E5192:E$2)))))</f>
        <v> </v>
      </c>
      <c r="J5193" s="26" t="str">
        <f>IF(OR(E5193="",E5193="!!!",F5193="NEW"),"",COUNTBLANK(OFFSET(A$1,,,SUMPRODUCT(MAX(ROW(E$2:E5193)*(E5193=E$2:E5193)))))-COUNTBLANK(OFFSET(A$1,,,SUMPRODUCT(MAX(ROW(E$1:E5192)*(E2=E$1:E5192))))))</f>
        <v> </v>
      </c>
      <c r="K5193" s="26" t="str">
        <f>IF(OR(E5193="",E5193="!!!",F5193="NEW"),"",INDEX(J$1:J5192,SUMPRODUCT(MAX(ROW(E$1:E5192)*(E5193=E$1:E5192)))))</f>
        <v> </v>
      </c>
      <c r="L5193" s="27"/>
    </row>
    <row r="5194" spans="1:12">
      <c r="A5194" s="20" t="s">
        <v>1077</v>
      </c>
      <c r="E5194" s="22">
        <f>IF(D5194="?OLD","!!!","")</f>
        <v/>
      </c>
      <c r="F5194" s="23" t="str">
        <f>IF(OR(E5194="",E5194="!!!"),"",IF(NOT(ISNA(VLOOKUP(E5194,E$1:E5193,1,FALSE()))),"OLD",IF(AND(E5194&lt;&gt;"",E5194&lt;&gt;"!!!"),"NEW","")))</f>
        <v> </v>
      </c>
      <c r="G5194" s="24" t="str">
        <f>IF(OR(E5194="",E5194="!!!"),"",IF(OR(J5194=0,AND(J5194=1,K5194=1),AND(J5194=1,I5194="SBJ"),AND(J5194=1,I5194=0)),"?IN_FOCUS",IF(J5194&lt;=2,"?ACTIVATED",IF(J5194&lt;&gt;"","?FAMILIAR",IF(F5194="NEW",IF(ISNA(VLOOKUP(E5194,#REF!,1,FALSE())),"?TYPE_IDENTIFIABLE","?REFERENTIAL"),"_")))))</f>
        <v> </v>
      </c>
      <c r="H5194" s="25" t="str">
        <f>IF(J5194&lt;&gt;1,"",IF(I5194="SBJ","CB","?"))</f>
        <v> </v>
      </c>
      <c r="I5194" s="26" t="str">
        <f>IF(OR(E5194="",E5194="!!!",F5194="NEW"),"",INDEX(B5193:B$2,-1+SUMPRODUCT(MAX(ROW(E5193:E$2)*(E5194=E5193:E$2)))))</f>
        <v> </v>
      </c>
      <c r="J5194" s="26" t="str">
        <f>IF(OR(E5194="",E5194="!!!",F5194="NEW"),"",COUNTBLANK(OFFSET(A$1,,,SUMPRODUCT(MAX(ROW(E$2:E5194)*(E5194=E$2:E5194)))))-COUNTBLANK(OFFSET(A$1,,,SUMPRODUCT(MAX(ROW(E$1:E5193)*(E2=E$1:E5193))))))</f>
        <v> </v>
      </c>
      <c r="K5194" s="26" t="str">
        <f>IF(OR(E5194="",E5194="!!!",F5194="NEW"),"",INDEX(J$1:J5193,SUMPRODUCT(MAX(ROW(E$1:E5193)*(E5194=E$1:E5193)))))</f>
        <v> </v>
      </c>
      <c r="L5194" s="27"/>
    </row>
    <row r="5195" spans="1:12">
      <c r="A5195" s="20" t="s">
        <v>2488</v>
      </c>
      <c r="B5195" s="21" t="s">
        <v>1068</v>
      </c>
      <c r="C5195" s="21" t="s">
        <v>1159</v>
      </c>
      <c r="D5195" s="21" t="s">
        <v>1060</v>
      </c>
      <c r="E5195" s="22">
        <f>IF(D5195="?OLD","!!!","")</f>
        <v/>
      </c>
      <c r="F5195" s="23" t="str">
        <f>IF(OR(E5195="",E5195="!!!"),"",IF(NOT(ISNA(VLOOKUP(E5195,E$1:E5194,1,FALSE()))),"OLD",IF(AND(E5195&lt;&gt;"",E5195&lt;&gt;"!!!"),"NEW","")))</f>
        <v> </v>
      </c>
      <c r="G5195" s="24" t="str">
        <f>IF(OR(E5195="",E5195="!!!"),"",IF(OR(J5195=0,AND(J5195=1,K5195=1),AND(J5195=1,I5195="SBJ"),AND(J5195=1,I5195=0)),"?IN_FOCUS",IF(J5195&lt;=2,"?ACTIVATED",IF(J5195&lt;&gt;"","?FAMILIAR",IF(F5195="NEW",IF(ISNA(VLOOKUP(E5195,#REF!,1,FALSE())),"?TYPE_IDENTIFIABLE","?REFERENTIAL"),"_")))))</f>
        <v> </v>
      </c>
      <c r="H5195" s="25" t="str">
        <f>IF(J5195&lt;&gt;1,"",IF(I5195="SBJ","CB","?"))</f>
        <v> </v>
      </c>
      <c r="I5195" s="26" t="str">
        <f>IF(OR(E5195="",E5195="!!!",F5195="NEW"),"",INDEX(B5194:B$2,-1+SUMPRODUCT(MAX(ROW(E5194:E$2)*(E5195=E5194:E$2)))))</f>
        <v> </v>
      </c>
      <c r="J5195" s="26" t="str">
        <f>IF(OR(E5195="",E5195="!!!",F5195="NEW"),"",COUNTBLANK(OFFSET(A$1,,,SUMPRODUCT(MAX(ROW(E$2:E5195)*(E5195=E$2:E5195)))))-COUNTBLANK(OFFSET(A$1,,,SUMPRODUCT(MAX(ROW(E$1:E5194)*(E2=E$1:E5194))))))</f>
        <v> </v>
      </c>
      <c r="K5195" s="26" t="str">
        <f>IF(OR(E5195="",E5195="!!!",F5195="NEW"),"",INDEX(J$1:J5194,SUMPRODUCT(MAX(ROW(E$1:E5194)*(E5195=E$1:E5194)))))</f>
        <v> </v>
      </c>
      <c r="L5195" s="27"/>
    </row>
    <row r="5196" spans="1:12">
      <c r="A5196" s="20" t="s">
        <v>1118</v>
      </c>
      <c r="E5196" s="22">
        <f>IF(D5196="?OLD","!!!","")</f>
        <v/>
      </c>
      <c r="F5196" s="23" t="str">
        <f>IF(OR(E5196="",E5196="!!!"),"",IF(NOT(ISNA(VLOOKUP(E5196,E$1:E5195,1,FALSE()))),"OLD",IF(AND(E5196&lt;&gt;"",E5196&lt;&gt;"!!!"),"NEW","")))</f>
        <v> </v>
      </c>
      <c r="G5196" s="24" t="str">
        <f>IF(OR(E5196="",E5196="!!!"),"",IF(OR(J5196=0,AND(J5196=1,K5196=1),AND(J5196=1,I5196="SBJ"),AND(J5196=1,I5196=0)),"?IN_FOCUS",IF(J5196&lt;=2,"?ACTIVATED",IF(J5196&lt;&gt;"","?FAMILIAR",IF(F5196="NEW",IF(ISNA(VLOOKUP(E5196,#REF!,1,FALSE())),"?TYPE_IDENTIFIABLE","?REFERENTIAL"),"_")))))</f>
        <v> </v>
      </c>
      <c r="H5196" s="25" t="str">
        <f>IF(J5196&lt;&gt;1,"",IF(I5196="SBJ","CB","?"))</f>
        <v> </v>
      </c>
      <c r="I5196" s="26" t="str">
        <f>IF(OR(E5196="",E5196="!!!",F5196="NEW"),"",INDEX(B5195:B$2,-1+SUMPRODUCT(MAX(ROW(E5195:E$2)*(E5196=E5195:E$2)))))</f>
        <v> </v>
      </c>
      <c r="J5196" s="26" t="str">
        <f>IF(OR(E5196="",E5196="!!!",F5196="NEW"),"",COUNTBLANK(OFFSET(A$1,,,SUMPRODUCT(MAX(ROW(E$2:E5196)*(E5196=E$2:E5196)))))-COUNTBLANK(OFFSET(A$1,,,SUMPRODUCT(MAX(ROW(E$1:E5195)*(E2=E$1:E5195))))))</f>
        <v> </v>
      </c>
      <c r="K5196" s="26" t="str">
        <f>IF(OR(E5196="",E5196="!!!",F5196="NEW"),"",INDEX(J$1:J5195,SUMPRODUCT(MAX(ROW(E$1:E5195)*(E5196=E$1:E5195)))))</f>
        <v> </v>
      </c>
      <c r="L5196" s="27"/>
    </row>
    <row r="5197" spans="1:12">
      <c r="A5197" s="20" t="s">
        <v>2489</v>
      </c>
      <c r="B5197" s="21" t="s">
        <v>1064</v>
      </c>
      <c r="C5197" s="21" t="s">
        <v>1149</v>
      </c>
      <c r="E5197" s="22">
        <f>IF(D5197="?OLD","!!!","")</f>
        <v/>
      </c>
      <c r="F5197" s="23" t="str">
        <f>IF(OR(E5197="",E5197="!!!"),"",IF(NOT(ISNA(VLOOKUP(E5197,E$1:E5196,1,FALSE()))),"OLD",IF(AND(E5197&lt;&gt;"",E5197&lt;&gt;"!!!"),"NEW","")))</f>
        <v> </v>
      </c>
      <c r="G5197" s="24" t="str">
        <f>IF(OR(E5197="",E5197="!!!"),"",IF(OR(J5197=0,AND(J5197=1,K5197=1),AND(J5197=1,I5197="SBJ"),AND(J5197=1,I5197=0)),"?IN_FOCUS",IF(J5197&lt;=2,"?ACTIVATED",IF(J5197&lt;&gt;"","?FAMILIAR",IF(F5197="NEW",IF(ISNA(VLOOKUP(E5197,#REF!,1,FALSE())),"?TYPE_IDENTIFIABLE","?REFERENTIAL"),"_")))))</f>
        <v> </v>
      </c>
      <c r="H5197" s="25" t="str">
        <f>IF(J5197&lt;&gt;1,"",IF(I5197="SBJ","CB","?"))</f>
        <v> </v>
      </c>
      <c r="I5197" s="26" t="str">
        <f>IF(OR(E5197="",E5197="!!!",F5197="NEW"),"",INDEX(B5196:B$2,-1+SUMPRODUCT(MAX(ROW(E5196:E$2)*(E5197=E5196:E$2)))))</f>
        <v> </v>
      </c>
      <c r="J5197" s="26" t="str">
        <f>IF(OR(E5197="",E5197="!!!",F5197="NEW"),"",COUNTBLANK(OFFSET(A$1,,,SUMPRODUCT(MAX(ROW(E$2:E5197)*(E5197=E$2:E5197)))))-COUNTBLANK(OFFSET(A$1,,,SUMPRODUCT(MAX(ROW(E$1:E5196)*(E2=E$1:E5196))))))</f>
        <v> </v>
      </c>
      <c r="K5197" s="26" t="str">
        <f>IF(OR(E5197="",E5197="!!!",F5197="NEW"),"",INDEX(J$1:J5196,SUMPRODUCT(MAX(ROW(E$1:E5196)*(E5197=E$1:E5196)))))</f>
        <v> </v>
      </c>
      <c r="L5197" s="27"/>
    </row>
    <row r="5198" spans="1:12">
      <c r="A5198" s="20" t="s">
        <v>1194</v>
      </c>
      <c r="E5198" s="22">
        <f>IF(D5198="?OLD","!!!","")</f>
        <v/>
      </c>
      <c r="F5198" s="23" t="str">
        <f>IF(OR(E5198="",E5198="!!!"),"",IF(NOT(ISNA(VLOOKUP(E5198,E$1:E5197,1,FALSE()))),"OLD",IF(AND(E5198&lt;&gt;"",E5198&lt;&gt;"!!!"),"NEW","")))</f>
        <v> </v>
      </c>
      <c r="G5198" s="24" t="str">
        <f>IF(OR(E5198="",E5198="!!!"),"",IF(OR(J5198=0,AND(J5198=1,K5198=1),AND(J5198=1,I5198="SBJ"),AND(J5198=1,I5198=0)),"?IN_FOCUS",IF(J5198&lt;=2,"?ACTIVATED",IF(J5198&lt;&gt;"","?FAMILIAR",IF(F5198="NEW",IF(ISNA(VLOOKUP(E5198,#REF!,1,FALSE())),"?TYPE_IDENTIFIABLE","?REFERENTIAL"),"_")))))</f>
        <v> </v>
      </c>
      <c r="H5198" s="25" t="str">
        <f>IF(J5198&lt;&gt;1,"",IF(I5198="SBJ","CB","?"))</f>
        <v> </v>
      </c>
      <c r="I5198" s="26" t="str">
        <f>IF(OR(E5198="",E5198="!!!",F5198="NEW"),"",INDEX(B5197:B$2,-1+SUMPRODUCT(MAX(ROW(E5197:E$2)*(E5198=E5197:E$2)))))</f>
        <v> </v>
      </c>
      <c r="J5198" s="26" t="str">
        <f>IF(OR(E5198="",E5198="!!!",F5198="NEW"),"",COUNTBLANK(OFFSET(A$1,,,SUMPRODUCT(MAX(ROW(E$2:E5198)*(E5198=E$2:E5198)))))-COUNTBLANK(OFFSET(A$1,,,SUMPRODUCT(MAX(ROW(E$1:E5197)*(E2=E$1:E5197))))))</f>
        <v> </v>
      </c>
      <c r="K5198" s="26" t="str">
        <f>IF(OR(E5198="",E5198="!!!",F5198="NEW"),"",INDEX(J$1:J5197,SUMPRODUCT(MAX(ROW(E$1:E5197)*(E5198=E$1:E5197)))))</f>
        <v> </v>
      </c>
      <c r="L5198" s="27"/>
    </row>
    <row r="5199" spans="1:12">
      <c r="A5199" s="20" t="s">
        <v>1077</v>
      </c>
      <c r="E5199" s="22">
        <f>IF(D5199="?OLD","!!!","")</f>
        <v/>
      </c>
      <c r="F5199" s="23" t="str">
        <f>IF(OR(E5199="",E5199="!!!"),"",IF(NOT(ISNA(VLOOKUP(E5199,E$1:E5198,1,FALSE()))),"OLD",IF(AND(E5199&lt;&gt;"",E5199&lt;&gt;"!!!"),"NEW","")))</f>
        <v> </v>
      </c>
      <c r="G5199" s="24" t="str">
        <f>IF(OR(E5199="",E5199="!!!"),"",IF(OR(J5199=0,AND(J5199=1,K5199=1),AND(J5199=1,I5199="SBJ"),AND(J5199=1,I5199=0)),"?IN_FOCUS",IF(J5199&lt;=2,"?ACTIVATED",IF(J5199&lt;&gt;"","?FAMILIAR",IF(F5199="NEW",IF(ISNA(VLOOKUP(E5199,#REF!,1,FALSE())),"?TYPE_IDENTIFIABLE","?REFERENTIAL"),"_")))))</f>
        <v> </v>
      </c>
      <c r="H5199" s="25" t="str">
        <f>IF(J5199&lt;&gt;1,"",IF(I5199="SBJ","CB","?"))</f>
        <v> </v>
      </c>
      <c r="I5199" s="26" t="str">
        <f>IF(OR(E5199="",E5199="!!!",F5199="NEW"),"",INDEX(B5198:B$2,-1+SUMPRODUCT(MAX(ROW(E5198:E$2)*(E5199=E5198:E$2)))))</f>
        <v> </v>
      </c>
      <c r="J5199" s="26" t="str">
        <f>IF(OR(E5199="",E5199="!!!",F5199="NEW"),"",COUNTBLANK(OFFSET(A$1,,,SUMPRODUCT(MAX(ROW(E$2:E5199)*(E5199=E$2:E5199)))))-COUNTBLANK(OFFSET(A$1,,,SUMPRODUCT(MAX(ROW(E$1:E5198)*(E2=E$1:E5198))))))</f>
        <v> </v>
      </c>
      <c r="K5199" s="26" t="str">
        <f>IF(OR(E5199="",E5199="!!!",F5199="NEW"),"",INDEX(J$1:J5198,SUMPRODUCT(MAX(ROW(E$1:E5198)*(E5199=E$1:E5198)))))</f>
        <v> </v>
      </c>
      <c r="L5199" s="27"/>
    </row>
    <row r="5200" spans="1:12">
      <c r="A5200" s="20" t="s">
        <v>2490</v>
      </c>
      <c r="B5200" s="21" t="s">
        <v>1064</v>
      </c>
      <c r="C5200" s="21" t="s">
        <v>1080</v>
      </c>
      <c r="E5200" s="22">
        <f>IF(D5200="?OLD","!!!","")</f>
        <v/>
      </c>
      <c r="F5200" s="23" t="str">
        <f>IF(OR(E5200="",E5200="!!!"),"",IF(NOT(ISNA(VLOOKUP(E5200,E$1:E5199,1,FALSE()))),"OLD",IF(AND(E5200&lt;&gt;"",E5200&lt;&gt;"!!!"),"NEW","")))</f>
        <v> </v>
      </c>
      <c r="G5200" s="24" t="str">
        <f>IF(OR(E5200="",E5200="!!!"),"",IF(OR(J5200=0,AND(J5200=1,K5200=1),AND(J5200=1,I5200="SBJ"),AND(J5200=1,I5200=0)),"?IN_FOCUS",IF(J5200&lt;=2,"?ACTIVATED",IF(J5200&lt;&gt;"","?FAMILIAR",IF(F5200="NEW",IF(ISNA(VLOOKUP(E5200,#REF!,1,FALSE())),"?TYPE_IDENTIFIABLE","?REFERENTIAL"),"_")))))</f>
        <v> </v>
      </c>
      <c r="H5200" s="25" t="str">
        <f>IF(J5200&lt;&gt;1,"",IF(I5200="SBJ","CB","?"))</f>
        <v> </v>
      </c>
      <c r="I5200" s="26" t="str">
        <f>IF(OR(E5200="",E5200="!!!",F5200="NEW"),"",INDEX(B5199:B$2,-1+SUMPRODUCT(MAX(ROW(E5199:E$2)*(E5200=E5199:E$2)))))</f>
        <v> </v>
      </c>
      <c r="J5200" s="26" t="str">
        <f>IF(OR(E5200="",E5200="!!!",F5200="NEW"),"",COUNTBLANK(OFFSET(A$1,,,SUMPRODUCT(MAX(ROW(E$2:E5200)*(E5200=E$2:E5200)))))-COUNTBLANK(OFFSET(A$1,,,SUMPRODUCT(MAX(ROW(E$1:E5199)*(E2=E$1:E5199))))))</f>
        <v> </v>
      </c>
      <c r="K5200" s="26" t="str">
        <f>IF(OR(E5200="",E5200="!!!",F5200="NEW"),"",INDEX(J$1:J5199,SUMPRODUCT(MAX(ROW(E$1:E5199)*(E5200=E$1:E5199)))))</f>
        <v> </v>
      </c>
      <c r="L5200" s="27"/>
    </row>
    <row r="5201" spans="1:12">
      <c r="A5201" s="20" t="s">
        <v>1061</v>
      </c>
      <c r="E5201" s="22">
        <f>IF(D5201="?OLD","!!!","")</f>
        <v/>
      </c>
      <c r="F5201" s="23" t="str">
        <f>IF(OR(E5201="",E5201="!!!"),"",IF(NOT(ISNA(VLOOKUP(E5201,E$1:E5200,1,FALSE()))),"OLD",IF(AND(E5201&lt;&gt;"",E5201&lt;&gt;"!!!"),"NEW","")))</f>
        <v> </v>
      </c>
      <c r="G5201" s="24" t="str">
        <f>IF(OR(E5201="",E5201="!!!"),"",IF(OR(J5201=0,AND(J5201=1,K5201=1),AND(J5201=1,I5201="SBJ"),AND(J5201=1,I5201=0)),"?IN_FOCUS",IF(J5201&lt;=2,"?ACTIVATED",IF(J5201&lt;&gt;"","?FAMILIAR",IF(F5201="NEW",IF(ISNA(VLOOKUP(E5201,#REF!,1,FALSE())),"?TYPE_IDENTIFIABLE","?REFERENTIAL"),"_")))))</f>
        <v> </v>
      </c>
      <c r="H5201" s="25" t="str">
        <f>IF(J5201&lt;&gt;1,"",IF(I5201="SBJ","CB","?"))</f>
        <v> </v>
      </c>
      <c r="I5201" s="26" t="str">
        <f>IF(OR(E5201="",E5201="!!!",F5201="NEW"),"",INDEX(B5200:B$2,-1+SUMPRODUCT(MAX(ROW(E5200:E$2)*(E5201=E5200:E$2)))))</f>
        <v> </v>
      </c>
      <c r="J5201" s="26" t="str">
        <f>IF(OR(E5201="",E5201="!!!",F5201="NEW"),"",COUNTBLANK(OFFSET(A$1,,,SUMPRODUCT(MAX(ROW(E$2:E5201)*(E5201=E$2:E5201)))))-COUNTBLANK(OFFSET(A$1,,,SUMPRODUCT(MAX(ROW(E$1:E5200)*(E2=E$1:E5200))))))</f>
        <v> </v>
      </c>
      <c r="K5201" s="26" t="str">
        <f>IF(OR(E5201="",E5201="!!!",F5201="NEW"),"",INDEX(J$1:J5200,SUMPRODUCT(MAX(ROW(E$1:E5200)*(E5201=E$1:E5200)))))</f>
        <v> </v>
      </c>
      <c r="L5201" s="27"/>
    </row>
    <row r="5202" spans="1:12">
      <c r="A5202" s="20" t="s">
        <v>2491</v>
      </c>
      <c r="E5202" s="22">
        <f>IF(D5202="?OLD","!!!","")</f>
        <v/>
      </c>
      <c r="F5202" s="23" t="str">
        <f>IF(OR(E5202="",E5202="!!!"),"",IF(NOT(ISNA(VLOOKUP(E5202,E$1:E5201,1,FALSE()))),"OLD",IF(AND(E5202&lt;&gt;"",E5202&lt;&gt;"!!!"),"NEW","")))</f>
        <v> </v>
      </c>
      <c r="G5202" s="24" t="str">
        <f>IF(OR(E5202="",E5202="!!!"),"",IF(OR(J5202=0,AND(J5202=1,K5202=1),AND(J5202=1,I5202="SBJ"),AND(J5202=1,I5202=0)),"?IN_FOCUS",IF(J5202&lt;=2,"?ACTIVATED",IF(J5202&lt;&gt;"","?FAMILIAR",IF(F5202="NEW",IF(ISNA(VLOOKUP(E5202,#REF!,1,FALSE())),"?TYPE_IDENTIFIABLE","?REFERENTIAL"),"_")))))</f>
        <v> </v>
      </c>
      <c r="H5202" s="25" t="str">
        <f>IF(J5202&lt;&gt;1,"",IF(I5202="SBJ","CB","?"))</f>
        <v> </v>
      </c>
      <c r="I5202" s="26" t="str">
        <f>IF(OR(E5202="",E5202="!!!",F5202="NEW"),"",INDEX(B5201:B$2,-1+SUMPRODUCT(MAX(ROW(E5201:E$2)*(E5202=E5201:E$2)))))</f>
        <v> </v>
      </c>
      <c r="J5202" s="26" t="str">
        <f>IF(OR(E5202="",E5202="!!!",F5202="NEW"),"",COUNTBLANK(OFFSET(A$1,,,SUMPRODUCT(MAX(ROW(E$2:E5202)*(E5202=E$2:E5202)))))-COUNTBLANK(OFFSET(A$1,,,SUMPRODUCT(MAX(ROW(E$1:E5201)*(E2=E$1:E5201))))))</f>
        <v> </v>
      </c>
      <c r="K5202" s="26" t="str">
        <f>IF(OR(E5202="",E5202="!!!",F5202="NEW"),"",INDEX(J$1:J5201,SUMPRODUCT(MAX(ROW(E$1:E5201)*(E5202=E$1:E5201)))))</f>
        <v> </v>
      </c>
      <c r="L5202" s="27"/>
    </row>
    <row r="5203" spans="1:12">
      <c r="A5203" s="20" t="s">
        <v>2492</v>
      </c>
      <c r="B5203" s="21" t="s">
        <v>1099</v>
      </c>
      <c r="C5203" s="21" t="s">
        <v>1149</v>
      </c>
      <c r="E5203" s="22">
        <f>IF(D5203="?OLD","!!!","")</f>
        <v/>
      </c>
      <c r="F5203" s="23" t="str">
        <f>IF(OR(E5203="",E5203="!!!"),"",IF(NOT(ISNA(VLOOKUP(E5203,E$1:E5202,1,FALSE()))),"OLD",IF(AND(E5203&lt;&gt;"",E5203&lt;&gt;"!!!"),"NEW","")))</f>
        <v> </v>
      </c>
      <c r="G5203" s="24" t="str">
        <f>IF(OR(E5203="",E5203="!!!"),"",IF(OR(J5203=0,AND(J5203=1,K5203=1),AND(J5203=1,I5203="SBJ"),AND(J5203=1,I5203=0)),"?IN_FOCUS",IF(J5203&lt;=2,"?ACTIVATED",IF(J5203&lt;&gt;"","?FAMILIAR",IF(F5203="NEW",IF(ISNA(VLOOKUP(E5203,#REF!,1,FALSE())),"?TYPE_IDENTIFIABLE","?REFERENTIAL"),"_")))))</f>
        <v> </v>
      </c>
      <c r="H5203" s="25" t="str">
        <f>IF(J5203&lt;&gt;1,"",IF(I5203="SBJ","CB","?"))</f>
        <v> </v>
      </c>
      <c r="I5203" s="26" t="str">
        <f>IF(OR(E5203="",E5203="!!!",F5203="NEW"),"",INDEX(B5202:B$2,-1+SUMPRODUCT(MAX(ROW(E5202:E$2)*(E5203=E5202:E$2)))))</f>
        <v> </v>
      </c>
      <c r="J5203" s="26" t="str">
        <f>IF(OR(E5203="",E5203="!!!",F5203="NEW"),"",COUNTBLANK(OFFSET(A$1,,,SUMPRODUCT(MAX(ROW(E$2:E5203)*(E5203=E$2:E5203)))))-COUNTBLANK(OFFSET(A$1,,,SUMPRODUCT(MAX(ROW(E$1:E5202)*(E2=E$1:E5202))))))</f>
        <v> </v>
      </c>
      <c r="K5203" s="26" t="str">
        <f>IF(OR(E5203="",E5203="!!!",F5203="NEW"),"",INDEX(J$1:J5202,SUMPRODUCT(MAX(ROW(E$1:E5202)*(E5203=E$1:E5202)))))</f>
        <v> </v>
      </c>
      <c r="L5203" s="27"/>
    </row>
    <row r="5204" spans="1:12">
      <c r="A5204" s="20" t="s">
        <v>1851</v>
      </c>
      <c r="E5204" s="22">
        <f>IF(D5204="?OLD","!!!","")</f>
        <v/>
      </c>
      <c r="F5204" s="23" t="str">
        <f>IF(OR(E5204="",E5204="!!!"),"",IF(NOT(ISNA(VLOOKUP(E5204,E$1:E5203,1,FALSE()))),"OLD",IF(AND(E5204&lt;&gt;"",E5204&lt;&gt;"!!!"),"NEW","")))</f>
        <v> </v>
      </c>
      <c r="G5204" s="24" t="str">
        <f>IF(OR(E5204="",E5204="!!!"),"",IF(OR(J5204=0,AND(J5204=1,K5204=1),AND(J5204=1,I5204="SBJ"),AND(J5204=1,I5204=0)),"?IN_FOCUS",IF(J5204&lt;=2,"?ACTIVATED",IF(J5204&lt;&gt;"","?FAMILIAR",IF(F5204="NEW",IF(ISNA(VLOOKUP(E5204,#REF!,1,FALSE())),"?TYPE_IDENTIFIABLE","?REFERENTIAL"),"_")))))</f>
        <v> </v>
      </c>
      <c r="H5204" s="25" t="str">
        <f>IF(J5204&lt;&gt;1,"",IF(I5204="SBJ","CB","?"))</f>
        <v> </v>
      </c>
      <c r="I5204" s="26" t="str">
        <f>IF(OR(E5204="",E5204="!!!",F5204="NEW"),"",INDEX(B5203:B$2,-1+SUMPRODUCT(MAX(ROW(E5203:E$2)*(E5204=E5203:E$2)))))</f>
        <v> </v>
      </c>
      <c r="J5204" s="26" t="str">
        <f>IF(OR(E5204="",E5204="!!!",F5204="NEW"),"",COUNTBLANK(OFFSET(A$1,,,SUMPRODUCT(MAX(ROW(E$2:E5204)*(E5204=E$2:E5204)))))-COUNTBLANK(OFFSET(A$1,,,SUMPRODUCT(MAX(ROW(E$1:E5203)*(E2=E$1:E5203))))))</f>
        <v> </v>
      </c>
      <c r="K5204" s="26" t="str">
        <f>IF(OR(E5204="",E5204="!!!",F5204="NEW"),"",INDEX(J$1:J5203,SUMPRODUCT(MAX(ROW(E$1:E5203)*(E5204=E$1:E5203)))))</f>
        <v> </v>
      </c>
      <c r="L5204" s="27"/>
    </row>
    <row r="5205" spans="1:12">
      <c r="A5205" s="20" t="s">
        <v>1516</v>
      </c>
      <c r="E5205" s="22">
        <f>IF(D5205="?OLD","!!!","")</f>
        <v/>
      </c>
      <c r="F5205" s="23" t="str">
        <f>IF(OR(E5205="",E5205="!!!"),"",IF(NOT(ISNA(VLOOKUP(E5205,E$1:E5204,1,FALSE()))),"OLD",IF(AND(E5205&lt;&gt;"",E5205&lt;&gt;"!!!"),"NEW","")))</f>
        <v> </v>
      </c>
      <c r="G5205" s="24" t="str">
        <f>IF(OR(E5205="",E5205="!!!"),"",IF(OR(J5205=0,AND(J5205=1,K5205=1),AND(J5205=1,I5205="SBJ"),AND(J5205=1,I5205=0)),"?IN_FOCUS",IF(J5205&lt;=2,"?ACTIVATED",IF(J5205&lt;&gt;"","?FAMILIAR",IF(F5205="NEW",IF(ISNA(VLOOKUP(E5205,#REF!,1,FALSE())),"?TYPE_IDENTIFIABLE","?REFERENTIAL"),"_")))))</f>
        <v> </v>
      </c>
      <c r="H5205" s="25" t="str">
        <f>IF(J5205&lt;&gt;1,"",IF(I5205="SBJ","CB","?"))</f>
        <v> </v>
      </c>
      <c r="I5205" s="26" t="str">
        <f>IF(OR(E5205="",E5205="!!!",F5205="NEW"),"",INDEX(B5204:B$2,-1+SUMPRODUCT(MAX(ROW(E5204:E$2)*(E5205=E5204:E$2)))))</f>
        <v> </v>
      </c>
      <c r="J5205" s="26" t="str">
        <f>IF(OR(E5205="",E5205="!!!",F5205="NEW"),"",COUNTBLANK(OFFSET(A$1,,,SUMPRODUCT(MAX(ROW(E$2:E5205)*(E5205=E$2:E5205)))))-COUNTBLANK(OFFSET(A$1,,,SUMPRODUCT(MAX(ROW(E$1:E5204)*(E2=E$1:E5204))))))</f>
        <v> </v>
      </c>
      <c r="K5205" s="26" t="str">
        <f>IF(OR(E5205="",E5205="!!!",F5205="NEW"),"",INDEX(J$1:J5204,SUMPRODUCT(MAX(ROW(E$1:E5204)*(E5205=E$1:E5204)))))</f>
        <v> </v>
      </c>
      <c r="L5205" s="27"/>
    </row>
    <row r="5206" spans="1:12">
      <c r="A5206" s="20" t="s">
        <v>1101</v>
      </c>
      <c r="E5206" s="22">
        <f>IF(D5206="?OLD","!!!","")</f>
        <v/>
      </c>
      <c r="F5206" s="23" t="str">
        <f>IF(OR(E5206="",E5206="!!!"),"",IF(NOT(ISNA(VLOOKUP(E5206,E$1:E5205,1,FALSE()))),"OLD",IF(AND(E5206&lt;&gt;"",E5206&lt;&gt;"!!!"),"NEW","")))</f>
        <v> </v>
      </c>
      <c r="G5206" s="24" t="str">
        <f>IF(OR(E5206="",E5206="!!!"),"",IF(OR(J5206=0,AND(J5206=1,K5206=1),AND(J5206=1,I5206="SBJ"),AND(J5206=1,I5206=0)),"?IN_FOCUS",IF(J5206&lt;=2,"?ACTIVATED",IF(J5206&lt;&gt;"","?FAMILIAR",IF(F5206="NEW",IF(ISNA(VLOOKUP(E5206,#REF!,1,FALSE())),"?TYPE_IDENTIFIABLE","?REFERENTIAL"),"_")))))</f>
        <v> </v>
      </c>
      <c r="H5206" s="25" t="str">
        <f>IF(J5206&lt;&gt;1,"",IF(I5206="SBJ","CB","?"))</f>
        <v> </v>
      </c>
      <c r="I5206" s="26" t="str">
        <f>IF(OR(E5206="",E5206="!!!",F5206="NEW"),"",INDEX(B5205:B$2,-1+SUMPRODUCT(MAX(ROW(E5205:E$2)*(E5206=E5205:E$2)))))</f>
        <v> </v>
      </c>
      <c r="J5206" s="26" t="str">
        <f>IF(OR(E5206="",E5206="!!!",F5206="NEW"),"",COUNTBLANK(OFFSET(A$1,,,SUMPRODUCT(MAX(ROW(E$2:E5206)*(E5206=E$2:E5206)))))-COUNTBLANK(OFFSET(A$1,,,SUMPRODUCT(MAX(ROW(E$1:E5205)*(E2=E$1:E5205))))))</f>
        <v> </v>
      </c>
      <c r="K5206" s="26" t="str">
        <f>IF(OR(E5206="",E5206="!!!",F5206="NEW"),"",INDEX(J$1:J5205,SUMPRODUCT(MAX(ROW(E$1:E5205)*(E5206=E$1:E5205)))))</f>
        <v> </v>
      </c>
      <c r="L5206" s="27"/>
    </row>
    <row r="5207" spans="1:12">
      <c r="A5207" s="20" t="s">
        <v>1996</v>
      </c>
      <c r="B5207" s="21" t="s">
        <v>1079</v>
      </c>
      <c r="C5207" s="21" t="s">
        <v>1140</v>
      </c>
      <c r="D5207" s="21" t="s">
        <v>1060</v>
      </c>
      <c r="E5207" s="22">
        <f>IF(D5207="?OLD","!!!","")</f>
        <v/>
      </c>
      <c r="F5207" s="23" t="str">
        <f>IF(OR(E5207="",E5207="!!!"),"",IF(NOT(ISNA(VLOOKUP(E5207,E$1:E5206,1,FALSE()))),"OLD",IF(AND(E5207&lt;&gt;"",E5207&lt;&gt;"!!!"),"NEW","")))</f>
        <v> </v>
      </c>
      <c r="G5207" s="24" t="str">
        <f>IF(OR(E5207="",E5207="!!!"),"",IF(OR(J5207=0,AND(J5207=1,K5207=1),AND(J5207=1,I5207="SBJ"),AND(J5207=1,I5207=0)),"?IN_FOCUS",IF(J5207&lt;=2,"?ACTIVATED",IF(J5207&lt;&gt;"","?FAMILIAR",IF(F5207="NEW",IF(ISNA(VLOOKUP(E5207,#REF!,1,FALSE())),"?TYPE_IDENTIFIABLE","?REFERENTIAL"),"_")))))</f>
        <v> </v>
      </c>
      <c r="H5207" s="25" t="str">
        <f>IF(J5207&lt;&gt;1,"",IF(I5207="SBJ","CB","?"))</f>
        <v> </v>
      </c>
      <c r="I5207" s="26" t="str">
        <f>IF(OR(E5207="",E5207="!!!",F5207="NEW"),"",INDEX(B5206:B$2,-1+SUMPRODUCT(MAX(ROW(E5206:E$2)*(E5207=E5206:E$2)))))</f>
        <v> </v>
      </c>
      <c r="J5207" s="26" t="str">
        <f>IF(OR(E5207="",E5207="!!!",F5207="NEW"),"",COUNTBLANK(OFFSET(A$1,,,SUMPRODUCT(MAX(ROW(E$2:E5207)*(E5207=E$2:E5207)))))-COUNTBLANK(OFFSET(A$1,,,SUMPRODUCT(MAX(ROW(E$1:E5206)*(E2=E$1:E5206))))))</f>
        <v> </v>
      </c>
      <c r="K5207" s="26" t="str">
        <f>IF(OR(E5207="",E5207="!!!",F5207="NEW"),"",INDEX(J$1:J5206,SUMPRODUCT(MAX(ROW(E$1:E5206)*(E5207=E$1:E5206)))))</f>
        <v> </v>
      </c>
      <c r="L5207" s="27"/>
    </row>
    <row r="5208" spans="1:12">
      <c r="A5208" s="20" t="s">
        <v>1152</v>
      </c>
      <c r="E5208" s="22">
        <f>IF(D5208="?OLD","!!!","")</f>
        <v/>
      </c>
      <c r="F5208" s="23" t="str">
        <f>IF(OR(E5208="",E5208="!!!"),"",IF(NOT(ISNA(VLOOKUP(E5208,E$1:E5207,1,FALSE()))),"OLD",IF(AND(E5208&lt;&gt;"",E5208&lt;&gt;"!!!"),"NEW","")))</f>
        <v> </v>
      </c>
      <c r="G5208" s="24" t="str">
        <f>IF(OR(E5208="",E5208="!!!"),"",IF(OR(J5208=0,AND(J5208=1,K5208=1),AND(J5208=1,I5208="SBJ"),AND(J5208=1,I5208=0)),"?IN_FOCUS",IF(J5208&lt;=2,"?ACTIVATED",IF(J5208&lt;&gt;"","?FAMILIAR",IF(F5208="NEW",IF(ISNA(VLOOKUP(E5208,#REF!,1,FALSE())),"?TYPE_IDENTIFIABLE","?REFERENTIAL"),"_")))))</f>
        <v> </v>
      </c>
      <c r="H5208" s="25" t="str">
        <f>IF(J5208&lt;&gt;1,"",IF(I5208="SBJ","CB","?"))</f>
        <v> </v>
      </c>
      <c r="I5208" s="26" t="str">
        <f>IF(OR(E5208="",E5208="!!!",F5208="NEW"),"",INDEX(B5207:B$2,-1+SUMPRODUCT(MAX(ROW(E5207:E$2)*(E5208=E5207:E$2)))))</f>
        <v> </v>
      </c>
      <c r="J5208" s="26" t="str">
        <f>IF(OR(E5208="",E5208="!!!",F5208="NEW"),"",COUNTBLANK(OFFSET(A$1,,,SUMPRODUCT(MAX(ROW(E$2:E5208)*(E5208=E$2:E5208)))))-COUNTBLANK(OFFSET(A$1,,,SUMPRODUCT(MAX(ROW(E$1:E5207)*(E2=E$1:E5207))))))</f>
        <v> </v>
      </c>
      <c r="K5208" s="26" t="str">
        <f>IF(OR(E5208="",E5208="!!!",F5208="NEW"),"",INDEX(J$1:J5207,SUMPRODUCT(MAX(ROW(E$1:E5207)*(E5208=E$1:E5207)))))</f>
        <v> </v>
      </c>
      <c r="L5208" s="27"/>
    </row>
    <row r="5209" spans="1:12">
      <c r="A5209" s="20" t="s">
        <v>1379</v>
      </c>
      <c r="E5209" s="22">
        <f>IF(D5209="?OLD","!!!","")</f>
        <v/>
      </c>
      <c r="F5209" s="23" t="str">
        <f>IF(OR(E5209="",E5209="!!!"),"",IF(NOT(ISNA(VLOOKUP(E5209,E$1:E5208,1,FALSE()))),"OLD",IF(AND(E5209&lt;&gt;"",E5209&lt;&gt;"!!!"),"NEW","")))</f>
        <v> </v>
      </c>
      <c r="G5209" s="24" t="str">
        <f>IF(OR(E5209="",E5209="!!!"),"",IF(OR(J5209=0,AND(J5209=1,K5209=1),AND(J5209=1,I5209="SBJ"),AND(J5209=1,I5209=0)),"?IN_FOCUS",IF(J5209&lt;=2,"?ACTIVATED",IF(J5209&lt;&gt;"","?FAMILIAR",IF(F5209="NEW",IF(ISNA(VLOOKUP(E5209,#REF!,1,FALSE())),"?TYPE_IDENTIFIABLE","?REFERENTIAL"),"_")))))</f>
        <v> </v>
      </c>
      <c r="H5209" s="25" t="str">
        <f>IF(J5209&lt;&gt;1,"",IF(I5209="SBJ","CB","?"))</f>
        <v> </v>
      </c>
      <c r="I5209" s="26" t="str">
        <f>IF(OR(E5209="",E5209="!!!",F5209="NEW"),"",INDEX(B5208:B$2,-1+SUMPRODUCT(MAX(ROW(E5208:E$2)*(E5209=E5208:E$2)))))</f>
        <v> </v>
      </c>
      <c r="J5209" s="26" t="str">
        <f>IF(OR(E5209="",E5209="!!!",F5209="NEW"),"",COUNTBLANK(OFFSET(A$1,,,SUMPRODUCT(MAX(ROW(E$2:E5209)*(E5209=E$2:E5209)))))-COUNTBLANK(OFFSET(A$1,,,SUMPRODUCT(MAX(ROW(E$1:E5208)*(E2=E$1:E5208))))))</f>
        <v> </v>
      </c>
      <c r="K5209" s="26" t="str">
        <f>IF(OR(E5209="",E5209="!!!",F5209="NEW"),"",INDEX(J$1:J5208,SUMPRODUCT(MAX(ROW(E$1:E5208)*(E5209=E$1:E5208)))))</f>
        <v> </v>
      </c>
      <c r="L5209" s="27"/>
    </row>
    <row r="5210" spans="1:12">
      <c r="A5210" s="20" t="s">
        <v>2493</v>
      </c>
      <c r="E5210" s="22">
        <f>IF(D5210="?OLD","!!!","")</f>
        <v/>
      </c>
      <c r="F5210" s="23" t="str">
        <f>IF(OR(E5210="",E5210="!!!"),"",IF(NOT(ISNA(VLOOKUP(E5210,E$1:E5209,1,FALSE()))),"OLD",IF(AND(E5210&lt;&gt;"",E5210&lt;&gt;"!!!"),"NEW","")))</f>
        <v> </v>
      </c>
      <c r="G5210" s="24" t="str">
        <f>IF(OR(E5210="",E5210="!!!"),"",IF(OR(J5210=0,AND(J5210=1,K5210=1),AND(J5210=1,I5210="SBJ"),AND(J5210=1,I5210=0)),"?IN_FOCUS",IF(J5210&lt;=2,"?ACTIVATED",IF(J5210&lt;&gt;"","?FAMILIAR",IF(F5210="NEW",IF(ISNA(VLOOKUP(E5210,#REF!,1,FALSE())),"?TYPE_IDENTIFIABLE","?REFERENTIAL"),"_")))))</f>
        <v> </v>
      </c>
      <c r="H5210" s="25" t="str">
        <f>IF(J5210&lt;&gt;1,"",IF(I5210="SBJ","CB","?"))</f>
        <v> </v>
      </c>
      <c r="I5210" s="26" t="str">
        <f>IF(OR(E5210="",E5210="!!!",F5210="NEW"),"",INDEX(B5209:B$2,-1+SUMPRODUCT(MAX(ROW(E5209:E$2)*(E5210=E5209:E$2)))))</f>
        <v> </v>
      </c>
      <c r="J5210" s="26" t="str">
        <f>IF(OR(E5210="",E5210="!!!",F5210="NEW"),"",COUNTBLANK(OFFSET(A$1,,,SUMPRODUCT(MAX(ROW(E$2:E5210)*(E5210=E$2:E5210)))))-COUNTBLANK(OFFSET(A$1,,,SUMPRODUCT(MAX(ROW(E$1:E5209)*(E2=E$1:E5209))))))</f>
        <v> </v>
      </c>
      <c r="K5210" s="26" t="str">
        <f>IF(OR(E5210="",E5210="!!!",F5210="NEW"),"",INDEX(J$1:J5209,SUMPRODUCT(MAX(ROW(E$1:E5209)*(E5210=E$1:E5209)))))</f>
        <v> </v>
      </c>
      <c r="L5210" s="27"/>
    </row>
    <row r="5211" spans="1:12">
      <c r="A5211" s="20" t="s">
        <v>923</v>
      </c>
      <c r="E5211" s="22">
        <f>IF(D5211="?OLD","!!!","")</f>
        <v/>
      </c>
      <c r="F5211" s="23" t="str">
        <f>IF(OR(E5211="",E5211="!!!"),"",IF(NOT(ISNA(VLOOKUP(E5211,E$1:E5210,1,FALSE()))),"OLD",IF(AND(E5211&lt;&gt;"",E5211&lt;&gt;"!!!"),"NEW","")))</f>
        <v> </v>
      </c>
      <c r="G5211" s="24" t="str">
        <f>IF(OR(E5211="",E5211="!!!"),"",IF(OR(J5211=0,AND(J5211=1,K5211=1),AND(J5211=1,I5211="SBJ"),AND(J5211=1,I5211=0)),"?IN_FOCUS",IF(J5211&lt;=2,"?ACTIVATED",IF(J5211&lt;&gt;"","?FAMILIAR",IF(F5211="NEW",IF(ISNA(VLOOKUP(E5211,#REF!,1,FALSE())),"?TYPE_IDENTIFIABLE","?REFERENTIAL"),"_")))))</f>
        <v> </v>
      </c>
      <c r="H5211" s="25" t="str">
        <f>IF(J5211&lt;&gt;1,"",IF(I5211="SBJ","CB","?"))</f>
        <v> </v>
      </c>
      <c r="I5211" s="26" t="str">
        <f>IF(OR(E5211="",E5211="!!!",F5211="NEW"),"",INDEX(B5210:B$2,-1+SUMPRODUCT(MAX(ROW(E5210:E$2)*(E5211=E5210:E$2)))))</f>
        <v> </v>
      </c>
      <c r="J5211" s="26" t="str">
        <f>IF(OR(E5211="",E5211="!!!",F5211="NEW"),"",COUNTBLANK(OFFSET(A$1,,,SUMPRODUCT(MAX(ROW(E$2:E5211)*(E5211=E$2:E5211)))))-COUNTBLANK(OFFSET(A$1,,,SUMPRODUCT(MAX(ROW(E$1:E5210)*(E2=E$1:E5210))))))</f>
        <v> </v>
      </c>
      <c r="K5211" s="26" t="str">
        <f>IF(OR(E5211="",E5211="!!!",F5211="NEW"),"",INDEX(J$1:J5210,SUMPRODUCT(MAX(ROW(E$1:E5210)*(E5211=E$1:E5210)))))</f>
        <v> </v>
      </c>
      <c r="L5211" s="27"/>
    </row>
    <row r="5212" spans="1:12">
      <c r="A5212" s="20"/>
    </row>
    <row r="5213" spans="1:12">
      <c r="A5213" s="20" t="s">
        <v>2494</v>
      </c>
    </row>
    <row r="5214" spans="1:12">
      <c r="A5214" s="20" t="s">
        <v>1317</v>
      </c>
      <c r="E5214" s="22">
        <f>IF(D5214="?OLD","!!!","")</f>
        <v/>
      </c>
      <c r="F5214" s="23" t="str">
        <f>IF(OR(E5214="",E5214="!!!"),"",IF(NOT(ISNA(VLOOKUP(E5214,E$1:E5213,1,FALSE()))),"OLD",IF(AND(E5214&lt;&gt;"",E5214&lt;&gt;"!!!"),"NEW","")))</f>
        <v> </v>
      </c>
      <c r="G5214" s="24" t="str">
        <f>IF(OR(E5214="",E5214="!!!"),"",IF(OR(J5214=0,AND(J5214=1,K5214=1),AND(J5214=1,I5214="SBJ"),AND(J5214=1,I5214=0)),"?IN_FOCUS",IF(J5214&lt;=2,"?ACTIVATED",IF(J5214&lt;&gt;"","?FAMILIAR",IF(F5214="NEW",IF(ISNA(VLOOKUP(E5214,#REF!,1,FALSE())),"?TYPE_IDENTIFIABLE","?REFERENTIAL"),"_")))))</f>
        <v> </v>
      </c>
      <c r="H5214" s="25" t="str">
        <f>IF(J5214&lt;&gt;1,"",IF(I5214="SBJ","CB","?"))</f>
        <v> </v>
      </c>
      <c r="I5214" s="26" t="str">
        <f>IF(OR(E5214="",E5214="!!!",F5214="NEW"),"",INDEX(B5213:B$2,-1+SUMPRODUCT(MAX(ROW(E5213:E$2)*(E5214=E5213:E$2)))))</f>
        <v> </v>
      </c>
      <c r="J5214" s="26" t="str">
        <f>IF(OR(E5214="",E5214="!!!",F5214="NEW"),"",COUNTBLANK(OFFSET(A$1,,,SUMPRODUCT(MAX(ROW(E$2:E5214)*(E5214=E$2:E5214)))))-COUNTBLANK(OFFSET(A$1,,,SUMPRODUCT(MAX(ROW(E$1:E5213)*(E2=E$1:E5213))))))</f>
        <v> </v>
      </c>
      <c r="K5214" s="26" t="str">
        <f>IF(OR(E5214="",E5214="!!!",F5214="NEW"),"",INDEX(J$1:J5213,SUMPRODUCT(MAX(ROW(E$1:E5213)*(E5214=E$1:E5213)))))</f>
        <v> </v>
      </c>
      <c r="L5214" s="27"/>
    </row>
    <row r="5215" spans="1:12">
      <c r="A5215" s="20" t="s">
        <v>1001</v>
      </c>
      <c r="B5215" s="21" t="s">
        <v>1097</v>
      </c>
      <c r="C5215" s="21" t="s">
        <v>1080</v>
      </c>
      <c r="E5215" s="22">
        <f>IF(D5215="?OLD","!!!","")</f>
        <v/>
      </c>
      <c r="F5215" s="23" t="str">
        <f>IF(OR(E5215="",E5215="!!!"),"",IF(NOT(ISNA(VLOOKUP(E5215,E$1:E5214,1,FALSE()))),"OLD",IF(AND(E5215&lt;&gt;"",E5215&lt;&gt;"!!!"),"NEW","")))</f>
        <v> </v>
      </c>
      <c r="G5215" s="24" t="str">
        <f>IF(OR(E5215="",E5215="!!!"),"",IF(OR(J5215=0,AND(J5215=1,K5215=1),AND(J5215=1,I5215="SBJ"),AND(J5215=1,I5215=0)),"?IN_FOCUS",IF(J5215&lt;=2,"?ACTIVATED",IF(J5215&lt;&gt;"","?FAMILIAR",IF(F5215="NEW",IF(ISNA(VLOOKUP(E5215,#REF!,1,FALSE())),"?TYPE_IDENTIFIABLE","?REFERENTIAL"),"_")))))</f>
        <v> </v>
      </c>
      <c r="H5215" s="25" t="str">
        <f>IF(J5215&lt;&gt;1,"",IF(I5215="SBJ","CB","?"))</f>
        <v> </v>
      </c>
      <c r="I5215" s="26" t="str">
        <f>IF(OR(E5215="",E5215="!!!",F5215="NEW"),"",INDEX(B5214:B$2,-1+SUMPRODUCT(MAX(ROW(E5214:E$2)*(E5215=E5214:E$2)))))</f>
        <v> </v>
      </c>
      <c r="J5215" s="26" t="str">
        <f>IF(OR(E5215="",E5215="!!!",F5215="NEW"),"",COUNTBLANK(OFFSET(A$1,,,SUMPRODUCT(MAX(ROW(E$2:E5215)*(E5215=E$2:E5215)))))-COUNTBLANK(OFFSET(A$1,,,SUMPRODUCT(MAX(ROW(E$1:E5214)*(E2=E$1:E5214))))))</f>
        <v> </v>
      </c>
      <c r="K5215" s="26" t="str">
        <f>IF(OR(E5215="",E5215="!!!",F5215="NEW"),"",INDEX(J$1:J5214,SUMPRODUCT(MAX(ROW(E$1:E5214)*(E5215=E$1:E5214)))))</f>
        <v> </v>
      </c>
      <c r="L5215" s="27"/>
    </row>
    <row r="5216" spans="1:12">
      <c r="A5216" s="20" t="s">
        <v>1194</v>
      </c>
      <c r="E5216" s="22">
        <f>IF(D5216="?OLD","!!!","")</f>
        <v/>
      </c>
      <c r="F5216" s="23" t="str">
        <f>IF(OR(E5216="",E5216="!!!"),"",IF(NOT(ISNA(VLOOKUP(E5216,E$1:E5215,1,FALSE()))),"OLD",IF(AND(E5216&lt;&gt;"",E5216&lt;&gt;"!!!"),"NEW","")))</f>
        <v> </v>
      </c>
      <c r="G5216" s="24" t="str">
        <f>IF(OR(E5216="",E5216="!!!"),"",IF(OR(J5216=0,AND(J5216=1,K5216=1),AND(J5216=1,I5216="SBJ"),AND(J5216=1,I5216=0)),"?IN_FOCUS",IF(J5216&lt;=2,"?ACTIVATED",IF(J5216&lt;&gt;"","?FAMILIAR",IF(F5216="NEW",IF(ISNA(VLOOKUP(E5216,#REF!,1,FALSE())),"?TYPE_IDENTIFIABLE","?REFERENTIAL"),"_")))))</f>
        <v> </v>
      </c>
      <c r="H5216" s="25" t="str">
        <f>IF(J5216&lt;&gt;1,"",IF(I5216="SBJ","CB","?"))</f>
        <v> </v>
      </c>
      <c r="I5216" s="26" t="str">
        <f>IF(OR(E5216="",E5216="!!!",F5216="NEW"),"",INDEX(B5215:B$2,-1+SUMPRODUCT(MAX(ROW(E5215:E$2)*(E5216=E5215:E$2)))))</f>
        <v> </v>
      </c>
      <c r="J5216" s="26" t="str">
        <f>IF(OR(E5216="",E5216="!!!",F5216="NEW"),"",COUNTBLANK(OFFSET(A$1,,,SUMPRODUCT(MAX(ROW(E$2:E5216)*(E5216=E$2:E5216)))))-COUNTBLANK(OFFSET(A$1,,,SUMPRODUCT(MAX(ROW(E$1:E5215)*(E2=E$1:E5215))))))</f>
        <v> </v>
      </c>
      <c r="K5216" s="26" t="str">
        <f>IF(OR(E5216="",E5216="!!!",F5216="NEW"),"",INDEX(J$1:J5215,SUMPRODUCT(MAX(ROW(E$1:E5215)*(E5216=E$1:E5215)))))</f>
        <v> </v>
      </c>
      <c r="L5216" s="27"/>
    </row>
    <row r="5217" spans="1:12">
      <c r="A5217" s="20" t="s">
        <v>1077</v>
      </c>
      <c r="E5217" s="22">
        <f>IF(D5217="?OLD","!!!","")</f>
        <v/>
      </c>
      <c r="F5217" s="23" t="str">
        <f>IF(OR(E5217="",E5217="!!!"),"",IF(NOT(ISNA(VLOOKUP(E5217,E$1:E5216,1,FALSE()))),"OLD",IF(AND(E5217&lt;&gt;"",E5217&lt;&gt;"!!!"),"NEW","")))</f>
        <v> </v>
      </c>
      <c r="G5217" s="24" t="str">
        <f>IF(OR(E5217="",E5217="!!!"),"",IF(OR(J5217=0,AND(J5217=1,K5217=1),AND(J5217=1,I5217="SBJ"),AND(J5217=1,I5217=0)),"?IN_FOCUS",IF(J5217&lt;=2,"?ACTIVATED",IF(J5217&lt;&gt;"","?FAMILIAR",IF(F5217="NEW",IF(ISNA(VLOOKUP(E5217,#REF!,1,FALSE())),"?TYPE_IDENTIFIABLE","?REFERENTIAL"),"_")))))</f>
        <v> </v>
      </c>
      <c r="H5217" s="25" t="str">
        <f>IF(J5217&lt;&gt;1,"",IF(I5217="SBJ","CB","?"))</f>
        <v> </v>
      </c>
      <c r="I5217" s="26" t="str">
        <f>IF(OR(E5217="",E5217="!!!",F5217="NEW"),"",INDEX(B5216:B$2,-1+SUMPRODUCT(MAX(ROW(E5216:E$2)*(E5217=E5216:E$2)))))</f>
        <v> </v>
      </c>
      <c r="J5217" s="26" t="str">
        <f>IF(OR(E5217="",E5217="!!!",F5217="NEW"),"",COUNTBLANK(OFFSET(A$1,,,SUMPRODUCT(MAX(ROW(E$2:E5217)*(E5217=E$2:E5217)))))-COUNTBLANK(OFFSET(A$1,,,SUMPRODUCT(MAX(ROW(E$1:E5216)*(E2=E$1:E5216))))))</f>
        <v> </v>
      </c>
      <c r="K5217" s="26" t="str">
        <f>IF(OR(E5217="",E5217="!!!",F5217="NEW"),"",INDEX(J$1:J5216,SUMPRODUCT(MAX(ROW(E$1:E5216)*(E5217=E$1:E5216)))))</f>
        <v> </v>
      </c>
      <c r="L5217" s="27"/>
    </row>
    <row r="5218" spans="1:12">
      <c r="A5218" s="20" t="s">
        <v>2495</v>
      </c>
      <c r="B5218" s="21" t="s">
        <v>1097</v>
      </c>
      <c r="C5218" s="21" t="s">
        <v>1080</v>
      </c>
      <c r="E5218" s="22">
        <f>IF(D5218="?OLD","!!!","")</f>
        <v/>
      </c>
      <c r="F5218" s="23" t="str">
        <f>IF(OR(E5218="",E5218="!!!"),"",IF(NOT(ISNA(VLOOKUP(E5218,E$1:E5217,1,FALSE()))),"OLD",IF(AND(E5218&lt;&gt;"",E5218&lt;&gt;"!!!"),"NEW","")))</f>
        <v> </v>
      </c>
      <c r="G5218" s="24" t="str">
        <f>IF(OR(E5218="",E5218="!!!"),"",IF(OR(J5218=0,AND(J5218=1,K5218=1),AND(J5218=1,I5218="SBJ"),AND(J5218=1,I5218=0)),"?IN_FOCUS",IF(J5218&lt;=2,"?ACTIVATED",IF(J5218&lt;&gt;"","?FAMILIAR",IF(F5218="NEW",IF(ISNA(VLOOKUP(E5218,#REF!,1,FALSE())),"?TYPE_IDENTIFIABLE","?REFERENTIAL"),"_")))))</f>
        <v> </v>
      </c>
      <c r="H5218" s="25" t="str">
        <f>IF(J5218&lt;&gt;1,"",IF(I5218="SBJ","CB","?"))</f>
        <v> </v>
      </c>
      <c r="I5218" s="26" t="str">
        <f>IF(OR(E5218="",E5218="!!!",F5218="NEW"),"",INDEX(B5217:B$2,-1+SUMPRODUCT(MAX(ROW(E5217:E$2)*(E5218=E5217:E$2)))))</f>
        <v> </v>
      </c>
      <c r="J5218" s="26" t="str">
        <f>IF(OR(E5218="",E5218="!!!",F5218="NEW"),"",COUNTBLANK(OFFSET(A$1,,,SUMPRODUCT(MAX(ROW(E$2:E5218)*(E5218=E$2:E5218)))))-COUNTBLANK(OFFSET(A$1,,,SUMPRODUCT(MAX(ROW(E$1:E5217)*(E2=E$1:E5217))))))</f>
        <v> </v>
      </c>
      <c r="K5218" s="26" t="str">
        <f>IF(OR(E5218="",E5218="!!!",F5218="NEW"),"",INDEX(J$1:J5217,SUMPRODUCT(MAX(ROW(E$1:E5217)*(E5218=E$1:E5217)))))</f>
        <v> </v>
      </c>
      <c r="L5218" s="27"/>
    </row>
    <row r="5219" spans="1:12">
      <c r="A5219" s="20" t="s">
        <v>1061</v>
      </c>
      <c r="E5219" s="22">
        <f>IF(D5219="?OLD","!!!","")</f>
        <v/>
      </c>
      <c r="F5219" s="23" t="str">
        <f>IF(OR(E5219="",E5219="!!!"),"",IF(NOT(ISNA(VLOOKUP(E5219,E$1:E5218,1,FALSE()))),"OLD",IF(AND(E5219&lt;&gt;"",E5219&lt;&gt;"!!!"),"NEW","")))</f>
        <v> </v>
      </c>
      <c r="G5219" s="24" t="str">
        <f>IF(OR(E5219="",E5219="!!!"),"",IF(OR(J5219=0,AND(J5219=1,K5219=1),AND(J5219=1,I5219="SBJ"),AND(J5219=1,I5219=0)),"?IN_FOCUS",IF(J5219&lt;=2,"?ACTIVATED",IF(J5219&lt;&gt;"","?FAMILIAR",IF(F5219="NEW",IF(ISNA(VLOOKUP(E5219,#REF!,1,FALSE())),"?TYPE_IDENTIFIABLE","?REFERENTIAL"),"_")))))</f>
        <v> </v>
      </c>
      <c r="H5219" s="25" t="str">
        <f>IF(J5219&lt;&gt;1,"",IF(I5219="SBJ","CB","?"))</f>
        <v> </v>
      </c>
      <c r="I5219" s="26" t="str">
        <f>IF(OR(E5219="",E5219="!!!",F5219="NEW"),"",INDEX(B5218:B$2,-1+SUMPRODUCT(MAX(ROW(E5218:E$2)*(E5219=E5218:E$2)))))</f>
        <v> </v>
      </c>
      <c r="J5219" s="26" t="str">
        <f>IF(OR(E5219="",E5219="!!!",F5219="NEW"),"",COUNTBLANK(OFFSET(A$1,,,SUMPRODUCT(MAX(ROW(E$2:E5219)*(E5219=E$2:E5219)))))-COUNTBLANK(OFFSET(A$1,,,SUMPRODUCT(MAX(ROW(E$1:E5218)*(E2=E$1:E5218))))))</f>
        <v> </v>
      </c>
      <c r="K5219" s="26" t="str">
        <f>IF(OR(E5219="",E5219="!!!",F5219="NEW"),"",INDEX(J$1:J5218,SUMPRODUCT(MAX(ROW(E$1:E5218)*(E5219=E$1:E5218)))))</f>
        <v> </v>
      </c>
      <c r="L5219" s="27"/>
    </row>
    <row r="5220" spans="1:12">
      <c r="A5220" s="20" t="s">
        <v>2496</v>
      </c>
      <c r="E5220" s="22">
        <f>IF(D5220="?OLD","!!!","")</f>
        <v/>
      </c>
      <c r="F5220" s="23" t="str">
        <f>IF(OR(E5220="",E5220="!!!"),"",IF(NOT(ISNA(VLOOKUP(E5220,E$1:E5219,1,FALSE()))),"OLD",IF(AND(E5220&lt;&gt;"",E5220&lt;&gt;"!!!"),"NEW","")))</f>
        <v> </v>
      </c>
      <c r="G5220" s="24" t="str">
        <f>IF(OR(E5220="",E5220="!!!"),"",IF(OR(J5220=0,AND(J5220=1,K5220=1),AND(J5220=1,I5220="SBJ"),AND(J5220=1,I5220=0)),"?IN_FOCUS",IF(J5220&lt;=2,"?ACTIVATED",IF(J5220&lt;&gt;"","?FAMILIAR",IF(F5220="NEW",IF(ISNA(VLOOKUP(E5220,#REF!,1,FALSE())),"?TYPE_IDENTIFIABLE","?REFERENTIAL"),"_")))))</f>
        <v> </v>
      </c>
      <c r="H5220" s="25" t="str">
        <f>IF(J5220&lt;&gt;1,"",IF(I5220="SBJ","CB","?"))</f>
        <v> </v>
      </c>
      <c r="I5220" s="26" t="str">
        <f>IF(OR(E5220="",E5220="!!!",F5220="NEW"),"",INDEX(B5219:B$2,-1+SUMPRODUCT(MAX(ROW(E5219:E$2)*(E5220=E5219:E$2)))))</f>
        <v> </v>
      </c>
      <c r="J5220" s="26" t="str">
        <f>IF(OR(E5220="",E5220="!!!",F5220="NEW"),"",COUNTBLANK(OFFSET(A$1,,,SUMPRODUCT(MAX(ROW(E$2:E5220)*(E5220=E$2:E5220)))))-COUNTBLANK(OFFSET(A$1,,,SUMPRODUCT(MAX(ROW(E$1:E5219)*(E2=E$1:E5219))))))</f>
        <v> </v>
      </c>
      <c r="K5220" s="26" t="str">
        <f>IF(OR(E5220="",E5220="!!!",F5220="NEW"),"",INDEX(J$1:J5219,SUMPRODUCT(MAX(ROW(E$1:E5219)*(E5220=E$1:E5219)))))</f>
        <v> </v>
      </c>
      <c r="L5220" s="27"/>
    </row>
    <row r="5221" spans="1:12">
      <c r="A5221" s="20" t="s">
        <v>2497</v>
      </c>
      <c r="B5221" s="21" t="s">
        <v>1068</v>
      </c>
      <c r="C5221" s="21" t="s">
        <v>1149</v>
      </c>
      <c r="E5221" s="22">
        <f>IF(D5221="?OLD","!!!","")</f>
        <v/>
      </c>
      <c r="F5221" s="23" t="str">
        <f>IF(OR(E5221="",E5221="!!!"),"",IF(NOT(ISNA(VLOOKUP(E5221,E$1:E5220,1,FALSE()))),"OLD",IF(AND(E5221&lt;&gt;"",E5221&lt;&gt;"!!!"),"NEW","")))</f>
        <v> </v>
      </c>
      <c r="G5221" s="24" t="str">
        <f>IF(OR(E5221="",E5221="!!!"),"",IF(OR(J5221=0,AND(J5221=1,K5221=1),AND(J5221=1,I5221="SBJ"),AND(J5221=1,I5221=0)),"?IN_FOCUS",IF(J5221&lt;=2,"?ACTIVATED",IF(J5221&lt;&gt;"","?FAMILIAR",IF(F5221="NEW",IF(ISNA(VLOOKUP(E5221,#REF!,1,FALSE())),"?TYPE_IDENTIFIABLE","?REFERENTIAL"),"_")))))</f>
        <v> </v>
      </c>
      <c r="H5221" s="25" t="str">
        <f>IF(J5221&lt;&gt;1,"",IF(I5221="SBJ","CB","?"))</f>
        <v> </v>
      </c>
      <c r="I5221" s="26" t="str">
        <f>IF(OR(E5221="",E5221="!!!",F5221="NEW"),"",INDEX(B5220:B$2,-1+SUMPRODUCT(MAX(ROW(E5220:E$2)*(E5221=E5220:E$2)))))</f>
        <v> </v>
      </c>
      <c r="J5221" s="26" t="str">
        <f>IF(OR(E5221="",E5221="!!!",F5221="NEW"),"",COUNTBLANK(OFFSET(A$1,,,SUMPRODUCT(MAX(ROW(E$2:E5221)*(E5221=E$2:E5221)))))-COUNTBLANK(OFFSET(A$1,,,SUMPRODUCT(MAX(ROW(E$1:E5220)*(E2=E$1:E5220))))))</f>
        <v> </v>
      </c>
      <c r="K5221" s="26" t="str">
        <f>IF(OR(E5221="",E5221="!!!",F5221="NEW"),"",INDEX(J$1:J5220,SUMPRODUCT(MAX(ROW(E$1:E5220)*(E5221=E$1:E5220)))))</f>
        <v> </v>
      </c>
      <c r="L5221" s="27"/>
    </row>
    <row r="5222" spans="1:12">
      <c r="A5222" s="20" t="s">
        <v>2498</v>
      </c>
      <c r="E5222" s="22">
        <f>IF(D5222="?OLD","!!!","")</f>
        <v/>
      </c>
      <c r="F5222" s="23" t="str">
        <f>IF(OR(E5222="",E5222="!!!"),"",IF(NOT(ISNA(VLOOKUP(E5222,E$1:E5221,1,FALSE()))),"OLD",IF(AND(E5222&lt;&gt;"",E5222&lt;&gt;"!!!"),"NEW","")))</f>
        <v> </v>
      </c>
      <c r="G5222" s="24" t="str">
        <f>IF(OR(E5222="",E5222="!!!"),"",IF(OR(J5222=0,AND(J5222=1,K5222=1),AND(J5222=1,I5222="SBJ"),AND(J5222=1,I5222=0)),"?IN_FOCUS",IF(J5222&lt;=2,"?ACTIVATED",IF(J5222&lt;&gt;"","?FAMILIAR",IF(F5222="NEW",IF(ISNA(VLOOKUP(E5222,#REF!,1,FALSE())),"?TYPE_IDENTIFIABLE","?REFERENTIAL"),"_")))))</f>
        <v> </v>
      </c>
      <c r="H5222" s="25" t="str">
        <f>IF(J5222&lt;&gt;1,"",IF(I5222="SBJ","CB","?"))</f>
        <v> </v>
      </c>
      <c r="I5222" s="26" t="str">
        <f>IF(OR(E5222="",E5222="!!!",F5222="NEW"),"",INDEX(B5221:B$2,-1+SUMPRODUCT(MAX(ROW(E5221:E$2)*(E5222=E5221:E$2)))))</f>
        <v> </v>
      </c>
      <c r="J5222" s="26" t="str">
        <f>IF(OR(E5222="",E5222="!!!",F5222="NEW"),"",COUNTBLANK(OFFSET(A$1,,,SUMPRODUCT(MAX(ROW(E$2:E5222)*(E5222=E$2:E5222)))))-COUNTBLANK(OFFSET(A$1,,,SUMPRODUCT(MAX(ROW(E$1:E5221)*(E2=E$1:E5221))))))</f>
        <v> </v>
      </c>
      <c r="K5222" s="26" t="str">
        <f>IF(OR(E5222="",E5222="!!!",F5222="NEW"),"",INDEX(J$1:J5221,SUMPRODUCT(MAX(ROW(E$1:E5221)*(E5222=E$1:E5221)))))</f>
        <v> </v>
      </c>
      <c r="L5222" s="27"/>
    </row>
    <row r="5223" spans="1:12">
      <c r="A5223" s="20" t="s">
        <v>1088</v>
      </c>
      <c r="E5223" s="22">
        <f>IF(D5223="?OLD","!!!","")</f>
        <v/>
      </c>
      <c r="F5223" s="23" t="str">
        <f>IF(OR(E5223="",E5223="!!!"),"",IF(NOT(ISNA(VLOOKUP(E5223,E$1:E5222,1,FALSE()))),"OLD",IF(AND(E5223&lt;&gt;"",E5223&lt;&gt;"!!!"),"NEW","")))</f>
        <v> </v>
      </c>
      <c r="G5223" s="24" t="str">
        <f>IF(OR(E5223="",E5223="!!!"),"",IF(OR(J5223=0,AND(J5223=1,K5223=1),AND(J5223=1,I5223="SBJ"),AND(J5223=1,I5223=0)),"?IN_FOCUS",IF(J5223&lt;=2,"?ACTIVATED",IF(J5223&lt;&gt;"","?FAMILIAR",IF(F5223="NEW",IF(ISNA(VLOOKUP(E5223,#REF!,1,FALSE())),"?TYPE_IDENTIFIABLE","?REFERENTIAL"),"_")))))</f>
        <v> </v>
      </c>
      <c r="H5223" s="25" t="str">
        <f>IF(J5223&lt;&gt;1,"",IF(I5223="SBJ","CB","?"))</f>
        <v> </v>
      </c>
      <c r="I5223" s="26" t="str">
        <f>IF(OR(E5223="",E5223="!!!",F5223="NEW"),"",INDEX(B5222:B$2,-1+SUMPRODUCT(MAX(ROW(E5222:E$2)*(E5223=E5222:E$2)))))</f>
        <v> </v>
      </c>
      <c r="J5223" s="26" t="str">
        <f>IF(OR(E5223="",E5223="!!!",F5223="NEW"),"",COUNTBLANK(OFFSET(A$1,,,SUMPRODUCT(MAX(ROW(E$2:E5223)*(E5223=E$2:E5223)))))-COUNTBLANK(OFFSET(A$1,,,SUMPRODUCT(MAX(ROW(E$1:E5222)*(E2=E$1:E5222))))))</f>
        <v> </v>
      </c>
      <c r="K5223" s="26" t="str">
        <f>IF(OR(E5223="",E5223="!!!",F5223="NEW"),"",INDEX(J$1:J5222,SUMPRODUCT(MAX(ROW(E$1:E5222)*(E5223=E$1:E5222)))))</f>
        <v> </v>
      </c>
      <c r="L5223" s="27"/>
    </row>
    <row r="5224" spans="1:12">
      <c r="A5224" s="20" t="s">
        <v>1074</v>
      </c>
      <c r="B5224" s="21" t="s">
        <v>1331</v>
      </c>
      <c r="C5224" s="21" t="s">
        <v>1076</v>
      </c>
      <c r="D5224" s="21" t="s">
        <v>1060</v>
      </c>
      <c r="E5224" s="22">
        <f>IF(D5224="?OLD","!!!","")</f>
        <v/>
      </c>
      <c r="F5224" s="23" t="str">
        <f>IF(OR(E5224="",E5224="!!!"),"",IF(NOT(ISNA(VLOOKUP(E5224,E$1:E5223,1,FALSE()))),"OLD",IF(AND(E5224&lt;&gt;"",E5224&lt;&gt;"!!!"),"NEW","")))</f>
        <v> </v>
      </c>
      <c r="G5224" s="24" t="str">
        <f>IF(OR(E5224="",E5224="!!!"),"",IF(OR(J5224=0,AND(J5224=1,K5224=1),AND(J5224=1,I5224="SBJ"),AND(J5224=1,I5224=0)),"?IN_FOCUS",IF(J5224&lt;=2,"?ACTIVATED",IF(J5224&lt;&gt;"","?FAMILIAR",IF(F5224="NEW",IF(ISNA(VLOOKUP(E5224,#REF!,1,FALSE())),"?TYPE_IDENTIFIABLE","?REFERENTIAL"),"_")))))</f>
        <v> </v>
      </c>
      <c r="H5224" s="25" t="str">
        <f>IF(J5224&lt;&gt;1,"",IF(I5224="SBJ","CB","?"))</f>
        <v> </v>
      </c>
      <c r="I5224" s="26" t="str">
        <f>IF(OR(E5224="",E5224="!!!",F5224="NEW"),"",INDEX(B5223:B$2,-1+SUMPRODUCT(MAX(ROW(E5223:E$2)*(E5224=E5223:E$2)))))</f>
        <v> </v>
      </c>
      <c r="J5224" s="26" t="str">
        <f>IF(OR(E5224="",E5224="!!!",F5224="NEW"),"",COUNTBLANK(OFFSET(A$1,,,SUMPRODUCT(MAX(ROW(E$2:E5224)*(E5224=E$2:E5224)))))-COUNTBLANK(OFFSET(A$1,,,SUMPRODUCT(MAX(ROW(E$1:E5223)*(E2=E$1:E5223))))))</f>
        <v> </v>
      </c>
      <c r="K5224" s="26" t="str">
        <f>IF(OR(E5224="",E5224="!!!",F5224="NEW"),"",INDEX(J$1:J5223,SUMPRODUCT(MAX(ROW(E$1:E5223)*(E5224=E$1:E5223)))))</f>
        <v> </v>
      </c>
      <c r="L5224" s="27"/>
    </row>
    <row r="5225" spans="1:12">
      <c r="A5225" s="20" t="s">
        <v>502</v>
      </c>
      <c r="E5225" s="22">
        <f>IF(D5225="?OLD","!!!","")</f>
        <v/>
      </c>
      <c r="F5225" s="23" t="str">
        <f>IF(OR(E5225="",E5225="!!!"),"",IF(NOT(ISNA(VLOOKUP(E5225,E$1:E5224,1,FALSE()))),"OLD",IF(AND(E5225&lt;&gt;"",E5225&lt;&gt;"!!!"),"NEW","")))</f>
        <v> </v>
      </c>
      <c r="G5225" s="24" t="str">
        <f>IF(OR(E5225="",E5225="!!!"),"",IF(OR(J5225=0,AND(J5225=1,K5225=1),AND(J5225=1,I5225="SBJ"),AND(J5225=1,I5225=0)),"?IN_FOCUS",IF(J5225&lt;=2,"?ACTIVATED",IF(J5225&lt;&gt;"","?FAMILIAR",IF(F5225="NEW",IF(ISNA(VLOOKUP(E5225,#REF!,1,FALSE())),"?TYPE_IDENTIFIABLE","?REFERENTIAL"),"_")))))</f>
        <v> </v>
      </c>
      <c r="H5225" s="25" t="str">
        <f>IF(J5225&lt;&gt;1,"",IF(I5225="SBJ","CB","?"))</f>
        <v> </v>
      </c>
      <c r="I5225" s="26" t="str">
        <f>IF(OR(E5225="",E5225="!!!",F5225="NEW"),"",INDEX(B5224:B$2,-1+SUMPRODUCT(MAX(ROW(E5224:E$2)*(E5225=E5224:E$2)))))</f>
        <v> </v>
      </c>
      <c r="J5225" s="26" t="str">
        <f>IF(OR(E5225="",E5225="!!!",F5225="NEW"),"",COUNTBLANK(OFFSET(A$1,,,SUMPRODUCT(MAX(ROW(E$2:E5225)*(E5225=E$2:E5225)))))-COUNTBLANK(OFFSET(A$1,,,SUMPRODUCT(MAX(ROW(E$1:E5224)*(E2=E$1:E5224))))))</f>
        <v> </v>
      </c>
      <c r="K5225" s="26" t="str">
        <f>IF(OR(E5225="",E5225="!!!",F5225="NEW"),"",INDEX(J$1:J5224,SUMPRODUCT(MAX(ROW(E$1:E5224)*(E5225=E$1:E5224)))))</f>
        <v> </v>
      </c>
      <c r="L5225" s="27"/>
    </row>
    <row r="5226" spans="1:12">
      <c r="A5226" s="20" t="s">
        <v>1723</v>
      </c>
      <c r="E5226" s="22">
        <f>IF(D5226="?OLD","!!!","")</f>
        <v/>
      </c>
      <c r="F5226" s="23" t="str">
        <f>IF(OR(E5226="",E5226="!!!"),"",IF(NOT(ISNA(VLOOKUP(E5226,E$1:E5225,1,FALSE()))),"OLD",IF(AND(E5226&lt;&gt;"",E5226&lt;&gt;"!!!"),"NEW","")))</f>
        <v> </v>
      </c>
      <c r="G5226" s="24" t="str">
        <f>IF(OR(E5226="",E5226="!!!"),"",IF(OR(J5226=0,AND(J5226=1,K5226=1),AND(J5226=1,I5226="SBJ"),AND(J5226=1,I5226=0)),"?IN_FOCUS",IF(J5226&lt;=2,"?ACTIVATED",IF(J5226&lt;&gt;"","?FAMILIAR",IF(F5226="NEW",IF(ISNA(VLOOKUP(E5226,#REF!,1,FALSE())),"?TYPE_IDENTIFIABLE","?REFERENTIAL"),"_")))))</f>
        <v> </v>
      </c>
      <c r="H5226" s="25" t="str">
        <f>IF(J5226&lt;&gt;1,"",IF(I5226="SBJ","CB","?"))</f>
        <v> </v>
      </c>
      <c r="I5226" s="26" t="str">
        <f>IF(OR(E5226="",E5226="!!!",F5226="NEW"),"",INDEX(B5225:B$2,-1+SUMPRODUCT(MAX(ROW(E5225:E$2)*(E5226=E5225:E$2)))))</f>
        <v> </v>
      </c>
      <c r="J5226" s="26" t="str">
        <f>IF(OR(E5226="",E5226="!!!",F5226="NEW"),"",COUNTBLANK(OFFSET(A$1,,,SUMPRODUCT(MAX(ROW(E$2:E5226)*(E5226=E$2:E5226)))))-COUNTBLANK(OFFSET(A$1,,,SUMPRODUCT(MAX(ROW(E$1:E5225)*(E2=E$1:E5225))))))</f>
        <v> </v>
      </c>
      <c r="K5226" s="26" t="str">
        <f>IF(OR(E5226="",E5226="!!!",F5226="NEW"),"",INDEX(J$1:J5225,SUMPRODUCT(MAX(ROW(E$1:E5225)*(E5226=E$1:E5225)))))</f>
        <v> </v>
      </c>
      <c r="L5226" s="27"/>
    </row>
    <row r="5227" spans="1:12">
      <c r="A5227" s="20" t="s">
        <v>1101</v>
      </c>
      <c r="E5227" s="22">
        <f>IF(D5227="?OLD","!!!","")</f>
        <v/>
      </c>
      <c r="F5227" s="23" t="str">
        <f>IF(OR(E5227="",E5227="!!!"),"",IF(NOT(ISNA(VLOOKUP(E5227,E$1:E5226,1,FALSE()))),"OLD",IF(AND(E5227&lt;&gt;"",E5227&lt;&gt;"!!!"),"NEW","")))</f>
        <v> </v>
      </c>
      <c r="G5227" s="24" t="str">
        <f>IF(OR(E5227="",E5227="!!!"),"",IF(OR(J5227=0,AND(J5227=1,K5227=1),AND(J5227=1,I5227="SBJ"),AND(J5227=1,I5227=0)),"?IN_FOCUS",IF(J5227&lt;=2,"?ACTIVATED",IF(J5227&lt;&gt;"","?FAMILIAR",IF(F5227="NEW",IF(ISNA(VLOOKUP(E5227,#REF!,1,FALSE())),"?TYPE_IDENTIFIABLE","?REFERENTIAL"),"_")))))</f>
        <v> </v>
      </c>
      <c r="H5227" s="25" t="str">
        <f>IF(J5227&lt;&gt;1,"",IF(I5227="SBJ","CB","?"))</f>
        <v> </v>
      </c>
      <c r="I5227" s="26" t="str">
        <f>IF(OR(E5227="",E5227="!!!",F5227="NEW"),"",INDEX(B5226:B$2,-1+SUMPRODUCT(MAX(ROW(E5226:E$2)*(E5227=E5226:E$2)))))</f>
        <v> </v>
      </c>
      <c r="J5227" s="26" t="str">
        <f>IF(OR(E5227="",E5227="!!!",F5227="NEW"),"",COUNTBLANK(OFFSET(A$1,,,SUMPRODUCT(MAX(ROW(E$2:E5227)*(E5227=E$2:E5227)))))-COUNTBLANK(OFFSET(A$1,,,SUMPRODUCT(MAX(ROW(E$1:E5226)*(E2=E$1:E5226))))))</f>
        <v> </v>
      </c>
      <c r="K5227" s="26" t="str">
        <f>IF(OR(E5227="",E5227="!!!",F5227="NEW"),"",INDEX(J$1:J5226,SUMPRODUCT(MAX(ROW(E$1:E5226)*(E5227=E$1:E5226)))))</f>
        <v> </v>
      </c>
      <c r="L5227" s="27"/>
    </row>
    <row r="5228" spans="1:12">
      <c r="A5228" s="20" t="s">
        <v>2499</v>
      </c>
      <c r="B5228" s="21" t="s">
        <v>1091</v>
      </c>
      <c r="C5228" s="21" t="s">
        <v>1140</v>
      </c>
      <c r="D5228" s="21" t="s">
        <v>1060</v>
      </c>
      <c r="E5228" s="22">
        <f>IF(D5228="?OLD","!!!","")</f>
        <v/>
      </c>
      <c r="F5228" s="23" t="str">
        <f>IF(OR(E5228="",E5228="!!!"),"",IF(NOT(ISNA(VLOOKUP(E5228,E$1:E5227,1,FALSE()))),"OLD",IF(AND(E5228&lt;&gt;"",E5228&lt;&gt;"!!!"),"NEW","")))</f>
        <v> </v>
      </c>
      <c r="G5228" s="24" t="str">
        <f>IF(OR(E5228="",E5228="!!!"),"",IF(OR(J5228=0,AND(J5228=1,K5228=1),AND(J5228=1,I5228="SBJ"),AND(J5228=1,I5228=0)),"?IN_FOCUS",IF(J5228&lt;=2,"?ACTIVATED",IF(J5228&lt;&gt;"","?FAMILIAR",IF(F5228="NEW",IF(ISNA(VLOOKUP(E5228,#REF!,1,FALSE())),"?TYPE_IDENTIFIABLE","?REFERENTIAL"),"_")))))</f>
        <v> </v>
      </c>
      <c r="H5228" s="25" t="str">
        <f>IF(J5228&lt;&gt;1,"",IF(I5228="SBJ","CB","?"))</f>
        <v> </v>
      </c>
      <c r="I5228" s="26" t="str">
        <f>IF(OR(E5228="",E5228="!!!",F5228="NEW"),"",INDEX(B5227:B$2,-1+SUMPRODUCT(MAX(ROW(E5227:E$2)*(E5228=E5227:E$2)))))</f>
        <v> </v>
      </c>
      <c r="J5228" s="26" t="str">
        <f>IF(OR(E5228="",E5228="!!!",F5228="NEW"),"",COUNTBLANK(OFFSET(A$1,,,SUMPRODUCT(MAX(ROW(E$2:E5228)*(E5228=E$2:E5228)))))-COUNTBLANK(OFFSET(A$1,,,SUMPRODUCT(MAX(ROW(E$1:E5227)*(E2=E$1:E5227))))))</f>
        <v> </v>
      </c>
      <c r="K5228" s="26" t="str">
        <f>IF(OR(E5228="",E5228="!!!",F5228="NEW"),"",INDEX(J$1:J5227,SUMPRODUCT(MAX(ROW(E$1:E5227)*(E5228=E$1:E5227)))))</f>
        <v> </v>
      </c>
      <c r="L5228" s="27"/>
    </row>
    <row r="5229" spans="1:12">
      <c r="A5229" s="20" t="s">
        <v>923</v>
      </c>
      <c r="E5229" s="22">
        <f>IF(D5229="?OLD","!!!","")</f>
        <v/>
      </c>
      <c r="F5229" s="23" t="str">
        <f>IF(OR(E5229="",E5229="!!!"),"",IF(NOT(ISNA(VLOOKUP(E5229,E$1:E5228,1,FALSE()))),"OLD",IF(AND(E5229&lt;&gt;"",E5229&lt;&gt;"!!!"),"NEW","")))</f>
        <v> </v>
      </c>
      <c r="G5229" s="24" t="str">
        <f>IF(OR(E5229="",E5229="!!!"),"",IF(OR(J5229=0,AND(J5229=1,K5229=1),AND(J5229=1,I5229="SBJ"),AND(J5229=1,I5229=0)),"?IN_FOCUS",IF(J5229&lt;=2,"?ACTIVATED",IF(J5229&lt;&gt;"","?FAMILIAR",IF(F5229="NEW",IF(ISNA(VLOOKUP(E5229,#REF!,1,FALSE())),"?TYPE_IDENTIFIABLE","?REFERENTIAL"),"_")))))</f>
        <v> </v>
      </c>
      <c r="H5229" s="25" t="str">
        <f>IF(J5229&lt;&gt;1,"",IF(I5229="SBJ","CB","?"))</f>
        <v> </v>
      </c>
      <c r="I5229" s="26" t="str">
        <f>IF(OR(E5229="",E5229="!!!",F5229="NEW"),"",INDEX(B5228:B$2,-1+SUMPRODUCT(MAX(ROW(E5228:E$2)*(E5229=E5228:E$2)))))</f>
        <v> </v>
      </c>
      <c r="J5229" s="26" t="str">
        <f>IF(OR(E5229="",E5229="!!!",F5229="NEW"),"",COUNTBLANK(OFFSET(A$1,,,SUMPRODUCT(MAX(ROW(E$2:E5229)*(E5229=E$2:E5229)))))-COUNTBLANK(OFFSET(A$1,,,SUMPRODUCT(MAX(ROW(E$1:E5228)*(E2=E$1:E5228))))))</f>
        <v> </v>
      </c>
      <c r="K5229" s="26" t="str">
        <f>IF(OR(E5229="",E5229="!!!",F5229="NEW"),"",INDEX(J$1:J5228,SUMPRODUCT(MAX(ROW(E$1:E5228)*(E5229=E$1:E5228)))))</f>
        <v> </v>
      </c>
      <c r="L5229" s="27"/>
    </row>
    <row r="5230" spans="1:12">
      <c r="A5230" s="20"/>
    </row>
    <row r="5231" spans="1:12">
      <c r="A5231" s="20" t="s">
        <v>1276</v>
      </c>
      <c r="E5231" s="22">
        <f>IF(D5231="?OLD","!!!","")</f>
        <v/>
      </c>
      <c r="F5231" s="23" t="str">
        <f>IF(OR(E5231="",E5231="!!!"),"",IF(NOT(ISNA(VLOOKUP(E5231,E$1:E5230,1,FALSE()))),"OLD",IF(AND(E5231&lt;&gt;"",E5231&lt;&gt;"!!!"),"NEW","")))</f>
        <v> </v>
      </c>
      <c r="G5231" s="24" t="str">
        <f>IF(OR(E5231="",E5231="!!!"),"",IF(OR(J5231=0,AND(J5231=1,K5231=1),AND(J5231=1,I5231="SBJ"),AND(J5231=1,I5231=0)),"?IN_FOCUS",IF(J5231&lt;=2,"?ACTIVATED",IF(J5231&lt;&gt;"","?FAMILIAR",IF(F5231="NEW",IF(ISNA(VLOOKUP(E5231,#REF!,1,FALSE())),"?TYPE_IDENTIFIABLE","?REFERENTIAL"),"_")))))</f>
        <v> </v>
      </c>
      <c r="H5231" s="25" t="str">
        <f>IF(J5231&lt;&gt;1,"",IF(I5231="SBJ","CB","?"))</f>
        <v> </v>
      </c>
      <c r="I5231" s="26" t="str">
        <f>IF(OR(E5231="",E5231="!!!",F5231="NEW"),"",INDEX(B5230:B$2,-1+SUMPRODUCT(MAX(ROW(E5230:E$2)*(E5231=E5230:E$2)))))</f>
        <v> </v>
      </c>
      <c r="J5231" s="26" t="str">
        <f>IF(OR(E5231="",E5231="!!!",F5231="NEW"),"",COUNTBLANK(OFFSET(A$1,,,SUMPRODUCT(MAX(ROW(E$2:E5231)*(E5231=E$2:E5231)))))-COUNTBLANK(OFFSET(A$1,,,SUMPRODUCT(MAX(ROW(E$1:E5230)*(E2=E$1:E5230))))))</f>
        <v> </v>
      </c>
      <c r="K5231" s="26" t="str">
        <f>IF(OR(E5231="",E5231="!!!",F5231="NEW"),"",INDEX(J$1:J5230,SUMPRODUCT(MAX(ROW(E$1:E5230)*(E5231=E$1:E5230)))))</f>
        <v> </v>
      </c>
      <c r="L5231" s="27"/>
    </row>
    <row r="5232" spans="1:12">
      <c r="A5232" s="20" t="s">
        <v>2500</v>
      </c>
    </row>
    <row r="5233" spans="1:12">
      <c r="A5233" s="20" t="s">
        <v>607</v>
      </c>
      <c r="E5233" s="22">
        <f>IF(D5233="?OLD","!!!","")</f>
        <v/>
      </c>
      <c r="F5233" s="23" t="str">
        <f>IF(OR(E5233="",E5233="!!!"),"",IF(NOT(ISNA(VLOOKUP(E5233,E$1:E5232,1,FALSE()))),"OLD",IF(AND(E5233&lt;&gt;"",E5233&lt;&gt;"!!!"),"NEW","")))</f>
        <v> </v>
      </c>
      <c r="G5233" s="24" t="str">
        <f>IF(OR(E5233="",E5233="!!!"),"",IF(OR(J5233=0,AND(J5233=1,K5233=1),AND(J5233=1,I5233="SBJ"),AND(J5233=1,I5233=0)),"?IN_FOCUS",IF(J5233&lt;=2,"?ACTIVATED",IF(J5233&lt;&gt;"","?FAMILIAR",IF(F5233="NEW",IF(ISNA(VLOOKUP(E5233,#REF!,1,FALSE())),"?TYPE_IDENTIFIABLE","?REFERENTIAL"),"_")))))</f>
        <v> </v>
      </c>
      <c r="H5233" s="25" t="str">
        <f>IF(J5233&lt;&gt;1,"",IF(I5233="SBJ","CB","?"))</f>
        <v> </v>
      </c>
      <c r="I5233" s="26" t="str">
        <f>IF(OR(E5233="",E5233="!!!",F5233="NEW"),"",INDEX(B5232:B$2,-1+SUMPRODUCT(MAX(ROW(E5232:E$2)*(E5233=E5232:E$2)))))</f>
        <v> </v>
      </c>
      <c r="J5233" s="26" t="str">
        <f>IF(OR(E5233="",E5233="!!!",F5233="NEW"),"",COUNTBLANK(OFFSET(A$1,,,SUMPRODUCT(MAX(ROW(E$2:E5233)*(E5233=E$2:E5233)))))-COUNTBLANK(OFFSET(A$1,,,SUMPRODUCT(MAX(ROW(E$1:E5232)*(E2=E$1:E5232))))))</f>
        <v> </v>
      </c>
      <c r="K5233" s="26" t="str">
        <f>IF(OR(E5233="",E5233="!!!",F5233="NEW"),"",INDEX(J$1:J5232,SUMPRODUCT(MAX(ROW(E$1:E5232)*(E5233=E$1:E5232)))))</f>
        <v> </v>
      </c>
      <c r="L5233" s="27"/>
    </row>
    <row r="5234" spans="1:12">
      <c r="A5234" s="20" t="s">
        <v>1317</v>
      </c>
      <c r="E5234" s="22">
        <f>IF(D5234="?OLD","!!!","")</f>
        <v/>
      </c>
      <c r="F5234" s="23" t="str">
        <f>IF(OR(E5234="",E5234="!!!"),"",IF(NOT(ISNA(VLOOKUP(E5234,E$1:E5233,1,FALSE()))),"OLD",IF(AND(E5234&lt;&gt;"",E5234&lt;&gt;"!!!"),"NEW","")))</f>
        <v> </v>
      </c>
      <c r="G5234" s="24" t="str">
        <f>IF(OR(E5234="",E5234="!!!"),"",IF(OR(J5234=0,AND(J5234=1,K5234=1),AND(J5234=1,I5234="SBJ"),AND(J5234=1,I5234=0)),"?IN_FOCUS",IF(J5234&lt;=2,"?ACTIVATED",IF(J5234&lt;&gt;"","?FAMILIAR",IF(F5234="NEW",IF(ISNA(VLOOKUP(E5234,#REF!,1,FALSE())),"?TYPE_IDENTIFIABLE","?REFERENTIAL"),"_")))))</f>
        <v> </v>
      </c>
      <c r="H5234" s="25" t="str">
        <f>IF(J5234&lt;&gt;1,"",IF(I5234="SBJ","CB","?"))</f>
        <v> </v>
      </c>
      <c r="I5234" s="26" t="str">
        <f>IF(OR(E5234="",E5234="!!!",F5234="NEW"),"",INDEX(B5233:B$2,-1+SUMPRODUCT(MAX(ROW(E5233:E$2)*(E5234=E5233:E$2)))))</f>
        <v> </v>
      </c>
      <c r="J5234" s="26" t="str">
        <f>IF(OR(E5234="",E5234="!!!",F5234="NEW"),"",COUNTBLANK(OFFSET(A$1,,,SUMPRODUCT(MAX(ROW(E$2:E5234)*(E5234=E$2:E5234)))))-COUNTBLANK(OFFSET(A$1,,,SUMPRODUCT(MAX(ROW(E$1:E5233)*(E2=E$1:E5233))))))</f>
        <v> </v>
      </c>
      <c r="K5234" s="26" t="str">
        <f>IF(OR(E5234="",E5234="!!!",F5234="NEW"),"",INDEX(J$1:J5233,SUMPRODUCT(MAX(ROW(E$1:E5233)*(E5234=E$1:E5233)))))</f>
        <v> </v>
      </c>
      <c r="L5234" s="27"/>
    </row>
    <row r="5235" spans="1:12">
      <c r="A5235" s="20" t="s">
        <v>2501</v>
      </c>
      <c r="B5235" s="21" t="s">
        <v>1058</v>
      </c>
      <c r="C5235" s="21" t="s">
        <v>1080</v>
      </c>
      <c r="E5235" s="22">
        <f>IF(D5235="?OLD","!!!","")</f>
        <v/>
      </c>
      <c r="F5235" s="23" t="str">
        <f>IF(OR(E5235="",E5235="!!!"),"",IF(NOT(ISNA(VLOOKUP(E5235,E$1:E5234,1,FALSE()))),"OLD",IF(AND(E5235&lt;&gt;"",E5235&lt;&gt;"!!!"),"NEW","")))</f>
        <v> </v>
      </c>
      <c r="G5235" s="24" t="str">
        <f>IF(OR(E5235="",E5235="!!!"),"",IF(OR(J5235=0,AND(J5235=1,K5235=1),AND(J5235=1,I5235="SBJ"),AND(J5235=1,I5235=0)),"?IN_FOCUS",IF(J5235&lt;=2,"?ACTIVATED",IF(J5235&lt;&gt;"","?FAMILIAR",IF(F5235="NEW",IF(ISNA(VLOOKUP(E5235,#REF!,1,FALSE())),"?TYPE_IDENTIFIABLE","?REFERENTIAL"),"_")))))</f>
        <v> </v>
      </c>
      <c r="H5235" s="25" t="str">
        <f>IF(J5235&lt;&gt;1,"",IF(I5235="SBJ","CB","?"))</f>
        <v> </v>
      </c>
      <c r="I5235" s="26" t="str">
        <f>IF(OR(E5235="",E5235="!!!",F5235="NEW"),"",INDEX(B5234:B$2,-1+SUMPRODUCT(MAX(ROW(E5234:E$2)*(E5235=E5234:E$2)))))</f>
        <v> </v>
      </c>
      <c r="J5235" s="26" t="str">
        <f>IF(OR(E5235="",E5235="!!!",F5235="NEW"),"",COUNTBLANK(OFFSET(A$1,,,SUMPRODUCT(MAX(ROW(E$2:E5235)*(E5235=E$2:E5235)))))-COUNTBLANK(OFFSET(A$1,,,SUMPRODUCT(MAX(ROW(E$1:E5234)*(E2=E$1:E5234))))))</f>
        <v> </v>
      </c>
      <c r="K5235" s="26" t="str">
        <f>IF(OR(E5235="",E5235="!!!",F5235="NEW"),"",INDEX(J$1:J5234,SUMPRODUCT(MAX(ROW(E$1:E5234)*(E5235=E$1:E5234)))))</f>
        <v> </v>
      </c>
      <c r="L5235" s="27"/>
    </row>
    <row r="5236" spans="1:12">
      <c r="A5236" s="20" t="s">
        <v>1300</v>
      </c>
      <c r="E5236" s="22">
        <f>IF(D5236="?OLD","!!!","")</f>
        <v/>
      </c>
      <c r="F5236" s="23" t="str">
        <f>IF(OR(E5236="",E5236="!!!"),"",IF(NOT(ISNA(VLOOKUP(E5236,E$1:E5235,1,FALSE()))),"OLD",IF(AND(E5236&lt;&gt;"",E5236&lt;&gt;"!!!"),"NEW","")))</f>
        <v> </v>
      </c>
      <c r="G5236" s="24" t="str">
        <f>IF(OR(E5236="",E5236="!!!"),"",IF(OR(J5236=0,AND(J5236=1,K5236=1),AND(J5236=1,I5236="SBJ"),AND(J5236=1,I5236=0)),"?IN_FOCUS",IF(J5236&lt;=2,"?ACTIVATED",IF(J5236&lt;&gt;"","?FAMILIAR",IF(F5236="NEW",IF(ISNA(VLOOKUP(E5236,#REF!,1,FALSE())),"?TYPE_IDENTIFIABLE","?REFERENTIAL"),"_")))))</f>
        <v> </v>
      </c>
      <c r="H5236" s="25" t="str">
        <f>IF(J5236&lt;&gt;1,"",IF(I5236="SBJ","CB","?"))</f>
        <v> </v>
      </c>
      <c r="I5236" s="26" t="str">
        <f>IF(OR(E5236="",E5236="!!!",F5236="NEW"),"",INDEX(B5235:B$2,-1+SUMPRODUCT(MAX(ROW(E5235:E$2)*(E5236=E5235:E$2)))))</f>
        <v> </v>
      </c>
      <c r="J5236" s="26" t="str">
        <f>IF(OR(E5236="",E5236="!!!",F5236="NEW"),"",COUNTBLANK(OFFSET(A$1,,,SUMPRODUCT(MAX(ROW(E$2:E5236)*(E5236=E$2:E5236)))))-COUNTBLANK(OFFSET(A$1,,,SUMPRODUCT(MAX(ROW(E$1:E5235)*(E2=E$1:E5235))))))</f>
        <v> </v>
      </c>
      <c r="K5236" s="26" t="str">
        <f>IF(OR(E5236="",E5236="!!!",F5236="NEW"),"",INDEX(J$1:J5235,SUMPRODUCT(MAX(ROW(E$1:E5235)*(E5236=E$1:E5235)))))</f>
        <v> </v>
      </c>
      <c r="L5236" s="27"/>
    </row>
    <row r="5237" spans="1:12">
      <c r="A5237" s="20" t="s">
        <v>607</v>
      </c>
      <c r="E5237" s="22">
        <f>IF(D5237="?OLD","!!!","")</f>
        <v/>
      </c>
      <c r="F5237" s="23" t="str">
        <f>IF(OR(E5237="",E5237="!!!"),"",IF(NOT(ISNA(VLOOKUP(E5237,E$1:E5236,1,FALSE()))),"OLD",IF(AND(E5237&lt;&gt;"",E5237&lt;&gt;"!!!"),"NEW","")))</f>
        <v> </v>
      </c>
      <c r="G5237" s="24" t="str">
        <f>IF(OR(E5237="",E5237="!!!"),"",IF(OR(J5237=0,AND(J5237=1,K5237=1),AND(J5237=1,I5237="SBJ"),AND(J5237=1,I5237=0)),"?IN_FOCUS",IF(J5237&lt;=2,"?ACTIVATED",IF(J5237&lt;&gt;"","?FAMILIAR",IF(F5237="NEW",IF(ISNA(VLOOKUP(E5237,#REF!,1,FALSE())),"?TYPE_IDENTIFIABLE","?REFERENTIAL"),"_")))))</f>
        <v> </v>
      </c>
      <c r="H5237" s="25" t="str">
        <f>IF(J5237&lt;&gt;1,"",IF(I5237="SBJ","CB","?"))</f>
        <v> </v>
      </c>
      <c r="I5237" s="26" t="str">
        <f>IF(OR(E5237="",E5237="!!!",F5237="NEW"),"",INDEX(B5236:B$2,-1+SUMPRODUCT(MAX(ROW(E5236:E$2)*(E5237=E5236:E$2)))))</f>
        <v> </v>
      </c>
      <c r="J5237" s="26" t="str">
        <f>IF(OR(E5237="",E5237="!!!",F5237="NEW"),"",COUNTBLANK(OFFSET(A$1,,,SUMPRODUCT(MAX(ROW(E$2:E5237)*(E5237=E$2:E5237)))))-COUNTBLANK(OFFSET(A$1,,,SUMPRODUCT(MAX(ROW(E$1:E5236)*(E2=E$1:E5236))))))</f>
        <v> </v>
      </c>
      <c r="K5237" s="26" t="str">
        <f>IF(OR(E5237="",E5237="!!!",F5237="NEW"),"",INDEX(J$1:J5236,SUMPRODUCT(MAX(ROW(E$1:E5236)*(E5237=E$1:E5236)))))</f>
        <v> </v>
      </c>
      <c r="L5237" s="27"/>
    </row>
    <row r="5238" spans="1:12">
      <c r="A5238" s="20" t="s">
        <v>1176</v>
      </c>
      <c r="E5238" s="22">
        <f>IF(D5238="?OLD","!!!","")</f>
        <v/>
      </c>
      <c r="F5238" s="23" t="str">
        <f>IF(OR(E5238="",E5238="!!!"),"",IF(NOT(ISNA(VLOOKUP(E5238,E$1:E5237,1,FALSE()))),"OLD",IF(AND(E5238&lt;&gt;"",E5238&lt;&gt;"!!!"),"NEW","")))</f>
        <v> </v>
      </c>
      <c r="G5238" s="24" t="str">
        <f>IF(OR(E5238="",E5238="!!!"),"",IF(OR(J5238=0,AND(J5238=1,K5238=1),AND(J5238=1,I5238="SBJ"),AND(J5238=1,I5238=0)),"?IN_FOCUS",IF(J5238&lt;=2,"?ACTIVATED",IF(J5238&lt;&gt;"","?FAMILIAR",IF(F5238="NEW",IF(ISNA(VLOOKUP(E5238,#REF!,1,FALSE())),"?TYPE_IDENTIFIABLE","?REFERENTIAL"),"_")))))</f>
        <v> </v>
      </c>
      <c r="H5238" s="25" t="str">
        <f>IF(J5238&lt;&gt;1,"",IF(I5238="SBJ","CB","?"))</f>
        <v> </v>
      </c>
      <c r="I5238" s="26" t="str">
        <f>IF(OR(E5238="",E5238="!!!",F5238="NEW"),"",INDEX(B5237:B$2,-1+SUMPRODUCT(MAX(ROW(E5237:E$2)*(E5238=E5237:E$2)))))</f>
        <v> </v>
      </c>
      <c r="J5238" s="26" t="str">
        <f>IF(OR(E5238="",E5238="!!!",F5238="NEW"),"",COUNTBLANK(OFFSET(A$1,,,SUMPRODUCT(MAX(ROW(E$2:E5238)*(E5238=E$2:E5238)))))-COUNTBLANK(OFFSET(A$1,,,SUMPRODUCT(MAX(ROW(E$1:E5237)*(E2=E$1:E5237))))))</f>
        <v> </v>
      </c>
      <c r="K5238" s="26" t="str">
        <f>IF(OR(E5238="",E5238="!!!",F5238="NEW"),"",INDEX(J$1:J5237,SUMPRODUCT(MAX(ROW(E$1:E5237)*(E5238=E$1:E5237)))))</f>
        <v> </v>
      </c>
      <c r="L5238" s="27"/>
    </row>
    <row r="5239" spans="1:12">
      <c r="A5239" s="20" t="s">
        <v>1063</v>
      </c>
      <c r="B5239" s="21" t="s">
        <v>1058</v>
      </c>
      <c r="C5239" s="21" t="s">
        <v>1065</v>
      </c>
      <c r="D5239" s="21" t="s">
        <v>1060</v>
      </c>
      <c r="E5239" s="22">
        <f>IF(D5239="?OLD","!!!","")</f>
        <v/>
      </c>
      <c r="F5239" s="23" t="str">
        <f>IF(OR(E5239="",E5239="!!!"),"",IF(NOT(ISNA(VLOOKUP(E5239,E$1:E5238,1,FALSE()))),"OLD",IF(AND(E5239&lt;&gt;"",E5239&lt;&gt;"!!!"),"NEW","")))</f>
        <v> </v>
      </c>
      <c r="G5239" s="24" t="str">
        <f>IF(OR(E5239="",E5239="!!!"),"",IF(OR(J5239=0,AND(J5239=1,K5239=1),AND(J5239=1,I5239="SBJ"),AND(J5239=1,I5239=0)),"?IN_FOCUS",IF(J5239&lt;=2,"?ACTIVATED",IF(J5239&lt;&gt;"","?FAMILIAR",IF(F5239="NEW",IF(ISNA(VLOOKUP(E5239,#REF!,1,FALSE())),"?TYPE_IDENTIFIABLE","?REFERENTIAL"),"_")))))</f>
        <v> </v>
      </c>
      <c r="H5239" s="25" t="str">
        <f>IF(J5239&lt;&gt;1,"",IF(I5239="SBJ","CB","?"))</f>
        <v> </v>
      </c>
      <c r="I5239" s="26" t="str">
        <f>IF(OR(E5239="",E5239="!!!",F5239="NEW"),"",INDEX(B5238:B$2,-1+SUMPRODUCT(MAX(ROW(E5238:E$2)*(E5239=E5238:E$2)))))</f>
        <v> </v>
      </c>
      <c r="J5239" s="26" t="str">
        <f>IF(OR(E5239="",E5239="!!!",F5239="NEW"),"",COUNTBLANK(OFFSET(A$1,,,SUMPRODUCT(MAX(ROW(E$2:E5239)*(E5239=E$2:E5239)))))-COUNTBLANK(OFFSET(A$1,,,SUMPRODUCT(MAX(ROW(E$1:E5238)*(E2=E$1:E5238))))))</f>
        <v> </v>
      </c>
      <c r="K5239" s="26" t="str">
        <f>IF(OR(E5239="",E5239="!!!",F5239="NEW"),"",INDEX(J$1:J5238,SUMPRODUCT(MAX(ROW(E$1:E5238)*(E5239=E$1:E5238)))))</f>
        <v> </v>
      </c>
      <c r="L5239" s="27"/>
    </row>
    <row r="5240" spans="1:12">
      <c r="A5240" s="20" t="s">
        <v>923</v>
      </c>
      <c r="E5240" s="22">
        <f>IF(D5240="?OLD","!!!","")</f>
        <v/>
      </c>
      <c r="F5240" s="23" t="str">
        <f>IF(OR(E5240="",E5240="!!!"),"",IF(NOT(ISNA(VLOOKUP(E5240,E$1:E5239,1,FALSE()))),"OLD",IF(AND(E5240&lt;&gt;"",E5240&lt;&gt;"!!!"),"NEW","")))</f>
        <v> </v>
      </c>
      <c r="G5240" s="24" t="str">
        <f>IF(OR(E5240="",E5240="!!!"),"",IF(OR(J5240=0,AND(J5240=1,K5240=1),AND(J5240=1,I5240="SBJ"),AND(J5240=1,I5240=0)),"?IN_FOCUS",IF(J5240&lt;=2,"?ACTIVATED",IF(J5240&lt;&gt;"","?FAMILIAR",IF(F5240="NEW",IF(ISNA(VLOOKUP(E5240,#REF!,1,FALSE())),"?TYPE_IDENTIFIABLE","?REFERENTIAL"),"_")))))</f>
        <v> </v>
      </c>
      <c r="H5240" s="25" t="str">
        <f>IF(J5240&lt;&gt;1,"",IF(I5240="SBJ","CB","?"))</f>
        <v> </v>
      </c>
      <c r="I5240" s="26" t="str">
        <f>IF(OR(E5240="",E5240="!!!",F5240="NEW"),"",INDEX(B5239:B$2,-1+SUMPRODUCT(MAX(ROW(E5239:E$2)*(E5240=E5239:E$2)))))</f>
        <v> </v>
      </c>
      <c r="J5240" s="26" t="str">
        <f>IF(OR(E5240="",E5240="!!!",F5240="NEW"),"",COUNTBLANK(OFFSET(A$1,,,SUMPRODUCT(MAX(ROW(E$2:E5240)*(E5240=E$2:E5240)))))-COUNTBLANK(OFFSET(A$1,,,SUMPRODUCT(MAX(ROW(E$1:E5239)*(E2=E$1:E5239))))))</f>
        <v> </v>
      </c>
      <c r="K5240" s="26" t="str">
        <f>IF(OR(E5240="",E5240="!!!",F5240="NEW"),"",INDEX(J$1:J5239,SUMPRODUCT(MAX(ROW(E$1:E5239)*(E5240=E$1:E5239)))))</f>
        <v> </v>
      </c>
      <c r="L5240" s="27"/>
    </row>
    <row r="5241" spans="1:12">
      <c r="A5241" s="20"/>
    </row>
    <row r="5242" spans="1:12">
      <c r="A5242" s="20" t="s">
        <v>1276</v>
      </c>
      <c r="E5242" s="22">
        <f>IF(D5242="?OLD","!!!","")</f>
        <v/>
      </c>
      <c r="F5242" s="23" t="str">
        <f>IF(OR(E5242="",E5242="!!!"),"",IF(NOT(ISNA(VLOOKUP(E5242,E$1:E5241,1,FALSE()))),"OLD",IF(AND(E5242&lt;&gt;"",E5242&lt;&gt;"!!!"),"NEW","")))</f>
        <v> </v>
      </c>
      <c r="G5242" s="24" t="str">
        <f>IF(OR(E5242="",E5242="!!!"),"",IF(OR(J5242=0,AND(J5242=1,K5242=1),AND(J5242=1,I5242="SBJ"),AND(J5242=1,I5242=0)),"?IN_FOCUS",IF(J5242&lt;=2,"?ACTIVATED",IF(J5242&lt;&gt;"","?FAMILIAR",IF(F5242="NEW",IF(ISNA(VLOOKUP(E5242,#REF!,1,FALSE())),"?TYPE_IDENTIFIABLE","?REFERENTIAL"),"_")))))</f>
        <v> </v>
      </c>
      <c r="H5242" s="25" t="str">
        <f>IF(J5242&lt;&gt;1,"",IF(I5242="SBJ","CB","?"))</f>
        <v> </v>
      </c>
      <c r="I5242" s="26" t="str">
        <f>IF(OR(E5242="",E5242="!!!",F5242="NEW"),"",INDEX(B5241:B$2,-1+SUMPRODUCT(MAX(ROW(E5241:E$2)*(E5242=E5241:E$2)))))</f>
        <v> </v>
      </c>
      <c r="J5242" s="26" t="str">
        <f>IF(OR(E5242="",E5242="!!!",F5242="NEW"),"",COUNTBLANK(OFFSET(A$1,,,SUMPRODUCT(MAX(ROW(E$2:E5242)*(E5242=E$2:E5242)))))-COUNTBLANK(OFFSET(A$1,,,SUMPRODUCT(MAX(ROW(E$1:E5241)*(E2=E$1:E5241))))))</f>
        <v> </v>
      </c>
      <c r="K5242" s="26" t="str">
        <f>IF(OR(E5242="",E5242="!!!",F5242="NEW"),"",INDEX(J$1:J5241,SUMPRODUCT(MAX(ROW(E$1:E5241)*(E5242=E$1:E5241)))))</f>
        <v> </v>
      </c>
      <c r="L5242" s="27"/>
    </row>
    <row r="5243" spans="1:12">
      <c r="A5243" s="20" t="s">
        <v>2502</v>
      </c>
    </row>
    <row r="5244" spans="1:12">
      <c r="A5244" s="20" t="s">
        <v>607</v>
      </c>
      <c r="E5244" s="22">
        <f>IF(D5244="?OLD","!!!","")</f>
        <v/>
      </c>
      <c r="F5244" s="23" t="str">
        <f>IF(OR(E5244="",E5244="!!!"),"",IF(NOT(ISNA(VLOOKUP(E5244,E$1:E5243,1,FALSE()))),"OLD",IF(AND(E5244&lt;&gt;"",E5244&lt;&gt;"!!!"),"NEW","")))</f>
        <v> </v>
      </c>
      <c r="G5244" s="24" t="str">
        <f>IF(OR(E5244="",E5244="!!!"),"",IF(OR(J5244=0,AND(J5244=1,K5244=1),AND(J5244=1,I5244="SBJ"),AND(J5244=1,I5244=0)),"?IN_FOCUS",IF(J5244&lt;=2,"?ACTIVATED",IF(J5244&lt;&gt;"","?FAMILIAR",IF(F5244="NEW",IF(ISNA(VLOOKUP(E5244,#REF!,1,FALSE())),"?TYPE_IDENTIFIABLE","?REFERENTIAL"),"_")))))</f>
        <v> </v>
      </c>
      <c r="H5244" s="25" t="str">
        <f>IF(J5244&lt;&gt;1,"",IF(I5244="SBJ","CB","?"))</f>
        <v> </v>
      </c>
      <c r="I5244" s="26" t="str">
        <f>IF(OR(E5244="",E5244="!!!",F5244="NEW"),"",INDEX(B5243:B$2,-1+SUMPRODUCT(MAX(ROW(E5243:E$2)*(E5244=E5243:E$2)))))</f>
        <v> </v>
      </c>
      <c r="J5244" s="26" t="str">
        <f>IF(OR(E5244="",E5244="!!!",F5244="NEW"),"",COUNTBLANK(OFFSET(A$1,,,SUMPRODUCT(MAX(ROW(E$2:E5244)*(E5244=E$2:E5244)))))-COUNTBLANK(OFFSET(A$1,,,SUMPRODUCT(MAX(ROW(E$1:E5243)*(E2=E$1:E5243))))))</f>
        <v> </v>
      </c>
      <c r="K5244" s="26" t="str">
        <f>IF(OR(E5244="",E5244="!!!",F5244="NEW"),"",INDEX(J$1:J5243,SUMPRODUCT(MAX(ROW(E$1:E5243)*(E5244=E$1:E5243)))))</f>
        <v> </v>
      </c>
      <c r="L5244" s="27"/>
    </row>
    <row r="5245" spans="1:12">
      <c r="A5245" s="20" t="s">
        <v>2503</v>
      </c>
      <c r="E5245" s="22">
        <f>IF(D5245="?OLD","!!!","")</f>
        <v/>
      </c>
      <c r="F5245" s="23" t="str">
        <f>IF(OR(E5245="",E5245="!!!"),"",IF(NOT(ISNA(VLOOKUP(E5245,E$1:E5244,1,FALSE()))),"OLD",IF(AND(E5245&lt;&gt;"",E5245&lt;&gt;"!!!"),"NEW","")))</f>
        <v> </v>
      </c>
      <c r="G5245" s="24" t="str">
        <f>IF(OR(E5245="",E5245="!!!"),"",IF(OR(J5245=0,AND(J5245=1,K5245=1),AND(J5245=1,I5245="SBJ"),AND(J5245=1,I5245=0)),"?IN_FOCUS",IF(J5245&lt;=2,"?ACTIVATED",IF(J5245&lt;&gt;"","?FAMILIAR",IF(F5245="NEW",IF(ISNA(VLOOKUP(E5245,#REF!,1,FALSE())),"?TYPE_IDENTIFIABLE","?REFERENTIAL"),"_")))))</f>
        <v> </v>
      </c>
      <c r="H5245" s="25" t="str">
        <f>IF(J5245&lt;&gt;1,"",IF(I5245="SBJ","CB","?"))</f>
        <v> </v>
      </c>
      <c r="I5245" s="26" t="str">
        <f>IF(OR(E5245="",E5245="!!!",F5245="NEW"),"",INDEX(B5244:B$2,-1+SUMPRODUCT(MAX(ROW(E5244:E$2)*(E5245=E5244:E$2)))))</f>
        <v> </v>
      </c>
      <c r="J5245" s="26" t="str">
        <f>IF(OR(E5245="",E5245="!!!",F5245="NEW"),"",COUNTBLANK(OFFSET(A$1,,,SUMPRODUCT(MAX(ROW(E$2:E5245)*(E5245=E$2:E5245)))))-COUNTBLANK(OFFSET(A$1,,,SUMPRODUCT(MAX(ROW(E$1:E5244)*(E2=E$1:E5244))))))</f>
        <v> </v>
      </c>
      <c r="K5245" s="26" t="str">
        <f>IF(OR(E5245="",E5245="!!!",F5245="NEW"),"",INDEX(J$1:J5244,SUMPRODUCT(MAX(ROW(E$1:E5244)*(E5245=E$1:E5244)))))</f>
        <v> </v>
      </c>
      <c r="L5245" s="27"/>
    </row>
    <row r="5246" spans="1:12">
      <c r="A5246" s="20" t="s">
        <v>1008</v>
      </c>
      <c r="B5246" s="21" t="s">
        <v>1097</v>
      </c>
      <c r="C5246" s="21" t="s">
        <v>1065</v>
      </c>
      <c r="D5246" s="21" t="s">
        <v>1060</v>
      </c>
      <c r="E5246" s="22">
        <f>IF(D5246="?OLD","!!!","")</f>
        <v/>
      </c>
      <c r="F5246" s="23" t="str">
        <f>IF(OR(E5246="",E5246="!!!"),"",IF(NOT(ISNA(VLOOKUP(E5246,E$1:E5245,1,FALSE()))),"OLD",IF(AND(E5246&lt;&gt;"",E5246&lt;&gt;"!!!"),"NEW","")))</f>
        <v> </v>
      </c>
      <c r="G5246" s="24" t="str">
        <f>IF(OR(E5246="",E5246="!!!"),"",IF(OR(J5246=0,AND(J5246=1,K5246=1),AND(J5246=1,I5246="SBJ"),AND(J5246=1,I5246=0)),"?IN_FOCUS",IF(J5246&lt;=2,"?ACTIVATED",IF(J5246&lt;&gt;"","?FAMILIAR",IF(F5246="NEW",IF(ISNA(VLOOKUP(E5246,#REF!,1,FALSE())),"?TYPE_IDENTIFIABLE","?REFERENTIAL"),"_")))))</f>
        <v> </v>
      </c>
      <c r="H5246" s="25" t="str">
        <f>IF(J5246&lt;&gt;1,"",IF(I5246="SBJ","CB","?"))</f>
        <v> </v>
      </c>
      <c r="I5246" s="26" t="str">
        <f>IF(OR(E5246="",E5246="!!!",F5246="NEW"),"",INDEX(B5245:B$2,-1+SUMPRODUCT(MAX(ROW(E5245:E$2)*(E5246=E5245:E$2)))))</f>
        <v> </v>
      </c>
      <c r="J5246" s="26" t="str">
        <f>IF(OR(E5246="",E5246="!!!",F5246="NEW"),"",COUNTBLANK(OFFSET(A$1,,,SUMPRODUCT(MAX(ROW(E$2:E5246)*(E5246=E$2:E5246)))))-COUNTBLANK(OFFSET(A$1,,,SUMPRODUCT(MAX(ROW(E$1:E5245)*(E2=E$1:E5245))))))</f>
        <v> </v>
      </c>
      <c r="K5246" s="26" t="str">
        <f>IF(OR(E5246="",E5246="!!!",F5246="NEW"),"",INDEX(J$1:J5245,SUMPRODUCT(MAX(ROW(E$1:E5245)*(E5246=E$1:E5245)))))</f>
        <v> </v>
      </c>
      <c r="L5246" s="27"/>
    </row>
    <row r="5247" spans="1:12">
      <c r="A5247" s="20" t="s">
        <v>1070</v>
      </c>
      <c r="E5247" s="22">
        <f>IF(D5247="?OLD","!!!","")</f>
        <v/>
      </c>
      <c r="F5247" s="23" t="str">
        <f>IF(OR(E5247="",E5247="!!!"),"",IF(NOT(ISNA(VLOOKUP(E5247,E$1:E5246,1,FALSE()))),"OLD",IF(AND(E5247&lt;&gt;"",E5247&lt;&gt;"!!!"),"NEW","")))</f>
        <v> </v>
      </c>
      <c r="G5247" s="24" t="str">
        <f>IF(OR(E5247="",E5247="!!!"),"",IF(OR(J5247=0,AND(J5247=1,K5247=1),AND(J5247=1,I5247="SBJ"),AND(J5247=1,I5247=0)),"?IN_FOCUS",IF(J5247&lt;=2,"?ACTIVATED",IF(J5247&lt;&gt;"","?FAMILIAR",IF(F5247="NEW",IF(ISNA(VLOOKUP(E5247,#REF!,1,FALSE())),"?TYPE_IDENTIFIABLE","?REFERENTIAL"),"_")))))</f>
        <v> </v>
      </c>
      <c r="H5247" s="25" t="str">
        <f>IF(J5247&lt;&gt;1,"",IF(I5247="SBJ","CB","?"))</f>
        <v> </v>
      </c>
      <c r="I5247" s="26" t="str">
        <f>IF(OR(E5247="",E5247="!!!",F5247="NEW"),"",INDEX(B5246:B$2,-1+SUMPRODUCT(MAX(ROW(E5246:E$2)*(E5247=E5246:E$2)))))</f>
        <v> </v>
      </c>
      <c r="J5247" s="26" t="str">
        <f>IF(OR(E5247="",E5247="!!!",F5247="NEW"),"",COUNTBLANK(OFFSET(A$1,,,SUMPRODUCT(MAX(ROW(E$2:E5247)*(E5247=E$2:E5247)))))-COUNTBLANK(OFFSET(A$1,,,SUMPRODUCT(MAX(ROW(E$1:E5246)*(E2=E$1:E5246))))))</f>
        <v> </v>
      </c>
      <c r="K5247" s="26" t="str">
        <f>IF(OR(E5247="",E5247="!!!",F5247="NEW"),"",INDEX(J$1:J5246,SUMPRODUCT(MAX(ROW(E$1:E5246)*(E5247=E$1:E5246)))))</f>
        <v> </v>
      </c>
      <c r="L5247" s="27"/>
    </row>
    <row r="5248" spans="1:12">
      <c r="A5248" s="20" t="s">
        <v>1077</v>
      </c>
      <c r="E5248" s="22">
        <f>IF(D5248="?OLD","!!!","")</f>
        <v/>
      </c>
      <c r="F5248" s="23" t="str">
        <f>IF(OR(E5248="",E5248="!!!"),"",IF(NOT(ISNA(VLOOKUP(E5248,E$1:E5247,1,FALSE()))),"OLD",IF(AND(E5248&lt;&gt;"",E5248&lt;&gt;"!!!"),"NEW","")))</f>
        <v> </v>
      </c>
      <c r="G5248" s="24" t="str">
        <f>IF(OR(E5248="",E5248="!!!"),"",IF(OR(J5248=0,AND(J5248=1,K5248=1),AND(J5248=1,I5248="SBJ"),AND(J5248=1,I5248=0)),"?IN_FOCUS",IF(J5248&lt;=2,"?ACTIVATED",IF(J5248&lt;&gt;"","?FAMILIAR",IF(F5248="NEW",IF(ISNA(VLOOKUP(E5248,#REF!,1,FALSE())),"?TYPE_IDENTIFIABLE","?REFERENTIAL"),"_")))))</f>
        <v> </v>
      </c>
      <c r="H5248" s="25" t="str">
        <f>IF(J5248&lt;&gt;1,"",IF(I5248="SBJ","CB","?"))</f>
        <v> </v>
      </c>
      <c r="I5248" s="26" t="str">
        <f>IF(OR(E5248="",E5248="!!!",F5248="NEW"),"",INDEX(B5247:B$2,-1+SUMPRODUCT(MAX(ROW(E5247:E$2)*(E5248=E5247:E$2)))))</f>
        <v> </v>
      </c>
      <c r="J5248" s="26" t="str">
        <f>IF(OR(E5248="",E5248="!!!",F5248="NEW"),"",COUNTBLANK(OFFSET(A$1,,,SUMPRODUCT(MAX(ROW(E$2:E5248)*(E5248=E$2:E5248)))))-COUNTBLANK(OFFSET(A$1,,,SUMPRODUCT(MAX(ROW(E$1:E5247)*(E2=E$1:E5247))))))</f>
        <v> </v>
      </c>
      <c r="K5248" s="26" t="str">
        <f>IF(OR(E5248="",E5248="!!!",F5248="NEW"),"",INDEX(J$1:J5247,SUMPRODUCT(MAX(ROW(E$1:E5247)*(E5248=E$1:E5247)))))</f>
        <v> </v>
      </c>
      <c r="L5248" s="27"/>
    </row>
    <row r="5249" spans="1:12">
      <c r="A5249" s="20" t="s">
        <v>2504</v>
      </c>
      <c r="E5249" s="22">
        <f>IF(D5249="?OLD","!!!","")</f>
        <v/>
      </c>
      <c r="F5249" s="23" t="str">
        <f>IF(OR(E5249="",E5249="!!!"),"",IF(NOT(ISNA(VLOOKUP(E5249,E$1:E5248,1,FALSE()))),"OLD",IF(AND(E5249&lt;&gt;"",E5249&lt;&gt;"!!!"),"NEW","")))</f>
        <v> </v>
      </c>
      <c r="G5249" s="24" t="str">
        <f>IF(OR(E5249="",E5249="!!!"),"",IF(OR(J5249=0,AND(J5249=1,K5249=1),AND(J5249=1,I5249="SBJ"),AND(J5249=1,I5249=0)),"?IN_FOCUS",IF(J5249&lt;=2,"?ACTIVATED",IF(J5249&lt;&gt;"","?FAMILIAR",IF(F5249="NEW",IF(ISNA(VLOOKUP(E5249,#REF!,1,FALSE())),"?TYPE_IDENTIFIABLE","?REFERENTIAL"),"_")))))</f>
        <v> </v>
      </c>
      <c r="H5249" s="25" t="str">
        <f>IF(J5249&lt;&gt;1,"",IF(I5249="SBJ","CB","?"))</f>
        <v> </v>
      </c>
      <c r="I5249" s="26" t="str">
        <f>IF(OR(E5249="",E5249="!!!",F5249="NEW"),"",INDEX(B5248:B$2,-1+SUMPRODUCT(MAX(ROW(E5248:E$2)*(E5249=E5248:E$2)))))</f>
        <v> </v>
      </c>
      <c r="J5249" s="26" t="str">
        <f>IF(OR(E5249="",E5249="!!!",F5249="NEW"),"",COUNTBLANK(OFFSET(A$1,,,SUMPRODUCT(MAX(ROW(E$2:E5249)*(E5249=E$2:E5249)))))-COUNTBLANK(OFFSET(A$1,,,SUMPRODUCT(MAX(ROW(E$1:E5248)*(E2=E$1:E5248))))))</f>
        <v> </v>
      </c>
      <c r="K5249" s="26" t="str">
        <f>IF(OR(E5249="",E5249="!!!",F5249="NEW"),"",INDEX(J$1:J5248,SUMPRODUCT(MAX(ROW(E$1:E5248)*(E5249=E$1:E5248)))))</f>
        <v> </v>
      </c>
      <c r="L5249" s="27"/>
    </row>
    <row r="5250" spans="1:12">
      <c r="A5250" s="20" t="s">
        <v>16</v>
      </c>
      <c r="E5250" s="22">
        <f>IF(D5250="?OLD","!!!","")</f>
        <v/>
      </c>
      <c r="F5250" s="23" t="str">
        <f>IF(OR(E5250="",E5250="!!!"),"",IF(NOT(ISNA(VLOOKUP(E5250,E$1:E5249,1,FALSE()))),"OLD",IF(AND(E5250&lt;&gt;"",E5250&lt;&gt;"!!!"),"NEW","")))</f>
        <v> </v>
      </c>
      <c r="G5250" s="24" t="str">
        <f>IF(OR(E5250="",E5250="!!!"),"",IF(OR(J5250=0,AND(J5250=1,K5250=1),AND(J5250=1,I5250="SBJ"),AND(J5250=1,I5250=0)),"?IN_FOCUS",IF(J5250&lt;=2,"?ACTIVATED",IF(J5250&lt;&gt;"","?FAMILIAR",IF(F5250="NEW",IF(ISNA(VLOOKUP(E5250,#REF!,1,FALSE())),"?TYPE_IDENTIFIABLE","?REFERENTIAL"),"_")))))</f>
        <v> </v>
      </c>
      <c r="H5250" s="25" t="str">
        <f>IF(J5250&lt;&gt;1,"",IF(I5250="SBJ","CB","?"))</f>
        <v> </v>
      </c>
      <c r="I5250" s="26" t="str">
        <f>IF(OR(E5250="",E5250="!!!",F5250="NEW"),"",INDEX(B5249:B$2,-1+SUMPRODUCT(MAX(ROW(E5249:E$2)*(E5250=E5249:E$2)))))</f>
        <v> </v>
      </c>
      <c r="J5250" s="26" t="str">
        <f>IF(OR(E5250="",E5250="!!!",F5250="NEW"),"",COUNTBLANK(OFFSET(A$1,,,SUMPRODUCT(MAX(ROW(E$2:E5250)*(E5250=E$2:E5250)))))-COUNTBLANK(OFFSET(A$1,,,SUMPRODUCT(MAX(ROW(E$1:E5249)*(E2=E$1:E5249))))))</f>
        <v> </v>
      </c>
      <c r="K5250" s="26" t="str">
        <f>IF(OR(E5250="",E5250="!!!",F5250="NEW"),"",INDEX(J$1:J5249,SUMPRODUCT(MAX(ROW(E$1:E5249)*(E5250=E$1:E5249)))))</f>
        <v> </v>
      </c>
      <c r="L5250" s="27"/>
    </row>
    <row r="5251" spans="1:12">
      <c r="A5251" s="20" t="s">
        <v>2505</v>
      </c>
      <c r="E5251" s="22">
        <f>IF(D5251="?OLD","!!!","")</f>
        <v/>
      </c>
      <c r="F5251" s="23" t="str">
        <f>IF(OR(E5251="",E5251="!!!"),"",IF(NOT(ISNA(VLOOKUP(E5251,E$1:E5250,1,FALSE()))),"OLD",IF(AND(E5251&lt;&gt;"",E5251&lt;&gt;"!!!"),"NEW","")))</f>
        <v> </v>
      </c>
      <c r="G5251" s="24" t="str">
        <f>IF(OR(E5251="",E5251="!!!"),"",IF(OR(J5251=0,AND(J5251=1,K5251=1),AND(J5251=1,I5251="SBJ"),AND(J5251=1,I5251=0)),"?IN_FOCUS",IF(J5251&lt;=2,"?ACTIVATED",IF(J5251&lt;&gt;"","?FAMILIAR",IF(F5251="NEW",IF(ISNA(VLOOKUP(E5251,#REF!,1,FALSE())),"?TYPE_IDENTIFIABLE","?REFERENTIAL"),"_")))))</f>
        <v> </v>
      </c>
      <c r="H5251" s="25" t="str">
        <f>IF(J5251&lt;&gt;1,"",IF(I5251="SBJ","CB","?"))</f>
        <v> </v>
      </c>
      <c r="I5251" s="26" t="str">
        <f>IF(OR(E5251="",E5251="!!!",F5251="NEW"),"",INDEX(B5250:B$2,-1+SUMPRODUCT(MAX(ROW(E5250:E$2)*(E5251=E5250:E$2)))))</f>
        <v> </v>
      </c>
      <c r="J5251" s="26" t="str">
        <f>IF(OR(E5251="",E5251="!!!",F5251="NEW"),"",COUNTBLANK(OFFSET(A$1,,,SUMPRODUCT(MAX(ROW(E$2:E5251)*(E5251=E$2:E5251)))))-COUNTBLANK(OFFSET(A$1,,,SUMPRODUCT(MAX(ROW(E$1:E5250)*(E2=E$1:E5250))))))</f>
        <v> </v>
      </c>
      <c r="K5251" s="26" t="str">
        <f>IF(OR(E5251="",E5251="!!!",F5251="NEW"),"",INDEX(J$1:J5250,SUMPRODUCT(MAX(ROW(E$1:E5250)*(E5251=E$1:E5250)))))</f>
        <v> </v>
      </c>
      <c r="L5251" s="27"/>
    </row>
    <row r="5252" spans="1:12">
      <c r="A5252" s="20" t="s">
        <v>2506</v>
      </c>
      <c r="B5252" s="21" t="s">
        <v>1097</v>
      </c>
      <c r="C5252" s="21" t="s">
        <v>1080</v>
      </c>
      <c r="E5252" s="22">
        <f>IF(D5252="?OLD","!!!","")</f>
        <v/>
      </c>
      <c r="F5252" s="23" t="str">
        <f>IF(OR(E5252="",E5252="!!!"),"",IF(NOT(ISNA(VLOOKUP(E5252,E$1:E5251,1,FALSE()))),"OLD",IF(AND(E5252&lt;&gt;"",E5252&lt;&gt;"!!!"),"NEW","")))</f>
        <v> </v>
      </c>
      <c r="G5252" s="24" t="str">
        <f>IF(OR(E5252="",E5252="!!!"),"",IF(OR(J5252=0,AND(J5252=1,K5252=1),AND(J5252=1,I5252="SBJ"),AND(J5252=1,I5252=0)),"?IN_FOCUS",IF(J5252&lt;=2,"?ACTIVATED",IF(J5252&lt;&gt;"","?FAMILIAR",IF(F5252="NEW",IF(ISNA(VLOOKUP(E5252,#REF!,1,FALSE())),"?TYPE_IDENTIFIABLE","?REFERENTIAL"),"_")))))</f>
        <v> </v>
      </c>
      <c r="H5252" s="25" t="str">
        <f>IF(J5252&lt;&gt;1,"",IF(I5252="SBJ","CB","?"))</f>
        <v> </v>
      </c>
      <c r="I5252" s="26" t="str">
        <f>IF(OR(E5252="",E5252="!!!",F5252="NEW"),"",INDEX(B5251:B$2,-1+SUMPRODUCT(MAX(ROW(E5251:E$2)*(E5252=E5251:E$2)))))</f>
        <v> </v>
      </c>
      <c r="J5252" s="26" t="str">
        <f>IF(OR(E5252="",E5252="!!!",F5252="NEW"),"",COUNTBLANK(OFFSET(A$1,,,SUMPRODUCT(MAX(ROW(E$2:E5252)*(E5252=E$2:E5252)))))-COUNTBLANK(OFFSET(A$1,,,SUMPRODUCT(MAX(ROW(E$1:E5251)*(E2=E$1:E5251))))))</f>
        <v> </v>
      </c>
      <c r="K5252" s="26" t="str">
        <f>IF(OR(E5252="",E5252="!!!",F5252="NEW"),"",INDEX(J$1:J5251,SUMPRODUCT(MAX(ROW(E$1:E5251)*(E5252=E$1:E5251)))))</f>
        <v> </v>
      </c>
      <c r="L5252" s="27"/>
    </row>
    <row r="5253" spans="1:12">
      <c r="A5253" s="20" t="s">
        <v>923</v>
      </c>
      <c r="E5253" s="22">
        <f>IF(D5253="?OLD","!!!","")</f>
        <v/>
      </c>
      <c r="F5253" s="23" t="str">
        <f>IF(OR(E5253="",E5253="!!!"),"",IF(NOT(ISNA(VLOOKUP(E5253,E$1:E5252,1,FALSE()))),"OLD",IF(AND(E5253&lt;&gt;"",E5253&lt;&gt;"!!!"),"NEW","")))</f>
        <v> </v>
      </c>
      <c r="G5253" s="24" t="str">
        <f>IF(OR(E5253="",E5253="!!!"),"",IF(OR(J5253=0,AND(J5253=1,K5253=1),AND(J5253=1,I5253="SBJ"),AND(J5253=1,I5253=0)),"?IN_FOCUS",IF(J5253&lt;=2,"?ACTIVATED",IF(J5253&lt;&gt;"","?FAMILIAR",IF(F5253="NEW",IF(ISNA(VLOOKUP(E5253,#REF!,1,FALSE())),"?TYPE_IDENTIFIABLE","?REFERENTIAL"),"_")))))</f>
        <v> </v>
      </c>
      <c r="H5253" s="25" t="str">
        <f>IF(J5253&lt;&gt;1,"",IF(I5253="SBJ","CB","?"))</f>
        <v> </v>
      </c>
      <c r="I5253" s="26" t="str">
        <f>IF(OR(E5253="",E5253="!!!",F5253="NEW"),"",INDEX(B5252:B$2,-1+SUMPRODUCT(MAX(ROW(E5252:E$2)*(E5253=E5252:E$2)))))</f>
        <v> </v>
      </c>
      <c r="J5253" s="26" t="str">
        <f>IF(OR(E5253="",E5253="!!!",F5253="NEW"),"",COUNTBLANK(OFFSET(A$1,,,SUMPRODUCT(MAX(ROW(E$2:E5253)*(E5253=E$2:E5253)))))-COUNTBLANK(OFFSET(A$1,,,SUMPRODUCT(MAX(ROW(E$1:E5252)*(E2=E$1:E5252))))))</f>
        <v> </v>
      </c>
      <c r="K5253" s="26" t="str">
        <f>IF(OR(E5253="",E5253="!!!",F5253="NEW"),"",INDEX(J$1:J5252,SUMPRODUCT(MAX(ROW(E$1:E5252)*(E5253=E$1:E5252)))))</f>
        <v> </v>
      </c>
      <c r="L5253" s="27"/>
    </row>
    <row r="5254" spans="1:12">
      <c r="A5254" s="20"/>
    </row>
    <row r="5255" spans="1:12">
      <c r="A5255" s="20" t="s">
        <v>2507</v>
      </c>
    </row>
    <row r="5256" spans="1:12">
      <c r="A5256" s="20" t="s">
        <v>2508</v>
      </c>
      <c r="E5256" s="22">
        <f>IF(D5256="?OLD","!!!","")</f>
        <v/>
      </c>
      <c r="F5256" s="23" t="str">
        <f>IF(OR(E5256="",E5256="!!!"),"",IF(NOT(ISNA(VLOOKUP(E5256,E$1:E5255,1,FALSE()))),"OLD",IF(AND(E5256&lt;&gt;"",E5256&lt;&gt;"!!!"),"NEW","")))</f>
        <v> </v>
      </c>
      <c r="G5256" s="24" t="str">
        <f>IF(OR(E5256="",E5256="!!!"),"",IF(OR(J5256=0,AND(J5256=1,K5256=1),AND(J5256=1,I5256="SBJ"),AND(J5256=1,I5256=0)),"?IN_FOCUS",IF(J5256&lt;=2,"?ACTIVATED",IF(J5256&lt;&gt;"","?FAMILIAR",IF(F5256="NEW",IF(ISNA(VLOOKUP(E5256,#REF!,1,FALSE())),"?TYPE_IDENTIFIABLE","?REFERENTIAL"),"_")))))</f>
        <v> </v>
      </c>
      <c r="H5256" s="25" t="str">
        <f>IF(J5256&lt;&gt;1,"",IF(I5256="SBJ","CB","?"))</f>
        <v> </v>
      </c>
      <c r="I5256" s="26" t="str">
        <f>IF(OR(E5256="",E5256="!!!",F5256="NEW"),"",INDEX(B5255:B$2,-1+SUMPRODUCT(MAX(ROW(E5255:E$2)*(E5256=E5255:E$2)))))</f>
        <v> </v>
      </c>
      <c r="J5256" s="26" t="str">
        <f>IF(OR(E5256="",E5256="!!!",F5256="NEW"),"",COUNTBLANK(OFFSET(A$1,,,SUMPRODUCT(MAX(ROW(E$2:E5256)*(E5256=E$2:E5256)))))-COUNTBLANK(OFFSET(A$1,,,SUMPRODUCT(MAX(ROW(E$1:E5255)*(E2=E$1:E5255))))))</f>
        <v> </v>
      </c>
      <c r="K5256" s="26" t="str">
        <f>IF(OR(E5256="",E5256="!!!",F5256="NEW"),"",INDEX(J$1:J5255,SUMPRODUCT(MAX(ROW(E$1:E5255)*(E5256=E$1:E5255)))))</f>
        <v> </v>
      </c>
      <c r="L5256" s="27"/>
    </row>
    <row r="5257" spans="1:12">
      <c r="A5257" s="20" t="s">
        <v>2323</v>
      </c>
      <c r="B5257" s="21" t="s">
        <v>1058</v>
      </c>
      <c r="C5257" s="21" t="s">
        <v>1149</v>
      </c>
      <c r="E5257" s="22">
        <f>IF(D5257="?OLD","!!!","")</f>
        <v/>
      </c>
      <c r="F5257" s="23" t="str">
        <f>IF(OR(E5257="",E5257="!!!"),"",IF(NOT(ISNA(VLOOKUP(E5257,E$1:E5256,1,FALSE()))),"OLD",IF(AND(E5257&lt;&gt;"",E5257&lt;&gt;"!!!"),"NEW","")))</f>
        <v> </v>
      </c>
      <c r="G5257" s="24" t="str">
        <f>IF(OR(E5257="",E5257="!!!"),"",IF(OR(J5257=0,AND(J5257=1,K5257=1),AND(J5257=1,I5257="SBJ"),AND(J5257=1,I5257=0)),"?IN_FOCUS",IF(J5257&lt;=2,"?ACTIVATED",IF(J5257&lt;&gt;"","?FAMILIAR",IF(F5257="NEW",IF(ISNA(VLOOKUP(E5257,#REF!,1,FALSE())),"?TYPE_IDENTIFIABLE","?REFERENTIAL"),"_")))))</f>
        <v> </v>
      </c>
      <c r="H5257" s="25" t="str">
        <f>IF(J5257&lt;&gt;1,"",IF(I5257="SBJ","CB","?"))</f>
        <v> </v>
      </c>
      <c r="I5257" s="26" t="str">
        <f>IF(OR(E5257="",E5257="!!!",F5257="NEW"),"",INDEX(B5256:B$2,-1+SUMPRODUCT(MAX(ROW(E5256:E$2)*(E5257=E5256:E$2)))))</f>
        <v> </v>
      </c>
      <c r="J5257" s="26" t="str">
        <f>IF(OR(E5257="",E5257="!!!",F5257="NEW"),"",COUNTBLANK(OFFSET(A$1,,,SUMPRODUCT(MAX(ROW(E$2:E5257)*(E5257=E$2:E5257)))))-COUNTBLANK(OFFSET(A$1,,,SUMPRODUCT(MAX(ROW(E$1:E5256)*(E2=E$1:E5256))))))</f>
        <v> </v>
      </c>
      <c r="K5257" s="26" t="str">
        <f>IF(OR(E5257="",E5257="!!!",F5257="NEW"),"",INDEX(J$1:J5256,SUMPRODUCT(MAX(ROW(E$1:E5256)*(E5257=E$1:E5256)))))</f>
        <v> </v>
      </c>
      <c r="L5257" s="27"/>
    </row>
    <row r="5258" spans="1:12">
      <c r="A5258" s="20" t="s">
        <v>1361</v>
      </c>
      <c r="E5258" s="22">
        <f>IF(D5258="?OLD","!!!","")</f>
        <v/>
      </c>
      <c r="F5258" s="23" t="str">
        <f>IF(OR(E5258="",E5258="!!!"),"",IF(NOT(ISNA(VLOOKUP(E5258,E$1:E5257,1,FALSE()))),"OLD",IF(AND(E5258&lt;&gt;"",E5258&lt;&gt;"!!!"),"NEW","")))</f>
        <v> </v>
      </c>
      <c r="G5258" s="24" t="str">
        <f>IF(OR(E5258="",E5258="!!!"),"",IF(OR(J5258=0,AND(J5258=1,K5258=1),AND(J5258=1,I5258="SBJ"),AND(J5258=1,I5258=0)),"?IN_FOCUS",IF(J5258&lt;=2,"?ACTIVATED",IF(J5258&lt;&gt;"","?FAMILIAR",IF(F5258="NEW",IF(ISNA(VLOOKUP(E5258,#REF!,1,FALSE())),"?TYPE_IDENTIFIABLE","?REFERENTIAL"),"_")))))</f>
        <v> </v>
      </c>
      <c r="H5258" s="25" t="str">
        <f>IF(J5258&lt;&gt;1,"",IF(I5258="SBJ","CB","?"))</f>
        <v> </v>
      </c>
      <c r="I5258" s="26" t="str">
        <f>IF(OR(E5258="",E5258="!!!",F5258="NEW"),"",INDEX(B5257:B$2,-1+SUMPRODUCT(MAX(ROW(E5257:E$2)*(E5258=E5257:E$2)))))</f>
        <v> </v>
      </c>
      <c r="J5258" s="26" t="str">
        <f>IF(OR(E5258="",E5258="!!!",F5258="NEW"),"",COUNTBLANK(OFFSET(A$1,,,SUMPRODUCT(MAX(ROW(E$2:E5258)*(E5258=E$2:E5258)))))-COUNTBLANK(OFFSET(A$1,,,SUMPRODUCT(MAX(ROW(E$1:E5257)*(E2=E$1:E5257))))))</f>
        <v> </v>
      </c>
      <c r="K5258" s="26" t="str">
        <f>IF(OR(E5258="",E5258="!!!",F5258="NEW"),"",INDEX(J$1:J5257,SUMPRODUCT(MAX(ROW(E$1:E5257)*(E5258=E$1:E5257)))))</f>
        <v> </v>
      </c>
      <c r="L5258" s="27"/>
    </row>
    <row r="5259" spans="1:12">
      <c r="A5259" s="20" t="s">
        <v>1133</v>
      </c>
      <c r="E5259" s="22">
        <f>IF(D5259="?OLD","!!!","")</f>
        <v/>
      </c>
      <c r="F5259" s="23" t="str">
        <f>IF(OR(E5259="",E5259="!!!"),"",IF(NOT(ISNA(VLOOKUP(E5259,E$1:E5258,1,FALSE()))),"OLD",IF(AND(E5259&lt;&gt;"",E5259&lt;&gt;"!!!"),"NEW","")))</f>
        <v> </v>
      </c>
      <c r="G5259" s="24" t="str">
        <f>IF(OR(E5259="",E5259="!!!"),"",IF(OR(J5259=0,AND(J5259=1,K5259=1),AND(J5259=1,I5259="SBJ"),AND(J5259=1,I5259=0)),"?IN_FOCUS",IF(J5259&lt;=2,"?ACTIVATED",IF(J5259&lt;&gt;"","?FAMILIAR",IF(F5259="NEW",IF(ISNA(VLOOKUP(E5259,#REF!,1,FALSE())),"?TYPE_IDENTIFIABLE","?REFERENTIAL"),"_")))))</f>
        <v> </v>
      </c>
      <c r="H5259" s="25" t="str">
        <f>IF(J5259&lt;&gt;1,"",IF(I5259="SBJ","CB","?"))</f>
        <v> </v>
      </c>
      <c r="I5259" s="26" t="str">
        <f>IF(OR(E5259="",E5259="!!!",F5259="NEW"),"",INDEX(B5258:B$2,-1+SUMPRODUCT(MAX(ROW(E5258:E$2)*(E5259=E5258:E$2)))))</f>
        <v> </v>
      </c>
      <c r="J5259" s="26" t="str">
        <f>IF(OR(E5259="",E5259="!!!",F5259="NEW"),"",COUNTBLANK(OFFSET(A$1,,,SUMPRODUCT(MAX(ROW(E$2:E5259)*(E5259=E$2:E5259)))))-COUNTBLANK(OFFSET(A$1,,,SUMPRODUCT(MAX(ROW(E$1:E5258)*(E2=E$1:E5258))))))</f>
        <v> </v>
      </c>
      <c r="K5259" s="26" t="str">
        <f>IF(OR(E5259="",E5259="!!!",F5259="NEW"),"",INDEX(J$1:J5258,SUMPRODUCT(MAX(ROW(E$1:E5258)*(E5259=E$1:E5258)))))</f>
        <v> </v>
      </c>
      <c r="L5259" s="27"/>
    </row>
    <row r="5260" spans="1:12">
      <c r="A5260" s="20" t="s">
        <v>106</v>
      </c>
      <c r="E5260" s="22">
        <f>IF(D5260="?OLD","!!!","")</f>
        <v/>
      </c>
      <c r="F5260" s="23" t="str">
        <f>IF(OR(E5260="",E5260="!!!"),"",IF(NOT(ISNA(VLOOKUP(E5260,E$1:E5259,1,FALSE()))),"OLD",IF(AND(E5260&lt;&gt;"",E5260&lt;&gt;"!!!"),"NEW","")))</f>
        <v> </v>
      </c>
      <c r="G5260" s="24" t="str">
        <f>IF(OR(E5260="",E5260="!!!"),"",IF(OR(J5260=0,AND(J5260=1,K5260=1),AND(J5260=1,I5260="SBJ"),AND(J5260=1,I5260=0)),"?IN_FOCUS",IF(J5260&lt;=2,"?ACTIVATED",IF(J5260&lt;&gt;"","?FAMILIAR",IF(F5260="NEW",IF(ISNA(VLOOKUP(E5260,#REF!,1,FALSE())),"?TYPE_IDENTIFIABLE","?REFERENTIAL"),"_")))))</f>
        <v> </v>
      </c>
      <c r="H5260" s="25" t="str">
        <f>IF(J5260&lt;&gt;1,"",IF(I5260="SBJ","CB","?"))</f>
        <v> </v>
      </c>
      <c r="I5260" s="26" t="str">
        <f>IF(OR(E5260="",E5260="!!!",F5260="NEW"),"",INDEX(B5259:B$2,-1+SUMPRODUCT(MAX(ROW(E5259:E$2)*(E5260=E5259:E$2)))))</f>
        <v> </v>
      </c>
      <c r="J5260" s="26" t="str">
        <f>IF(OR(E5260="",E5260="!!!",F5260="NEW"),"",COUNTBLANK(OFFSET(A$1,,,SUMPRODUCT(MAX(ROW(E$2:E5260)*(E5260=E$2:E5260)))))-COUNTBLANK(OFFSET(A$1,,,SUMPRODUCT(MAX(ROW(E$1:E5259)*(E2=E$1:E5259))))))</f>
        <v> </v>
      </c>
      <c r="K5260" s="26" t="str">
        <f>IF(OR(E5260="",E5260="!!!",F5260="NEW"),"",INDEX(J$1:J5259,SUMPRODUCT(MAX(ROW(E$1:E5259)*(E5260=E$1:E5259)))))</f>
        <v> </v>
      </c>
      <c r="L5260" s="27"/>
    </row>
    <row r="5261" spans="1:12">
      <c r="A5261" s="20" t="s">
        <v>1090</v>
      </c>
      <c r="B5261" s="21" t="s">
        <v>1068</v>
      </c>
      <c r="C5261" s="21" t="s">
        <v>1092</v>
      </c>
      <c r="D5261" s="21" t="s">
        <v>1060</v>
      </c>
      <c r="E5261" s="22">
        <f>IF(D5261="?OLD","!!!","")</f>
        <v/>
      </c>
      <c r="F5261" s="23" t="str">
        <f>IF(OR(E5261="",E5261="!!!"),"",IF(NOT(ISNA(VLOOKUP(E5261,E$1:E5260,1,FALSE()))),"OLD",IF(AND(E5261&lt;&gt;"",E5261&lt;&gt;"!!!"),"NEW","")))</f>
        <v> </v>
      </c>
      <c r="G5261" s="24" t="str">
        <f>IF(OR(E5261="",E5261="!!!"),"",IF(OR(J5261=0,AND(J5261=1,K5261=1),AND(J5261=1,I5261="SBJ"),AND(J5261=1,I5261=0)),"?IN_FOCUS",IF(J5261&lt;=2,"?ACTIVATED",IF(J5261&lt;&gt;"","?FAMILIAR",IF(F5261="NEW",IF(ISNA(VLOOKUP(E5261,#REF!,1,FALSE())),"?TYPE_IDENTIFIABLE","?REFERENTIAL"),"_")))))</f>
        <v> </v>
      </c>
      <c r="H5261" s="25" t="str">
        <f>IF(J5261&lt;&gt;1,"",IF(I5261="SBJ","CB","?"))</f>
        <v> </v>
      </c>
      <c r="I5261" s="26" t="str">
        <f>IF(OR(E5261="",E5261="!!!",F5261="NEW"),"",INDEX(B5260:B$2,-1+SUMPRODUCT(MAX(ROW(E5260:E$2)*(E5261=E5260:E$2)))))</f>
        <v> </v>
      </c>
      <c r="J5261" s="26" t="str">
        <f>IF(OR(E5261="",E5261="!!!",F5261="NEW"),"",COUNTBLANK(OFFSET(A$1,,,SUMPRODUCT(MAX(ROW(E$2:E5261)*(E5261=E$2:E5261)))))-COUNTBLANK(OFFSET(A$1,,,SUMPRODUCT(MAX(ROW(E$1:E5260)*(E2=E$1:E5260))))))</f>
        <v> </v>
      </c>
      <c r="K5261" s="26" t="str">
        <f>IF(OR(E5261="",E5261="!!!",F5261="NEW"),"",INDEX(J$1:J5260,SUMPRODUCT(MAX(ROW(E$1:E5260)*(E5261=E$1:E5260)))))</f>
        <v> </v>
      </c>
      <c r="L5261" s="27"/>
    </row>
    <row r="5262" spans="1:12">
      <c r="A5262" s="20" t="s">
        <v>2509</v>
      </c>
      <c r="B5262" s="21" t="s">
        <v>1075</v>
      </c>
      <c r="C5262" s="21" t="s">
        <v>1059</v>
      </c>
      <c r="D5262" s="21" t="s">
        <v>1060</v>
      </c>
      <c r="E5262" s="22">
        <f>IF(D5262="?OLD","!!!","")</f>
        <v/>
      </c>
      <c r="F5262" s="23" t="str">
        <f>IF(OR(E5262="",E5262="!!!"),"",IF(NOT(ISNA(VLOOKUP(E5262,E$1:E5261,1,FALSE()))),"OLD",IF(AND(E5262&lt;&gt;"",E5262&lt;&gt;"!!!"),"NEW","")))</f>
        <v> </v>
      </c>
      <c r="G5262" s="24" t="str">
        <f>IF(OR(E5262="",E5262="!!!"),"",IF(OR(J5262=0,AND(J5262=1,K5262=1),AND(J5262=1,I5262="SBJ"),AND(J5262=1,I5262=0)),"?IN_FOCUS",IF(J5262&lt;=2,"?ACTIVATED",IF(J5262&lt;&gt;"","?FAMILIAR",IF(F5262="NEW",IF(ISNA(VLOOKUP(E5262,#REF!,1,FALSE())),"?TYPE_IDENTIFIABLE","?REFERENTIAL"),"_")))))</f>
        <v> </v>
      </c>
      <c r="H5262" s="25" t="str">
        <f>IF(J5262&lt;&gt;1,"",IF(I5262="SBJ","CB","?"))</f>
        <v> </v>
      </c>
      <c r="I5262" s="26" t="str">
        <f>IF(OR(E5262="",E5262="!!!",F5262="NEW"),"",INDEX(B5261:B$2,-1+SUMPRODUCT(MAX(ROW(E5261:E$2)*(E5262=E5261:E$2)))))</f>
        <v> </v>
      </c>
      <c r="J5262" s="26" t="str">
        <f>IF(OR(E5262="",E5262="!!!",F5262="NEW"),"",COUNTBLANK(OFFSET(A$1,,,SUMPRODUCT(MAX(ROW(E$2:E5262)*(E5262=E$2:E5262)))))-COUNTBLANK(OFFSET(A$1,,,SUMPRODUCT(MAX(ROW(E$1:E5261)*(E2=E$1:E5261))))))</f>
        <v> </v>
      </c>
      <c r="K5262" s="26" t="str">
        <f>IF(OR(E5262="",E5262="!!!",F5262="NEW"),"",INDEX(J$1:J5261,SUMPRODUCT(MAX(ROW(E$1:E5261)*(E5262=E$1:E5261)))))</f>
        <v> </v>
      </c>
      <c r="L5262" s="27"/>
    </row>
    <row r="5263" spans="1:12">
      <c r="A5263" s="20" t="s">
        <v>1215</v>
      </c>
      <c r="E5263" s="22">
        <f>IF(D5263="?OLD","!!!","")</f>
        <v/>
      </c>
      <c r="F5263" s="23" t="str">
        <f>IF(OR(E5263="",E5263="!!!"),"",IF(NOT(ISNA(VLOOKUP(E5263,E$1:E5262,1,FALSE()))),"OLD",IF(AND(E5263&lt;&gt;"",E5263&lt;&gt;"!!!"),"NEW","")))</f>
        <v> </v>
      </c>
      <c r="G5263" s="24" t="str">
        <f>IF(OR(E5263="",E5263="!!!"),"",IF(OR(J5263=0,AND(J5263=1,K5263=1),AND(J5263=1,I5263="SBJ"),AND(J5263=1,I5263=0)),"?IN_FOCUS",IF(J5263&lt;=2,"?ACTIVATED",IF(J5263&lt;&gt;"","?FAMILIAR",IF(F5263="NEW",IF(ISNA(VLOOKUP(E5263,#REF!,1,FALSE())),"?TYPE_IDENTIFIABLE","?REFERENTIAL"),"_")))))</f>
        <v> </v>
      </c>
      <c r="H5263" s="25" t="str">
        <f>IF(J5263&lt;&gt;1,"",IF(I5263="SBJ","CB","?"))</f>
        <v> </v>
      </c>
      <c r="I5263" s="26" t="str">
        <f>IF(OR(E5263="",E5263="!!!",F5263="NEW"),"",INDEX(B5262:B$2,-1+SUMPRODUCT(MAX(ROW(E5262:E$2)*(E5263=E5262:E$2)))))</f>
        <v> </v>
      </c>
      <c r="J5263" s="26" t="str">
        <f>IF(OR(E5263="",E5263="!!!",F5263="NEW"),"",COUNTBLANK(OFFSET(A$1,,,SUMPRODUCT(MAX(ROW(E$2:E5263)*(E5263=E$2:E5263)))))-COUNTBLANK(OFFSET(A$1,,,SUMPRODUCT(MAX(ROW(E$1:E5262)*(E2=E$1:E5262))))))</f>
        <v> </v>
      </c>
      <c r="K5263" s="26" t="str">
        <f>IF(OR(E5263="",E5263="!!!",F5263="NEW"),"",INDEX(J$1:J5262,SUMPRODUCT(MAX(ROW(E$1:E5262)*(E5263=E$1:E5262)))))</f>
        <v> </v>
      </c>
      <c r="L5263" s="27"/>
    </row>
    <row r="5264" spans="1:12">
      <c r="A5264" s="20" t="s">
        <v>923</v>
      </c>
      <c r="E5264" s="22">
        <f>IF(D5264="?OLD","!!!","")</f>
        <v/>
      </c>
      <c r="F5264" s="23" t="str">
        <f>IF(OR(E5264="",E5264="!!!"),"",IF(NOT(ISNA(VLOOKUP(E5264,E$1:E5263,1,FALSE()))),"OLD",IF(AND(E5264&lt;&gt;"",E5264&lt;&gt;"!!!"),"NEW","")))</f>
        <v> </v>
      </c>
      <c r="G5264" s="24" t="str">
        <f>IF(OR(E5264="",E5264="!!!"),"",IF(OR(J5264=0,AND(J5264=1,K5264=1),AND(J5264=1,I5264="SBJ"),AND(J5264=1,I5264=0)),"?IN_FOCUS",IF(J5264&lt;=2,"?ACTIVATED",IF(J5264&lt;&gt;"","?FAMILIAR",IF(F5264="NEW",IF(ISNA(VLOOKUP(E5264,#REF!,1,FALSE())),"?TYPE_IDENTIFIABLE","?REFERENTIAL"),"_")))))</f>
        <v> </v>
      </c>
      <c r="H5264" s="25" t="str">
        <f>IF(J5264&lt;&gt;1,"",IF(I5264="SBJ","CB","?"))</f>
        <v> </v>
      </c>
      <c r="I5264" s="26" t="str">
        <f>IF(OR(E5264="",E5264="!!!",F5264="NEW"),"",INDEX(B5263:B$2,-1+SUMPRODUCT(MAX(ROW(E5263:E$2)*(E5264=E5263:E$2)))))</f>
        <v> </v>
      </c>
      <c r="J5264" s="26" t="str">
        <f>IF(OR(E5264="",E5264="!!!",F5264="NEW"),"",COUNTBLANK(OFFSET(A$1,,,SUMPRODUCT(MAX(ROW(E$2:E5264)*(E5264=E$2:E5264)))))-COUNTBLANK(OFFSET(A$1,,,SUMPRODUCT(MAX(ROW(E$1:E5263)*(E2=E$1:E5263))))))</f>
        <v> </v>
      </c>
      <c r="K5264" s="26" t="str">
        <f>IF(OR(E5264="",E5264="!!!",F5264="NEW"),"",INDEX(J$1:J5263,SUMPRODUCT(MAX(ROW(E$1:E5263)*(E5264=E$1:E5263)))))</f>
        <v> </v>
      </c>
      <c r="L5264" s="27"/>
    </row>
    <row r="5265" spans="1:12">
      <c r="A5265" s="20"/>
    </row>
    <row r="5266" spans="1:12">
      <c r="A5266" s="20" t="s">
        <v>2510</v>
      </c>
    </row>
    <row r="5267" spans="1:12">
      <c r="A5267" s="20" t="s">
        <v>2511</v>
      </c>
      <c r="E5267" s="22">
        <f>IF(D5267="?OLD","!!!","")</f>
        <v/>
      </c>
      <c r="F5267" s="23" t="str">
        <f>IF(OR(E5267="",E5267="!!!"),"",IF(NOT(ISNA(VLOOKUP(E5267,E$1:E5266,1,FALSE()))),"OLD",IF(AND(E5267&lt;&gt;"",E5267&lt;&gt;"!!!"),"NEW","")))</f>
        <v> </v>
      </c>
      <c r="G5267" s="24" t="str">
        <f>IF(OR(E5267="",E5267="!!!"),"",IF(OR(J5267=0,AND(J5267=1,K5267=1),AND(J5267=1,I5267="SBJ"),AND(J5267=1,I5267=0)),"?IN_FOCUS",IF(J5267&lt;=2,"?ACTIVATED",IF(J5267&lt;&gt;"","?FAMILIAR",IF(F5267="NEW",IF(ISNA(VLOOKUP(E5267,#REF!,1,FALSE())),"?TYPE_IDENTIFIABLE","?REFERENTIAL"),"_")))))</f>
        <v> </v>
      </c>
      <c r="H5267" s="25" t="str">
        <f>IF(J5267&lt;&gt;1,"",IF(I5267="SBJ","CB","?"))</f>
        <v> </v>
      </c>
      <c r="I5267" s="26" t="str">
        <f>IF(OR(E5267="",E5267="!!!",F5267="NEW"),"",INDEX(B5266:B$2,-1+SUMPRODUCT(MAX(ROW(E5266:E$2)*(E5267=E5266:E$2)))))</f>
        <v> </v>
      </c>
      <c r="J5267" s="26" t="str">
        <f>IF(OR(E5267="",E5267="!!!",F5267="NEW"),"",COUNTBLANK(OFFSET(A$1,,,SUMPRODUCT(MAX(ROW(E$2:E5267)*(E5267=E$2:E5267)))))-COUNTBLANK(OFFSET(A$1,,,SUMPRODUCT(MAX(ROW(E$1:E5266)*(E2=E$1:E5266))))))</f>
        <v> </v>
      </c>
      <c r="K5267" s="26" t="str">
        <f>IF(OR(E5267="",E5267="!!!",F5267="NEW"),"",INDEX(J$1:J5266,SUMPRODUCT(MAX(ROW(E$1:E5266)*(E5267=E$1:E5266)))))</f>
        <v> </v>
      </c>
      <c r="L5267" s="27"/>
    </row>
    <row r="5268" spans="1:12">
      <c r="A5268" s="20" t="s">
        <v>1070</v>
      </c>
      <c r="E5268" s="22">
        <f>IF(D5268="?OLD","!!!","")</f>
        <v/>
      </c>
      <c r="F5268" s="23" t="str">
        <f>IF(OR(E5268="",E5268="!!!"),"",IF(NOT(ISNA(VLOOKUP(E5268,E$1:E5267,1,FALSE()))),"OLD",IF(AND(E5268&lt;&gt;"",E5268&lt;&gt;"!!!"),"NEW","")))</f>
        <v> </v>
      </c>
      <c r="G5268" s="24" t="str">
        <f>IF(OR(E5268="",E5268="!!!"),"",IF(OR(J5268=0,AND(J5268=1,K5268=1),AND(J5268=1,I5268="SBJ"),AND(J5268=1,I5268=0)),"?IN_FOCUS",IF(J5268&lt;=2,"?ACTIVATED",IF(J5268&lt;&gt;"","?FAMILIAR",IF(F5268="NEW",IF(ISNA(VLOOKUP(E5268,#REF!,1,FALSE())),"?TYPE_IDENTIFIABLE","?REFERENTIAL"),"_")))))</f>
        <v> </v>
      </c>
      <c r="H5268" s="25" t="str">
        <f>IF(J5268&lt;&gt;1,"",IF(I5268="SBJ","CB","?"))</f>
        <v> </v>
      </c>
      <c r="I5268" s="26" t="str">
        <f>IF(OR(E5268="",E5268="!!!",F5268="NEW"),"",INDEX(B5267:B$2,-1+SUMPRODUCT(MAX(ROW(E5267:E$2)*(E5268=E5267:E$2)))))</f>
        <v> </v>
      </c>
      <c r="J5268" s="26" t="str">
        <f>IF(OR(E5268="",E5268="!!!",F5268="NEW"),"",COUNTBLANK(OFFSET(A$1,,,SUMPRODUCT(MAX(ROW(E$2:E5268)*(E5268=E$2:E5268)))))-COUNTBLANK(OFFSET(A$1,,,SUMPRODUCT(MAX(ROW(E$1:E5267)*(E2=E$1:E5267))))))</f>
        <v> </v>
      </c>
      <c r="K5268" s="26" t="str">
        <f>IF(OR(E5268="",E5268="!!!",F5268="NEW"),"",INDEX(J$1:J5267,SUMPRODUCT(MAX(ROW(E$1:E5267)*(E5268=E$1:E5267)))))</f>
        <v> </v>
      </c>
      <c r="L5268" s="27"/>
    </row>
    <row r="5269" spans="1:12">
      <c r="A5269" s="20" t="s">
        <v>1151</v>
      </c>
      <c r="B5269" s="21" t="s">
        <v>1058</v>
      </c>
      <c r="C5269" s="21" t="s">
        <v>1076</v>
      </c>
      <c r="D5269" s="21" t="s">
        <v>1060</v>
      </c>
      <c r="E5269" s="22">
        <f>IF(D5269="?OLD","!!!","")</f>
        <v/>
      </c>
      <c r="F5269" s="23" t="str">
        <f>IF(OR(E5269="",E5269="!!!"),"",IF(NOT(ISNA(VLOOKUP(E5269,E$1:E5268,1,FALSE()))),"OLD",IF(AND(E5269&lt;&gt;"",E5269&lt;&gt;"!!!"),"NEW","")))</f>
        <v> </v>
      </c>
      <c r="G5269" s="24" t="str">
        <f>IF(OR(E5269="",E5269="!!!"),"",IF(OR(J5269=0,AND(J5269=1,K5269=1),AND(J5269=1,I5269="SBJ"),AND(J5269=1,I5269=0)),"?IN_FOCUS",IF(J5269&lt;=2,"?ACTIVATED",IF(J5269&lt;&gt;"","?FAMILIAR",IF(F5269="NEW",IF(ISNA(VLOOKUP(E5269,#REF!,1,FALSE())),"?TYPE_IDENTIFIABLE","?REFERENTIAL"),"_")))))</f>
        <v> </v>
      </c>
      <c r="H5269" s="25" t="str">
        <f>IF(J5269&lt;&gt;1,"",IF(I5269="SBJ","CB","?"))</f>
        <v> </v>
      </c>
      <c r="I5269" s="26" t="str">
        <f>IF(OR(E5269="",E5269="!!!",F5269="NEW"),"",INDEX(B5268:B$2,-1+SUMPRODUCT(MAX(ROW(E5268:E$2)*(E5269=E5268:E$2)))))</f>
        <v> </v>
      </c>
      <c r="J5269" s="26" t="str">
        <f>IF(OR(E5269="",E5269="!!!",F5269="NEW"),"",COUNTBLANK(OFFSET(A$1,,,SUMPRODUCT(MAX(ROW(E$2:E5269)*(E5269=E$2:E5269)))))-COUNTBLANK(OFFSET(A$1,,,SUMPRODUCT(MAX(ROW(E$1:E5268)*(E2=E$1:E5268))))))</f>
        <v> </v>
      </c>
      <c r="K5269" s="26" t="str">
        <f>IF(OR(E5269="",E5269="!!!",F5269="NEW"),"",INDEX(J$1:J5268,SUMPRODUCT(MAX(ROW(E$1:E5268)*(E5269=E$1:E5268)))))</f>
        <v> </v>
      </c>
      <c r="L5269" s="27"/>
    </row>
    <row r="5270" spans="1:12">
      <c r="A5270" s="20" t="s">
        <v>621</v>
      </c>
      <c r="E5270" s="22">
        <f>IF(D5270="?OLD","!!!","")</f>
        <v/>
      </c>
      <c r="F5270" s="23" t="str">
        <f>IF(OR(E5270="",E5270="!!!"),"",IF(NOT(ISNA(VLOOKUP(E5270,E$1:E5269,1,FALSE()))),"OLD",IF(AND(E5270&lt;&gt;"",E5270&lt;&gt;"!!!"),"NEW","")))</f>
        <v> </v>
      </c>
      <c r="G5270" s="24" t="str">
        <f>IF(OR(E5270="",E5270="!!!"),"",IF(OR(J5270=0,AND(J5270=1,K5270=1),AND(J5270=1,I5270="SBJ"),AND(J5270=1,I5270=0)),"?IN_FOCUS",IF(J5270&lt;=2,"?ACTIVATED",IF(J5270&lt;&gt;"","?FAMILIAR",IF(F5270="NEW",IF(ISNA(VLOOKUP(E5270,#REF!,1,FALSE())),"?TYPE_IDENTIFIABLE","?REFERENTIAL"),"_")))))</f>
        <v> </v>
      </c>
      <c r="H5270" s="25" t="str">
        <f>IF(J5270&lt;&gt;1,"",IF(I5270="SBJ","CB","?"))</f>
        <v> </v>
      </c>
      <c r="I5270" s="26" t="str">
        <f>IF(OR(E5270="",E5270="!!!",F5270="NEW"),"",INDEX(B5269:B$2,-1+SUMPRODUCT(MAX(ROW(E5269:E$2)*(E5270=E5269:E$2)))))</f>
        <v> </v>
      </c>
      <c r="J5270" s="26" t="str">
        <f>IF(OR(E5270="",E5270="!!!",F5270="NEW"),"",COUNTBLANK(OFFSET(A$1,,,SUMPRODUCT(MAX(ROW(E$2:E5270)*(E5270=E$2:E5270)))))-COUNTBLANK(OFFSET(A$1,,,SUMPRODUCT(MAX(ROW(E$1:E5269)*(E2=E$1:E5269))))))</f>
        <v> </v>
      </c>
      <c r="K5270" s="26" t="str">
        <f>IF(OR(E5270="",E5270="!!!",F5270="NEW"),"",INDEX(J$1:J5269,SUMPRODUCT(MAX(ROW(E$1:E5269)*(E5270=E$1:E5269)))))</f>
        <v> </v>
      </c>
      <c r="L5270" s="27"/>
    </row>
    <row r="5271" spans="1:12">
      <c r="A5271" s="20" t="s">
        <v>1256</v>
      </c>
      <c r="E5271" s="22">
        <f>IF(D5271="?OLD","!!!","")</f>
        <v/>
      </c>
      <c r="F5271" s="23" t="str">
        <f>IF(OR(E5271="",E5271="!!!"),"",IF(NOT(ISNA(VLOOKUP(E5271,E$1:E5270,1,FALSE()))),"OLD",IF(AND(E5271&lt;&gt;"",E5271&lt;&gt;"!!!"),"NEW","")))</f>
        <v> </v>
      </c>
      <c r="G5271" s="24" t="str">
        <f>IF(OR(E5271="",E5271="!!!"),"",IF(OR(J5271=0,AND(J5271=1,K5271=1),AND(J5271=1,I5271="SBJ"),AND(J5271=1,I5271=0)),"?IN_FOCUS",IF(J5271&lt;=2,"?ACTIVATED",IF(J5271&lt;&gt;"","?FAMILIAR",IF(F5271="NEW",IF(ISNA(VLOOKUP(E5271,#REF!,1,FALSE())),"?TYPE_IDENTIFIABLE","?REFERENTIAL"),"_")))))</f>
        <v> </v>
      </c>
      <c r="H5271" s="25" t="str">
        <f>IF(J5271&lt;&gt;1,"",IF(I5271="SBJ","CB","?"))</f>
        <v> </v>
      </c>
      <c r="I5271" s="26" t="str">
        <f>IF(OR(E5271="",E5271="!!!",F5271="NEW"),"",INDEX(B5270:B$2,-1+SUMPRODUCT(MAX(ROW(E5270:E$2)*(E5271=E5270:E$2)))))</f>
        <v> </v>
      </c>
      <c r="J5271" s="26" t="str">
        <f>IF(OR(E5271="",E5271="!!!",F5271="NEW"),"",COUNTBLANK(OFFSET(A$1,,,SUMPRODUCT(MAX(ROW(E$2:E5271)*(E5271=E$2:E5271)))))-COUNTBLANK(OFFSET(A$1,,,SUMPRODUCT(MAX(ROW(E$1:E5270)*(E2=E$1:E5270))))))</f>
        <v> </v>
      </c>
      <c r="K5271" s="26" t="str">
        <f>IF(OR(E5271="",E5271="!!!",F5271="NEW"),"",INDEX(J$1:J5270,SUMPRODUCT(MAX(ROW(E$1:E5270)*(E5271=E$1:E5270)))))</f>
        <v> </v>
      </c>
      <c r="L5271" s="27"/>
    </row>
    <row r="5272" spans="1:12">
      <c r="A5272" s="20" t="s">
        <v>169</v>
      </c>
      <c r="E5272" s="22">
        <f>IF(D5272="?OLD","!!!","")</f>
        <v/>
      </c>
      <c r="F5272" s="23" t="str">
        <f>IF(OR(E5272="",E5272="!!!"),"",IF(NOT(ISNA(VLOOKUP(E5272,E$1:E5271,1,FALSE()))),"OLD",IF(AND(E5272&lt;&gt;"",E5272&lt;&gt;"!!!"),"NEW","")))</f>
        <v> </v>
      </c>
      <c r="G5272" s="24" t="str">
        <f>IF(OR(E5272="",E5272="!!!"),"",IF(OR(J5272=0,AND(J5272=1,K5272=1),AND(J5272=1,I5272="SBJ"),AND(J5272=1,I5272=0)),"?IN_FOCUS",IF(J5272&lt;=2,"?ACTIVATED",IF(J5272&lt;&gt;"","?FAMILIAR",IF(F5272="NEW",IF(ISNA(VLOOKUP(E5272,#REF!,1,FALSE())),"?TYPE_IDENTIFIABLE","?REFERENTIAL"),"_")))))</f>
        <v> </v>
      </c>
      <c r="H5272" s="25" t="str">
        <f>IF(J5272&lt;&gt;1,"",IF(I5272="SBJ","CB","?"))</f>
        <v> </v>
      </c>
      <c r="I5272" s="26" t="str">
        <f>IF(OR(E5272="",E5272="!!!",F5272="NEW"),"",INDEX(B5271:B$2,-1+SUMPRODUCT(MAX(ROW(E5271:E$2)*(E5272=E5271:E$2)))))</f>
        <v> </v>
      </c>
      <c r="J5272" s="26" t="str">
        <f>IF(OR(E5272="",E5272="!!!",F5272="NEW"),"",COUNTBLANK(OFFSET(A$1,,,SUMPRODUCT(MAX(ROW(E$2:E5272)*(E5272=E$2:E5272)))))-COUNTBLANK(OFFSET(A$1,,,SUMPRODUCT(MAX(ROW(E$1:E5271)*(E2=E$1:E5271))))))</f>
        <v> </v>
      </c>
      <c r="K5272" s="26" t="str">
        <f>IF(OR(E5272="",E5272="!!!",F5272="NEW"),"",INDEX(J$1:J5271,SUMPRODUCT(MAX(ROW(E$1:E5271)*(E5272=E$1:E5271)))))</f>
        <v> </v>
      </c>
      <c r="L5272" s="27"/>
    </row>
    <row r="5273" spans="1:12">
      <c r="A5273" s="20" t="s">
        <v>1082</v>
      </c>
      <c r="E5273" s="22">
        <f>IF(D5273="?OLD","!!!","")</f>
        <v/>
      </c>
      <c r="F5273" s="23" t="str">
        <f>IF(OR(E5273="",E5273="!!!"),"",IF(NOT(ISNA(VLOOKUP(E5273,E$1:E5272,1,FALSE()))),"OLD",IF(AND(E5273&lt;&gt;"",E5273&lt;&gt;"!!!"),"NEW","")))</f>
        <v> </v>
      </c>
      <c r="G5273" s="24" t="str">
        <f>IF(OR(E5273="",E5273="!!!"),"",IF(OR(J5273=0,AND(J5273=1,K5273=1),AND(J5273=1,I5273="SBJ"),AND(J5273=1,I5273=0)),"?IN_FOCUS",IF(J5273&lt;=2,"?ACTIVATED",IF(J5273&lt;&gt;"","?FAMILIAR",IF(F5273="NEW",IF(ISNA(VLOOKUP(E5273,#REF!,1,FALSE())),"?TYPE_IDENTIFIABLE","?REFERENTIAL"),"_")))))</f>
        <v> </v>
      </c>
      <c r="H5273" s="25" t="str">
        <f>IF(J5273&lt;&gt;1,"",IF(I5273="SBJ","CB","?"))</f>
        <v> </v>
      </c>
      <c r="I5273" s="26" t="str">
        <f>IF(OR(E5273="",E5273="!!!",F5273="NEW"),"",INDEX(B5272:B$2,-1+SUMPRODUCT(MAX(ROW(E5272:E$2)*(E5273=E5272:E$2)))))</f>
        <v> </v>
      </c>
      <c r="J5273" s="26" t="str">
        <f>IF(OR(E5273="",E5273="!!!",F5273="NEW"),"",COUNTBLANK(OFFSET(A$1,,,SUMPRODUCT(MAX(ROW(E$2:E5273)*(E5273=E$2:E5273)))))-COUNTBLANK(OFFSET(A$1,,,SUMPRODUCT(MAX(ROW(E$1:E5272)*(E2=E$1:E5272))))))</f>
        <v> </v>
      </c>
      <c r="K5273" s="26" t="str">
        <f>IF(OR(E5273="",E5273="!!!",F5273="NEW"),"",INDEX(J$1:J5272,SUMPRODUCT(MAX(ROW(E$1:E5272)*(E5273=E$1:E5272)))))</f>
        <v> </v>
      </c>
      <c r="L5273" s="27"/>
    </row>
    <row r="5274" spans="1:12">
      <c r="A5274" s="20" t="s">
        <v>1311</v>
      </c>
      <c r="E5274" s="22">
        <f>IF(D5274="?OLD","!!!","")</f>
        <v/>
      </c>
      <c r="F5274" s="23" t="str">
        <f>IF(OR(E5274="",E5274="!!!"),"",IF(NOT(ISNA(VLOOKUP(E5274,E$1:E5273,1,FALSE()))),"OLD",IF(AND(E5274&lt;&gt;"",E5274&lt;&gt;"!!!"),"NEW","")))</f>
        <v> </v>
      </c>
      <c r="G5274" s="24" t="str">
        <f>IF(OR(E5274="",E5274="!!!"),"",IF(OR(J5274=0,AND(J5274=1,K5274=1),AND(J5274=1,I5274="SBJ"),AND(J5274=1,I5274=0)),"?IN_FOCUS",IF(J5274&lt;=2,"?ACTIVATED",IF(J5274&lt;&gt;"","?FAMILIAR",IF(F5274="NEW",IF(ISNA(VLOOKUP(E5274,#REF!,1,FALSE())),"?TYPE_IDENTIFIABLE","?REFERENTIAL"),"_")))))</f>
        <v> </v>
      </c>
      <c r="H5274" s="25" t="str">
        <f>IF(J5274&lt;&gt;1,"",IF(I5274="SBJ","CB","?"))</f>
        <v> </v>
      </c>
      <c r="I5274" s="26" t="str">
        <f>IF(OR(E5274="",E5274="!!!",F5274="NEW"),"",INDEX(B5273:B$2,-1+SUMPRODUCT(MAX(ROW(E5273:E$2)*(E5274=E5273:E$2)))))</f>
        <v> </v>
      </c>
      <c r="J5274" s="26" t="str">
        <f>IF(OR(E5274="",E5274="!!!",F5274="NEW"),"",COUNTBLANK(OFFSET(A$1,,,SUMPRODUCT(MAX(ROW(E$2:E5274)*(E5274=E$2:E5274)))))-COUNTBLANK(OFFSET(A$1,,,SUMPRODUCT(MAX(ROW(E$1:E5273)*(E2=E$1:E5273))))))</f>
        <v> </v>
      </c>
      <c r="K5274" s="26" t="str">
        <f>IF(OR(E5274="",E5274="!!!",F5274="NEW"),"",INDEX(J$1:J5273,SUMPRODUCT(MAX(ROW(E$1:E5273)*(E5274=E$1:E5273)))))</f>
        <v> </v>
      </c>
      <c r="L5274" s="27"/>
    </row>
    <row r="5275" spans="1:12">
      <c r="A5275" s="20" t="s">
        <v>547</v>
      </c>
      <c r="B5275" s="21" t="s">
        <v>1079</v>
      </c>
      <c r="C5275" s="21" t="s">
        <v>1159</v>
      </c>
      <c r="D5275" s="21" t="s">
        <v>1060</v>
      </c>
      <c r="E5275" s="22">
        <f>IF(D5275="?OLD","!!!","")</f>
        <v/>
      </c>
      <c r="F5275" s="23" t="str">
        <f>IF(OR(E5275="",E5275="!!!"),"",IF(NOT(ISNA(VLOOKUP(E5275,E$1:E5274,1,FALSE()))),"OLD",IF(AND(E5275&lt;&gt;"",E5275&lt;&gt;"!!!"),"NEW","")))</f>
        <v> </v>
      </c>
      <c r="G5275" s="24" t="str">
        <f>IF(OR(E5275="",E5275="!!!"),"",IF(OR(J5275=0,AND(J5275=1,K5275=1),AND(J5275=1,I5275="SBJ"),AND(J5275=1,I5275=0)),"?IN_FOCUS",IF(J5275&lt;=2,"?ACTIVATED",IF(J5275&lt;&gt;"","?FAMILIAR",IF(F5275="NEW",IF(ISNA(VLOOKUP(E5275,#REF!,1,FALSE())),"?TYPE_IDENTIFIABLE","?REFERENTIAL"),"_")))))</f>
        <v> </v>
      </c>
      <c r="H5275" s="25" t="str">
        <f>IF(J5275&lt;&gt;1,"",IF(I5275="SBJ","CB","?"))</f>
        <v> </v>
      </c>
      <c r="I5275" s="26" t="str">
        <f>IF(OR(E5275="",E5275="!!!",F5275="NEW"),"",INDEX(B5274:B$2,-1+SUMPRODUCT(MAX(ROW(E5274:E$2)*(E5275=E5274:E$2)))))</f>
        <v> </v>
      </c>
      <c r="J5275" s="26" t="str">
        <f>IF(OR(E5275="",E5275="!!!",F5275="NEW"),"",COUNTBLANK(OFFSET(A$1,,,SUMPRODUCT(MAX(ROW(E$2:E5275)*(E5275=E$2:E5275)))))-COUNTBLANK(OFFSET(A$1,,,SUMPRODUCT(MAX(ROW(E$1:E5274)*(E2=E$1:E5274))))))</f>
        <v> </v>
      </c>
      <c r="K5275" s="26" t="str">
        <f>IF(OR(E5275="",E5275="!!!",F5275="NEW"),"",INDEX(J$1:J5274,SUMPRODUCT(MAX(ROW(E$1:E5274)*(E5275=E$1:E5274)))))</f>
        <v> </v>
      </c>
      <c r="L5275" s="27"/>
    </row>
    <row r="5276" spans="1:12">
      <c r="A5276" s="20" t="s">
        <v>2512</v>
      </c>
      <c r="E5276" s="22">
        <f>IF(D5276="?OLD","!!!","")</f>
        <v/>
      </c>
      <c r="F5276" s="23" t="str">
        <f>IF(OR(E5276="",E5276="!!!"),"",IF(NOT(ISNA(VLOOKUP(E5276,E$1:E5275,1,FALSE()))),"OLD",IF(AND(E5276&lt;&gt;"",E5276&lt;&gt;"!!!"),"NEW","")))</f>
        <v> </v>
      </c>
      <c r="G5276" s="24" t="str">
        <f>IF(OR(E5276="",E5276="!!!"),"",IF(OR(J5276=0,AND(J5276=1,K5276=1),AND(J5276=1,I5276="SBJ"),AND(J5276=1,I5276=0)),"?IN_FOCUS",IF(J5276&lt;=2,"?ACTIVATED",IF(J5276&lt;&gt;"","?FAMILIAR",IF(F5276="NEW",IF(ISNA(VLOOKUP(E5276,#REF!,1,FALSE())),"?TYPE_IDENTIFIABLE","?REFERENTIAL"),"_")))))</f>
        <v> </v>
      </c>
      <c r="H5276" s="25" t="str">
        <f>IF(J5276&lt;&gt;1,"",IF(I5276="SBJ","CB","?"))</f>
        <v> </v>
      </c>
      <c r="I5276" s="26" t="str">
        <f>IF(OR(E5276="",E5276="!!!",F5276="NEW"),"",INDEX(B5275:B$2,-1+SUMPRODUCT(MAX(ROW(E5275:E$2)*(E5276=E5275:E$2)))))</f>
        <v> </v>
      </c>
      <c r="J5276" s="26" t="str">
        <f>IF(OR(E5276="",E5276="!!!",F5276="NEW"),"",COUNTBLANK(OFFSET(A$1,,,SUMPRODUCT(MAX(ROW(E$2:E5276)*(E5276=E$2:E5276)))))-COUNTBLANK(OFFSET(A$1,,,SUMPRODUCT(MAX(ROW(E$1:E5275)*(E2=E$1:E5275))))))</f>
        <v> </v>
      </c>
      <c r="K5276" s="26" t="str">
        <f>IF(OR(E5276="",E5276="!!!",F5276="NEW"),"",INDEX(J$1:J5275,SUMPRODUCT(MAX(ROW(E$1:E5275)*(E5276=E$1:E5275)))))</f>
        <v> </v>
      </c>
      <c r="L5276" s="27"/>
    </row>
    <row r="5277" spans="1:12">
      <c r="A5277" s="20" t="s">
        <v>1096</v>
      </c>
      <c r="E5277" s="22">
        <f>IF(D5277="?OLD","!!!","")</f>
        <v/>
      </c>
      <c r="F5277" s="23" t="str">
        <f>IF(OR(E5277="",E5277="!!!"),"",IF(NOT(ISNA(VLOOKUP(E5277,E$1:E5276,1,FALSE()))),"OLD",IF(AND(E5277&lt;&gt;"",E5277&lt;&gt;"!!!"),"NEW","")))</f>
        <v> </v>
      </c>
      <c r="G5277" s="24" t="str">
        <f>IF(OR(E5277="",E5277="!!!"),"",IF(OR(J5277=0,AND(J5277=1,K5277=1),AND(J5277=1,I5277="SBJ"),AND(J5277=1,I5277=0)),"?IN_FOCUS",IF(J5277&lt;=2,"?ACTIVATED",IF(J5277&lt;&gt;"","?FAMILIAR",IF(F5277="NEW",IF(ISNA(VLOOKUP(E5277,#REF!,1,FALSE())),"?TYPE_IDENTIFIABLE","?REFERENTIAL"),"_")))))</f>
        <v> </v>
      </c>
      <c r="H5277" s="25" t="str">
        <f>IF(J5277&lt;&gt;1,"",IF(I5277="SBJ","CB","?"))</f>
        <v> </v>
      </c>
      <c r="I5277" s="26" t="str">
        <f>IF(OR(E5277="",E5277="!!!",F5277="NEW"),"",INDEX(B5276:B$2,-1+SUMPRODUCT(MAX(ROW(E5276:E$2)*(E5277=E5276:E$2)))))</f>
        <v> </v>
      </c>
      <c r="J5277" s="26" t="str">
        <f>IF(OR(E5277="",E5277="!!!",F5277="NEW"),"",COUNTBLANK(OFFSET(A$1,,,SUMPRODUCT(MAX(ROW(E$2:E5277)*(E5277=E$2:E5277)))))-COUNTBLANK(OFFSET(A$1,,,SUMPRODUCT(MAX(ROW(E$1:E5276)*(E2=E$1:E5276))))))</f>
        <v> </v>
      </c>
      <c r="K5277" s="26" t="str">
        <f>IF(OR(E5277="",E5277="!!!",F5277="NEW"),"",INDEX(J$1:J5276,SUMPRODUCT(MAX(ROW(E$1:E5276)*(E5277=E$1:E5276)))))</f>
        <v> </v>
      </c>
      <c r="L5277" s="27"/>
    </row>
    <row r="5278" spans="1:12">
      <c r="A5278" s="20" t="s">
        <v>2513</v>
      </c>
      <c r="B5278" s="21" t="s">
        <v>1132</v>
      </c>
      <c r="C5278" s="21" t="s">
        <v>1080</v>
      </c>
      <c r="E5278" s="22">
        <f>IF(D5278="?OLD","!!!","")</f>
        <v/>
      </c>
      <c r="F5278" s="23" t="str">
        <f>IF(OR(E5278="",E5278="!!!"),"",IF(NOT(ISNA(VLOOKUP(E5278,E$1:E5277,1,FALSE()))),"OLD",IF(AND(E5278&lt;&gt;"",E5278&lt;&gt;"!!!"),"NEW","")))</f>
        <v> </v>
      </c>
      <c r="G5278" s="24" t="str">
        <f>IF(OR(E5278="",E5278="!!!"),"",IF(OR(J5278=0,AND(J5278=1,K5278=1),AND(J5278=1,I5278="SBJ"),AND(J5278=1,I5278=0)),"?IN_FOCUS",IF(J5278&lt;=2,"?ACTIVATED",IF(J5278&lt;&gt;"","?FAMILIAR",IF(F5278="NEW",IF(ISNA(VLOOKUP(E5278,#REF!,1,FALSE())),"?TYPE_IDENTIFIABLE","?REFERENTIAL"),"_")))))</f>
        <v> </v>
      </c>
      <c r="H5278" s="25" t="str">
        <f>IF(J5278&lt;&gt;1,"",IF(I5278="SBJ","CB","?"))</f>
        <v> </v>
      </c>
      <c r="I5278" s="26" t="str">
        <f>IF(OR(E5278="",E5278="!!!",F5278="NEW"),"",INDEX(B5277:B$2,-1+SUMPRODUCT(MAX(ROW(E5277:E$2)*(E5278=E5277:E$2)))))</f>
        <v> </v>
      </c>
      <c r="J5278" s="26" t="str">
        <f>IF(OR(E5278="",E5278="!!!",F5278="NEW"),"",COUNTBLANK(OFFSET(A$1,,,SUMPRODUCT(MAX(ROW(E$2:E5278)*(E5278=E$2:E5278)))))-COUNTBLANK(OFFSET(A$1,,,SUMPRODUCT(MAX(ROW(E$1:E5277)*(E2=E$1:E5277))))))</f>
        <v> </v>
      </c>
      <c r="K5278" s="26" t="str">
        <f>IF(OR(E5278="",E5278="!!!",F5278="NEW"),"",INDEX(J$1:J5277,SUMPRODUCT(MAX(ROW(E$1:E5277)*(E5278=E$1:E5277)))))</f>
        <v> </v>
      </c>
      <c r="L5278" s="27"/>
    </row>
    <row r="5279" spans="1:12">
      <c r="A5279" s="20" t="s">
        <v>1115</v>
      </c>
      <c r="B5279" s="21" t="s">
        <v>1095</v>
      </c>
      <c r="E5279" s="22">
        <f>IF(D5279="?OLD","!!!","")</f>
        <v/>
      </c>
      <c r="F5279" s="23" t="str">
        <f>IF(OR(E5279="",E5279="!!!"),"",IF(NOT(ISNA(VLOOKUP(E5279,E$1:E5278,1,FALSE()))),"OLD",IF(AND(E5279&lt;&gt;"",E5279&lt;&gt;"!!!"),"NEW","")))</f>
        <v> </v>
      </c>
      <c r="G5279" s="24" t="str">
        <f>IF(OR(E5279="",E5279="!!!"),"",IF(OR(J5279=0,AND(J5279=1,K5279=1),AND(J5279=1,I5279="SBJ"),AND(J5279=1,I5279=0)),"?IN_FOCUS",IF(J5279&lt;=2,"?ACTIVATED",IF(J5279&lt;&gt;"","?FAMILIAR",IF(F5279="NEW",IF(ISNA(VLOOKUP(E5279,#REF!,1,FALSE())),"?TYPE_IDENTIFIABLE","?REFERENTIAL"),"_")))))</f>
        <v> </v>
      </c>
      <c r="H5279" s="25" t="str">
        <f>IF(J5279&lt;&gt;1,"",IF(I5279="SBJ","CB","?"))</f>
        <v> </v>
      </c>
      <c r="I5279" s="26" t="str">
        <f>IF(OR(E5279="",E5279="!!!",F5279="NEW"),"",INDEX(B5278:B$2,-1+SUMPRODUCT(MAX(ROW(E5278:E$2)*(E5279=E5278:E$2)))))</f>
        <v> </v>
      </c>
      <c r="J5279" s="26" t="str">
        <f>IF(OR(E5279="",E5279="!!!",F5279="NEW"),"",COUNTBLANK(OFFSET(A$1,,,SUMPRODUCT(MAX(ROW(E$2:E5279)*(E5279=E$2:E5279)))))-COUNTBLANK(OFFSET(A$1,,,SUMPRODUCT(MAX(ROW(E$1:E5278)*(E2=E$1:E5278))))))</f>
        <v> </v>
      </c>
      <c r="K5279" s="26" t="str">
        <f>IF(OR(E5279="",E5279="!!!",F5279="NEW"),"",INDEX(J$1:J5278,SUMPRODUCT(MAX(ROW(E$1:E5278)*(E5279=E$1:E5278)))))</f>
        <v> </v>
      </c>
      <c r="L5279" s="27"/>
    </row>
    <row r="5280" spans="1:12">
      <c r="A5280" s="20" t="s">
        <v>1170</v>
      </c>
      <c r="B5280" s="21" t="s">
        <v>1179</v>
      </c>
      <c r="C5280" s="21" t="s">
        <v>1076</v>
      </c>
      <c r="D5280" s="21" t="s">
        <v>1060</v>
      </c>
      <c r="E5280" s="22">
        <f>IF(D5280="?OLD","!!!","")</f>
        <v/>
      </c>
      <c r="F5280" s="23" t="str">
        <f>IF(OR(E5280="",E5280="!!!"),"",IF(NOT(ISNA(VLOOKUP(E5280,E$1:E5279,1,FALSE()))),"OLD",IF(AND(E5280&lt;&gt;"",E5280&lt;&gt;"!!!"),"NEW","")))</f>
        <v> </v>
      </c>
      <c r="G5280" s="24" t="str">
        <f>IF(OR(E5280="",E5280="!!!"),"",IF(OR(J5280=0,AND(J5280=1,K5280=1),AND(J5280=1,I5280="SBJ"),AND(J5280=1,I5280=0)),"?IN_FOCUS",IF(J5280&lt;=2,"?ACTIVATED",IF(J5280&lt;&gt;"","?FAMILIAR",IF(F5280="NEW",IF(ISNA(VLOOKUP(E5280,#REF!,1,FALSE())),"?TYPE_IDENTIFIABLE","?REFERENTIAL"),"_")))))</f>
        <v> </v>
      </c>
      <c r="H5280" s="25" t="str">
        <f>IF(J5280&lt;&gt;1,"",IF(I5280="SBJ","CB","?"))</f>
        <v> </v>
      </c>
      <c r="I5280" s="26" t="str">
        <f>IF(OR(E5280="",E5280="!!!",F5280="NEW"),"",INDEX(B5279:B$2,-1+SUMPRODUCT(MAX(ROW(E5279:E$2)*(E5280=E5279:E$2)))))</f>
        <v> </v>
      </c>
      <c r="J5280" s="26" t="str">
        <f>IF(OR(E5280="",E5280="!!!",F5280="NEW"),"",COUNTBLANK(OFFSET(A$1,,,SUMPRODUCT(MAX(ROW(E$2:E5280)*(E5280=E$2:E5280)))))-COUNTBLANK(OFFSET(A$1,,,SUMPRODUCT(MAX(ROW(E$1:E5279)*(E2=E$1:E5279))))))</f>
        <v> </v>
      </c>
      <c r="K5280" s="26" t="str">
        <f>IF(OR(E5280="",E5280="!!!",F5280="NEW"),"",INDEX(J$1:J5279,SUMPRODUCT(MAX(ROW(E$1:E5279)*(E5280=E$1:E5279)))))</f>
        <v> </v>
      </c>
      <c r="L5280" s="27"/>
    </row>
    <row r="5281" spans="1:12">
      <c r="A5281" s="20" t="s">
        <v>576</v>
      </c>
      <c r="E5281" s="22">
        <f>IF(D5281="?OLD","!!!","")</f>
        <v/>
      </c>
      <c r="F5281" s="23" t="str">
        <f>IF(OR(E5281="",E5281="!!!"),"",IF(NOT(ISNA(VLOOKUP(E5281,E$1:E5280,1,FALSE()))),"OLD",IF(AND(E5281&lt;&gt;"",E5281&lt;&gt;"!!!"),"NEW","")))</f>
        <v> </v>
      </c>
      <c r="G5281" s="24" t="str">
        <f>IF(OR(E5281="",E5281="!!!"),"",IF(OR(J5281=0,AND(J5281=1,K5281=1),AND(J5281=1,I5281="SBJ"),AND(J5281=1,I5281=0)),"?IN_FOCUS",IF(J5281&lt;=2,"?ACTIVATED",IF(J5281&lt;&gt;"","?FAMILIAR",IF(F5281="NEW",IF(ISNA(VLOOKUP(E5281,#REF!,1,FALSE())),"?TYPE_IDENTIFIABLE","?REFERENTIAL"),"_")))))</f>
        <v> </v>
      </c>
      <c r="H5281" s="25" t="str">
        <f>IF(J5281&lt;&gt;1,"",IF(I5281="SBJ","CB","?"))</f>
        <v> </v>
      </c>
      <c r="I5281" s="26" t="str">
        <f>IF(OR(E5281="",E5281="!!!",F5281="NEW"),"",INDEX(B5280:B$2,-1+SUMPRODUCT(MAX(ROW(E5280:E$2)*(E5281=E5280:E$2)))))</f>
        <v> </v>
      </c>
      <c r="J5281" s="26" t="str">
        <f>IF(OR(E5281="",E5281="!!!",F5281="NEW"),"",COUNTBLANK(OFFSET(A$1,,,SUMPRODUCT(MAX(ROW(E$2:E5281)*(E5281=E$2:E5281)))))-COUNTBLANK(OFFSET(A$1,,,SUMPRODUCT(MAX(ROW(E$1:E5280)*(E2=E$1:E5280))))))</f>
        <v> </v>
      </c>
      <c r="K5281" s="26" t="str">
        <f>IF(OR(E5281="",E5281="!!!",F5281="NEW"),"",INDEX(J$1:J5280,SUMPRODUCT(MAX(ROW(E$1:E5280)*(E5281=E$1:E5280)))))</f>
        <v> </v>
      </c>
      <c r="L5281" s="27"/>
    </row>
    <row r="5282" spans="1:12">
      <c r="A5282" s="20" t="s">
        <v>1256</v>
      </c>
      <c r="E5282" s="22">
        <f>IF(D5282="?OLD","!!!","")</f>
        <v/>
      </c>
      <c r="F5282" s="23" t="str">
        <f>IF(OR(E5282="",E5282="!!!"),"",IF(NOT(ISNA(VLOOKUP(E5282,E$1:E5281,1,FALSE()))),"OLD",IF(AND(E5282&lt;&gt;"",E5282&lt;&gt;"!!!"),"NEW","")))</f>
        <v> </v>
      </c>
      <c r="G5282" s="24" t="str">
        <f>IF(OR(E5282="",E5282="!!!"),"",IF(OR(J5282=0,AND(J5282=1,K5282=1),AND(J5282=1,I5282="SBJ"),AND(J5282=1,I5282=0)),"?IN_FOCUS",IF(J5282&lt;=2,"?ACTIVATED",IF(J5282&lt;&gt;"","?FAMILIAR",IF(F5282="NEW",IF(ISNA(VLOOKUP(E5282,#REF!,1,FALSE())),"?TYPE_IDENTIFIABLE","?REFERENTIAL"),"_")))))</f>
        <v> </v>
      </c>
      <c r="H5282" s="25" t="str">
        <f>IF(J5282&lt;&gt;1,"",IF(I5282="SBJ","CB","?"))</f>
        <v> </v>
      </c>
      <c r="I5282" s="26" t="str">
        <f>IF(OR(E5282="",E5282="!!!",F5282="NEW"),"",INDEX(B5281:B$2,-1+SUMPRODUCT(MAX(ROW(E5281:E$2)*(E5282=E5281:E$2)))))</f>
        <v> </v>
      </c>
      <c r="J5282" s="26" t="str">
        <f>IF(OR(E5282="",E5282="!!!",F5282="NEW"),"",COUNTBLANK(OFFSET(A$1,,,SUMPRODUCT(MAX(ROW(E$2:E5282)*(E5282=E$2:E5282)))))-COUNTBLANK(OFFSET(A$1,,,SUMPRODUCT(MAX(ROW(E$1:E5281)*(E2=E$1:E5281))))))</f>
        <v> </v>
      </c>
      <c r="K5282" s="26" t="str">
        <f>IF(OR(E5282="",E5282="!!!",F5282="NEW"),"",INDEX(J$1:J5281,SUMPRODUCT(MAX(ROW(E$1:E5281)*(E5282=E$1:E5281)))))</f>
        <v> </v>
      </c>
      <c r="L5282" s="27"/>
    </row>
    <row r="5283" spans="1:12">
      <c r="A5283" s="20" t="s">
        <v>1579</v>
      </c>
      <c r="E5283" s="22">
        <f>IF(D5283="?OLD","!!!","")</f>
        <v/>
      </c>
      <c r="F5283" s="23" t="str">
        <f>IF(OR(E5283="",E5283="!!!"),"",IF(NOT(ISNA(VLOOKUP(E5283,E$1:E5282,1,FALSE()))),"OLD",IF(AND(E5283&lt;&gt;"",E5283&lt;&gt;"!!!"),"NEW","")))</f>
        <v> </v>
      </c>
      <c r="G5283" s="24" t="str">
        <f>IF(OR(E5283="",E5283="!!!"),"",IF(OR(J5283=0,AND(J5283=1,K5283=1),AND(J5283=1,I5283="SBJ"),AND(J5283=1,I5283=0)),"?IN_FOCUS",IF(J5283&lt;=2,"?ACTIVATED",IF(J5283&lt;&gt;"","?FAMILIAR",IF(F5283="NEW",IF(ISNA(VLOOKUP(E5283,#REF!,1,FALSE())),"?TYPE_IDENTIFIABLE","?REFERENTIAL"),"_")))))</f>
        <v> </v>
      </c>
      <c r="H5283" s="25" t="str">
        <f>IF(J5283&lt;&gt;1,"",IF(I5283="SBJ","CB","?"))</f>
        <v> </v>
      </c>
      <c r="I5283" s="26" t="str">
        <f>IF(OR(E5283="",E5283="!!!",F5283="NEW"),"",INDEX(B5282:B$2,-1+SUMPRODUCT(MAX(ROW(E5282:E$2)*(E5283=E5282:E$2)))))</f>
        <v> </v>
      </c>
      <c r="J5283" s="26" t="str">
        <f>IF(OR(E5283="",E5283="!!!",F5283="NEW"),"",COUNTBLANK(OFFSET(A$1,,,SUMPRODUCT(MAX(ROW(E$2:E5283)*(E5283=E$2:E5283)))))-COUNTBLANK(OFFSET(A$1,,,SUMPRODUCT(MAX(ROW(E$1:E5282)*(E2=E$1:E5282))))))</f>
        <v> </v>
      </c>
      <c r="K5283" s="26" t="str">
        <f>IF(OR(E5283="",E5283="!!!",F5283="NEW"),"",INDEX(J$1:J5282,SUMPRODUCT(MAX(ROW(E$1:E5282)*(E5283=E$1:E5282)))))</f>
        <v> </v>
      </c>
      <c r="L5283" s="27"/>
    </row>
    <row r="5284" spans="1:12">
      <c r="A5284" s="20" t="s">
        <v>2514</v>
      </c>
      <c r="E5284" s="22">
        <f>IF(D5284="?OLD","!!!","")</f>
        <v/>
      </c>
      <c r="F5284" s="23" t="str">
        <f>IF(OR(E5284="",E5284="!!!"),"",IF(NOT(ISNA(VLOOKUP(E5284,E$1:E5283,1,FALSE()))),"OLD",IF(AND(E5284&lt;&gt;"",E5284&lt;&gt;"!!!"),"NEW","")))</f>
        <v> </v>
      </c>
      <c r="G5284" s="24" t="str">
        <f>IF(OR(E5284="",E5284="!!!"),"",IF(OR(J5284=0,AND(J5284=1,K5284=1),AND(J5284=1,I5284="SBJ"),AND(J5284=1,I5284=0)),"?IN_FOCUS",IF(J5284&lt;=2,"?ACTIVATED",IF(J5284&lt;&gt;"","?FAMILIAR",IF(F5284="NEW",IF(ISNA(VLOOKUP(E5284,#REF!,1,FALSE())),"?TYPE_IDENTIFIABLE","?REFERENTIAL"),"_")))))</f>
        <v> </v>
      </c>
      <c r="H5284" s="25" t="str">
        <f>IF(J5284&lt;&gt;1,"",IF(I5284="SBJ","CB","?"))</f>
        <v> </v>
      </c>
      <c r="I5284" s="26" t="str">
        <f>IF(OR(E5284="",E5284="!!!",F5284="NEW"),"",INDEX(B5283:B$2,-1+SUMPRODUCT(MAX(ROW(E5283:E$2)*(E5284=E5283:E$2)))))</f>
        <v> </v>
      </c>
      <c r="J5284" s="26" t="str">
        <f>IF(OR(E5284="",E5284="!!!",F5284="NEW"),"",COUNTBLANK(OFFSET(A$1,,,SUMPRODUCT(MAX(ROW(E$2:E5284)*(E5284=E$2:E5284)))))-COUNTBLANK(OFFSET(A$1,,,SUMPRODUCT(MAX(ROW(E$1:E5283)*(E2=E$1:E5283))))))</f>
        <v> </v>
      </c>
      <c r="K5284" s="26" t="str">
        <f>IF(OR(E5284="",E5284="!!!",F5284="NEW"),"",INDEX(J$1:J5283,SUMPRODUCT(MAX(ROW(E$1:E5283)*(E5284=E$1:E5283)))))</f>
        <v> </v>
      </c>
      <c r="L5284" s="27"/>
    </row>
    <row r="5285" spans="1:12">
      <c r="A5285" s="20" t="s">
        <v>923</v>
      </c>
      <c r="E5285" s="22">
        <f>IF(D5285="?OLD","!!!","")</f>
        <v/>
      </c>
      <c r="F5285" s="23" t="str">
        <f>IF(OR(E5285="",E5285="!!!"),"",IF(NOT(ISNA(VLOOKUP(E5285,E$1:E5284,1,FALSE()))),"OLD",IF(AND(E5285&lt;&gt;"",E5285&lt;&gt;"!!!"),"NEW","")))</f>
        <v> </v>
      </c>
      <c r="G5285" s="24" t="str">
        <f>IF(OR(E5285="",E5285="!!!"),"",IF(OR(J5285=0,AND(J5285=1,K5285=1),AND(J5285=1,I5285="SBJ"),AND(J5285=1,I5285=0)),"?IN_FOCUS",IF(J5285&lt;=2,"?ACTIVATED",IF(J5285&lt;&gt;"","?FAMILIAR",IF(F5285="NEW",IF(ISNA(VLOOKUP(E5285,#REF!,1,FALSE())),"?TYPE_IDENTIFIABLE","?REFERENTIAL"),"_")))))</f>
        <v> </v>
      </c>
      <c r="H5285" s="25" t="str">
        <f>IF(J5285&lt;&gt;1,"",IF(I5285="SBJ","CB","?"))</f>
        <v> </v>
      </c>
      <c r="I5285" s="26" t="str">
        <f>IF(OR(E5285="",E5285="!!!",F5285="NEW"),"",INDEX(B5284:B$2,-1+SUMPRODUCT(MAX(ROW(E5284:E$2)*(E5285=E5284:E$2)))))</f>
        <v> </v>
      </c>
      <c r="J5285" s="26" t="str">
        <f>IF(OR(E5285="",E5285="!!!",F5285="NEW"),"",COUNTBLANK(OFFSET(A$1,,,SUMPRODUCT(MAX(ROW(E$2:E5285)*(E5285=E$2:E5285)))))-COUNTBLANK(OFFSET(A$1,,,SUMPRODUCT(MAX(ROW(E$1:E5284)*(E2=E$1:E5284))))))</f>
        <v> </v>
      </c>
      <c r="K5285" s="26" t="str">
        <f>IF(OR(E5285="",E5285="!!!",F5285="NEW"),"",INDEX(J$1:J5284,SUMPRODUCT(MAX(ROW(E$1:E5284)*(E5285=E$1:E5284)))))</f>
        <v> </v>
      </c>
      <c r="L5285" s="27"/>
    </row>
    <row r="5286" spans="1:12">
      <c r="A5286" s="20"/>
    </row>
    <row r="5287" spans="1:12">
      <c r="A5287" s="20" t="s">
        <v>2515</v>
      </c>
    </row>
    <row r="5288" spans="1:12">
      <c r="A5288" s="20" t="s">
        <v>1508</v>
      </c>
      <c r="B5288" s="21" t="s">
        <v>1058</v>
      </c>
      <c r="C5288" s="21" t="s">
        <v>1076</v>
      </c>
      <c r="D5288" s="21" t="s">
        <v>1060</v>
      </c>
      <c r="E5288" s="22">
        <f>IF(D5288="?OLD","!!!","")</f>
        <v/>
      </c>
      <c r="F5288" s="23" t="str">
        <f>IF(OR(E5288="",E5288="!!!"),"",IF(NOT(ISNA(VLOOKUP(E5288,E$1:E5287,1,FALSE()))),"OLD",IF(AND(E5288&lt;&gt;"",E5288&lt;&gt;"!!!"),"NEW","")))</f>
        <v> </v>
      </c>
      <c r="G5288" s="24" t="str">
        <f>IF(OR(E5288="",E5288="!!!"),"",IF(OR(J5288=0,AND(J5288=1,K5288=1),AND(J5288=1,I5288="SBJ"),AND(J5288=1,I5288=0)),"?IN_FOCUS",IF(J5288&lt;=2,"?ACTIVATED",IF(J5288&lt;&gt;"","?FAMILIAR",IF(F5288="NEW",IF(ISNA(VLOOKUP(E5288,#REF!,1,FALSE())),"?TYPE_IDENTIFIABLE","?REFERENTIAL"),"_")))))</f>
        <v> </v>
      </c>
      <c r="H5288" s="25" t="str">
        <f>IF(J5288&lt;&gt;1,"",IF(I5288="SBJ","CB","?"))</f>
        <v> </v>
      </c>
      <c r="I5288" s="26" t="str">
        <f>IF(OR(E5288="",E5288="!!!",F5288="NEW"),"",INDEX(B5287:B$2,-1+SUMPRODUCT(MAX(ROW(E5287:E$2)*(E5288=E5287:E$2)))))</f>
        <v> </v>
      </c>
      <c r="J5288" s="26" t="str">
        <f>IF(OR(E5288="",E5288="!!!",F5288="NEW"),"",COUNTBLANK(OFFSET(A$1,,,SUMPRODUCT(MAX(ROW(E$2:E5288)*(E5288=E$2:E5288)))))-COUNTBLANK(OFFSET(A$1,,,SUMPRODUCT(MAX(ROW(E$1:E5287)*(E2=E$1:E5287))))))</f>
        <v> </v>
      </c>
      <c r="K5288" s="26" t="str">
        <f>IF(OR(E5288="",E5288="!!!",F5288="NEW"),"",INDEX(J$1:J5287,SUMPRODUCT(MAX(ROW(E$1:E5287)*(E5288=E$1:E5287)))))</f>
        <v> </v>
      </c>
      <c r="L5288" s="27"/>
    </row>
    <row r="5289" spans="1:12">
      <c r="A5289" s="20" t="s">
        <v>1180</v>
      </c>
      <c r="E5289" s="22">
        <f>IF(D5289="?OLD","!!!","")</f>
        <v/>
      </c>
      <c r="F5289" s="23" t="str">
        <f>IF(OR(E5289="",E5289="!!!"),"",IF(NOT(ISNA(VLOOKUP(E5289,E$1:E5288,1,FALSE()))),"OLD",IF(AND(E5289&lt;&gt;"",E5289&lt;&gt;"!!!"),"NEW","")))</f>
        <v> </v>
      </c>
      <c r="G5289" s="24" t="str">
        <f>IF(OR(E5289="",E5289="!!!"),"",IF(OR(J5289=0,AND(J5289=1,K5289=1),AND(J5289=1,I5289="SBJ"),AND(J5289=1,I5289=0)),"?IN_FOCUS",IF(J5289&lt;=2,"?ACTIVATED",IF(J5289&lt;&gt;"","?FAMILIAR",IF(F5289="NEW",IF(ISNA(VLOOKUP(E5289,#REF!,1,FALSE())),"?TYPE_IDENTIFIABLE","?REFERENTIAL"),"_")))))</f>
        <v> </v>
      </c>
      <c r="H5289" s="25" t="str">
        <f>IF(J5289&lt;&gt;1,"",IF(I5289="SBJ","CB","?"))</f>
        <v> </v>
      </c>
      <c r="I5289" s="26" t="str">
        <f>IF(OR(E5289="",E5289="!!!",F5289="NEW"),"",INDEX(B5288:B$2,-1+SUMPRODUCT(MAX(ROW(E5288:E$2)*(E5289=E5288:E$2)))))</f>
        <v> </v>
      </c>
      <c r="J5289" s="26" t="str">
        <f>IF(OR(E5289="",E5289="!!!",F5289="NEW"),"",COUNTBLANK(OFFSET(A$1,,,SUMPRODUCT(MAX(ROW(E$2:E5289)*(E5289=E$2:E5289)))))-COUNTBLANK(OFFSET(A$1,,,SUMPRODUCT(MAX(ROW(E$1:E5288)*(E2=E$1:E5288))))))</f>
        <v> </v>
      </c>
      <c r="K5289" s="26" t="str">
        <f>IF(OR(E5289="",E5289="!!!",F5289="NEW"),"",INDEX(J$1:J5288,SUMPRODUCT(MAX(ROW(E$1:E5288)*(E5289=E$1:E5288)))))</f>
        <v> </v>
      </c>
      <c r="L5289" s="27"/>
    </row>
    <row r="5290" spans="1:12">
      <c r="A5290" s="20" t="s">
        <v>1018</v>
      </c>
      <c r="E5290" s="22">
        <f>IF(D5290="?OLD","!!!","")</f>
        <v/>
      </c>
      <c r="F5290" s="23" t="str">
        <f>IF(OR(E5290="",E5290="!!!"),"",IF(NOT(ISNA(VLOOKUP(E5290,E$1:E5289,1,FALSE()))),"OLD",IF(AND(E5290&lt;&gt;"",E5290&lt;&gt;"!!!"),"NEW","")))</f>
        <v> </v>
      </c>
      <c r="G5290" s="24" t="str">
        <f>IF(OR(E5290="",E5290="!!!"),"",IF(OR(J5290=0,AND(J5290=1,K5290=1),AND(J5290=1,I5290="SBJ"),AND(J5290=1,I5290=0)),"?IN_FOCUS",IF(J5290&lt;=2,"?ACTIVATED",IF(J5290&lt;&gt;"","?FAMILIAR",IF(F5290="NEW",IF(ISNA(VLOOKUP(E5290,#REF!,1,FALSE())),"?TYPE_IDENTIFIABLE","?REFERENTIAL"),"_")))))</f>
        <v> </v>
      </c>
      <c r="H5290" s="25" t="str">
        <f>IF(J5290&lt;&gt;1,"",IF(I5290="SBJ","CB","?"))</f>
        <v> </v>
      </c>
      <c r="I5290" s="26" t="str">
        <f>IF(OR(E5290="",E5290="!!!",F5290="NEW"),"",INDEX(B5289:B$2,-1+SUMPRODUCT(MAX(ROW(E5289:E$2)*(E5290=E5289:E$2)))))</f>
        <v> </v>
      </c>
      <c r="J5290" s="26" t="str">
        <f>IF(OR(E5290="",E5290="!!!",F5290="NEW"),"",COUNTBLANK(OFFSET(A$1,,,SUMPRODUCT(MAX(ROW(E$2:E5290)*(E5290=E$2:E5290)))))-COUNTBLANK(OFFSET(A$1,,,SUMPRODUCT(MAX(ROW(E$1:E5289)*(E2=E$1:E5289))))))</f>
        <v> </v>
      </c>
      <c r="K5290" s="26" t="str">
        <f>IF(OR(E5290="",E5290="!!!",F5290="NEW"),"",INDEX(J$1:J5289,SUMPRODUCT(MAX(ROW(E$1:E5289)*(E5290=E$1:E5289)))))</f>
        <v> </v>
      </c>
      <c r="L5290" s="27"/>
    </row>
    <row r="5291" spans="1:12">
      <c r="A5291" s="20" t="s">
        <v>1090</v>
      </c>
      <c r="B5291" s="21" t="s">
        <v>1068</v>
      </c>
      <c r="C5291" s="21" t="s">
        <v>1092</v>
      </c>
      <c r="D5291" s="21" t="s">
        <v>1060</v>
      </c>
      <c r="E5291" s="22">
        <f>IF(D5291="?OLD","!!!","")</f>
        <v/>
      </c>
      <c r="F5291" s="23" t="str">
        <f>IF(OR(E5291="",E5291="!!!"),"",IF(NOT(ISNA(VLOOKUP(E5291,E$1:E5290,1,FALSE()))),"OLD",IF(AND(E5291&lt;&gt;"",E5291&lt;&gt;"!!!"),"NEW","")))</f>
        <v> </v>
      </c>
      <c r="G5291" s="24" t="str">
        <f>IF(OR(E5291="",E5291="!!!"),"",IF(OR(J5291=0,AND(J5291=1,K5291=1),AND(J5291=1,I5291="SBJ"),AND(J5291=1,I5291=0)),"?IN_FOCUS",IF(J5291&lt;=2,"?ACTIVATED",IF(J5291&lt;&gt;"","?FAMILIAR",IF(F5291="NEW",IF(ISNA(VLOOKUP(E5291,#REF!,1,FALSE())),"?TYPE_IDENTIFIABLE","?REFERENTIAL"),"_")))))</f>
        <v> </v>
      </c>
      <c r="H5291" s="25" t="str">
        <f>IF(J5291&lt;&gt;1,"",IF(I5291="SBJ","CB","?"))</f>
        <v> </v>
      </c>
      <c r="I5291" s="26" t="str">
        <f>IF(OR(E5291="",E5291="!!!",F5291="NEW"),"",INDEX(B5290:B$2,-1+SUMPRODUCT(MAX(ROW(E5290:E$2)*(E5291=E5290:E$2)))))</f>
        <v> </v>
      </c>
      <c r="J5291" s="26" t="str">
        <f>IF(OR(E5291="",E5291="!!!",F5291="NEW"),"",COUNTBLANK(OFFSET(A$1,,,SUMPRODUCT(MAX(ROW(E$2:E5291)*(E5291=E$2:E5291)))))-COUNTBLANK(OFFSET(A$1,,,SUMPRODUCT(MAX(ROW(E$1:E5290)*(E2=E$1:E5290))))))</f>
        <v> </v>
      </c>
      <c r="K5291" s="26" t="str">
        <f>IF(OR(E5291="",E5291="!!!",F5291="NEW"),"",INDEX(J$1:J5290,SUMPRODUCT(MAX(ROW(E$1:E5290)*(E5291=E$1:E5290)))))</f>
        <v> </v>
      </c>
      <c r="L5291" s="27"/>
    </row>
    <row r="5292" spans="1:12">
      <c r="A5292" s="20" t="s">
        <v>768</v>
      </c>
      <c r="B5292" s="21" t="s">
        <v>1075</v>
      </c>
      <c r="C5292" s="21" t="s">
        <v>1059</v>
      </c>
      <c r="D5292" s="21" t="s">
        <v>1060</v>
      </c>
      <c r="E5292" s="22">
        <f>IF(D5292="?OLD","!!!","")</f>
        <v/>
      </c>
      <c r="F5292" s="23" t="str">
        <f>IF(OR(E5292="",E5292="!!!"),"",IF(NOT(ISNA(VLOOKUP(E5292,E$1:E5291,1,FALSE()))),"OLD",IF(AND(E5292&lt;&gt;"",E5292&lt;&gt;"!!!"),"NEW","")))</f>
        <v> </v>
      </c>
      <c r="G5292" s="24" t="str">
        <f>IF(OR(E5292="",E5292="!!!"),"",IF(OR(J5292=0,AND(J5292=1,K5292=1),AND(J5292=1,I5292="SBJ"),AND(J5292=1,I5292=0)),"?IN_FOCUS",IF(J5292&lt;=2,"?ACTIVATED",IF(J5292&lt;&gt;"","?FAMILIAR",IF(F5292="NEW",IF(ISNA(VLOOKUP(E5292,#REF!,1,FALSE())),"?TYPE_IDENTIFIABLE","?REFERENTIAL"),"_")))))</f>
        <v> </v>
      </c>
      <c r="H5292" s="25" t="str">
        <f>IF(J5292&lt;&gt;1,"",IF(I5292="SBJ","CB","?"))</f>
        <v> </v>
      </c>
      <c r="I5292" s="26" t="str">
        <f>IF(OR(E5292="",E5292="!!!",F5292="NEW"),"",INDEX(B5291:B$2,-1+SUMPRODUCT(MAX(ROW(E5291:E$2)*(E5292=E5291:E$2)))))</f>
        <v> </v>
      </c>
      <c r="J5292" s="26" t="str">
        <f>IF(OR(E5292="",E5292="!!!",F5292="NEW"),"",COUNTBLANK(OFFSET(A$1,,,SUMPRODUCT(MAX(ROW(E$2:E5292)*(E5292=E$2:E5292)))))-COUNTBLANK(OFFSET(A$1,,,SUMPRODUCT(MAX(ROW(E$1:E5291)*(E2=E$1:E5291))))))</f>
        <v> </v>
      </c>
      <c r="K5292" s="26" t="str">
        <f>IF(OR(E5292="",E5292="!!!",F5292="NEW"),"",INDEX(J$1:J5291,SUMPRODUCT(MAX(ROW(E$1:E5291)*(E5292=E$1:E5291)))))</f>
        <v> </v>
      </c>
      <c r="L5292" s="27"/>
    </row>
    <row r="5293" spans="1:12">
      <c r="A5293" s="20" t="s">
        <v>1070</v>
      </c>
      <c r="E5293" s="22">
        <f>IF(D5293="?OLD","!!!","")</f>
        <v/>
      </c>
      <c r="F5293" s="23" t="str">
        <f>IF(OR(E5293="",E5293="!!!"),"",IF(NOT(ISNA(VLOOKUP(E5293,E$1:E5292,1,FALSE()))),"OLD",IF(AND(E5293&lt;&gt;"",E5293&lt;&gt;"!!!"),"NEW","")))</f>
        <v> </v>
      </c>
      <c r="G5293" s="24" t="str">
        <f>IF(OR(E5293="",E5293="!!!"),"",IF(OR(J5293=0,AND(J5293=1,K5293=1),AND(J5293=1,I5293="SBJ"),AND(J5293=1,I5293=0)),"?IN_FOCUS",IF(J5293&lt;=2,"?ACTIVATED",IF(J5293&lt;&gt;"","?FAMILIAR",IF(F5293="NEW",IF(ISNA(VLOOKUP(E5293,#REF!,1,FALSE())),"?TYPE_IDENTIFIABLE","?REFERENTIAL"),"_")))))</f>
        <v> </v>
      </c>
      <c r="H5293" s="25" t="str">
        <f>IF(J5293&lt;&gt;1,"",IF(I5293="SBJ","CB","?"))</f>
        <v> </v>
      </c>
      <c r="I5293" s="26" t="str">
        <f>IF(OR(E5293="",E5293="!!!",F5293="NEW"),"",INDEX(B5292:B$2,-1+SUMPRODUCT(MAX(ROW(E5292:E$2)*(E5293=E5292:E$2)))))</f>
        <v> </v>
      </c>
      <c r="J5293" s="26" t="str">
        <f>IF(OR(E5293="",E5293="!!!",F5293="NEW"),"",COUNTBLANK(OFFSET(A$1,,,SUMPRODUCT(MAX(ROW(E$2:E5293)*(E5293=E$2:E5293)))))-COUNTBLANK(OFFSET(A$1,,,SUMPRODUCT(MAX(ROW(E$1:E5292)*(E2=E$1:E5292))))))</f>
        <v> </v>
      </c>
      <c r="K5293" s="26" t="str">
        <f>IF(OR(E5293="",E5293="!!!",F5293="NEW"),"",INDEX(J$1:J5292,SUMPRODUCT(MAX(ROW(E$1:E5292)*(E5293=E$1:E5292)))))</f>
        <v> </v>
      </c>
      <c r="L5293" s="27"/>
    </row>
    <row r="5294" spans="1:12">
      <c r="A5294" s="20" t="s">
        <v>1156</v>
      </c>
      <c r="E5294" s="22">
        <f>IF(D5294="?OLD","!!!","")</f>
        <v/>
      </c>
      <c r="F5294" s="23" t="str">
        <f>IF(OR(E5294="",E5294="!!!"),"",IF(NOT(ISNA(VLOOKUP(E5294,E$1:E5293,1,FALSE()))),"OLD",IF(AND(E5294&lt;&gt;"",E5294&lt;&gt;"!!!"),"NEW","")))</f>
        <v> </v>
      </c>
      <c r="G5294" s="24" t="str">
        <f>IF(OR(E5294="",E5294="!!!"),"",IF(OR(J5294=0,AND(J5294=1,K5294=1),AND(J5294=1,I5294="SBJ"),AND(J5294=1,I5294=0)),"?IN_FOCUS",IF(J5294&lt;=2,"?ACTIVATED",IF(J5294&lt;&gt;"","?FAMILIAR",IF(F5294="NEW",IF(ISNA(VLOOKUP(E5294,#REF!,1,FALSE())),"?TYPE_IDENTIFIABLE","?REFERENTIAL"),"_")))))</f>
        <v> </v>
      </c>
      <c r="H5294" s="25" t="str">
        <f>IF(J5294&lt;&gt;1,"",IF(I5294="SBJ","CB","?"))</f>
        <v> </v>
      </c>
      <c r="I5294" s="26" t="str">
        <f>IF(OR(E5294="",E5294="!!!",F5294="NEW"),"",INDEX(B5293:B$2,-1+SUMPRODUCT(MAX(ROW(E5293:E$2)*(E5294=E5293:E$2)))))</f>
        <v> </v>
      </c>
      <c r="J5294" s="26" t="str">
        <f>IF(OR(E5294="",E5294="!!!",F5294="NEW"),"",COUNTBLANK(OFFSET(A$1,,,SUMPRODUCT(MAX(ROW(E$2:E5294)*(E5294=E$2:E5294)))))-COUNTBLANK(OFFSET(A$1,,,SUMPRODUCT(MAX(ROW(E$1:E5293)*(E2=E$1:E5293))))))</f>
        <v> </v>
      </c>
      <c r="K5294" s="26" t="str">
        <f>IF(OR(E5294="",E5294="!!!",F5294="NEW"),"",INDEX(J$1:J5293,SUMPRODUCT(MAX(ROW(E$1:E5293)*(E5294=E$1:E5293)))))</f>
        <v> </v>
      </c>
      <c r="L5294" s="27"/>
    </row>
    <row r="5295" spans="1:12">
      <c r="A5295" s="20" t="s">
        <v>1083</v>
      </c>
      <c r="B5295" s="21" t="s">
        <v>1079</v>
      </c>
      <c r="C5295" s="21" t="s">
        <v>1076</v>
      </c>
      <c r="D5295" s="21" t="s">
        <v>1060</v>
      </c>
      <c r="E5295" s="22">
        <f>IF(D5295="?OLD","!!!","")</f>
        <v/>
      </c>
      <c r="F5295" s="23" t="str">
        <f>IF(OR(E5295="",E5295="!!!"),"",IF(NOT(ISNA(VLOOKUP(E5295,E$1:E5294,1,FALSE()))),"OLD",IF(AND(E5295&lt;&gt;"",E5295&lt;&gt;"!!!"),"NEW","")))</f>
        <v> </v>
      </c>
      <c r="G5295" s="24" t="str">
        <f>IF(OR(E5295="",E5295="!!!"),"",IF(OR(J5295=0,AND(J5295=1,K5295=1),AND(J5295=1,I5295="SBJ"),AND(J5295=1,I5295=0)),"?IN_FOCUS",IF(J5295&lt;=2,"?ACTIVATED",IF(J5295&lt;&gt;"","?FAMILIAR",IF(F5295="NEW",IF(ISNA(VLOOKUP(E5295,#REF!,1,FALSE())),"?TYPE_IDENTIFIABLE","?REFERENTIAL"),"_")))))</f>
        <v> </v>
      </c>
      <c r="H5295" s="25" t="str">
        <f>IF(J5295&lt;&gt;1,"",IF(I5295="SBJ","CB","?"))</f>
        <v> </v>
      </c>
      <c r="I5295" s="26" t="str">
        <f>IF(OR(E5295="",E5295="!!!",F5295="NEW"),"",INDEX(B5294:B$2,-1+SUMPRODUCT(MAX(ROW(E5294:E$2)*(E5295=E5294:E$2)))))</f>
        <v> </v>
      </c>
      <c r="J5295" s="26" t="str">
        <f>IF(OR(E5295="",E5295="!!!",F5295="NEW"),"",COUNTBLANK(OFFSET(A$1,,,SUMPRODUCT(MAX(ROW(E$2:E5295)*(E5295=E$2:E5295)))))-COUNTBLANK(OFFSET(A$1,,,SUMPRODUCT(MAX(ROW(E$1:E5294)*(E2=E$1:E5294))))))</f>
        <v> </v>
      </c>
      <c r="K5295" s="26" t="str">
        <f>IF(OR(E5295="",E5295="!!!",F5295="NEW"),"",INDEX(J$1:J5294,SUMPRODUCT(MAX(ROW(E$1:E5294)*(E5295=E$1:E5294)))))</f>
        <v> </v>
      </c>
      <c r="L5295" s="27"/>
    </row>
    <row r="5296" spans="1:12">
      <c r="A5296" s="20" t="s">
        <v>1180</v>
      </c>
      <c r="E5296" s="22">
        <f>IF(D5296="?OLD","!!!","")</f>
        <v/>
      </c>
      <c r="F5296" s="23" t="str">
        <f>IF(OR(E5296="",E5296="!!!"),"",IF(NOT(ISNA(VLOOKUP(E5296,E$1:E5295,1,FALSE()))),"OLD",IF(AND(E5296&lt;&gt;"",E5296&lt;&gt;"!!!"),"NEW","")))</f>
        <v> </v>
      </c>
      <c r="G5296" s="24" t="str">
        <f>IF(OR(E5296="",E5296="!!!"),"",IF(OR(J5296=0,AND(J5296=1,K5296=1),AND(J5296=1,I5296="SBJ"),AND(J5296=1,I5296=0)),"?IN_FOCUS",IF(J5296&lt;=2,"?ACTIVATED",IF(J5296&lt;&gt;"","?FAMILIAR",IF(F5296="NEW",IF(ISNA(VLOOKUP(E5296,#REF!,1,FALSE())),"?TYPE_IDENTIFIABLE","?REFERENTIAL"),"_")))))</f>
        <v> </v>
      </c>
      <c r="H5296" s="25" t="str">
        <f>IF(J5296&lt;&gt;1,"",IF(I5296="SBJ","CB","?"))</f>
        <v> </v>
      </c>
      <c r="I5296" s="26" t="str">
        <f>IF(OR(E5296="",E5296="!!!",F5296="NEW"),"",INDEX(B5295:B$2,-1+SUMPRODUCT(MAX(ROW(E5295:E$2)*(E5296=E5295:E$2)))))</f>
        <v> </v>
      </c>
      <c r="J5296" s="26" t="str">
        <f>IF(OR(E5296="",E5296="!!!",F5296="NEW"),"",COUNTBLANK(OFFSET(A$1,,,SUMPRODUCT(MAX(ROW(E$2:E5296)*(E5296=E$2:E5296)))))-COUNTBLANK(OFFSET(A$1,,,SUMPRODUCT(MAX(ROW(E$1:E5295)*(E2=E$1:E5295))))))</f>
        <v> </v>
      </c>
      <c r="K5296" s="26" t="str">
        <f>IF(OR(E5296="",E5296="!!!",F5296="NEW"),"",INDEX(J$1:J5295,SUMPRODUCT(MAX(ROW(E$1:E5295)*(E5296=E$1:E5295)))))</f>
        <v> </v>
      </c>
      <c r="L5296" s="27"/>
    </row>
    <row r="5297" spans="1:12">
      <c r="A5297" s="20" t="s">
        <v>1256</v>
      </c>
      <c r="E5297" s="22">
        <f>IF(D5297="?OLD","!!!","")</f>
        <v/>
      </c>
      <c r="F5297" s="23" t="str">
        <f>IF(OR(E5297="",E5297="!!!"),"",IF(NOT(ISNA(VLOOKUP(E5297,E$1:E5296,1,FALSE()))),"OLD",IF(AND(E5297&lt;&gt;"",E5297&lt;&gt;"!!!"),"NEW","")))</f>
        <v> </v>
      </c>
      <c r="G5297" s="24" t="str">
        <f>IF(OR(E5297="",E5297="!!!"),"",IF(OR(J5297=0,AND(J5297=1,K5297=1),AND(J5297=1,I5297="SBJ"),AND(J5297=1,I5297=0)),"?IN_FOCUS",IF(J5297&lt;=2,"?ACTIVATED",IF(J5297&lt;&gt;"","?FAMILIAR",IF(F5297="NEW",IF(ISNA(VLOOKUP(E5297,#REF!,1,FALSE())),"?TYPE_IDENTIFIABLE","?REFERENTIAL"),"_")))))</f>
        <v> </v>
      </c>
      <c r="H5297" s="25" t="str">
        <f>IF(J5297&lt;&gt;1,"",IF(I5297="SBJ","CB","?"))</f>
        <v> </v>
      </c>
      <c r="I5297" s="26" t="str">
        <f>IF(OR(E5297="",E5297="!!!",F5297="NEW"),"",INDEX(B5296:B$2,-1+SUMPRODUCT(MAX(ROW(E5296:E$2)*(E5297=E5296:E$2)))))</f>
        <v> </v>
      </c>
      <c r="J5297" s="26" t="str">
        <f>IF(OR(E5297="",E5297="!!!",F5297="NEW"),"",COUNTBLANK(OFFSET(A$1,,,SUMPRODUCT(MAX(ROW(E$2:E5297)*(E5297=E$2:E5297)))))-COUNTBLANK(OFFSET(A$1,,,SUMPRODUCT(MAX(ROW(E$1:E5296)*(E2=E$1:E5296))))))</f>
        <v> </v>
      </c>
      <c r="K5297" s="26" t="str">
        <f>IF(OR(E5297="",E5297="!!!",F5297="NEW"),"",INDEX(J$1:J5296,SUMPRODUCT(MAX(ROW(E$1:E5296)*(E5297=E$1:E5296)))))</f>
        <v> </v>
      </c>
      <c r="L5297" s="27"/>
    </row>
    <row r="5298" spans="1:12">
      <c r="A5298" s="20" t="s">
        <v>2516</v>
      </c>
      <c r="E5298" s="22">
        <f>IF(D5298="?OLD","!!!","")</f>
        <v/>
      </c>
      <c r="F5298" s="23" t="str">
        <f>IF(OR(E5298="",E5298="!!!"),"",IF(NOT(ISNA(VLOOKUP(E5298,E$1:E5297,1,FALSE()))),"OLD",IF(AND(E5298&lt;&gt;"",E5298&lt;&gt;"!!!"),"NEW","")))</f>
        <v> </v>
      </c>
      <c r="G5298" s="24" t="str">
        <f>IF(OR(E5298="",E5298="!!!"),"",IF(OR(J5298=0,AND(J5298=1,K5298=1),AND(J5298=1,I5298="SBJ"),AND(J5298=1,I5298=0)),"?IN_FOCUS",IF(J5298&lt;=2,"?ACTIVATED",IF(J5298&lt;&gt;"","?FAMILIAR",IF(F5298="NEW",IF(ISNA(VLOOKUP(E5298,#REF!,1,FALSE())),"?TYPE_IDENTIFIABLE","?REFERENTIAL"),"_")))))</f>
        <v> </v>
      </c>
      <c r="H5298" s="25" t="str">
        <f>IF(J5298&lt;&gt;1,"",IF(I5298="SBJ","CB","?"))</f>
        <v> </v>
      </c>
      <c r="I5298" s="26" t="str">
        <f>IF(OR(E5298="",E5298="!!!",F5298="NEW"),"",INDEX(B5297:B$2,-1+SUMPRODUCT(MAX(ROW(E5297:E$2)*(E5298=E5297:E$2)))))</f>
        <v> </v>
      </c>
      <c r="J5298" s="26" t="str">
        <f>IF(OR(E5298="",E5298="!!!",F5298="NEW"),"",COUNTBLANK(OFFSET(A$1,,,SUMPRODUCT(MAX(ROW(E$2:E5298)*(E5298=E$2:E5298)))))-COUNTBLANK(OFFSET(A$1,,,SUMPRODUCT(MAX(ROW(E$1:E5297)*(E2=E$1:E5297))))))</f>
        <v> </v>
      </c>
      <c r="K5298" s="26" t="str">
        <f>IF(OR(E5298="",E5298="!!!",F5298="NEW"),"",INDEX(J$1:J5297,SUMPRODUCT(MAX(ROW(E$1:E5297)*(E5298=E$1:E5297)))))</f>
        <v> </v>
      </c>
      <c r="L5298" s="27"/>
    </row>
    <row r="5299" spans="1:12">
      <c r="A5299" s="20" t="s">
        <v>1074</v>
      </c>
      <c r="B5299" s="21" t="s">
        <v>1132</v>
      </c>
      <c r="C5299" s="21" t="s">
        <v>1076</v>
      </c>
      <c r="D5299" s="21" t="s">
        <v>1060</v>
      </c>
      <c r="E5299" s="22">
        <f>IF(D5299="?OLD","!!!","")</f>
        <v/>
      </c>
      <c r="F5299" s="23" t="str">
        <f>IF(OR(E5299="",E5299="!!!"),"",IF(NOT(ISNA(VLOOKUP(E5299,E$1:E5298,1,FALSE()))),"OLD",IF(AND(E5299&lt;&gt;"",E5299&lt;&gt;"!!!"),"NEW","")))</f>
        <v> </v>
      </c>
      <c r="G5299" s="24" t="str">
        <f>IF(OR(E5299="",E5299="!!!"),"",IF(OR(J5299=0,AND(J5299=1,K5299=1),AND(J5299=1,I5299="SBJ"),AND(J5299=1,I5299=0)),"?IN_FOCUS",IF(J5299&lt;=2,"?ACTIVATED",IF(J5299&lt;&gt;"","?FAMILIAR",IF(F5299="NEW",IF(ISNA(VLOOKUP(E5299,#REF!,1,FALSE())),"?TYPE_IDENTIFIABLE","?REFERENTIAL"),"_")))))</f>
        <v> </v>
      </c>
      <c r="H5299" s="25" t="str">
        <f>IF(J5299&lt;&gt;1,"",IF(I5299="SBJ","CB","?"))</f>
        <v> </v>
      </c>
      <c r="I5299" s="26" t="str">
        <f>IF(OR(E5299="",E5299="!!!",F5299="NEW"),"",INDEX(B5298:B$2,-1+SUMPRODUCT(MAX(ROW(E5298:E$2)*(E5299=E5298:E$2)))))</f>
        <v> </v>
      </c>
      <c r="J5299" s="26" t="str">
        <f>IF(OR(E5299="",E5299="!!!",F5299="NEW"),"",COUNTBLANK(OFFSET(A$1,,,SUMPRODUCT(MAX(ROW(E$2:E5299)*(E5299=E$2:E5299)))))-COUNTBLANK(OFFSET(A$1,,,SUMPRODUCT(MAX(ROW(E$1:E5298)*(E2=E$1:E5298))))))</f>
        <v> </v>
      </c>
      <c r="K5299" s="26" t="str">
        <f>IF(OR(E5299="",E5299="!!!",F5299="NEW"),"",INDEX(J$1:J5298,SUMPRODUCT(MAX(ROW(E$1:E5298)*(E5299=E$1:E5298)))))</f>
        <v> </v>
      </c>
      <c r="L5299" s="27"/>
    </row>
    <row r="5300" spans="1:12">
      <c r="A5300" s="20" t="s">
        <v>1430</v>
      </c>
      <c r="E5300" s="22">
        <f>IF(D5300="?OLD","!!!","")</f>
        <v/>
      </c>
      <c r="F5300" s="23" t="str">
        <f>IF(OR(E5300="",E5300="!!!"),"",IF(NOT(ISNA(VLOOKUP(E5300,E$1:E5299,1,FALSE()))),"OLD",IF(AND(E5300&lt;&gt;"",E5300&lt;&gt;"!!!"),"NEW","")))</f>
        <v> </v>
      </c>
      <c r="G5300" s="24" t="str">
        <f>IF(OR(E5300="",E5300="!!!"),"",IF(OR(J5300=0,AND(J5300=1,K5300=1),AND(J5300=1,I5300="SBJ"),AND(J5300=1,I5300=0)),"?IN_FOCUS",IF(J5300&lt;=2,"?ACTIVATED",IF(J5300&lt;&gt;"","?FAMILIAR",IF(F5300="NEW",IF(ISNA(VLOOKUP(E5300,#REF!,1,FALSE())),"?TYPE_IDENTIFIABLE","?REFERENTIAL"),"_")))))</f>
        <v> </v>
      </c>
      <c r="H5300" s="25" t="str">
        <f>IF(J5300&lt;&gt;1,"",IF(I5300="SBJ","CB","?"))</f>
        <v> </v>
      </c>
      <c r="I5300" s="26" t="str">
        <f>IF(OR(E5300="",E5300="!!!",F5300="NEW"),"",INDEX(B5299:B$2,-1+SUMPRODUCT(MAX(ROW(E5299:E$2)*(E5300=E5299:E$2)))))</f>
        <v> </v>
      </c>
      <c r="J5300" s="26" t="str">
        <f>IF(OR(E5300="",E5300="!!!",F5300="NEW"),"",COUNTBLANK(OFFSET(A$1,,,SUMPRODUCT(MAX(ROW(E$2:E5300)*(E5300=E$2:E5300)))))-COUNTBLANK(OFFSET(A$1,,,SUMPRODUCT(MAX(ROW(E$1:E5299)*(E2=E$1:E5299))))))</f>
        <v> </v>
      </c>
      <c r="K5300" s="26" t="str">
        <f>IF(OR(E5300="",E5300="!!!",F5300="NEW"),"",INDEX(J$1:J5299,SUMPRODUCT(MAX(ROW(E$1:E5299)*(E5300=E$1:E5299)))))</f>
        <v> </v>
      </c>
      <c r="L5300" s="27"/>
    </row>
    <row r="5301" spans="1:12">
      <c r="A5301" s="20" t="s">
        <v>2517</v>
      </c>
      <c r="B5301" s="21" t="s">
        <v>1132</v>
      </c>
      <c r="C5301" s="21" t="s">
        <v>1149</v>
      </c>
      <c r="E5301" s="22">
        <f>IF(D5301="?OLD","!!!","")</f>
        <v/>
      </c>
      <c r="F5301" s="23" t="str">
        <f>IF(OR(E5301="",E5301="!!!"),"",IF(NOT(ISNA(VLOOKUP(E5301,E$1:E5300,1,FALSE()))),"OLD",IF(AND(E5301&lt;&gt;"",E5301&lt;&gt;"!!!"),"NEW","")))</f>
        <v> </v>
      </c>
      <c r="G5301" s="24" t="str">
        <f>IF(OR(E5301="",E5301="!!!"),"",IF(OR(J5301=0,AND(J5301=1,K5301=1),AND(J5301=1,I5301="SBJ"),AND(J5301=1,I5301=0)),"?IN_FOCUS",IF(J5301&lt;=2,"?ACTIVATED",IF(J5301&lt;&gt;"","?FAMILIAR",IF(F5301="NEW",IF(ISNA(VLOOKUP(E5301,#REF!,1,FALSE())),"?TYPE_IDENTIFIABLE","?REFERENTIAL"),"_")))))</f>
        <v> </v>
      </c>
      <c r="H5301" s="25" t="str">
        <f>IF(J5301&lt;&gt;1,"",IF(I5301="SBJ","CB","?"))</f>
        <v> </v>
      </c>
      <c r="I5301" s="26" t="str">
        <f>IF(OR(E5301="",E5301="!!!",F5301="NEW"),"",INDEX(B5300:B$2,-1+SUMPRODUCT(MAX(ROW(E5300:E$2)*(E5301=E5300:E$2)))))</f>
        <v> </v>
      </c>
      <c r="J5301" s="26" t="str">
        <f>IF(OR(E5301="",E5301="!!!",F5301="NEW"),"",COUNTBLANK(OFFSET(A$1,,,SUMPRODUCT(MAX(ROW(E$2:E5301)*(E5301=E$2:E5301)))))-COUNTBLANK(OFFSET(A$1,,,SUMPRODUCT(MAX(ROW(E$1:E5300)*(E2=E$1:E5300))))))</f>
        <v> </v>
      </c>
      <c r="K5301" s="26" t="str">
        <f>IF(OR(E5301="",E5301="!!!",F5301="NEW"),"",INDEX(J$1:J5300,SUMPRODUCT(MAX(ROW(E$1:E5300)*(E5301=E$1:E5300)))))</f>
        <v> </v>
      </c>
      <c r="L5301" s="27"/>
    </row>
    <row r="5302" spans="1:12">
      <c r="A5302" s="20" t="s">
        <v>1070</v>
      </c>
      <c r="E5302" s="22">
        <f>IF(D5302="?OLD","!!!","")</f>
        <v/>
      </c>
      <c r="F5302" s="23" t="str">
        <f>IF(OR(E5302="",E5302="!!!"),"",IF(NOT(ISNA(VLOOKUP(E5302,E$1:E5301,1,FALSE()))),"OLD",IF(AND(E5302&lt;&gt;"",E5302&lt;&gt;"!!!"),"NEW","")))</f>
        <v> </v>
      </c>
      <c r="G5302" s="24" t="str">
        <f>IF(OR(E5302="",E5302="!!!"),"",IF(OR(J5302=0,AND(J5302=1,K5302=1),AND(J5302=1,I5302="SBJ"),AND(J5302=1,I5302=0)),"?IN_FOCUS",IF(J5302&lt;=2,"?ACTIVATED",IF(J5302&lt;&gt;"","?FAMILIAR",IF(F5302="NEW",IF(ISNA(VLOOKUP(E5302,#REF!,1,FALSE())),"?TYPE_IDENTIFIABLE","?REFERENTIAL"),"_")))))</f>
        <v> </v>
      </c>
      <c r="H5302" s="25" t="str">
        <f>IF(J5302&lt;&gt;1,"",IF(I5302="SBJ","CB","?"))</f>
        <v> </v>
      </c>
      <c r="I5302" s="26" t="str">
        <f>IF(OR(E5302="",E5302="!!!",F5302="NEW"),"",INDEX(B5301:B$2,-1+SUMPRODUCT(MAX(ROW(E5301:E$2)*(E5302=E5301:E$2)))))</f>
        <v> </v>
      </c>
      <c r="J5302" s="26" t="str">
        <f>IF(OR(E5302="",E5302="!!!",F5302="NEW"),"",COUNTBLANK(OFFSET(A$1,,,SUMPRODUCT(MAX(ROW(E$2:E5302)*(E5302=E$2:E5302)))))-COUNTBLANK(OFFSET(A$1,,,SUMPRODUCT(MAX(ROW(E$1:E5301)*(E2=E$1:E5301))))))</f>
        <v> </v>
      </c>
      <c r="K5302" s="26" t="str">
        <f>IF(OR(E5302="",E5302="!!!",F5302="NEW"),"",INDEX(J$1:J5301,SUMPRODUCT(MAX(ROW(E$1:E5301)*(E5302=E$1:E5301)))))</f>
        <v> </v>
      </c>
      <c r="L5302" s="27"/>
    </row>
    <row r="5303" spans="1:12">
      <c r="A5303" s="20" t="s">
        <v>1118</v>
      </c>
      <c r="E5303" s="22">
        <f>IF(D5303="?OLD","!!!","")</f>
        <v/>
      </c>
      <c r="F5303" s="23" t="str">
        <f>IF(OR(E5303="",E5303="!!!"),"",IF(NOT(ISNA(VLOOKUP(E5303,E$1:E5302,1,FALSE()))),"OLD",IF(AND(E5303&lt;&gt;"",E5303&lt;&gt;"!!!"),"NEW","")))</f>
        <v> </v>
      </c>
      <c r="G5303" s="24" t="str">
        <f>IF(OR(E5303="",E5303="!!!"),"",IF(OR(J5303=0,AND(J5303=1,K5303=1),AND(J5303=1,I5303="SBJ"),AND(J5303=1,I5303=0)),"?IN_FOCUS",IF(J5303&lt;=2,"?ACTIVATED",IF(J5303&lt;&gt;"","?FAMILIAR",IF(F5303="NEW",IF(ISNA(VLOOKUP(E5303,#REF!,1,FALSE())),"?TYPE_IDENTIFIABLE","?REFERENTIAL"),"_")))))</f>
        <v> </v>
      </c>
      <c r="H5303" s="25" t="str">
        <f>IF(J5303&lt;&gt;1,"",IF(I5303="SBJ","CB","?"))</f>
        <v> </v>
      </c>
      <c r="I5303" s="26" t="str">
        <f>IF(OR(E5303="",E5303="!!!",F5303="NEW"),"",INDEX(B5302:B$2,-1+SUMPRODUCT(MAX(ROW(E5302:E$2)*(E5303=E5302:E$2)))))</f>
        <v> </v>
      </c>
      <c r="J5303" s="26" t="str">
        <f>IF(OR(E5303="",E5303="!!!",F5303="NEW"),"",COUNTBLANK(OFFSET(A$1,,,SUMPRODUCT(MAX(ROW(E$2:E5303)*(E5303=E$2:E5303)))))-COUNTBLANK(OFFSET(A$1,,,SUMPRODUCT(MAX(ROW(E$1:E5302)*(E2=E$1:E5302))))))</f>
        <v> </v>
      </c>
      <c r="K5303" s="26" t="str">
        <f>IF(OR(E5303="",E5303="!!!",F5303="NEW"),"",INDEX(J$1:J5302,SUMPRODUCT(MAX(ROW(E$1:E5302)*(E5303=E$1:E5302)))))</f>
        <v> </v>
      </c>
      <c r="L5303" s="27"/>
    </row>
    <row r="5304" spans="1:12">
      <c r="A5304" s="20" t="s">
        <v>2518</v>
      </c>
      <c r="E5304" s="22">
        <f>IF(D5304="?OLD","!!!","")</f>
        <v/>
      </c>
      <c r="F5304" s="23" t="str">
        <f>IF(OR(E5304="",E5304="!!!"),"",IF(NOT(ISNA(VLOOKUP(E5304,E$1:E5303,1,FALSE()))),"OLD",IF(AND(E5304&lt;&gt;"",E5304&lt;&gt;"!!!"),"NEW","")))</f>
        <v> </v>
      </c>
      <c r="G5304" s="24" t="str">
        <f>IF(OR(E5304="",E5304="!!!"),"",IF(OR(J5304=0,AND(J5304=1,K5304=1),AND(J5304=1,I5304="SBJ"),AND(J5304=1,I5304=0)),"?IN_FOCUS",IF(J5304&lt;=2,"?ACTIVATED",IF(J5304&lt;&gt;"","?FAMILIAR",IF(F5304="NEW",IF(ISNA(VLOOKUP(E5304,#REF!,1,FALSE())),"?TYPE_IDENTIFIABLE","?REFERENTIAL"),"_")))))</f>
        <v> </v>
      </c>
      <c r="H5304" s="25" t="str">
        <f>IF(J5304&lt;&gt;1,"",IF(I5304="SBJ","CB","?"))</f>
        <v> </v>
      </c>
      <c r="I5304" s="26" t="str">
        <f>IF(OR(E5304="",E5304="!!!",F5304="NEW"),"",INDEX(B5303:B$2,-1+SUMPRODUCT(MAX(ROW(E5303:E$2)*(E5304=E5303:E$2)))))</f>
        <v> </v>
      </c>
      <c r="J5304" s="26" t="str">
        <f>IF(OR(E5304="",E5304="!!!",F5304="NEW"),"",COUNTBLANK(OFFSET(A$1,,,SUMPRODUCT(MAX(ROW(E$2:E5304)*(E5304=E$2:E5304)))))-COUNTBLANK(OFFSET(A$1,,,SUMPRODUCT(MAX(ROW(E$1:E5303)*(E2=E$1:E5303))))))</f>
        <v> </v>
      </c>
      <c r="K5304" s="26" t="str">
        <f>IF(OR(E5304="",E5304="!!!",F5304="NEW"),"",INDEX(J$1:J5303,SUMPRODUCT(MAX(ROW(E$1:E5303)*(E5304=E$1:E5303)))))</f>
        <v> </v>
      </c>
      <c r="L5304" s="27"/>
    </row>
    <row r="5305" spans="1:12">
      <c r="A5305" s="20" t="s">
        <v>1108</v>
      </c>
      <c r="E5305" s="22">
        <f>IF(D5305="?OLD","!!!","")</f>
        <v/>
      </c>
      <c r="F5305" s="23" t="str">
        <f>IF(OR(E5305="",E5305="!!!"),"",IF(NOT(ISNA(VLOOKUP(E5305,E$1:E5304,1,FALSE()))),"OLD",IF(AND(E5305&lt;&gt;"",E5305&lt;&gt;"!!!"),"NEW","")))</f>
        <v> </v>
      </c>
      <c r="G5305" s="24" t="str">
        <f>IF(OR(E5305="",E5305="!!!"),"",IF(OR(J5305=0,AND(J5305=1,K5305=1),AND(J5305=1,I5305="SBJ"),AND(J5305=1,I5305=0)),"?IN_FOCUS",IF(J5305&lt;=2,"?ACTIVATED",IF(J5305&lt;&gt;"","?FAMILIAR",IF(F5305="NEW",IF(ISNA(VLOOKUP(E5305,#REF!,1,FALSE())),"?TYPE_IDENTIFIABLE","?REFERENTIAL"),"_")))))</f>
        <v> </v>
      </c>
      <c r="H5305" s="25" t="str">
        <f>IF(J5305&lt;&gt;1,"",IF(I5305="SBJ","CB","?"))</f>
        <v> </v>
      </c>
      <c r="I5305" s="26" t="str">
        <f>IF(OR(E5305="",E5305="!!!",F5305="NEW"),"",INDEX(B5304:B$2,-1+SUMPRODUCT(MAX(ROW(E5304:E$2)*(E5305=E5304:E$2)))))</f>
        <v> </v>
      </c>
      <c r="J5305" s="26" t="str">
        <f>IF(OR(E5305="",E5305="!!!",F5305="NEW"),"",COUNTBLANK(OFFSET(A$1,,,SUMPRODUCT(MAX(ROW(E$2:E5305)*(E5305=E$2:E5305)))))-COUNTBLANK(OFFSET(A$1,,,SUMPRODUCT(MAX(ROW(E$1:E5304)*(E2=E$1:E5304))))))</f>
        <v> </v>
      </c>
      <c r="K5305" s="26" t="str">
        <f>IF(OR(E5305="",E5305="!!!",F5305="NEW"),"",INDEX(J$1:J5304,SUMPRODUCT(MAX(ROW(E$1:E5304)*(E5305=E$1:E5304)))))</f>
        <v> </v>
      </c>
      <c r="L5305" s="27"/>
    </row>
    <row r="5306" spans="1:12">
      <c r="A5306" s="20" t="s">
        <v>1120</v>
      </c>
      <c r="E5306" s="22">
        <f>IF(D5306="?OLD","!!!","")</f>
        <v/>
      </c>
      <c r="F5306" s="23" t="str">
        <f>IF(OR(E5306="",E5306="!!!"),"",IF(NOT(ISNA(VLOOKUP(E5306,E$1:E5305,1,FALSE()))),"OLD",IF(AND(E5306&lt;&gt;"",E5306&lt;&gt;"!!!"),"NEW","")))</f>
        <v> </v>
      </c>
      <c r="G5306" s="24" t="str">
        <f>IF(OR(E5306="",E5306="!!!"),"",IF(OR(J5306=0,AND(J5306=1,K5306=1),AND(J5306=1,I5306="SBJ"),AND(J5306=1,I5306=0)),"?IN_FOCUS",IF(J5306&lt;=2,"?ACTIVATED",IF(J5306&lt;&gt;"","?FAMILIAR",IF(F5306="NEW",IF(ISNA(VLOOKUP(E5306,#REF!,1,FALSE())),"?TYPE_IDENTIFIABLE","?REFERENTIAL"),"_")))))</f>
        <v> </v>
      </c>
      <c r="H5306" s="25" t="str">
        <f>IF(J5306&lt;&gt;1,"",IF(I5306="SBJ","CB","?"))</f>
        <v> </v>
      </c>
      <c r="I5306" s="26" t="str">
        <f>IF(OR(E5306="",E5306="!!!",F5306="NEW"),"",INDEX(B5305:B$2,-1+SUMPRODUCT(MAX(ROW(E5305:E$2)*(E5306=E5305:E$2)))))</f>
        <v> </v>
      </c>
      <c r="J5306" s="26" t="str">
        <f>IF(OR(E5306="",E5306="!!!",F5306="NEW"),"",COUNTBLANK(OFFSET(A$1,,,SUMPRODUCT(MAX(ROW(E$2:E5306)*(E5306=E$2:E5306)))))-COUNTBLANK(OFFSET(A$1,,,SUMPRODUCT(MAX(ROW(E$1:E5305)*(E2=E$1:E5305))))))</f>
        <v> </v>
      </c>
      <c r="K5306" s="26" t="str">
        <f>IF(OR(E5306="",E5306="!!!",F5306="NEW"),"",INDEX(J$1:J5305,SUMPRODUCT(MAX(ROW(E$1:E5305)*(E5306=E$1:E5305)))))</f>
        <v> </v>
      </c>
      <c r="L5306" s="27"/>
    </row>
    <row r="5307" spans="1:12">
      <c r="A5307" s="20" t="s">
        <v>2519</v>
      </c>
      <c r="B5307" s="21" t="s">
        <v>1331</v>
      </c>
      <c r="C5307" s="21" t="s">
        <v>1159</v>
      </c>
      <c r="D5307" s="21" t="s">
        <v>1060</v>
      </c>
      <c r="E5307" s="22">
        <f>IF(D5307="?OLD","!!!","")</f>
        <v/>
      </c>
      <c r="F5307" s="23" t="str">
        <f>IF(OR(E5307="",E5307="!!!"),"",IF(NOT(ISNA(VLOOKUP(E5307,E$1:E5306,1,FALSE()))),"OLD",IF(AND(E5307&lt;&gt;"",E5307&lt;&gt;"!!!"),"NEW","")))</f>
        <v> </v>
      </c>
      <c r="G5307" s="24" t="str">
        <f>IF(OR(E5307="",E5307="!!!"),"",IF(OR(J5307=0,AND(J5307=1,K5307=1),AND(J5307=1,I5307="SBJ"),AND(J5307=1,I5307=0)),"?IN_FOCUS",IF(J5307&lt;=2,"?ACTIVATED",IF(J5307&lt;&gt;"","?FAMILIAR",IF(F5307="NEW",IF(ISNA(VLOOKUP(E5307,#REF!,1,FALSE())),"?TYPE_IDENTIFIABLE","?REFERENTIAL"),"_")))))</f>
        <v> </v>
      </c>
      <c r="H5307" s="25" t="str">
        <f>IF(J5307&lt;&gt;1,"",IF(I5307="SBJ","CB","?"))</f>
        <v> </v>
      </c>
      <c r="I5307" s="26" t="str">
        <f>IF(OR(E5307="",E5307="!!!",F5307="NEW"),"",INDEX(B5306:B$2,-1+SUMPRODUCT(MAX(ROW(E5306:E$2)*(E5307=E5306:E$2)))))</f>
        <v> </v>
      </c>
      <c r="J5307" s="26" t="str">
        <f>IF(OR(E5307="",E5307="!!!",F5307="NEW"),"",COUNTBLANK(OFFSET(A$1,,,SUMPRODUCT(MAX(ROW(E$2:E5307)*(E5307=E$2:E5307)))))-COUNTBLANK(OFFSET(A$1,,,SUMPRODUCT(MAX(ROW(E$1:E5306)*(E2=E$1:E5306))))))</f>
        <v> </v>
      </c>
      <c r="K5307" s="26" t="str">
        <f>IF(OR(E5307="",E5307="!!!",F5307="NEW"),"",INDEX(J$1:J5306,SUMPRODUCT(MAX(ROW(E$1:E5306)*(E5307=E$1:E5306)))))</f>
        <v> </v>
      </c>
      <c r="L5307" s="27"/>
    </row>
    <row r="5308" spans="1:12">
      <c r="A5308" s="20" t="s">
        <v>1115</v>
      </c>
      <c r="B5308" s="21" t="s">
        <v>1124</v>
      </c>
      <c r="E5308" s="22">
        <f>IF(D5308="?OLD","!!!","")</f>
        <v/>
      </c>
      <c r="F5308" s="23" t="str">
        <f>IF(OR(E5308="",E5308="!!!"),"",IF(NOT(ISNA(VLOOKUP(E5308,E$1:E5307,1,FALSE()))),"OLD",IF(AND(E5308&lt;&gt;"",E5308&lt;&gt;"!!!"),"NEW","")))</f>
        <v> </v>
      </c>
      <c r="G5308" s="24" t="str">
        <f>IF(OR(E5308="",E5308="!!!"),"",IF(OR(J5308=0,AND(J5308=1,K5308=1),AND(J5308=1,I5308="SBJ"),AND(J5308=1,I5308=0)),"?IN_FOCUS",IF(J5308&lt;=2,"?ACTIVATED",IF(J5308&lt;&gt;"","?FAMILIAR",IF(F5308="NEW",IF(ISNA(VLOOKUP(E5308,#REF!,1,FALSE())),"?TYPE_IDENTIFIABLE","?REFERENTIAL"),"_")))))</f>
        <v> </v>
      </c>
      <c r="H5308" s="25" t="str">
        <f>IF(J5308&lt;&gt;1,"",IF(I5308="SBJ","CB","?"))</f>
        <v> </v>
      </c>
      <c r="I5308" s="26" t="str">
        <f>IF(OR(E5308="",E5308="!!!",F5308="NEW"),"",INDEX(B5307:B$2,-1+SUMPRODUCT(MAX(ROW(E5307:E$2)*(E5308=E5307:E$2)))))</f>
        <v> </v>
      </c>
      <c r="J5308" s="26" t="str">
        <f>IF(OR(E5308="",E5308="!!!",F5308="NEW"),"",COUNTBLANK(OFFSET(A$1,,,SUMPRODUCT(MAX(ROW(E$2:E5308)*(E5308=E$2:E5308)))))-COUNTBLANK(OFFSET(A$1,,,SUMPRODUCT(MAX(ROW(E$1:E5307)*(E2=E$1:E5307))))))</f>
        <v> </v>
      </c>
      <c r="K5308" s="26" t="str">
        <f>IF(OR(E5308="",E5308="!!!",F5308="NEW"),"",INDEX(J$1:J5307,SUMPRODUCT(MAX(ROW(E$1:E5307)*(E5308=E$1:E5307)))))</f>
        <v> </v>
      </c>
      <c r="L5308" s="27"/>
    </row>
    <row r="5309" spans="1:12">
      <c r="A5309" s="20" t="s">
        <v>1584</v>
      </c>
      <c r="E5309" s="22">
        <f>IF(D5309="?OLD","!!!","")</f>
        <v/>
      </c>
      <c r="F5309" s="23" t="str">
        <f>IF(OR(E5309="",E5309="!!!"),"",IF(NOT(ISNA(VLOOKUP(E5309,E$1:E5308,1,FALSE()))),"OLD",IF(AND(E5309&lt;&gt;"",E5309&lt;&gt;"!!!"),"NEW","")))</f>
        <v> </v>
      </c>
      <c r="G5309" s="24" t="str">
        <f>IF(OR(E5309="",E5309="!!!"),"",IF(OR(J5309=0,AND(J5309=1,K5309=1),AND(J5309=1,I5309="SBJ"),AND(J5309=1,I5309=0)),"?IN_FOCUS",IF(J5309&lt;=2,"?ACTIVATED",IF(J5309&lt;&gt;"","?FAMILIAR",IF(F5309="NEW",IF(ISNA(VLOOKUP(E5309,#REF!,1,FALSE())),"?TYPE_IDENTIFIABLE","?REFERENTIAL"),"_")))))</f>
        <v> </v>
      </c>
      <c r="H5309" s="25" t="str">
        <f>IF(J5309&lt;&gt;1,"",IF(I5309="SBJ","CB","?"))</f>
        <v> </v>
      </c>
      <c r="I5309" s="26" t="str">
        <f>IF(OR(E5309="",E5309="!!!",F5309="NEW"),"",INDEX(B5308:B$2,-1+SUMPRODUCT(MAX(ROW(E5308:E$2)*(E5309=E5308:E$2)))))</f>
        <v> </v>
      </c>
      <c r="J5309" s="26" t="str">
        <f>IF(OR(E5309="",E5309="!!!",F5309="NEW"),"",COUNTBLANK(OFFSET(A$1,,,SUMPRODUCT(MAX(ROW(E$2:E5309)*(E5309=E$2:E5309)))))-COUNTBLANK(OFFSET(A$1,,,SUMPRODUCT(MAX(ROW(E$1:E5308)*(E2=E$1:E5308))))))</f>
        <v> </v>
      </c>
      <c r="K5309" s="26" t="str">
        <f>IF(OR(E5309="",E5309="!!!",F5309="NEW"),"",INDEX(J$1:J5308,SUMPRODUCT(MAX(ROW(E$1:E5308)*(E5309=E$1:E5308)))))</f>
        <v> </v>
      </c>
      <c r="L5309" s="27"/>
    </row>
    <row r="5310" spans="1:12">
      <c r="A5310" s="20" t="s">
        <v>1160</v>
      </c>
      <c r="E5310" s="22">
        <f>IF(D5310="?OLD","!!!","")</f>
        <v/>
      </c>
      <c r="F5310" s="23" t="str">
        <f>IF(OR(E5310="",E5310="!!!"),"",IF(NOT(ISNA(VLOOKUP(E5310,E$1:E5309,1,FALSE()))),"OLD",IF(AND(E5310&lt;&gt;"",E5310&lt;&gt;"!!!"),"NEW","")))</f>
        <v> </v>
      </c>
      <c r="G5310" s="24" t="str">
        <f>IF(OR(E5310="",E5310="!!!"),"",IF(OR(J5310=0,AND(J5310=1,K5310=1),AND(J5310=1,I5310="SBJ"),AND(J5310=1,I5310=0)),"?IN_FOCUS",IF(J5310&lt;=2,"?ACTIVATED",IF(J5310&lt;&gt;"","?FAMILIAR",IF(F5310="NEW",IF(ISNA(VLOOKUP(E5310,#REF!,1,FALSE())),"?TYPE_IDENTIFIABLE","?REFERENTIAL"),"_")))))</f>
        <v> </v>
      </c>
      <c r="H5310" s="25" t="str">
        <f>IF(J5310&lt;&gt;1,"",IF(I5310="SBJ","CB","?"))</f>
        <v> </v>
      </c>
      <c r="I5310" s="26" t="str">
        <f>IF(OR(E5310="",E5310="!!!",F5310="NEW"),"",INDEX(B5309:B$2,-1+SUMPRODUCT(MAX(ROW(E5309:E$2)*(E5310=E5309:E$2)))))</f>
        <v> </v>
      </c>
      <c r="J5310" s="26" t="str">
        <f>IF(OR(E5310="",E5310="!!!",F5310="NEW"),"",COUNTBLANK(OFFSET(A$1,,,SUMPRODUCT(MAX(ROW(E$2:E5310)*(E5310=E$2:E5310)))))-COUNTBLANK(OFFSET(A$1,,,SUMPRODUCT(MAX(ROW(E$1:E5309)*(E2=E$1:E5309))))))</f>
        <v> </v>
      </c>
      <c r="K5310" s="26" t="str">
        <f>IF(OR(E5310="",E5310="!!!",F5310="NEW"),"",INDEX(J$1:J5309,SUMPRODUCT(MAX(ROW(E$1:E5309)*(E5310=E$1:E5309)))))</f>
        <v> </v>
      </c>
      <c r="L5310" s="27"/>
    </row>
    <row r="5311" spans="1:12">
      <c r="A5311" s="20" t="s">
        <v>2520</v>
      </c>
      <c r="B5311" s="21" t="s">
        <v>1104</v>
      </c>
      <c r="C5311" s="21" t="s">
        <v>1149</v>
      </c>
      <c r="E5311" s="22">
        <f>IF(D5311="?OLD","!!!","")</f>
        <v/>
      </c>
      <c r="F5311" s="23" t="str">
        <f>IF(OR(E5311="",E5311="!!!"),"",IF(NOT(ISNA(VLOOKUP(E5311,E$1:E5310,1,FALSE()))),"OLD",IF(AND(E5311&lt;&gt;"",E5311&lt;&gt;"!!!"),"NEW","")))</f>
        <v> </v>
      </c>
      <c r="G5311" s="24" t="str">
        <f>IF(OR(E5311="",E5311="!!!"),"",IF(OR(J5311=0,AND(J5311=1,K5311=1),AND(J5311=1,I5311="SBJ"),AND(J5311=1,I5311=0)),"?IN_FOCUS",IF(J5311&lt;=2,"?ACTIVATED",IF(J5311&lt;&gt;"","?FAMILIAR",IF(F5311="NEW",IF(ISNA(VLOOKUP(E5311,#REF!,1,FALSE())),"?TYPE_IDENTIFIABLE","?REFERENTIAL"),"_")))))</f>
        <v> </v>
      </c>
      <c r="H5311" s="25" t="str">
        <f>IF(J5311&lt;&gt;1,"",IF(I5311="SBJ","CB","?"))</f>
        <v> </v>
      </c>
      <c r="I5311" s="26" t="str">
        <f>IF(OR(E5311="",E5311="!!!",F5311="NEW"),"",INDEX(B5310:B$2,-1+SUMPRODUCT(MAX(ROW(E5310:E$2)*(E5311=E5310:E$2)))))</f>
        <v> </v>
      </c>
      <c r="J5311" s="26" t="str">
        <f>IF(OR(E5311="",E5311="!!!",F5311="NEW"),"",COUNTBLANK(OFFSET(A$1,,,SUMPRODUCT(MAX(ROW(E$2:E5311)*(E5311=E$2:E5311)))))-COUNTBLANK(OFFSET(A$1,,,SUMPRODUCT(MAX(ROW(E$1:E5310)*(E2=E$1:E5310))))))</f>
        <v> </v>
      </c>
      <c r="K5311" s="26" t="str">
        <f>IF(OR(E5311="",E5311="!!!",F5311="NEW"),"",INDEX(J$1:J5310,SUMPRODUCT(MAX(ROW(E$1:E5310)*(E5311=E$1:E5310)))))</f>
        <v> </v>
      </c>
      <c r="L5311" s="27"/>
    </row>
    <row r="5312" spans="1:12">
      <c r="A5312" s="20" t="s">
        <v>1125</v>
      </c>
      <c r="E5312" s="22">
        <f>IF(D5312="?OLD","!!!","")</f>
        <v/>
      </c>
      <c r="F5312" s="23" t="str">
        <f>IF(OR(E5312="",E5312="!!!"),"",IF(NOT(ISNA(VLOOKUP(E5312,E$1:E5311,1,FALSE()))),"OLD",IF(AND(E5312&lt;&gt;"",E5312&lt;&gt;"!!!"),"NEW","")))</f>
        <v> </v>
      </c>
      <c r="G5312" s="24" t="str">
        <f>IF(OR(E5312="",E5312="!!!"),"",IF(OR(J5312=0,AND(J5312=1,K5312=1),AND(J5312=1,I5312="SBJ"),AND(J5312=1,I5312=0)),"?IN_FOCUS",IF(J5312&lt;=2,"?ACTIVATED",IF(J5312&lt;&gt;"","?FAMILIAR",IF(F5312="NEW",IF(ISNA(VLOOKUP(E5312,#REF!,1,FALSE())),"?TYPE_IDENTIFIABLE","?REFERENTIAL"),"_")))))</f>
        <v> </v>
      </c>
      <c r="H5312" s="25" t="str">
        <f>IF(J5312&lt;&gt;1,"",IF(I5312="SBJ","CB","?"))</f>
        <v> </v>
      </c>
      <c r="I5312" s="26" t="str">
        <f>IF(OR(E5312="",E5312="!!!",F5312="NEW"),"",INDEX(B5311:B$2,-1+SUMPRODUCT(MAX(ROW(E5311:E$2)*(E5312=E5311:E$2)))))</f>
        <v> </v>
      </c>
      <c r="J5312" s="26" t="str">
        <f>IF(OR(E5312="",E5312="!!!",F5312="NEW"),"",COUNTBLANK(OFFSET(A$1,,,SUMPRODUCT(MAX(ROW(E$2:E5312)*(E5312=E$2:E5312)))))-COUNTBLANK(OFFSET(A$1,,,SUMPRODUCT(MAX(ROW(E$1:E5311)*(E2=E$1:E5311))))))</f>
        <v> </v>
      </c>
      <c r="K5312" s="26" t="str">
        <f>IF(OR(E5312="",E5312="!!!",F5312="NEW"),"",INDEX(J$1:J5311,SUMPRODUCT(MAX(ROW(E$1:E5311)*(E5312=E$1:E5311)))))</f>
        <v> </v>
      </c>
      <c r="L5312" s="27"/>
    </row>
    <row r="5313" spans="1:12">
      <c r="A5313" s="20" t="s">
        <v>1256</v>
      </c>
      <c r="E5313" s="22">
        <f>IF(D5313="?OLD","!!!","")</f>
        <v/>
      </c>
      <c r="F5313" s="23" t="str">
        <f>IF(OR(E5313="",E5313="!!!"),"",IF(NOT(ISNA(VLOOKUP(E5313,E$1:E5312,1,FALSE()))),"OLD",IF(AND(E5313&lt;&gt;"",E5313&lt;&gt;"!!!"),"NEW","")))</f>
        <v> </v>
      </c>
      <c r="G5313" s="24" t="str">
        <f>IF(OR(E5313="",E5313="!!!"),"",IF(OR(J5313=0,AND(J5313=1,K5313=1),AND(J5313=1,I5313="SBJ"),AND(J5313=1,I5313=0)),"?IN_FOCUS",IF(J5313&lt;=2,"?ACTIVATED",IF(J5313&lt;&gt;"","?FAMILIAR",IF(F5313="NEW",IF(ISNA(VLOOKUP(E5313,#REF!,1,FALSE())),"?TYPE_IDENTIFIABLE","?REFERENTIAL"),"_")))))</f>
        <v> </v>
      </c>
      <c r="H5313" s="25" t="str">
        <f>IF(J5313&lt;&gt;1,"",IF(I5313="SBJ","CB","?"))</f>
        <v> </v>
      </c>
      <c r="I5313" s="26" t="str">
        <f>IF(OR(E5313="",E5313="!!!",F5313="NEW"),"",INDEX(B5312:B$2,-1+SUMPRODUCT(MAX(ROW(E5312:E$2)*(E5313=E5312:E$2)))))</f>
        <v> </v>
      </c>
      <c r="J5313" s="26" t="str">
        <f>IF(OR(E5313="",E5313="!!!",F5313="NEW"),"",COUNTBLANK(OFFSET(A$1,,,SUMPRODUCT(MAX(ROW(E$2:E5313)*(E5313=E$2:E5313)))))-COUNTBLANK(OFFSET(A$1,,,SUMPRODUCT(MAX(ROW(E$1:E5312)*(E2=E$1:E5312))))))</f>
        <v> </v>
      </c>
      <c r="K5313" s="26" t="str">
        <f>IF(OR(E5313="",E5313="!!!",F5313="NEW"),"",INDEX(J$1:J5312,SUMPRODUCT(MAX(ROW(E$1:E5312)*(E5313=E$1:E5312)))))</f>
        <v> </v>
      </c>
      <c r="L5313" s="27"/>
    </row>
    <row r="5314" spans="1:12">
      <c r="A5314" s="20" t="s">
        <v>2521</v>
      </c>
      <c r="E5314" s="22">
        <f>IF(D5314="?OLD","!!!","")</f>
        <v/>
      </c>
      <c r="F5314" s="23" t="str">
        <f>IF(OR(E5314="",E5314="!!!"),"",IF(NOT(ISNA(VLOOKUP(E5314,E$1:E5313,1,FALSE()))),"OLD",IF(AND(E5314&lt;&gt;"",E5314&lt;&gt;"!!!"),"NEW","")))</f>
        <v> </v>
      </c>
      <c r="G5314" s="24" t="str">
        <f>IF(OR(E5314="",E5314="!!!"),"",IF(OR(J5314=0,AND(J5314=1,K5314=1),AND(J5314=1,I5314="SBJ"),AND(J5314=1,I5314=0)),"?IN_FOCUS",IF(J5314&lt;=2,"?ACTIVATED",IF(J5314&lt;&gt;"","?FAMILIAR",IF(F5314="NEW",IF(ISNA(VLOOKUP(E5314,#REF!,1,FALSE())),"?TYPE_IDENTIFIABLE","?REFERENTIAL"),"_")))))</f>
        <v> </v>
      </c>
      <c r="H5314" s="25" t="str">
        <f>IF(J5314&lt;&gt;1,"",IF(I5314="SBJ","CB","?"))</f>
        <v> </v>
      </c>
      <c r="I5314" s="26" t="str">
        <f>IF(OR(E5314="",E5314="!!!",F5314="NEW"),"",INDEX(B5313:B$2,-1+SUMPRODUCT(MAX(ROW(E5313:E$2)*(E5314=E5313:E$2)))))</f>
        <v> </v>
      </c>
      <c r="J5314" s="26" t="str">
        <f>IF(OR(E5314="",E5314="!!!",F5314="NEW"),"",COUNTBLANK(OFFSET(A$1,,,SUMPRODUCT(MAX(ROW(E$2:E5314)*(E5314=E$2:E5314)))))-COUNTBLANK(OFFSET(A$1,,,SUMPRODUCT(MAX(ROW(E$1:E5313)*(E2=E$1:E5313))))))</f>
        <v> </v>
      </c>
      <c r="K5314" s="26" t="str">
        <f>IF(OR(E5314="",E5314="!!!",F5314="NEW"),"",INDEX(J$1:J5313,SUMPRODUCT(MAX(ROW(E$1:E5313)*(E5314=E$1:E5313)))))</f>
        <v> </v>
      </c>
      <c r="L5314" s="27"/>
    </row>
    <row r="5315" spans="1:12">
      <c r="A5315" s="20" t="s">
        <v>1088</v>
      </c>
      <c r="E5315" s="22">
        <f>IF(D5315="?OLD","!!!","")</f>
        <v/>
      </c>
      <c r="F5315" s="23" t="str">
        <f>IF(OR(E5315="",E5315="!!!"),"",IF(NOT(ISNA(VLOOKUP(E5315,E$1:E5314,1,FALSE()))),"OLD",IF(AND(E5315&lt;&gt;"",E5315&lt;&gt;"!!!"),"NEW","")))</f>
        <v> </v>
      </c>
      <c r="G5315" s="24" t="str">
        <f>IF(OR(E5315="",E5315="!!!"),"",IF(OR(J5315=0,AND(J5315=1,K5315=1),AND(J5315=1,I5315="SBJ"),AND(J5315=1,I5315=0)),"?IN_FOCUS",IF(J5315&lt;=2,"?ACTIVATED",IF(J5315&lt;&gt;"","?FAMILIAR",IF(F5315="NEW",IF(ISNA(VLOOKUP(E5315,#REF!,1,FALSE())),"?TYPE_IDENTIFIABLE","?REFERENTIAL"),"_")))))</f>
        <v> </v>
      </c>
      <c r="H5315" s="25" t="str">
        <f>IF(J5315&lt;&gt;1,"",IF(I5315="SBJ","CB","?"))</f>
        <v> </v>
      </c>
      <c r="I5315" s="26" t="str">
        <f>IF(OR(E5315="",E5315="!!!",F5315="NEW"),"",INDEX(B5314:B$2,-1+SUMPRODUCT(MAX(ROW(E5314:E$2)*(E5315=E5314:E$2)))))</f>
        <v> </v>
      </c>
      <c r="J5315" s="26" t="str">
        <f>IF(OR(E5315="",E5315="!!!",F5315="NEW"),"",COUNTBLANK(OFFSET(A$1,,,SUMPRODUCT(MAX(ROW(E$2:E5315)*(E5315=E$2:E5315)))))-COUNTBLANK(OFFSET(A$1,,,SUMPRODUCT(MAX(ROW(E$1:E5314)*(E2=E$1:E5314))))))</f>
        <v> </v>
      </c>
      <c r="K5315" s="26" t="str">
        <f>IF(OR(E5315="",E5315="!!!",F5315="NEW"),"",INDEX(J$1:J5314,SUMPRODUCT(MAX(ROW(E$1:E5314)*(E5315=E$1:E5314)))))</f>
        <v> </v>
      </c>
      <c r="L5315" s="27"/>
    </row>
    <row r="5316" spans="1:12">
      <c r="A5316" s="20" t="s">
        <v>209</v>
      </c>
      <c r="E5316" s="22">
        <f>IF(D5316="?OLD","!!!","")</f>
        <v/>
      </c>
      <c r="F5316" s="23" t="str">
        <f>IF(OR(E5316="",E5316="!!!"),"",IF(NOT(ISNA(VLOOKUP(E5316,E$1:E5315,1,FALSE()))),"OLD",IF(AND(E5316&lt;&gt;"",E5316&lt;&gt;"!!!"),"NEW","")))</f>
        <v> </v>
      </c>
      <c r="G5316" s="24" t="str">
        <f>IF(OR(E5316="",E5316="!!!"),"",IF(OR(J5316=0,AND(J5316=1,K5316=1),AND(J5316=1,I5316="SBJ"),AND(J5316=1,I5316=0)),"?IN_FOCUS",IF(J5316&lt;=2,"?ACTIVATED",IF(J5316&lt;&gt;"","?FAMILIAR",IF(F5316="NEW",IF(ISNA(VLOOKUP(E5316,#REF!,1,FALSE())),"?TYPE_IDENTIFIABLE","?REFERENTIAL"),"_")))))</f>
        <v> </v>
      </c>
      <c r="H5316" s="25" t="str">
        <f>IF(J5316&lt;&gt;1,"",IF(I5316="SBJ","CB","?"))</f>
        <v> </v>
      </c>
      <c r="I5316" s="26" t="str">
        <f>IF(OR(E5316="",E5316="!!!",F5316="NEW"),"",INDEX(B5315:B$2,-1+SUMPRODUCT(MAX(ROW(E5315:E$2)*(E5316=E5315:E$2)))))</f>
        <v> </v>
      </c>
      <c r="J5316" s="26" t="str">
        <f>IF(OR(E5316="",E5316="!!!",F5316="NEW"),"",COUNTBLANK(OFFSET(A$1,,,SUMPRODUCT(MAX(ROW(E$2:E5316)*(E5316=E$2:E5316)))))-COUNTBLANK(OFFSET(A$1,,,SUMPRODUCT(MAX(ROW(E$1:E5315)*(E2=E$1:E5315))))))</f>
        <v> </v>
      </c>
      <c r="K5316" s="26" t="str">
        <f>IF(OR(E5316="",E5316="!!!",F5316="NEW"),"",INDEX(J$1:J5315,SUMPRODUCT(MAX(ROW(E$1:E5315)*(E5316=E$1:E5315)))))</f>
        <v> </v>
      </c>
      <c r="L5316" s="27"/>
    </row>
    <row r="5317" spans="1:12">
      <c r="A5317" s="20" t="s">
        <v>923</v>
      </c>
      <c r="E5317" s="22">
        <f>IF(D5317="?OLD","!!!","")</f>
        <v/>
      </c>
      <c r="F5317" s="23" t="str">
        <f>IF(OR(E5317="",E5317="!!!"),"",IF(NOT(ISNA(VLOOKUP(E5317,E$1:E5316,1,FALSE()))),"OLD",IF(AND(E5317&lt;&gt;"",E5317&lt;&gt;"!!!"),"NEW","")))</f>
        <v> </v>
      </c>
      <c r="G5317" s="24" t="str">
        <f>IF(OR(E5317="",E5317="!!!"),"",IF(OR(J5317=0,AND(J5317=1,K5317=1),AND(J5317=1,I5317="SBJ"),AND(J5317=1,I5317=0)),"?IN_FOCUS",IF(J5317&lt;=2,"?ACTIVATED",IF(J5317&lt;&gt;"","?FAMILIAR",IF(F5317="NEW",IF(ISNA(VLOOKUP(E5317,#REF!,1,FALSE())),"?TYPE_IDENTIFIABLE","?REFERENTIAL"),"_")))))</f>
        <v> </v>
      </c>
      <c r="H5317" s="25" t="str">
        <f>IF(J5317&lt;&gt;1,"",IF(I5317="SBJ","CB","?"))</f>
        <v> </v>
      </c>
      <c r="I5317" s="26" t="str">
        <f>IF(OR(E5317="",E5317="!!!",F5317="NEW"),"",INDEX(B5316:B$2,-1+SUMPRODUCT(MAX(ROW(E5316:E$2)*(E5317=E5316:E$2)))))</f>
        <v> </v>
      </c>
      <c r="J5317" s="26" t="str">
        <f>IF(OR(E5317="",E5317="!!!",F5317="NEW"),"",COUNTBLANK(OFFSET(A$1,,,SUMPRODUCT(MAX(ROW(E$2:E5317)*(E5317=E$2:E5317)))))-COUNTBLANK(OFFSET(A$1,,,SUMPRODUCT(MAX(ROW(E$1:E5316)*(E2=E$1:E5316))))))</f>
        <v> </v>
      </c>
      <c r="K5317" s="26" t="str">
        <f>IF(OR(E5317="",E5317="!!!",F5317="NEW"),"",INDEX(J$1:J5316,SUMPRODUCT(MAX(ROW(E$1:E5316)*(E5317=E$1:E5316)))))</f>
        <v> </v>
      </c>
      <c r="L5317" s="27"/>
    </row>
    <row r="5318" spans="1:12">
      <c r="A5318" s="20"/>
    </row>
    <row r="5319" spans="1:12">
      <c r="A5319" s="20" t="s">
        <v>2522</v>
      </c>
    </row>
    <row r="5320" spans="1:12">
      <c r="A5320" s="20" t="s">
        <v>2092</v>
      </c>
      <c r="E5320" s="22">
        <f>IF(D5320="?OLD","!!!","")</f>
        <v/>
      </c>
      <c r="F5320" s="23" t="str">
        <f>IF(OR(E5320="",E5320="!!!"),"",IF(NOT(ISNA(VLOOKUP(E5320,E$1:E5319,1,FALSE()))),"OLD",IF(AND(E5320&lt;&gt;"",E5320&lt;&gt;"!!!"),"NEW","")))</f>
        <v> </v>
      </c>
      <c r="G5320" s="24" t="str">
        <f>IF(OR(E5320="",E5320="!!!"),"",IF(OR(J5320=0,AND(J5320=1,K5320=1),AND(J5320=1,I5320="SBJ"),AND(J5320=1,I5320=0)),"?IN_FOCUS",IF(J5320&lt;=2,"?ACTIVATED",IF(J5320&lt;&gt;"","?FAMILIAR",IF(F5320="NEW",IF(ISNA(VLOOKUP(E5320,#REF!,1,FALSE())),"?TYPE_IDENTIFIABLE","?REFERENTIAL"),"_")))))</f>
        <v> </v>
      </c>
      <c r="H5320" s="25" t="str">
        <f>IF(J5320&lt;&gt;1,"",IF(I5320="SBJ","CB","?"))</f>
        <v> </v>
      </c>
      <c r="I5320" s="26" t="str">
        <f>IF(OR(E5320="",E5320="!!!",F5320="NEW"),"",INDEX(B5319:B$2,-1+SUMPRODUCT(MAX(ROW(E5319:E$2)*(E5320=E5319:E$2)))))</f>
        <v> </v>
      </c>
      <c r="J5320" s="26" t="str">
        <f>IF(OR(E5320="",E5320="!!!",F5320="NEW"),"",COUNTBLANK(OFFSET(A$1,,,SUMPRODUCT(MAX(ROW(E$2:E5320)*(E5320=E$2:E5320)))))-COUNTBLANK(OFFSET(A$1,,,SUMPRODUCT(MAX(ROW(E$1:E5319)*(E2=E$1:E5319))))))</f>
        <v> </v>
      </c>
      <c r="K5320" s="26" t="str">
        <f>IF(OR(E5320="",E5320="!!!",F5320="NEW"),"",INDEX(J$1:J5319,SUMPRODUCT(MAX(ROW(E$1:E5319)*(E5320=E$1:E5319)))))</f>
        <v> </v>
      </c>
      <c r="L5320" s="27"/>
    </row>
    <row r="5321" spans="1:12">
      <c r="A5321" s="20" t="s">
        <v>1366</v>
      </c>
      <c r="E5321" s="22">
        <f>IF(D5321="?OLD","!!!","")</f>
        <v/>
      </c>
      <c r="F5321" s="23" t="str">
        <f>IF(OR(E5321="",E5321="!!!"),"",IF(NOT(ISNA(VLOOKUP(E5321,E$1:E5320,1,FALSE()))),"OLD",IF(AND(E5321&lt;&gt;"",E5321&lt;&gt;"!!!"),"NEW","")))</f>
        <v> </v>
      </c>
      <c r="G5321" s="24" t="str">
        <f>IF(OR(E5321="",E5321="!!!"),"",IF(OR(J5321=0,AND(J5321=1,K5321=1),AND(J5321=1,I5321="SBJ"),AND(J5321=1,I5321=0)),"?IN_FOCUS",IF(J5321&lt;=2,"?ACTIVATED",IF(J5321&lt;&gt;"","?FAMILIAR",IF(F5321="NEW",IF(ISNA(VLOOKUP(E5321,#REF!,1,FALSE())),"?TYPE_IDENTIFIABLE","?REFERENTIAL"),"_")))))</f>
        <v> </v>
      </c>
      <c r="H5321" s="25" t="str">
        <f>IF(J5321&lt;&gt;1,"",IF(I5321="SBJ","CB","?"))</f>
        <v> </v>
      </c>
      <c r="I5321" s="26" t="str">
        <f>IF(OR(E5321="",E5321="!!!",F5321="NEW"),"",INDEX(B5320:B$2,-1+SUMPRODUCT(MAX(ROW(E5320:E$2)*(E5321=E5320:E$2)))))</f>
        <v> </v>
      </c>
      <c r="J5321" s="26" t="str">
        <f>IF(OR(E5321="",E5321="!!!",F5321="NEW"),"",COUNTBLANK(OFFSET(A$1,,,SUMPRODUCT(MAX(ROW(E$2:E5321)*(E5321=E$2:E5321)))))-COUNTBLANK(OFFSET(A$1,,,SUMPRODUCT(MAX(ROW(E$1:E5320)*(E2=E$1:E5320))))))</f>
        <v> </v>
      </c>
      <c r="K5321" s="26" t="str">
        <f>IF(OR(E5321="",E5321="!!!",F5321="NEW"),"",INDEX(J$1:J5320,SUMPRODUCT(MAX(ROW(E$1:E5320)*(E5321=E$1:E5320)))))</f>
        <v> </v>
      </c>
      <c r="L5321" s="27"/>
    </row>
    <row r="5322" spans="1:12">
      <c r="A5322" s="20" t="s">
        <v>2523</v>
      </c>
      <c r="B5322" s="21" t="s">
        <v>1097</v>
      </c>
      <c r="C5322" s="21" t="s">
        <v>1080</v>
      </c>
      <c r="E5322" s="22">
        <f>IF(D5322="?OLD","!!!","")</f>
        <v/>
      </c>
      <c r="F5322" s="23" t="str">
        <f>IF(OR(E5322="",E5322="!!!"),"",IF(NOT(ISNA(VLOOKUP(E5322,E$1:E5321,1,FALSE()))),"OLD",IF(AND(E5322&lt;&gt;"",E5322&lt;&gt;"!!!"),"NEW","")))</f>
        <v> </v>
      </c>
      <c r="G5322" s="24" t="str">
        <f>IF(OR(E5322="",E5322="!!!"),"",IF(OR(J5322=0,AND(J5322=1,K5322=1),AND(J5322=1,I5322="SBJ"),AND(J5322=1,I5322=0)),"?IN_FOCUS",IF(J5322&lt;=2,"?ACTIVATED",IF(J5322&lt;&gt;"","?FAMILIAR",IF(F5322="NEW",IF(ISNA(VLOOKUP(E5322,#REF!,1,FALSE())),"?TYPE_IDENTIFIABLE","?REFERENTIAL"),"_")))))</f>
        <v> </v>
      </c>
      <c r="H5322" s="25" t="str">
        <f>IF(J5322&lt;&gt;1,"",IF(I5322="SBJ","CB","?"))</f>
        <v> </v>
      </c>
      <c r="I5322" s="26" t="str">
        <f>IF(OR(E5322="",E5322="!!!",F5322="NEW"),"",INDEX(B5321:B$2,-1+SUMPRODUCT(MAX(ROW(E5321:E$2)*(E5322=E5321:E$2)))))</f>
        <v> </v>
      </c>
      <c r="J5322" s="26" t="str">
        <f>IF(OR(E5322="",E5322="!!!",F5322="NEW"),"",COUNTBLANK(OFFSET(A$1,,,SUMPRODUCT(MAX(ROW(E$2:E5322)*(E5322=E$2:E5322)))))-COUNTBLANK(OFFSET(A$1,,,SUMPRODUCT(MAX(ROW(E$1:E5321)*(E2=E$1:E5321))))))</f>
        <v> </v>
      </c>
      <c r="K5322" s="26" t="str">
        <f>IF(OR(E5322="",E5322="!!!",F5322="NEW"),"",INDEX(J$1:J5321,SUMPRODUCT(MAX(ROW(E$1:E5321)*(E5322=E$1:E5321)))))</f>
        <v> </v>
      </c>
      <c r="L5322" s="27"/>
    </row>
    <row r="5323" spans="1:12">
      <c r="A5323" s="20" t="s">
        <v>1083</v>
      </c>
      <c r="B5323" s="21" t="s">
        <v>1058</v>
      </c>
      <c r="C5323" s="21" t="s">
        <v>1076</v>
      </c>
      <c r="D5323" s="21" t="s">
        <v>1060</v>
      </c>
      <c r="E5323" s="22">
        <f>IF(D5323="?OLD","!!!","")</f>
        <v/>
      </c>
      <c r="F5323" s="23" t="str">
        <f>IF(OR(E5323="",E5323="!!!"),"",IF(NOT(ISNA(VLOOKUP(E5323,E$1:E5322,1,FALSE()))),"OLD",IF(AND(E5323&lt;&gt;"",E5323&lt;&gt;"!!!"),"NEW","")))</f>
        <v> </v>
      </c>
      <c r="G5323" s="24" t="str">
        <f>IF(OR(E5323="",E5323="!!!"),"",IF(OR(J5323=0,AND(J5323=1,K5323=1),AND(J5323=1,I5323="SBJ"),AND(J5323=1,I5323=0)),"?IN_FOCUS",IF(J5323&lt;=2,"?ACTIVATED",IF(J5323&lt;&gt;"","?FAMILIAR",IF(F5323="NEW",IF(ISNA(VLOOKUP(E5323,#REF!,1,FALSE())),"?TYPE_IDENTIFIABLE","?REFERENTIAL"),"_")))))</f>
        <v> </v>
      </c>
      <c r="H5323" s="25" t="str">
        <f>IF(J5323&lt;&gt;1,"",IF(I5323="SBJ","CB","?"))</f>
        <v> </v>
      </c>
      <c r="I5323" s="26" t="str">
        <f>IF(OR(E5323="",E5323="!!!",F5323="NEW"),"",INDEX(B5322:B$2,-1+SUMPRODUCT(MAX(ROW(E5322:E$2)*(E5323=E5322:E$2)))))</f>
        <v> </v>
      </c>
      <c r="J5323" s="26" t="str">
        <f>IF(OR(E5323="",E5323="!!!",F5323="NEW"),"",COUNTBLANK(OFFSET(A$1,,,SUMPRODUCT(MAX(ROW(E$2:E5323)*(E5323=E$2:E5323)))))-COUNTBLANK(OFFSET(A$1,,,SUMPRODUCT(MAX(ROW(E$1:E5322)*(E2=E$1:E5322))))))</f>
        <v> </v>
      </c>
      <c r="K5323" s="26" t="str">
        <f>IF(OR(E5323="",E5323="!!!",F5323="NEW"),"",INDEX(J$1:J5322,SUMPRODUCT(MAX(ROW(E$1:E5322)*(E5323=E$1:E5322)))))</f>
        <v> </v>
      </c>
      <c r="L5323" s="27"/>
    </row>
    <row r="5324" spans="1:12">
      <c r="A5324" s="20" t="s">
        <v>1180</v>
      </c>
      <c r="E5324" s="22">
        <f>IF(D5324="?OLD","!!!","")</f>
        <v/>
      </c>
      <c r="F5324" s="23" t="str">
        <f>IF(OR(E5324="",E5324="!!!"),"",IF(NOT(ISNA(VLOOKUP(E5324,E$1:E5323,1,FALSE()))),"OLD",IF(AND(E5324&lt;&gt;"",E5324&lt;&gt;"!!!"),"NEW","")))</f>
        <v> </v>
      </c>
      <c r="G5324" s="24" t="str">
        <f>IF(OR(E5324="",E5324="!!!"),"",IF(OR(J5324=0,AND(J5324=1,K5324=1),AND(J5324=1,I5324="SBJ"),AND(J5324=1,I5324=0)),"?IN_FOCUS",IF(J5324&lt;=2,"?ACTIVATED",IF(J5324&lt;&gt;"","?FAMILIAR",IF(F5324="NEW",IF(ISNA(VLOOKUP(E5324,#REF!,1,FALSE())),"?TYPE_IDENTIFIABLE","?REFERENTIAL"),"_")))))</f>
        <v> </v>
      </c>
      <c r="H5324" s="25" t="str">
        <f>IF(J5324&lt;&gt;1,"",IF(I5324="SBJ","CB","?"))</f>
        <v> </v>
      </c>
      <c r="I5324" s="26" t="str">
        <f>IF(OR(E5324="",E5324="!!!",F5324="NEW"),"",INDEX(B5323:B$2,-1+SUMPRODUCT(MAX(ROW(E5323:E$2)*(E5324=E5323:E$2)))))</f>
        <v> </v>
      </c>
      <c r="J5324" s="26" t="str">
        <f>IF(OR(E5324="",E5324="!!!",F5324="NEW"),"",COUNTBLANK(OFFSET(A$1,,,SUMPRODUCT(MAX(ROW(E$2:E5324)*(E5324=E$2:E5324)))))-COUNTBLANK(OFFSET(A$1,,,SUMPRODUCT(MAX(ROW(E$1:E5323)*(E2=E$1:E5323))))))</f>
        <v> </v>
      </c>
      <c r="K5324" s="26" t="str">
        <f>IF(OR(E5324="",E5324="!!!",F5324="NEW"),"",INDEX(J$1:J5323,SUMPRODUCT(MAX(ROW(E$1:E5323)*(E5324=E$1:E5323)))))</f>
        <v> </v>
      </c>
      <c r="L5324" s="27"/>
    </row>
    <row r="5325" spans="1:12">
      <c r="A5325" s="20" t="s">
        <v>1022</v>
      </c>
      <c r="E5325" s="22">
        <f>IF(D5325="?OLD","!!!","")</f>
        <v/>
      </c>
      <c r="F5325" s="23" t="str">
        <f>IF(OR(E5325="",E5325="!!!"),"",IF(NOT(ISNA(VLOOKUP(E5325,E$1:E5324,1,FALSE()))),"OLD",IF(AND(E5325&lt;&gt;"",E5325&lt;&gt;"!!!"),"NEW","")))</f>
        <v> </v>
      </c>
      <c r="G5325" s="24" t="str">
        <f>IF(OR(E5325="",E5325="!!!"),"",IF(OR(J5325=0,AND(J5325=1,K5325=1),AND(J5325=1,I5325="SBJ"),AND(J5325=1,I5325=0)),"?IN_FOCUS",IF(J5325&lt;=2,"?ACTIVATED",IF(J5325&lt;&gt;"","?FAMILIAR",IF(F5325="NEW",IF(ISNA(VLOOKUP(E5325,#REF!,1,FALSE())),"?TYPE_IDENTIFIABLE","?REFERENTIAL"),"_")))))</f>
        <v> </v>
      </c>
      <c r="H5325" s="25" t="str">
        <f>IF(J5325&lt;&gt;1,"",IF(I5325="SBJ","CB","?"))</f>
        <v> </v>
      </c>
      <c r="I5325" s="26" t="str">
        <f>IF(OR(E5325="",E5325="!!!",F5325="NEW"),"",INDEX(B5324:B$2,-1+SUMPRODUCT(MAX(ROW(E5324:E$2)*(E5325=E5324:E$2)))))</f>
        <v> </v>
      </c>
      <c r="J5325" s="26" t="str">
        <f>IF(OR(E5325="",E5325="!!!",F5325="NEW"),"",COUNTBLANK(OFFSET(A$1,,,SUMPRODUCT(MAX(ROW(E$2:E5325)*(E5325=E$2:E5325)))))-COUNTBLANK(OFFSET(A$1,,,SUMPRODUCT(MAX(ROW(E$1:E5324)*(E2=E$1:E5324))))))</f>
        <v> </v>
      </c>
      <c r="K5325" s="26" t="str">
        <f>IF(OR(E5325="",E5325="!!!",F5325="NEW"),"",INDEX(J$1:J5324,SUMPRODUCT(MAX(ROW(E$1:E5324)*(E5325=E$1:E5324)))))</f>
        <v> </v>
      </c>
      <c r="L5325" s="27"/>
    </row>
    <row r="5326" spans="1:12">
      <c r="A5326" s="20" t="s">
        <v>1101</v>
      </c>
      <c r="E5326" s="22">
        <f>IF(D5326="?OLD","!!!","")</f>
        <v/>
      </c>
      <c r="F5326" s="23" t="str">
        <f>IF(OR(E5326="",E5326="!!!"),"",IF(NOT(ISNA(VLOOKUP(E5326,E$1:E5325,1,FALSE()))),"OLD",IF(AND(E5326&lt;&gt;"",E5326&lt;&gt;"!!!"),"NEW","")))</f>
        <v> </v>
      </c>
      <c r="G5326" s="24" t="str">
        <f>IF(OR(E5326="",E5326="!!!"),"",IF(OR(J5326=0,AND(J5326=1,K5326=1),AND(J5326=1,I5326="SBJ"),AND(J5326=1,I5326=0)),"?IN_FOCUS",IF(J5326&lt;=2,"?ACTIVATED",IF(J5326&lt;&gt;"","?FAMILIAR",IF(F5326="NEW",IF(ISNA(VLOOKUP(E5326,#REF!,1,FALSE())),"?TYPE_IDENTIFIABLE","?REFERENTIAL"),"_")))))</f>
        <v> </v>
      </c>
      <c r="H5326" s="25" t="str">
        <f>IF(J5326&lt;&gt;1,"",IF(I5326="SBJ","CB","?"))</f>
        <v> </v>
      </c>
      <c r="I5326" s="26" t="str">
        <f>IF(OR(E5326="",E5326="!!!",F5326="NEW"),"",INDEX(B5325:B$2,-1+SUMPRODUCT(MAX(ROW(E5325:E$2)*(E5326=E5325:E$2)))))</f>
        <v> </v>
      </c>
      <c r="J5326" s="26" t="str">
        <f>IF(OR(E5326="",E5326="!!!",F5326="NEW"),"",COUNTBLANK(OFFSET(A$1,,,SUMPRODUCT(MAX(ROW(E$2:E5326)*(E5326=E$2:E5326)))))-COUNTBLANK(OFFSET(A$1,,,SUMPRODUCT(MAX(ROW(E$1:E5325)*(E2=E$1:E5325))))))</f>
        <v> </v>
      </c>
      <c r="K5326" s="26" t="str">
        <f>IF(OR(E5326="",E5326="!!!",F5326="NEW"),"",INDEX(J$1:J5325,SUMPRODUCT(MAX(ROW(E$1:E5325)*(E5326=E$1:E5325)))))</f>
        <v> </v>
      </c>
      <c r="L5326" s="27"/>
    </row>
    <row r="5327" spans="1:12">
      <c r="A5327" s="20" t="s">
        <v>768</v>
      </c>
      <c r="B5327" s="21" t="s">
        <v>1075</v>
      </c>
      <c r="C5327" s="21" t="s">
        <v>1140</v>
      </c>
      <c r="D5327" s="21" t="s">
        <v>1060</v>
      </c>
      <c r="E5327" s="22">
        <f>IF(D5327="?OLD","!!!","")</f>
        <v/>
      </c>
      <c r="F5327" s="23" t="str">
        <f>IF(OR(E5327="",E5327="!!!"),"",IF(NOT(ISNA(VLOOKUP(E5327,E$1:E5326,1,FALSE()))),"OLD",IF(AND(E5327&lt;&gt;"",E5327&lt;&gt;"!!!"),"NEW","")))</f>
        <v> </v>
      </c>
      <c r="G5327" s="24" t="str">
        <f>IF(OR(E5327="",E5327="!!!"),"",IF(OR(J5327=0,AND(J5327=1,K5327=1),AND(J5327=1,I5327="SBJ"),AND(J5327=1,I5327=0)),"?IN_FOCUS",IF(J5327&lt;=2,"?ACTIVATED",IF(J5327&lt;&gt;"","?FAMILIAR",IF(F5327="NEW",IF(ISNA(VLOOKUP(E5327,#REF!,1,FALSE())),"?TYPE_IDENTIFIABLE","?REFERENTIAL"),"_")))))</f>
        <v> </v>
      </c>
      <c r="H5327" s="25" t="str">
        <f>IF(J5327&lt;&gt;1,"",IF(I5327="SBJ","CB","?"))</f>
        <v> </v>
      </c>
      <c r="I5327" s="26" t="str">
        <f>IF(OR(E5327="",E5327="!!!",F5327="NEW"),"",INDEX(B5326:B$2,-1+SUMPRODUCT(MAX(ROW(E5326:E$2)*(E5327=E5326:E$2)))))</f>
        <v> </v>
      </c>
      <c r="J5327" s="26" t="str">
        <f>IF(OR(E5327="",E5327="!!!",F5327="NEW"),"",COUNTBLANK(OFFSET(A$1,,,SUMPRODUCT(MAX(ROW(E$2:E5327)*(E5327=E$2:E5327)))))-COUNTBLANK(OFFSET(A$1,,,SUMPRODUCT(MAX(ROW(E$1:E5326)*(E2=E$1:E5326))))))</f>
        <v> </v>
      </c>
      <c r="K5327" s="26" t="str">
        <f>IF(OR(E5327="",E5327="!!!",F5327="NEW"),"",INDEX(J$1:J5326,SUMPRODUCT(MAX(ROW(E$1:E5326)*(E5327=E$1:E5326)))))</f>
        <v> </v>
      </c>
      <c r="L5327" s="27"/>
    </row>
    <row r="5328" spans="1:12">
      <c r="A5328" s="20" t="s">
        <v>1160</v>
      </c>
      <c r="E5328" s="22">
        <f>IF(D5328="?OLD","!!!","")</f>
        <v/>
      </c>
      <c r="F5328" s="23" t="str">
        <f>IF(OR(E5328="",E5328="!!!"),"",IF(NOT(ISNA(VLOOKUP(E5328,E$1:E5327,1,FALSE()))),"OLD",IF(AND(E5328&lt;&gt;"",E5328&lt;&gt;"!!!"),"NEW","")))</f>
        <v> </v>
      </c>
      <c r="G5328" s="24" t="str">
        <f>IF(OR(E5328="",E5328="!!!"),"",IF(OR(J5328=0,AND(J5328=1,K5328=1),AND(J5328=1,I5328="SBJ"),AND(J5328=1,I5328=0)),"?IN_FOCUS",IF(J5328&lt;=2,"?ACTIVATED",IF(J5328&lt;&gt;"","?FAMILIAR",IF(F5328="NEW",IF(ISNA(VLOOKUP(E5328,#REF!,1,FALSE())),"?TYPE_IDENTIFIABLE","?REFERENTIAL"),"_")))))</f>
        <v> </v>
      </c>
      <c r="H5328" s="25" t="str">
        <f>IF(J5328&lt;&gt;1,"",IF(I5328="SBJ","CB","?"))</f>
        <v> </v>
      </c>
      <c r="I5328" s="26" t="str">
        <f>IF(OR(E5328="",E5328="!!!",F5328="NEW"),"",INDEX(B5327:B$2,-1+SUMPRODUCT(MAX(ROW(E5327:E$2)*(E5328=E5327:E$2)))))</f>
        <v> </v>
      </c>
      <c r="J5328" s="26" t="str">
        <f>IF(OR(E5328="",E5328="!!!",F5328="NEW"),"",COUNTBLANK(OFFSET(A$1,,,SUMPRODUCT(MAX(ROW(E$2:E5328)*(E5328=E$2:E5328)))))-COUNTBLANK(OFFSET(A$1,,,SUMPRODUCT(MAX(ROW(E$1:E5327)*(E2=E$1:E5327))))))</f>
        <v> </v>
      </c>
      <c r="K5328" s="26" t="str">
        <f>IF(OR(E5328="",E5328="!!!",F5328="NEW"),"",INDEX(J$1:J5327,SUMPRODUCT(MAX(ROW(E$1:E5327)*(E5328=E$1:E5327)))))</f>
        <v> </v>
      </c>
      <c r="L5328" s="27"/>
    </row>
    <row r="5329" spans="1:12">
      <c r="A5329" s="20" t="s">
        <v>1101</v>
      </c>
      <c r="E5329" s="22">
        <f>IF(D5329="?OLD","!!!","")</f>
        <v/>
      </c>
      <c r="F5329" s="23" t="str">
        <f>IF(OR(E5329="",E5329="!!!"),"",IF(NOT(ISNA(VLOOKUP(E5329,E$1:E5328,1,FALSE()))),"OLD",IF(AND(E5329&lt;&gt;"",E5329&lt;&gt;"!!!"),"NEW","")))</f>
        <v> </v>
      </c>
      <c r="G5329" s="24" t="str">
        <f>IF(OR(E5329="",E5329="!!!"),"",IF(OR(J5329=0,AND(J5329=1,K5329=1),AND(J5329=1,I5329="SBJ"),AND(J5329=1,I5329=0)),"?IN_FOCUS",IF(J5329&lt;=2,"?ACTIVATED",IF(J5329&lt;&gt;"","?FAMILIAR",IF(F5329="NEW",IF(ISNA(VLOOKUP(E5329,#REF!,1,FALSE())),"?TYPE_IDENTIFIABLE","?REFERENTIAL"),"_")))))</f>
        <v> </v>
      </c>
      <c r="H5329" s="25" t="str">
        <f>IF(J5329&lt;&gt;1,"",IF(I5329="SBJ","CB","?"))</f>
        <v> </v>
      </c>
      <c r="I5329" s="26" t="str">
        <f>IF(OR(E5329="",E5329="!!!",F5329="NEW"),"",INDEX(B5328:B$2,-1+SUMPRODUCT(MAX(ROW(E5328:E$2)*(E5329=E5328:E$2)))))</f>
        <v> </v>
      </c>
      <c r="J5329" s="26" t="str">
        <f>IF(OR(E5329="",E5329="!!!",F5329="NEW"),"",COUNTBLANK(OFFSET(A$1,,,SUMPRODUCT(MAX(ROW(E$2:E5329)*(E5329=E$2:E5329)))))-COUNTBLANK(OFFSET(A$1,,,SUMPRODUCT(MAX(ROW(E$1:E5328)*(E2=E$1:E5328))))))</f>
        <v> </v>
      </c>
      <c r="K5329" s="26" t="str">
        <f>IF(OR(E5329="",E5329="!!!",F5329="NEW"),"",INDEX(J$1:J5328,SUMPRODUCT(MAX(ROW(E$1:E5328)*(E5329=E$1:E5328)))))</f>
        <v> </v>
      </c>
      <c r="L5329" s="27"/>
    </row>
    <row r="5330" spans="1:12">
      <c r="A5330" s="20" t="s">
        <v>1497</v>
      </c>
      <c r="E5330" s="22">
        <f>IF(D5330="?OLD","!!!","")</f>
        <v/>
      </c>
      <c r="F5330" s="23" t="str">
        <f>IF(OR(E5330="",E5330="!!!"),"",IF(NOT(ISNA(VLOOKUP(E5330,E$1:E5329,1,FALSE()))),"OLD",IF(AND(E5330&lt;&gt;"",E5330&lt;&gt;"!!!"),"NEW","")))</f>
        <v> </v>
      </c>
      <c r="G5330" s="24" t="str">
        <f>IF(OR(E5330="",E5330="!!!"),"",IF(OR(J5330=0,AND(J5330=1,K5330=1),AND(J5330=1,I5330="SBJ"),AND(J5330=1,I5330=0)),"?IN_FOCUS",IF(J5330&lt;=2,"?ACTIVATED",IF(J5330&lt;&gt;"","?FAMILIAR",IF(F5330="NEW",IF(ISNA(VLOOKUP(E5330,#REF!,1,FALSE())),"?TYPE_IDENTIFIABLE","?REFERENTIAL"),"_")))))</f>
        <v> </v>
      </c>
      <c r="H5330" s="25" t="str">
        <f>IF(J5330&lt;&gt;1,"",IF(I5330="SBJ","CB","?"))</f>
        <v> </v>
      </c>
      <c r="I5330" s="26" t="str">
        <f>IF(OR(E5330="",E5330="!!!",F5330="NEW"),"",INDEX(B5329:B$2,-1+SUMPRODUCT(MAX(ROW(E5329:E$2)*(E5330=E5329:E$2)))))</f>
        <v> </v>
      </c>
      <c r="J5330" s="26" t="str">
        <f>IF(OR(E5330="",E5330="!!!",F5330="NEW"),"",COUNTBLANK(OFFSET(A$1,,,SUMPRODUCT(MAX(ROW(E$2:E5330)*(E5330=E$2:E5330)))))-COUNTBLANK(OFFSET(A$1,,,SUMPRODUCT(MAX(ROW(E$1:E5329)*(E2=E$1:E5329))))))</f>
        <v> </v>
      </c>
      <c r="K5330" s="26" t="str">
        <f>IF(OR(E5330="",E5330="!!!",F5330="NEW"),"",INDEX(J$1:J5329,SUMPRODUCT(MAX(ROW(E$1:E5329)*(E5330=E$1:E5329)))))</f>
        <v> </v>
      </c>
      <c r="L5330" s="27"/>
    </row>
    <row r="5331" spans="1:12">
      <c r="A5331" s="20" t="s">
        <v>16</v>
      </c>
      <c r="E5331" s="22">
        <f>IF(D5331="?OLD","!!!","")</f>
        <v/>
      </c>
      <c r="F5331" s="23" t="str">
        <f>IF(OR(E5331="",E5331="!!!"),"",IF(NOT(ISNA(VLOOKUP(E5331,E$1:E5330,1,FALSE()))),"OLD",IF(AND(E5331&lt;&gt;"",E5331&lt;&gt;"!!!"),"NEW","")))</f>
        <v> </v>
      </c>
      <c r="G5331" s="24" t="str">
        <f>IF(OR(E5331="",E5331="!!!"),"",IF(OR(J5331=0,AND(J5331=1,K5331=1),AND(J5331=1,I5331="SBJ"),AND(J5331=1,I5331=0)),"?IN_FOCUS",IF(J5331&lt;=2,"?ACTIVATED",IF(J5331&lt;&gt;"","?FAMILIAR",IF(F5331="NEW",IF(ISNA(VLOOKUP(E5331,#REF!,1,FALSE())),"?TYPE_IDENTIFIABLE","?REFERENTIAL"),"_")))))</f>
        <v> </v>
      </c>
      <c r="H5331" s="25" t="str">
        <f>IF(J5331&lt;&gt;1,"",IF(I5331="SBJ","CB","?"))</f>
        <v> </v>
      </c>
      <c r="I5331" s="26" t="str">
        <f>IF(OR(E5331="",E5331="!!!",F5331="NEW"),"",INDEX(B5330:B$2,-1+SUMPRODUCT(MAX(ROW(E5330:E$2)*(E5331=E5330:E$2)))))</f>
        <v> </v>
      </c>
      <c r="J5331" s="26" t="str">
        <f>IF(OR(E5331="",E5331="!!!",F5331="NEW"),"",COUNTBLANK(OFFSET(A$1,,,SUMPRODUCT(MAX(ROW(E$2:E5331)*(E5331=E$2:E5331)))))-COUNTBLANK(OFFSET(A$1,,,SUMPRODUCT(MAX(ROW(E$1:E5330)*(E2=E$1:E5330))))))</f>
        <v> </v>
      </c>
      <c r="K5331" s="26" t="str">
        <f>IF(OR(E5331="",E5331="!!!",F5331="NEW"),"",INDEX(J$1:J5330,SUMPRODUCT(MAX(ROW(E$1:E5330)*(E5331=E$1:E5330)))))</f>
        <v> </v>
      </c>
      <c r="L5331" s="27"/>
    </row>
    <row r="5332" spans="1:12">
      <c r="A5332" s="20" t="s">
        <v>1247</v>
      </c>
      <c r="B5332" s="21" t="s">
        <v>1097</v>
      </c>
      <c r="C5332" s="21" t="s">
        <v>1140</v>
      </c>
      <c r="D5332" s="21" t="s">
        <v>1060</v>
      </c>
      <c r="E5332" s="22">
        <f>IF(D5332="?OLD","!!!","")</f>
        <v/>
      </c>
      <c r="F5332" s="23" t="str">
        <f>IF(OR(E5332="",E5332="!!!"),"",IF(NOT(ISNA(VLOOKUP(E5332,E$1:E5331,1,FALSE()))),"OLD",IF(AND(E5332&lt;&gt;"",E5332&lt;&gt;"!!!"),"NEW","")))</f>
        <v> </v>
      </c>
      <c r="G5332" s="24" t="str">
        <f>IF(OR(E5332="",E5332="!!!"),"",IF(OR(J5332=0,AND(J5332=1,K5332=1),AND(J5332=1,I5332="SBJ"),AND(J5332=1,I5332=0)),"?IN_FOCUS",IF(J5332&lt;=2,"?ACTIVATED",IF(J5332&lt;&gt;"","?FAMILIAR",IF(F5332="NEW",IF(ISNA(VLOOKUP(E5332,#REF!,1,FALSE())),"?TYPE_IDENTIFIABLE","?REFERENTIAL"),"_")))))</f>
        <v> </v>
      </c>
      <c r="H5332" s="25" t="str">
        <f>IF(J5332&lt;&gt;1,"",IF(I5332="SBJ","CB","?"))</f>
        <v> </v>
      </c>
      <c r="I5332" s="26" t="str">
        <f>IF(OR(E5332="",E5332="!!!",F5332="NEW"),"",INDEX(B5331:B$2,-1+SUMPRODUCT(MAX(ROW(E5331:E$2)*(E5332=E5331:E$2)))))</f>
        <v> </v>
      </c>
      <c r="J5332" s="26" t="str">
        <f>IF(OR(E5332="",E5332="!!!",F5332="NEW"),"",COUNTBLANK(OFFSET(A$1,,,SUMPRODUCT(MAX(ROW(E$2:E5332)*(E5332=E$2:E5332)))))-COUNTBLANK(OFFSET(A$1,,,SUMPRODUCT(MAX(ROW(E$1:E5331)*(E2=E$1:E5331))))))</f>
        <v> </v>
      </c>
      <c r="K5332" s="26" t="str">
        <f>IF(OR(E5332="",E5332="!!!",F5332="NEW"),"",INDEX(J$1:J5331,SUMPRODUCT(MAX(ROW(E$1:E5331)*(E5332=E$1:E5331)))))</f>
        <v> </v>
      </c>
      <c r="L5332" s="27"/>
    </row>
    <row r="5333" spans="1:12">
      <c r="A5333" s="20" t="s">
        <v>1168</v>
      </c>
      <c r="E5333" s="22">
        <f>IF(D5333="?OLD","!!!","")</f>
        <v/>
      </c>
      <c r="F5333" s="23" t="str">
        <f>IF(OR(E5333="",E5333="!!!"),"",IF(NOT(ISNA(VLOOKUP(E5333,E$1:E5332,1,FALSE()))),"OLD",IF(AND(E5333&lt;&gt;"",E5333&lt;&gt;"!!!"),"NEW","")))</f>
        <v> </v>
      </c>
      <c r="G5333" s="24" t="str">
        <f>IF(OR(E5333="",E5333="!!!"),"",IF(OR(J5333=0,AND(J5333=1,K5333=1),AND(J5333=1,I5333="SBJ"),AND(J5333=1,I5333=0)),"?IN_FOCUS",IF(J5333&lt;=2,"?ACTIVATED",IF(J5333&lt;&gt;"","?FAMILIAR",IF(F5333="NEW",IF(ISNA(VLOOKUP(E5333,#REF!,1,FALSE())),"?TYPE_IDENTIFIABLE","?REFERENTIAL"),"_")))))</f>
        <v> </v>
      </c>
      <c r="H5333" s="25" t="str">
        <f>IF(J5333&lt;&gt;1,"",IF(I5333="SBJ","CB","?"))</f>
        <v> </v>
      </c>
      <c r="I5333" s="26" t="str">
        <f>IF(OR(E5333="",E5333="!!!",F5333="NEW"),"",INDEX(B5332:B$2,-1+SUMPRODUCT(MAX(ROW(E5332:E$2)*(E5333=E5332:E$2)))))</f>
        <v> </v>
      </c>
      <c r="J5333" s="26" t="str">
        <f>IF(OR(E5333="",E5333="!!!",F5333="NEW"),"",COUNTBLANK(OFFSET(A$1,,,SUMPRODUCT(MAX(ROW(E$2:E5333)*(E5333=E$2:E5333)))))-COUNTBLANK(OFFSET(A$1,,,SUMPRODUCT(MAX(ROW(E$1:E5332)*(E2=E$1:E5332))))))</f>
        <v> </v>
      </c>
      <c r="K5333" s="26" t="str">
        <f>IF(OR(E5333="",E5333="!!!",F5333="NEW"),"",INDEX(J$1:J5332,SUMPRODUCT(MAX(ROW(E$1:E5332)*(E5333=E$1:E5332)))))</f>
        <v> </v>
      </c>
      <c r="L5333" s="27"/>
    </row>
    <row r="5334" spans="1:12">
      <c r="A5334" s="20" t="s">
        <v>1274</v>
      </c>
      <c r="B5334" s="21" t="s">
        <v>1068</v>
      </c>
      <c r="C5334" s="21" t="s">
        <v>1065</v>
      </c>
      <c r="D5334" s="21" t="s">
        <v>1060</v>
      </c>
      <c r="E5334" s="22">
        <f>IF(D5334="?OLD","!!!","")</f>
        <v/>
      </c>
      <c r="F5334" s="23" t="str">
        <f>IF(OR(E5334="",E5334="!!!"),"",IF(NOT(ISNA(VLOOKUP(E5334,E$1:E5333,1,FALSE()))),"OLD",IF(AND(E5334&lt;&gt;"",E5334&lt;&gt;"!!!"),"NEW","")))</f>
        <v> </v>
      </c>
      <c r="G5334" s="24" t="str">
        <f>IF(OR(E5334="",E5334="!!!"),"",IF(OR(J5334=0,AND(J5334=1,K5334=1),AND(J5334=1,I5334="SBJ"),AND(J5334=1,I5334=0)),"?IN_FOCUS",IF(J5334&lt;=2,"?ACTIVATED",IF(J5334&lt;&gt;"","?FAMILIAR",IF(F5334="NEW",IF(ISNA(VLOOKUP(E5334,#REF!,1,FALSE())),"?TYPE_IDENTIFIABLE","?REFERENTIAL"),"_")))))</f>
        <v> </v>
      </c>
      <c r="H5334" s="25" t="str">
        <f>IF(J5334&lt;&gt;1,"",IF(I5334="SBJ","CB","?"))</f>
        <v> </v>
      </c>
      <c r="I5334" s="26" t="str">
        <f>IF(OR(E5334="",E5334="!!!",F5334="NEW"),"",INDEX(B5333:B$2,-1+SUMPRODUCT(MAX(ROW(E5333:E$2)*(E5334=E5333:E$2)))))</f>
        <v> </v>
      </c>
      <c r="J5334" s="26" t="str">
        <f>IF(OR(E5334="",E5334="!!!",F5334="NEW"),"",COUNTBLANK(OFFSET(A$1,,,SUMPRODUCT(MAX(ROW(E$2:E5334)*(E5334=E$2:E5334)))))-COUNTBLANK(OFFSET(A$1,,,SUMPRODUCT(MAX(ROW(E$1:E5333)*(E2=E$1:E5333))))))</f>
        <v> </v>
      </c>
      <c r="K5334" s="26" t="str">
        <f>IF(OR(E5334="",E5334="!!!",F5334="NEW"),"",INDEX(J$1:J5333,SUMPRODUCT(MAX(ROW(E$1:E5333)*(E5334=E$1:E5333)))))</f>
        <v> </v>
      </c>
      <c r="L5334" s="27"/>
    </row>
    <row r="5335" spans="1:12">
      <c r="A5335" s="20" t="s">
        <v>1070</v>
      </c>
      <c r="E5335" s="22">
        <f>IF(D5335="?OLD","!!!","")</f>
        <v/>
      </c>
      <c r="F5335" s="23" t="str">
        <f>IF(OR(E5335="",E5335="!!!"),"",IF(NOT(ISNA(VLOOKUP(E5335,E$1:E5334,1,FALSE()))),"OLD",IF(AND(E5335&lt;&gt;"",E5335&lt;&gt;"!!!"),"NEW","")))</f>
        <v> </v>
      </c>
      <c r="G5335" s="24" t="str">
        <f>IF(OR(E5335="",E5335="!!!"),"",IF(OR(J5335=0,AND(J5335=1,K5335=1),AND(J5335=1,I5335="SBJ"),AND(J5335=1,I5335=0)),"?IN_FOCUS",IF(J5335&lt;=2,"?ACTIVATED",IF(J5335&lt;&gt;"","?FAMILIAR",IF(F5335="NEW",IF(ISNA(VLOOKUP(E5335,#REF!,1,FALSE())),"?TYPE_IDENTIFIABLE","?REFERENTIAL"),"_")))))</f>
        <v> </v>
      </c>
      <c r="H5335" s="25" t="str">
        <f>IF(J5335&lt;&gt;1,"",IF(I5335="SBJ","CB","?"))</f>
        <v> </v>
      </c>
      <c r="I5335" s="26" t="str">
        <f>IF(OR(E5335="",E5335="!!!",F5335="NEW"),"",INDEX(B5334:B$2,-1+SUMPRODUCT(MAX(ROW(E5334:E$2)*(E5335=E5334:E$2)))))</f>
        <v> </v>
      </c>
      <c r="J5335" s="26" t="str">
        <f>IF(OR(E5335="",E5335="!!!",F5335="NEW"),"",COUNTBLANK(OFFSET(A$1,,,SUMPRODUCT(MAX(ROW(E$2:E5335)*(E5335=E$2:E5335)))))-COUNTBLANK(OFFSET(A$1,,,SUMPRODUCT(MAX(ROW(E$1:E5334)*(E2=E$1:E5334))))))</f>
        <v> </v>
      </c>
      <c r="K5335" s="26" t="str">
        <f>IF(OR(E5335="",E5335="!!!",F5335="NEW"),"",INDEX(J$1:J5334,SUMPRODUCT(MAX(ROW(E$1:E5334)*(E5335=E$1:E5334)))))</f>
        <v> </v>
      </c>
      <c r="L5335" s="27"/>
    </row>
    <row r="5336" spans="1:12">
      <c r="A5336" s="20" t="s">
        <v>1156</v>
      </c>
      <c r="E5336" s="22">
        <f>IF(D5336="?OLD","!!!","")</f>
        <v/>
      </c>
      <c r="F5336" s="23" t="str">
        <f>IF(OR(E5336="",E5336="!!!"),"",IF(NOT(ISNA(VLOOKUP(E5336,E$1:E5335,1,FALSE()))),"OLD",IF(AND(E5336&lt;&gt;"",E5336&lt;&gt;"!!!"),"NEW","")))</f>
        <v> </v>
      </c>
      <c r="G5336" s="24" t="str">
        <f>IF(OR(E5336="",E5336="!!!"),"",IF(OR(J5336=0,AND(J5336=1,K5336=1),AND(J5336=1,I5336="SBJ"),AND(J5336=1,I5336=0)),"?IN_FOCUS",IF(J5336&lt;=2,"?ACTIVATED",IF(J5336&lt;&gt;"","?FAMILIAR",IF(F5336="NEW",IF(ISNA(VLOOKUP(E5336,#REF!,1,FALSE())),"?TYPE_IDENTIFIABLE","?REFERENTIAL"),"_")))))</f>
        <v> </v>
      </c>
      <c r="H5336" s="25" t="str">
        <f>IF(J5336&lt;&gt;1,"",IF(I5336="SBJ","CB","?"))</f>
        <v> </v>
      </c>
      <c r="I5336" s="26" t="str">
        <f>IF(OR(E5336="",E5336="!!!",F5336="NEW"),"",INDEX(B5335:B$2,-1+SUMPRODUCT(MAX(ROW(E5335:E$2)*(E5336=E5335:E$2)))))</f>
        <v> </v>
      </c>
      <c r="J5336" s="26" t="str">
        <f>IF(OR(E5336="",E5336="!!!",F5336="NEW"),"",COUNTBLANK(OFFSET(A$1,,,SUMPRODUCT(MAX(ROW(E$2:E5336)*(E5336=E$2:E5336)))))-COUNTBLANK(OFFSET(A$1,,,SUMPRODUCT(MAX(ROW(E$1:E5335)*(E2=E$1:E5335))))))</f>
        <v> </v>
      </c>
      <c r="K5336" s="26" t="str">
        <f>IF(OR(E5336="",E5336="!!!",F5336="NEW"),"",INDEX(J$1:J5335,SUMPRODUCT(MAX(ROW(E$1:E5335)*(E5336=E$1:E5335)))))</f>
        <v> </v>
      </c>
      <c r="L5336" s="27"/>
    </row>
    <row r="5337" spans="1:12">
      <c r="A5337" s="20" t="s">
        <v>1074</v>
      </c>
      <c r="B5337" s="21" t="s">
        <v>1079</v>
      </c>
      <c r="C5337" s="21" t="s">
        <v>1076</v>
      </c>
      <c r="D5337" s="21" t="s">
        <v>1060</v>
      </c>
      <c r="E5337" s="22">
        <f>IF(D5337="?OLD","!!!","")</f>
        <v/>
      </c>
      <c r="F5337" s="23" t="str">
        <f>IF(OR(E5337="",E5337="!!!"),"",IF(NOT(ISNA(VLOOKUP(E5337,E$1:E5336,1,FALSE()))),"OLD",IF(AND(E5337&lt;&gt;"",E5337&lt;&gt;"!!!"),"NEW","")))</f>
        <v> </v>
      </c>
      <c r="G5337" s="24" t="str">
        <f>IF(OR(E5337="",E5337="!!!"),"",IF(OR(J5337=0,AND(J5337=1,K5337=1),AND(J5337=1,I5337="SBJ"),AND(J5337=1,I5337=0)),"?IN_FOCUS",IF(J5337&lt;=2,"?ACTIVATED",IF(J5337&lt;&gt;"","?FAMILIAR",IF(F5337="NEW",IF(ISNA(VLOOKUP(E5337,#REF!,1,FALSE())),"?TYPE_IDENTIFIABLE","?REFERENTIAL"),"_")))))</f>
        <v> </v>
      </c>
      <c r="H5337" s="25" t="str">
        <f>IF(J5337&lt;&gt;1,"",IF(I5337="SBJ","CB","?"))</f>
        <v> </v>
      </c>
      <c r="I5337" s="26" t="str">
        <f>IF(OR(E5337="",E5337="!!!",F5337="NEW"),"",INDEX(B5336:B$2,-1+SUMPRODUCT(MAX(ROW(E5336:E$2)*(E5337=E5336:E$2)))))</f>
        <v> </v>
      </c>
      <c r="J5337" s="26" t="str">
        <f>IF(OR(E5337="",E5337="!!!",F5337="NEW"),"",COUNTBLANK(OFFSET(A$1,,,SUMPRODUCT(MAX(ROW(E$2:E5337)*(E5337=E$2:E5337)))))-COUNTBLANK(OFFSET(A$1,,,SUMPRODUCT(MAX(ROW(E$1:E5336)*(E2=E$1:E5336))))))</f>
        <v> </v>
      </c>
      <c r="K5337" s="26" t="str">
        <f>IF(OR(E5337="",E5337="!!!",F5337="NEW"),"",INDEX(J$1:J5336,SUMPRODUCT(MAX(ROW(E$1:E5336)*(E5337=E$1:E5336)))))</f>
        <v> </v>
      </c>
      <c r="L5337" s="27"/>
    </row>
    <row r="5338" spans="1:12">
      <c r="A5338" s="20" t="s">
        <v>1085</v>
      </c>
      <c r="E5338" s="22">
        <f>IF(D5338="?OLD","!!!","")</f>
        <v/>
      </c>
      <c r="F5338" s="23" t="str">
        <f>IF(OR(E5338="",E5338="!!!"),"",IF(NOT(ISNA(VLOOKUP(E5338,E$1:E5337,1,FALSE()))),"OLD",IF(AND(E5338&lt;&gt;"",E5338&lt;&gt;"!!!"),"NEW","")))</f>
        <v> </v>
      </c>
      <c r="G5338" s="24" t="str">
        <f>IF(OR(E5338="",E5338="!!!"),"",IF(OR(J5338=0,AND(J5338=1,K5338=1),AND(J5338=1,I5338="SBJ"),AND(J5338=1,I5338=0)),"?IN_FOCUS",IF(J5338&lt;=2,"?ACTIVATED",IF(J5338&lt;&gt;"","?FAMILIAR",IF(F5338="NEW",IF(ISNA(VLOOKUP(E5338,#REF!,1,FALSE())),"?TYPE_IDENTIFIABLE","?REFERENTIAL"),"_")))))</f>
        <v> </v>
      </c>
      <c r="H5338" s="25" t="str">
        <f>IF(J5338&lt;&gt;1,"",IF(I5338="SBJ","CB","?"))</f>
        <v> </v>
      </c>
      <c r="I5338" s="26" t="str">
        <f>IF(OR(E5338="",E5338="!!!",F5338="NEW"),"",INDEX(B5337:B$2,-1+SUMPRODUCT(MAX(ROW(E5337:E$2)*(E5338=E5337:E$2)))))</f>
        <v> </v>
      </c>
      <c r="J5338" s="26" t="str">
        <f>IF(OR(E5338="",E5338="!!!",F5338="NEW"),"",COUNTBLANK(OFFSET(A$1,,,SUMPRODUCT(MAX(ROW(E$2:E5338)*(E5338=E$2:E5338)))))-COUNTBLANK(OFFSET(A$1,,,SUMPRODUCT(MAX(ROW(E$1:E5337)*(E2=E$1:E5337))))))</f>
        <v> </v>
      </c>
      <c r="K5338" s="26" t="str">
        <f>IF(OR(E5338="",E5338="!!!",F5338="NEW"),"",INDEX(J$1:J5337,SUMPRODUCT(MAX(ROW(E$1:E5337)*(E5338=E$1:E5337)))))</f>
        <v> </v>
      </c>
      <c r="L5338" s="27"/>
    </row>
    <row r="5339" spans="1:12">
      <c r="A5339" s="20" t="s">
        <v>2524</v>
      </c>
      <c r="E5339" s="22">
        <f>IF(D5339="?OLD","!!!","")</f>
        <v/>
      </c>
      <c r="F5339" s="23" t="str">
        <f>IF(OR(E5339="",E5339="!!!"),"",IF(NOT(ISNA(VLOOKUP(E5339,E$1:E5338,1,FALSE()))),"OLD",IF(AND(E5339&lt;&gt;"",E5339&lt;&gt;"!!!"),"NEW","")))</f>
        <v> </v>
      </c>
      <c r="G5339" s="24" t="str">
        <f>IF(OR(E5339="",E5339="!!!"),"",IF(OR(J5339=0,AND(J5339=1,K5339=1),AND(J5339=1,I5339="SBJ"),AND(J5339=1,I5339=0)),"?IN_FOCUS",IF(J5339&lt;=2,"?ACTIVATED",IF(J5339&lt;&gt;"","?FAMILIAR",IF(F5339="NEW",IF(ISNA(VLOOKUP(E5339,#REF!,1,FALSE())),"?TYPE_IDENTIFIABLE","?REFERENTIAL"),"_")))))</f>
        <v> </v>
      </c>
      <c r="H5339" s="25" t="str">
        <f>IF(J5339&lt;&gt;1,"",IF(I5339="SBJ","CB","?"))</f>
        <v> </v>
      </c>
      <c r="I5339" s="26" t="str">
        <f>IF(OR(E5339="",E5339="!!!",F5339="NEW"),"",INDEX(B5338:B$2,-1+SUMPRODUCT(MAX(ROW(E5338:E$2)*(E5339=E5338:E$2)))))</f>
        <v> </v>
      </c>
      <c r="J5339" s="26" t="str">
        <f>IF(OR(E5339="",E5339="!!!",F5339="NEW"),"",COUNTBLANK(OFFSET(A$1,,,SUMPRODUCT(MAX(ROW(E$2:E5339)*(E5339=E$2:E5339)))))-COUNTBLANK(OFFSET(A$1,,,SUMPRODUCT(MAX(ROW(E$1:E5338)*(E2=E$1:E5338))))))</f>
        <v> </v>
      </c>
      <c r="K5339" s="26" t="str">
        <f>IF(OR(E5339="",E5339="!!!",F5339="NEW"),"",INDEX(J$1:J5338,SUMPRODUCT(MAX(ROW(E$1:E5338)*(E5339=E$1:E5338)))))</f>
        <v> </v>
      </c>
      <c r="L5339" s="27"/>
    </row>
    <row r="5340" spans="1:12">
      <c r="A5340" s="20" t="s">
        <v>1077</v>
      </c>
      <c r="E5340" s="22">
        <f>IF(D5340="?OLD","!!!","")</f>
        <v/>
      </c>
      <c r="F5340" s="23" t="str">
        <f>IF(OR(E5340="",E5340="!!!"),"",IF(NOT(ISNA(VLOOKUP(E5340,E$1:E5339,1,FALSE()))),"OLD",IF(AND(E5340&lt;&gt;"",E5340&lt;&gt;"!!!"),"NEW","")))</f>
        <v> </v>
      </c>
      <c r="G5340" s="24" t="str">
        <f>IF(OR(E5340="",E5340="!!!"),"",IF(OR(J5340=0,AND(J5340=1,K5340=1),AND(J5340=1,I5340="SBJ"),AND(J5340=1,I5340=0)),"?IN_FOCUS",IF(J5340&lt;=2,"?ACTIVATED",IF(J5340&lt;&gt;"","?FAMILIAR",IF(F5340="NEW",IF(ISNA(VLOOKUP(E5340,#REF!,1,FALSE())),"?TYPE_IDENTIFIABLE","?REFERENTIAL"),"_")))))</f>
        <v> </v>
      </c>
      <c r="H5340" s="25" t="str">
        <f>IF(J5340&lt;&gt;1,"",IF(I5340="SBJ","CB","?"))</f>
        <v> </v>
      </c>
      <c r="I5340" s="26" t="str">
        <f>IF(OR(E5340="",E5340="!!!",F5340="NEW"),"",INDEX(B5339:B$2,-1+SUMPRODUCT(MAX(ROW(E5339:E$2)*(E5340=E5339:E$2)))))</f>
        <v> </v>
      </c>
      <c r="J5340" s="26" t="str">
        <f>IF(OR(E5340="",E5340="!!!",F5340="NEW"),"",COUNTBLANK(OFFSET(A$1,,,SUMPRODUCT(MAX(ROW(E$2:E5340)*(E5340=E$2:E5340)))))-COUNTBLANK(OFFSET(A$1,,,SUMPRODUCT(MAX(ROW(E$1:E5339)*(E2=E$1:E5339))))))</f>
        <v> </v>
      </c>
      <c r="K5340" s="26" t="str">
        <f>IF(OR(E5340="",E5340="!!!",F5340="NEW"),"",INDEX(J$1:J5339,SUMPRODUCT(MAX(ROW(E$1:E5339)*(E5340=E$1:E5339)))))</f>
        <v> </v>
      </c>
      <c r="L5340" s="27"/>
    </row>
    <row r="5341" spans="1:12">
      <c r="A5341" s="20" t="s">
        <v>2525</v>
      </c>
      <c r="B5341" s="21" t="s">
        <v>1097</v>
      </c>
      <c r="C5341" s="21" t="s">
        <v>1080</v>
      </c>
      <c r="E5341" s="22">
        <f>IF(D5341="?OLD","!!!","")</f>
        <v/>
      </c>
      <c r="F5341" s="23" t="str">
        <f>IF(OR(E5341="",E5341="!!!"),"",IF(NOT(ISNA(VLOOKUP(E5341,E$1:E5340,1,FALSE()))),"OLD",IF(AND(E5341&lt;&gt;"",E5341&lt;&gt;"!!!"),"NEW","")))</f>
        <v> </v>
      </c>
      <c r="G5341" s="24" t="str">
        <f>IF(OR(E5341="",E5341="!!!"),"",IF(OR(J5341=0,AND(J5341=1,K5341=1),AND(J5341=1,I5341="SBJ"),AND(J5341=1,I5341=0)),"?IN_FOCUS",IF(J5341&lt;=2,"?ACTIVATED",IF(J5341&lt;&gt;"","?FAMILIAR",IF(F5341="NEW",IF(ISNA(VLOOKUP(E5341,#REF!,1,FALSE())),"?TYPE_IDENTIFIABLE","?REFERENTIAL"),"_")))))</f>
        <v> </v>
      </c>
      <c r="H5341" s="25" t="str">
        <f>IF(J5341&lt;&gt;1,"",IF(I5341="SBJ","CB","?"))</f>
        <v> </v>
      </c>
      <c r="I5341" s="26" t="str">
        <f>IF(OR(E5341="",E5341="!!!",F5341="NEW"),"",INDEX(B5340:B$2,-1+SUMPRODUCT(MAX(ROW(E5340:E$2)*(E5341=E5340:E$2)))))</f>
        <v> </v>
      </c>
      <c r="J5341" s="26" t="str">
        <f>IF(OR(E5341="",E5341="!!!",F5341="NEW"),"",COUNTBLANK(OFFSET(A$1,,,SUMPRODUCT(MAX(ROW(E$2:E5341)*(E5341=E$2:E5341)))))-COUNTBLANK(OFFSET(A$1,,,SUMPRODUCT(MAX(ROW(E$1:E5340)*(E2=E$1:E5340))))))</f>
        <v> </v>
      </c>
      <c r="K5341" s="26" t="str">
        <f>IF(OR(E5341="",E5341="!!!",F5341="NEW"),"",INDEX(J$1:J5340,SUMPRODUCT(MAX(ROW(E$1:E5340)*(E5341=E$1:E5340)))))</f>
        <v> </v>
      </c>
      <c r="L5341" s="27"/>
    </row>
    <row r="5342" spans="1:12">
      <c r="A5342" s="20" t="s">
        <v>1070</v>
      </c>
      <c r="E5342" s="22">
        <f>IF(D5342="?OLD","!!!","")</f>
        <v/>
      </c>
      <c r="F5342" s="23" t="str">
        <f>IF(OR(E5342="",E5342="!!!"),"",IF(NOT(ISNA(VLOOKUP(E5342,E$1:E5341,1,FALSE()))),"OLD",IF(AND(E5342&lt;&gt;"",E5342&lt;&gt;"!!!"),"NEW","")))</f>
        <v> </v>
      </c>
      <c r="G5342" s="24" t="str">
        <f>IF(OR(E5342="",E5342="!!!"),"",IF(OR(J5342=0,AND(J5342=1,K5342=1),AND(J5342=1,I5342="SBJ"),AND(J5342=1,I5342=0)),"?IN_FOCUS",IF(J5342&lt;=2,"?ACTIVATED",IF(J5342&lt;&gt;"","?FAMILIAR",IF(F5342="NEW",IF(ISNA(VLOOKUP(E5342,#REF!,1,FALSE())),"?TYPE_IDENTIFIABLE","?REFERENTIAL"),"_")))))</f>
        <v> </v>
      </c>
      <c r="H5342" s="25" t="str">
        <f>IF(J5342&lt;&gt;1,"",IF(I5342="SBJ","CB","?"))</f>
        <v> </v>
      </c>
      <c r="I5342" s="26" t="str">
        <f>IF(OR(E5342="",E5342="!!!",F5342="NEW"),"",INDEX(B5341:B$2,-1+SUMPRODUCT(MAX(ROW(E5341:E$2)*(E5342=E5341:E$2)))))</f>
        <v> </v>
      </c>
      <c r="J5342" s="26" t="str">
        <f>IF(OR(E5342="",E5342="!!!",F5342="NEW"),"",COUNTBLANK(OFFSET(A$1,,,SUMPRODUCT(MAX(ROW(E$2:E5342)*(E5342=E$2:E5342)))))-COUNTBLANK(OFFSET(A$1,,,SUMPRODUCT(MAX(ROW(E$1:E5341)*(E2=E$1:E5341))))))</f>
        <v> </v>
      </c>
      <c r="K5342" s="26" t="str">
        <f>IF(OR(E5342="",E5342="!!!",F5342="NEW"),"",INDEX(J$1:J5341,SUMPRODUCT(MAX(ROW(E$1:E5341)*(E5342=E$1:E5341)))))</f>
        <v> </v>
      </c>
      <c r="L5342" s="27"/>
    </row>
    <row r="5343" spans="1:12">
      <c r="A5343" s="20" t="s">
        <v>1118</v>
      </c>
      <c r="E5343" s="22">
        <f>IF(D5343="?OLD","!!!","")</f>
        <v/>
      </c>
      <c r="F5343" s="23" t="str">
        <f>IF(OR(E5343="",E5343="!!!"),"",IF(NOT(ISNA(VLOOKUP(E5343,E$1:E5342,1,FALSE()))),"OLD",IF(AND(E5343&lt;&gt;"",E5343&lt;&gt;"!!!"),"NEW","")))</f>
        <v> </v>
      </c>
      <c r="G5343" s="24" t="str">
        <f>IF(OR(E5343="",E5343="!!!"),"",IF(OR(J5343=0,AND(J5343=1,K5343=1),AND(J5343=1,I5343="SBJ"),AND(J5343=1,I5343=0)),"?IN_FOCUS",IF(J5343&lt;=2,"?ACTIVATED",IF(J5343&lt;&gt;"","?FAMILIAR",IF(F5343="NEW",IF(ISNA(VLOOKUP(E5343,#REF!,1,FALSE())),"?TYPE_IDENTIFIABLE","?REFERENTIAL"),"_")))))</f>
        <v> </v>
      </c>
      <c r="H5343" s="25" t="str">
        <f>IF(J5343&lt;&gt;1,"",IF(I5343="SBJ","CB","?"))</f>
        <v> </v>
      </c>
      <c r="I5343" s="26" t="str">
        <f>IF(OR(E5343="",E5343="!!!",F5343="NEW"),"",INDEX(B5342:B$2,-1+SUMPRODUCT(MAX(ROW(E5342:E$2)*(E5343=E5342:E$2)))))</f>
        <v> </v>
      </c>
      <c r="J5343" s="26" t="str">
        <f>IF(OR(E5343="",E5343="!!!",F5343="NEW"),"",COUNTBLANK(OFFSET(A$1,,,SUMPRODUCT(MAX(ROW(E$2:E5343)*(E5343=E$2:E5343)))))-COUNTBLANK(OFFSET(A$1,,,SUMPRODUCT(MAX(ROW(E$1:E5342)*(E2=E$1:E5342))))))</f>
        <v> </v>
      </c>
      <c r="K5343" s="26" t="str">
        <f>IF(OR(E5343="",E5343="!!!",F5343="NEW"),"",INDEX(J$1:J5342,SUMPRODUCT(MAX(ROW(E$1:E5342)*(E5343=E$1:E5342)))))</f>
        <v> </v>
      </c>
      <c r="L5343" s="27"/>
    </row>
    <row r="5344" spans="1:12">
      <c r="A5344" s="20" t="s">
        <v>1074</v>
      </c>
      <c r="B5344" s="21" t="s">
        <v>1079</v>
      </c>
      <c r="C5344" s="21" t="s">
        <v>1076</v>
      </c>
      <c r="D5344" s="21" t="s">
        <v>1060</v>
      </c>
      <c r="E5344" s="22">
        <f>IF(D5344="?OLD","!!!","")</f>
        <v/>
      </c>
      <c r="F5344" s="23" t="str">
        <f>IF(OR(E5344="",E5344="!!!"),"",IF(NOT(ISNA(VLOOKUP(E5344,E$1:E5343,1,FALSE()))),"OLD",IF(AND(E5344&lt;&gt;"",E5344&lt;&gt;"!!!"),"NEW","")))</f>
        <v> </v>
      </c>
      <c r="G5344" s="24" t="str">
        <f>IF(OR(E5344="",E5344="!!!"),"",IF(OR(J5344=0,AND(J5344=1,K5344=1),AND(J5344=1,I5344="SBJ"),AND(J5344=1,I5344=0)),"?IN_FOCUS",IF(J5344&lt;=2,"?ACTIVATED",IF(J5344&lt;&gt;"","?FAMILIAR",IF(F5344="NEW",IF(ISNA(VLOOKUP(E5344,#REF!,1,FALSE())),"?TYPE_IDENTIFIABLE","?REFERENTIAL"),"_")))))</f>
        <v> </v>
      </c>
      <c r="H5344" s="25" t="str">
        <f>IF(J5344&lt;&gt;1,"",IF(I5344="SBJ","CB","?"))</f>
        <v> </v>
      </c>
      <c r="I5344" s="26" t="str">
        <f>IF(OR(E5344="",E5344="!!!",F5344="NEW"),"",INDEX(B5343:B$2,-1+SUMPRODUCT(MAX(ROW(E5343:E$2)*(E5344=E5343:E$2)))))</f>
        <v> </v>
      </c>
      <c r="J5344" s="26" t="str">
        <f>IF(OR(E5344="",E5344="!!!",F5344="NEW"),"",COUNTBLANK(OFFSET(A$1,,,SUMPRODUCT(MAX(ROW(E$2:E5344)*(E5344=E$2:E5344)))))-COUNTBLANK(OFFSET(A$1,,,SUMPRODUCT(MAX(ROW(E$1:E5343)*(E2=E$1:E5343))))))</f>
        <v> </v>
      </c>
      <c r="K5344" s="26" t="str">
        <f>IF(OR(E5344="",E5344="!!!",F5344="NEW"),"",INDEX(J$1:J5343,SUMPRODUCT(MAX(ROW(E$1:E5343)*(E5344=E$1:E5343)))))</f>
        <v> </v>
      </c>
      <c r="L5344" s="27"/>
    </row>
    <row r="5345" spans="1:12">
      <c r="A5345" s="20" t="s">
        <v>1085</v>
      </c>
      <c r="E5345" s="22">
        <f>IF(D5345="?OLD","!!!","")</f>
        <v/>
      </c>
      <c r="F5345" s="23" t="str">
        <f>IF(OR(E5345="",E5345="!!!"),"",IF(NOT(ISNA(VLOOKUP(E5345,E$1:E5344,1,FALSE()))),"OLD",IF(AND(E5345&lt;&gt;"",E5345&lt;&gt;"!!!"),"NEW","")))</f>
        <v> </v>
      </c>
      <c r="G5345" s="24" t="str">
        <f>IF(OR(E5345="",E5345="!!!"),"",IF(OR(J5345=0,AND(J5345=1,K5345=1),AND(J5345=1,I5345="SBJ"),AND(J5345=1,I5345=0)),"?IN_FOCUS",IF(J5345&lt;=2,"?ACTIVATED",IF(J5345&lt;&gt;"","?FAMILIAR",IF(F5345="NEW",IF(ISNA(VLOOKUP(E5345,#REF!,1,FALSE())),"?TYPE_IDENTIFIABLE","?REFERENTIAL"),"_")))))</f>
        <v> </v>
      </c>
      <c r="H5345" s="25" t="str">
        <f>IF(J5345&lt;&gt;1,"",IF(I5345="SBJ","CB","?"))</f>
        <v> </v>
      </c>
      <c r="I5345" s="26" t="str">
        <f>IF(OR(E5345="",E5345="!!!",F5345="NEW"),"",INDEX(B5344:B$2,-1+SUMPRODUCT(MAX(ROW(E5344:E$2)*(E5345=E5344:E$2)))))</f>
        <v> </v>
      </c>
      <c r="J5345" s="26" t="str">
        <f>IF(OR(E5345="",E5345="!!!",F5345="NEW"),"",COUNTBLANK(OFFSET(A$1,,,SUMPRODUCT(MAX(ROW(E$2:E5345)*(E5345=E$2:E5345)))))-COUNTBLANK(OFFSET(A$1,,,SUMPRODUCT(MAX(ROW(E$1:E5344)*(E2=E$1:E5344))))))</f>
        <v> </v>
      </c>
      <c r="K5345" s="26" t="str">
        <f>IF(OR(E5345="",E5345="!!!",F5345="NEW"),"",INDEX(J$1:J5344,SUMPRODUCT(MAX(ROW(E$1:E5344)*(E5345=E$1:E5344)))))</f>
        <v> </v>
      </c>
      <c r="L5345" s="27"/>
    </row>
    <row r="5346" spans="1:12">
      <c r="A5346" s="20" t="s">
        <v>1181</v>
      </c>
      <c r="E5346" s="22">
        <f>IF(D5346="?OLD","!!!","")</f>
        <v/>
      </c>
      <c r="F5346" s="23" t="str">
        <f>IF(OR(E5346="",E5346="!!!"),"",IF(NOT(ISNA(VLOOKUP(E5346,E$1:E5345,1,FALSE()))),"OLD",IF(AND(E5346&lt;&gt;"",E5346&lt;&gt;"!!!"),"NEW","")))</f>
        <v> </v>
      </c>
      <c r="G5346" s="24" t="str">
        <f>IF(OR(E5346="",E5346="!!!"),"",IF(OR(J5346=0,AND(J5346=1,K5346=1),AND(J5346=1,I5346="SBJ"),AND(J5346=1,I5346=0)),"?IN_FOCUS",IF(J5346&lt;=2,"?ACTIVATED",IF(J5346&lt;&gt;"","?FAMILIAR",IF(F5346="NEW",IF(ISNA(VLOOKUP(E5346,#REF!,1,FALSE())),"?TYPE_IDENTIFIABLE","?REFERENTIAL"),"_")))))</f>
        <v> </v>
      </c>
      <c r="H5346" s="25" t="str">
        <f>IF(J5346&lt;&gt;1,"",IF(I5346="SBJ","CB","?"))</f>
        <v> </v>
      </c>
      <c r="I5346" s="26" t="str">
        <f>IF(OR(E5346="",E5346="!!!",F5346="NEW"),"",INDEX(B5345:B$2,-1+SUMPRODUCT(MAX(ROW(E5345:E$2)*(E5346=E5345:E$2)))))</f>
        <v> </v>
      </c>
      <c r="J5346" s="26" t="str">
        <f>IF(OR(E5346="",E5346="!!!",F5346="NEW"),"",COUNTBLANK(OFFSET(A$1,,,SUMPRODUCT(MAX(ROW(E$2:E5346)*(E5346=E$2:E5346)))))-COUNTBLANK(OFFSET(A$1,,,SUMPRODUCT(MAX(ROW(E$1:E5345)*(E2=E$1:E5345))))))</f>
        <v> </v>
      </c>
      <c r="K5346" s="26" t="str">
        <f>IF(OR(E5346="",E5346="!!!",F5346="NEW"),"",INDEX(J$1:J5345,SUMPRODUCT(MAX(ROW(E$1:E5345)*(E5346=E$1:E5345)))))</f>
        <v> </v>
      </c>
      <c r="L5346" s="27"/>
    </row>
    <row r="5347" spans="1:12">
      <c r="A5347" s="20" t="s">
        <v>1204</v>
      </c>
      <c r="E5347" s="22">
        <f>IF(D5347="?OLD","!!!","")</f>
        <v/>
      </c>
      <c r="F5347" s="23" t="str">
        <f>IF(OR(E5347="",E5347="!!!"),"",IF(NOT(ISNA(VLOOKUP(E5347,E$1:E5346,1,FALSE()))),"OLD",IF(AND(E5347&lt;&gt;"",E5347&lt;&gt;"!!!"),"NEW","")))</f>
        <v> </v>
      </c>
      <c r="G5347" s="24" t="str">
        <f>IF(OR(E5347="",E5347="!!!"),"",IF(OR(J5347=0,AND(J5347=1,K5347=1),AND(J5347=1,I5347="SBJ"),AND(J5347=1,I5347=0)),"?IN_FOCUS",IF(J5347&lt;=2,"?ACTIVATED",IF(J5347&lt;&gt;"","?FAMILIAR",IF(F5347="NEW",IF(ISNA(VLOOKUP(E5347,#REF!,1,FALSE())),"?TYPE_IDENTIFIABLE","?REFERENTIAL"),"_")))))</f>
        <v> </v>
      </c>
      <c r="H5347" s="25" t="str">
        <f>IF(J5347&lt;&gt;1,"",IF(I5347="SBJ","CB","?"))</f>
        <v> </v>
      </c>
      <c r="I5347" s="26" t="str">
        <f>IF(OR(E5347="",E5347="!!!",F5347="NEW"),"",INDEX(B5346:B$2,-1+SUMPRODUCT(MAX(ROW(E5346:E$2)*(E5347=E5346:E$2)))))</f>
        <v> </v>
      </c>
      <c r="J5347" s="26" t="str">
        <f>IF(OR(E5347="",E5347="!!!",F5347="NEW"),"",COUNTBLANK(OFFSET(A$1,,,SUMPRODUCT(MAX(ROW(E$2:E5347)*(E5347=E$2:E5347)))))-COUNTBLANK(OFFSET(A$1,,,SUMPRODUCT(MAX(ROW(E$1:E5346)*(E2=E$1:E5346))))))</f>
        <v> </v>
      </c>
      <c r="K5347" s="26" t="str">
        <f>IF(OR(E5347="",E5347="!!!",F5347="NEW"),"",INDEX(J$1:J5346,SUMPRODUCT(MAX(ROW(E$1:E5346)*(E5347=E$1:E5346)))))</f>
        <v> </v>
      </c>
      <c r="L5347" s="27"/>
    </row>
    <row r="5348" spans="1:12">
      <c r="A5348" s="20" t="s">
        <v>1101</v>
      </c>
      <c r="E5348" s="22">
        <f>IF(D5348="?OLD","!!!","")</f>
        <v/>
      </c>
      <c r="F5348" s="23" t="str">
        <f>IF(OR(E5348="",E5348="!!!"),"",IF(NOT(ISNA(VLOOKUP(E5348,E$1:E5347,1,FALSE()))),"OLD",IF(AND(E5348&lt;&gt;"",E5348&lt;&gt;"!!!"),"NEW","")))</f>
        <v> </v>
      </c>
      <c r="G5348" s="24" t="str">
        <f>IF(OR(E5348="",E5348="!!!"),"",IF(OR(J5348=0,AND(J5348=1,K5348=1),AND(J5348=1,I5348="SBJ"),AND(J5348=1,I5348=0)),"?IN_FOCUS",IF(J5348&lt;=2,"?ACTIVATED",IF(J5348&lt;&gt;"","?FAMILIAR",IF(F5348="NEW",IF(ISNA(VLOOKUP(E5348,#REF!,1,FALSE())),"?TYPE_IDENTIFIABLE","?REFERENTIAL"),"_")))))</f>
        <v> </v>
      </c>
      <c r="H5348" s="25" t="str">
        <f>IF(J5348&lt;&gt;1,"",IF(I5348="SBJ","CB","?"))</f>
        <v> </v>
      </c>
      <c r="I5348" s="26" t="str">
        <f>IF(OR(E5348="",E5348="!!!",F5348="NEW"),"",INDEX(B5347:B$2,-1+SUMPRODUCT(MAX(ROW(E5347:E$2)*(E5348=E5347:E$2)))))</f>
        <v> </v>
      </c>
      <c r="J5348" s="26" t="str">
        <f>IF(OR(E5348="",E5348="!!!",F5348="NEW"),"",COUNTBLANK(OFFSET(A$1,,,SUMPRODUCT(MAX(ROW(E$2:E5348)*(E5348=E$2:E5348)))))-COUNTBLANK(OFFSET(A$1,,,SUMPRODUCT(MAX(ROW(E$1:E5347)*(E2=E$1:E5347))))))</f>
        <v> </v>
      </c>
      <c r="K5348" s="26" t="str">
        <f>IF(OR(E5348="",E5348="!!!",F5348="NEW"),"",INDEX(J$1:J5347,SUMPRODUCT(MAX(ROW(E$1:E5347)*(E5348=E$1:E5347)))))</f>
        <v> </v>
      </c>
      <c r="L5348" s="27"/>
    </row>
    <row r="5349" spans="1:12">
      <c r="A5349" s="20" t="s">
        <v>1223</v>
      </c>
      <c r="E5349" s="22">
        <f>IF(D5349="?OLD","!!!","")</f>
        <v/>
      </c>
      <c r="F5349" s="23" t="str">
        <f>IF(OR(E5349="",E5349="!!!"),"",IF(NOT(ISNA(VLOOKUP(E5349,E$1:E5348,1,FALSE()))),"OLD",IF(AND(E5349&lt;&gt;"",E5349&lt;&gt;"!!!"),"NEW","")))</f>
        <v> </v>
      </c>
      <c r="G5349" s="24" t="str">
        <f>IF(OR(E5349="",E5349="!!!"),"",IF(OR(J5349=0,AND(J5349=1,K5349=1),AND(J5349=1,I5349="SBJ"),AND(J5349=1,I5349=0)),"?IN_FOCUS",IF(J5349&lt;=2,"?ACTIVATED",IF(J5349&lt;&gt;"","?FAMILIAR",IF(F5349="NEW",IF(ISNA(VLOOKUP(E5349,#REF!,1,FALSE())),"?TYPE_IDENTIFIABLE","?REFERENTIAL"),"_")))))</f>
        <v> </v>
      </c>
      <c r="H5349" s="25" t="str">
        <f>IF(J5349&lt;&gt;1,"",IF(I5349="SBJ","CB","?"))</f>
        <v> </v>
      </c>
      <c r="I5349" s="26" t="str">
        <f>IF(OR(E5349="",E5349="!!!",F5349="NEW"),"",INDEX(B5348:B$2,-1+SUMPRODUCT(MAX(ROW(E5348:E$2)*(E5349=E5348:E$2)))))</f>
        <v> </v>
      </c>
      <c r="J5349" s="26" t="str">
        <f>IF(OR(E5349="",E5349="!!!",F5349="NEW"),"",COUNTBLANK(OFFSET(A$1,,,SUMPRODUCT(MAX(ROW(E$2:E5349)*(E5349=E$2:E5349)))))-COUNTBLANK(OFFSET(A$1,,,SUMPRODUCT(MAX(ROW(E$1:E5348)*(E2=E$1:E5348))))))</f>
        <v> </v>
      </c>
      <c r="K5349" s="26" t="str">
        <f>IF(OR(E5349="",E5349="!!!",F5349="NEW"),"",INDEX(J$1:J5348,SUMPRODUCT(MAX(ROW(E$1:E5348)*(E5349=E$1:E5348)))))</f>
        <v> </v>
      </c>
      <c r="L5349" s="27"/>
    </row>
    <row r="5350" spans="1:12">
      <c r="A5350" s="20" t="s">
        <v>2295</v>
      </c>
      <c r="B5350" s="21" t="s">
        <v>1097</v>
      </c>
      <c r="C5350" s="21" t="s">
        <v>1140</v>
      </c>
      <c r="D5350" s="21" t="s">
        <v>1060</v>
      </c>
      <c r="E5350" s="22">
        <f>IF(D5350="?OLD","!!!","")</f>
        <v/>
      </c>
      <c r="F5350" s="23" t="str">
        <f>IF(OR(E5350="",E5350="!!!"),"",IF(NOT(ISNA(VLOOKUP(E5350,E$1:E5349,1,FALSE()))),"OLD",IF(AND(E5350&lt;&gt;"",E5350&lt;&gt;"!!!"),"NEW","")))</f>
        <v> </v>
      </c>
      <c r="G5350" s="24" t="str">
        <f>IF(OR(E5350="",E5350="!!!"),"",IF(OR(J5350=0,AND(J5350=1,K5350=1),AND(J5350=1,I5350="SBJ"),AND(J5350=1,I5350=0)),"?IN_FOCUS",IF(J5350&lt;=2,"?ACTIVATED",IF(J5350&lt;&gt;"","?FAMILIAR",IF(F5350="NEW",IF(ISNA(VLOOKUP(E5350,#REF!,1,FALSE())),"?TYPE_IDENTIFIABLE","?REFERENTIAL"),"_")))))</f>
        <v> </v>
      </c>
      <c r="H5350" s="25" t="str">
        <f>IF(J5350&lt;&gt;1,"",IF(I5350="SBJ","CB","?"))</f>
        <v> </v>
      </c>
      <c r="I5350" s="26" t="str">
        <f>IF(OR(E5350="",E5350="!!!",F5350="NEW"),"",INDEX(B5349:B$2,-1+SUMPRODUCT(MAX(ROW(E5349:E$2)*(E5350=E5349:E$2)))))</f>
        <v> </v>
      </c>
      <c r="J5350" s="26" t="str">
        <f>IF(OR(E5350="",E5350="!!!",F5350="NEW"),"",COUNTBLANK(OFFSET(A$1,,,SUMPRODUCT(MAX(ROW(E$2:E5350)*(E5350=E$2:E5350)))))-COUNTBLANK(OFFSET(A$1,,,SUMPRODUCT(MAX(ROW(E$1:E5349)*(E2=E$1:E5349))))))</f>
        <v> </v>
      </c>
      <c r="K5350" s="26" t="str">
        <f>IF(OR(E5350="",E5350="!!!",F5350="NEW"),"",INDEX(J$1:J5349,SUMPRODUCT(MAX(ROW(E$1:E5349)*(E5350=E$1:E5349)))))</f>
        <v> </v>
      </c>
      <c r="L5350" s="27"/>
    </row>
    <row r="5351" spans="1:12">
      <c r="A5351" s="20" t="s">
        <v>1070</v>
      </c>
      <c r="E5351" s="22">
        <f>IF(D5351="?OLD","!!!","")</f>
        <v/>
      </c>
      <c r="F5351" s="23" t="str">
        <f>IF(OR(E5351="",E5351="!!!"),"",IF(NOT(ISNA(VLOOKUP(E5351,E$1:E5350,1,FALSE()))),"OLD",IF(AND(E5351&lt;&gt;"",E5351&lt;&gt;"!!!"),"NEW","")))</f>
        <v> </v>
      </c>
      <c r="G5351" s="24" t="str">
        <f>IF(OR(E5351="",E5351="!!!"),"",IF(OR(J5351=0,AND(J5351=1,K5351=1),AND(J5351=1,I5351="SBJ"),AND(J5351=1,I5351=0)),"?IN_FOCUS",IF(J5351&lt;=2,"?ACTIVATED",IF(J5351&lt;&gt;"","?FAMILIAR",IF(F5351="NEW",IF(ISNA(VLOOKUP(E5351,#REF!,1,FALSE())),"?TYPE_IDENTIFIABLE","?REFERENTIAL"),"_")))))</f>
        <v> </v>
      </c>
      <c r="H5351" s="25" t="str">
        <f>IF(J5351&lt;&gt;1,"",IF(I5351="SBJ","CB","?"))</f>
        <v> </v>
      </c>
      <c r="I5351" s="26" t="str">
        <f>IF(OR(E5351="",E5351="!!!",F5351="NEW"),"",INDEX(B5350:B$2,-1+SUMPRODUCT(MAX(ROW(E5350:E$2)*(E5351=E5350:E$2)))))</f>
        <v> </v>
      </c>
      <c r="J5351" s="26" t="str">
        <f>IF(OR(E5351="",E5351="!!!",F5351="NEW"),"",COUNTBLANK(OFFSET(A$1,,,SUMPRODUCT(MAX(ROW(E$2:E5351)*(E5351=E$2:E5351)))))-COUNTBLANK(OFFSET(A$1,,,SUMPRODUCT(MAX(ROW(E$1:E5350)*(E2=E$1:E5350))))))</f>
        <v> </v>
      </c>
      <c r="K5351" s="26" t="str">
        <f>IF(OR(E5351="",E5351="!!!",F5351="NEW"),"",INDEX(J$1:J5350,SUMPRODUCT(MAX(ROW(E$1:E5350)*(E5351=E$1:E5350)))))</f>
        <v> </v>
      </c>
      <c r="L5351" s="27"/>
    </row>
    <row r="5352" spans="1:12">
      <c r="A5352" s="20" t="s">
        <v>1115</v>
      </c>
      <c r="B5352" s="21" t="s">
        <v>1136</v>
      </c>
      <c r="E5352" s="22">
        <f>IF(D5352="?OLD","!!!","")</f>
        <v/>
      </c>
      <c r="F5352" s="23" t="str">
        <f>IF(OR(E5352="",E5352="!!!"),"",IF(NOT(ISNA(VLOOKUP(E5352,E$1:E5351,1,FALSE()))),"OLD",IF(AND(E5352&lt;&gt;"",E5352&lt;&gt;"!!!"),"NEW","")))</f>
        <v> </v>
      </c>
      <c r="G5352" s="24" t="str">
        <f>IF(OR(E5352="",E5352="!!!"),"",IF(OR(J5352=0,AND(J5352=1,K5352=1),AND(J5352=1,I5352="SBJ"),AND(J5352=1,I5352=0)),"?IN_FOCUS",IF(J5352&lt;=2,"?ACTIVATED",IF(J5352&lt;&gt;"","?FAMILIAR",IF(F5352="NEW",IF(ISNA(VLOOKUP(E5352,#REF!,1,FALSE())),"?TYPE_IDENTIFIABLE","?REFERENTIAL"),"_")))))</f>
        <v> </v>
      </c>
      <c r="H5352" s="25" t="str">
        <f>IF(J5352&lt;&gt;1,"",IF(I5352="SBJ","CB","?"))</f>
        <v> </v>
      </c>
      <c r="I5352" s="26" t="str">
        <f>IF(OR(E5352="",E5352="!!!",F5352="NEW"),"",INDEX(B5351:B$2,-1+SUMPRODUCT(MAX(ROW(E5351:E$2)*(E5352=E5351:E$2)))))</f>
        <v> </v>
      </c>
      <c r="J5352" s="26" t="str">
        <f>IF(OR(E5352="",E5352="!!!",F5352="NEW"),"",COUNTBLANK(OFFSET(A$1,,,SUMPRODUCT(MAX(ROW(E$2:E5352)*(E5352=E$2:E5352)))))-COUNTBLANK(OFFSET(A$1,,,SUMPRODUCT(MAX(ROW(E$1:E5351)*(E2=E$1:E5351))))))</f>
        <v> </v>
      </c>
      <c r="K5352" s="26" t="str">
        <f>IF(OR(E5352="",E5352="!!!",F5352="NEW"),"",INDEX(J$1:J5351,SUMPRODUCT(MAX(ROW(E$1:E5351)*(E5352=E$1:E5351)))))</f>
        <v> </v>
      </c>
      <c r="L5352" s="27"/>
    </row>
    <row r="5353" spans="1:12">
      <c r="A5353" s="20" t="s">
        <v>1083</v>
      </c>
      <c r="B5353" s="21" t="s">
        <v>1084</v>
      </c>
      <c r="C5353" s="21" t="s">
        <v>1076</v>
      </c>
      <c r="D5353" s="21" t="s">
        <v>1060</v>
      </c>
      <c r="E5353" s="22">
        <f>IF(D5353="?OLD","!!!","")</f>
        <v/>
      </c>
      <c r="F5353" s="23" t="str">
        <f>IF(OR(E5353="",E5353="!!!"),"",IF(NOT(ISNA(VLOOKUP(E5353,E$1:E5352,1,FALSE()))),"OLD",IF(AND(E5353&lt;&gt;"",E5353&lt;&gt;"!!!"),"NEW","")))</f>
        <v> </v>
      </c>
      <c r="G5353" s="24" t="str">
        <f>IF(OR(E5353="",E5353="!!!"),"",IF(OR(J5353=0,AND(J5353=1,K5353=1),AND(J5353=1,I5353="SBJ"),AND(J5353=1,I5353=0)),"?IN_FOCUS",IF(J5353&lt;=2,"?ACTIVATED",IF(J5353&lt;&gt;"","?FAMILIAR",IF(F5353="NEW",IF(ISNA(VLOOKUP(E5353,#REF!,1,FALSE())),"?TYPE_IDENTIFIABLE","?REFERENTIAL"),"_")))))</f>
        <v> </v>
      </c>
      <c r="H5353" s="25" t="str">
        <f>IF(J5353&lt;&gt;1,"",IF(I5353="SBJ","CB","?"))</f>
        <v> </v>
      </c>
      <c r="I5353" s="26" t="str">
        <f>IF(OR(E5353="",E5353="!!!",F5353="NEW"),"",INDEX(B5352:B$2,-1+SUMPRODUCT(MAX(ROW(E5352:E$2)*(E5353=E5352:E$2)))))</f>
        <v> </v>
      </c>
      <c r="J5353" s="26" t="str">
        <f>IF(OR(E5353="",E5353="!!!",F5353="NEW"),"",COUNTBLANK(OFFSET(A$1,,,SUMPRODUCT(MAX(ROW(E$2:E5353)*(E5353=E$2:E5353)))))-COUNTBLANK(OFFSET(A$1,,,SUMPRODUCT(MAX(ROW(E$1:E5352)*(E2=E$1:E5352))))))</f>
        <v> </v>
      </c>
      <c r="K5353" s="26" t="str">
        <f>IF(OR(E5353="",E5353="!!!",F5353="NEW"),"",INDEX(J$1:J5352,SUMPRODUCT(MAX(ROW(E$1:E5352)*(E5353=E$1:E5352)))))</f>
        <v> </v>
      </c>
      <c r="L5353" s="27"/>
    </row>
    <row r="5354" spans="1:12">
      <c r="A5354" s="20" t="s">
        <v>2526</v>
      </c>
      <c r="E5354" s="22">
        <f>IF(D5354="?OLD","!!!","")</f>
        <v/>
      </c>
      <c r="F5354" s="23" t="str">
        <f>IF(OR(E5354="",E5354="!!!"),"",IF(NOT(ISNA(VLOOKUP(E5354,E$1:E5353,1,FALSE()))),"OLD",IF(AND(E5354&lt;&gt;"",E5354&lt;&gt;"!!!"),"NEW","")))</f>
        <v> </v>
      </c>
      <c r="G5354" s="24" t="str">
        <f>IF(OR(E5354="",E5354="!!!"),"",IF(OR(J5354=0,AND(J5354=1,K5354=1),AND(J5354=1,I5354="SBJ"),AND(J5354=1,I5354=0)),"?IN_FOCUS",IF(J5354&lt;=2,"?ACTIVATED",IF(J5354&lt;&gt;"","?FAMILIAR",IF(F5354="NEW",IF(ISNA(VLOOKUP(E5354,#REF!,1,FALSE())),"?TYPE_IDENTIFIABLE","?REFERENTIAL"),"_")))))</f>
        <v> </v>
      </c>
      <c r="H5354" s="25" t="str">
        <f>IF(J5354&lt;&gt;1,"",IF(I5354="SBJ","CB","?"))</f>
        <v> </v>
      </c>
      <c r="I5354" s="26" t="str">
        <f>IF(OR(E5354="",E5354="!!!",F5354="NEW"),"",INDEX(B5353:B$2,-1+SUMPRODUCT(MAX(ROW(E5353:E$2)*(E5354=E5353:E$2)))))</f>
        <v> </v>
      </c>
      <c r="J5354" s="26" t="str">
        <f>IF(OR(E5354="",E5354="!!!",F5354="NEW"),"",COUNTBLANK(OFFSET(A$1,,,SUMPRODUCT(MAX(ROW(E$2:E5354)*(E5354=E$2:E5354)))))-COUNTBLANK(OFFSET(A$1,,,SUMPRODUCT(MAX(ROW(E$1:E5353)*(E2=E$1:E5353))))))</f>
        <v> </v>
      </c>
      <c r="K5354" s="26" t="str">
        <f>IF(OR(E5354="",E5354="!!!",F5354="NEW"),"",INDEX(J$1:J5353,SUMPRODUCT(MAX(ROW(E$1:E5353)*(E5354=E$1:E5353)))))</f>
        <v> </v>
      </c>
      <c r="L5354" s="27"/>
    </row>
    <row r="5355" spans="1:12">
      <c r="A5355" s="20" t="s">
        <v>1146</v>
      </c>
      <c r="E5355" s="22">
        <f>IF(D5355="?OLD","!!!","")</f>
        <v/>
      </c>
      <c r="F5355" s="23" t="str">
        <f>IF(OR(E5355="",E5355="!!!"),"",IF(NOT(ISNA(VLOOKUP(E5355,E$1:E5354,1,FALSE()))),"OLD",IF(AND(E5355&lt;&gt;"",E5355&lt;&gt;"!!!"),"NEW","")))</f>
        <v> </v>
      </c>
      <c r="G5355" s="24" t="str">
        <f>IF(OR(E5355="",E5355="!!!"),"",IF(OR(J5355=0,AND(J5355=1,K5355=1),AND(J5355=1,I5355="SBJ"),AND(J5355=1,I5355=0)),"?IN_FOCUS",IF(J5355&lt;=2,"?ACTIVATED",IF(J5355&lt;&gt;"","?FAMILIAR",IF(F5355="NEW",IF(ISNA(VLOOKUP(E5355,#REF!,1,FALSE())),"?TYPE_IDENTIFIABLE","?REFERENTIAL"),"_")))))</f>
        <v> </v>
      </c>
      <c r="H5355" s="25" t="str">
        <f>IF(J5355&lt;&gt;1,"",IF(I5355="SBJ","CB","?"))</f>
        <v> </v>
      </c>
      <c r="I5355" s="26" t="str">
        <f>IF(OR(E5355="",E5355="!!!",F5355="NEW"),"",INDEX(B5354:B$2,-1+SUMPRODUCT(MAX(ROW(E5354:E$2)*(E5355=E5354:E$2)))))</f>
        <v> </v>
      </c>
      <c r="J5355" s="26" t="str">
        <f>IF(OR(E5355="",E5355="!!!",F5355="NEW"),"",COUNTBLANK(OFFSET(A$1,,,SUMPRODUCT(MAX(ROW(E$2:E5355)*(E5355=E$2:E5355)))))-COUNTBLANK(OFFSET(A$1,,,SUMPRODUCT(MAX(ROW(E$1:E5354)*(E2=E$1:E5354))))))</f>
        <v> </v>
      </c>
      <c r="K5355" s="26" t="str">
        <f>IF(OR(E5355="",E5355="!!!",F5355="NEW"),"",INDEX(J$1:J5354,SUMPRODUCT(MAX(ROW(E$1:E5354)*(E5355=E$1:E5354)))))</f>
        <v> </v>
      </c>
      <c r="L5355" s="27"/>
    </row>
    <row r="5356" spans="1:12">
      <c r="A5356" s="20" t="s">
        <v>1101</v>
      </c>
      <c r="E5356" s="22">
        <f>IF(D5356="?OLD","!!!","")</f>
        <v/>
      </c>
      <c r="F5356" s="23" t="str">
        <f>IF(OR(E5356="",E5356="!!!"),"",IF(NOT(ISNA(VLOOKUP(E5356,E$1:E5355,1,FALSE()))),"OLD",IF(AND(E5356&lt;&gt;"",E5356&lt;&gt;"!!!"),"NEW","")))</f>
        <v> </v>
      </c>
      <c r="G5356" s="24" t="str">
        <f>IF(OR(E5356="",E5356="!!!"),"",IF(OR(J5356=0,AND(J5356=1,K5356=1),AND(J5356=1,I5356="SBJ"),AND(J5356=1,I5356=0)),"?IN_FOCUS",IF(J5356&lt;=2,"?ACTIVATED",IF(J5356&lt;&gt;"","?FAMILIAR",IF(F5356="NEW",IF(ISNA(VLOOKUP(E5356,#REF!,1,FALSE())),"?TYPE_IDENTIFIABLE","?REFERENTIAL"),"_")))))</f>
        <v> </v>
      </c>
      <c r="H5356" s="25" t="str">
        <f>IF(J5356&lt;&gt;1,"",IF(I5356="SBJ","CB","?"))</f>
        <v> </v>
      </c>
      <c r="I5356" s="26" t="str">
        <f>IF(OR(E5356="",E5356="!!!",F5356="NEW"),"",INDEX(B5355:B$2,-1+SUMPRODUCT(MAX(ROW(E5355:E$2)*(E5356=E5355:E$2)))))</f>
        <v> </v>
      </c>
      <c r="J5356" s="26" t="str">
        <f>IF(OR(E5356="",E5356="!!!",F5356="NEW"),"",COUNTBLANK(OFFSET(A$1,,,SUMPRODUCT(MAX(ROW(E$2:E5356)*(E5356=E$2:E5356)))))-COUNTBLANK(OFFSET(A$1,,,SUMPRODUCT(MAX(ROW(E$1:E5355)*(E2=E$1:E5355))))))</f>
        <v> </v>
      </c>
      <c r="K5356" s="26" t="str">
        <f>IF(OR(E5356="",E5356="!!!",F5356="NEW"),"",INDEX(J$1:J5355,SUMPRODUCT(MAX(ROW(E$1:E5355)*(E5356=E$1:E5355)))))</f>
        <v> </v>
      </c>
      <c r="L5356" s="27"/>
    </row>
    <row r="5357" spans="1:12">
      <c r="A5357" s="20" t="s">
        <v>1341</v>
      </c>
      <c r="B5357" s="21" t="s">
        <v>1064</v>
      </c>
      <c r="C5357" s="21" t="s">
        <v>1059</v>
      </c>
      <c r="D5357" s="21" t="s">
        <v>1060</v>
      </c>
      <c r="E5357" s="22">
        <f>IF(D5357="?OLD","!!!","")</f>
        <v/>
      </c>
      <c r="F5357" s="23" t="str">
        <f>IF(OR(E5357="",E5357="!!!"),"",IF(NOT(ISNA(VLOOKUP(E5357,E$1:E5356,1,FALSE()))),"OLD",IF(AND(E5357&lt;&gt;"",E5357&lt;&gt;"!!!"),"NEW","")))</f>
        <v> </v>
      </c>
      <c r="G5357" s="24" t="str">
        <f>IF(OR(E5357="",E5357="!!!"),"",IF(OR(J5357=0,AND(J5357=1,K5357=1),AND(J5357=1,I5357="SBJ"),AND(J5357=1,I5357=0)),"?IN_FOCUS",IF(J5357&lt;=2,"?ACTIVATED",IF(J5357&lt;&gt;"","?FAMILIAR",IF(F5357="NEW",IF(ISNA(VLOOKUP(E5357,#REF!,1,FALSE())),"?TYPE_IDENTIFIABLE","?REFERENTIAL"),"_")))))</f>
        <v> </v>
      </c>
      <c r="H5357" s="25" t="str">
        <f>IF(J5357&lt;&gt;1,"",IF(I5357="SBJ","CB","?"))</f>
        <v> </v>
      </c>
      <c r="I5357" s="26" t="str">
        <f>IF(OR(E5357="",E5357="!!!",F5357="NEW"),"",INDEX(B5356:B$2,-1+SUMPRODUCT(MAX(ROW(E5356:E$2)*(E5357=E5356:E$2)))))</f>
        <v> </v>
      </c>
      <c r="J5357" s="26" t="str">
        <f>IF(OR(E5357="",E5357="!!!",F5357="NEW"),"",COUNTBLANK(OFFSET(A$1,,,SUMPRODUCT(MAX(ROW(E$2:E5357)*(E5357=E$2:E5357)))))-COUNTBLANK(OFFSET(A$1,,,SUMPRODUCT(MAX(ROW(E$1:E5356)*(E2=E$1:E5356))))))</f>
        <v> </v>
      </c>
      <c r="K5357" s="26" t="str">
        <f>IF(OR(E5357="",E5357="!!!",F5357="NEW"),"",INDEX(J$1:J5356,SUMPRODUCT(MAX(ROW(E$1:E5356)*(E5357=E$1:E5356)))))</f>
        <v> </v>
      </c>
      <c r="L5357" s="27"/>
    </row>
    <row r="5358" spans="1:12">
      <c r="A5358" s="20" t="s">
        <v>1061</v>
      </c>
      <c r="E5358" s="22">
        <f>IF(D5358="?OLD","!!!","")</f>
        <v/>
      </c>
      <c r="F5358" s="23" t="str">
        <f>IF(OR(E5358="",E5358="!!!"),"",IF(NOT(ISNA(VLOOKUP(E5358,E$1:E5357,1,FALSE()))),"OLD",IF(AND(E5358&lt;&gt;"",E5358&lt;&gt;"!!!"),"NEW","")))</f>
        <v> </v>
      </c>
      <c r="G5358" s="24" t="str">
        <f>IF(OR(E5358="",E5358="!!!"),"",IF(OR(J5358=0,AND(J5358=1,K5358=1),AND(J5358=1,I5358="SBJ"),AND(J5358=1,I5358=0)),"?IN_FOCUS",IF(J5358&lt;=2,"?ACTIVATED",IF(J5358&lt;&gt;"","?FAMILIAR",IF(F5358="NEW",IF(ISNA(VLOOKUP(E5358,#REF!,1,FALSE())),"?TYPE_IDENTIFIABLE","?REFERENTIAL"),"_")))))</f>
        <v> </v>
      </c>
      <c r="H5358" s="25" t="str">
        <f>IF(J5358&lt;&gt;1,"",IF(I5358="SBJ","CB","?"))</f>
        <v> </v>
      </c>
      <c r="I5358" s="26" t="str">
        <f>IF(OR(E5358="",E5358="!!!",F5358="NEW"),"",INDEX(B5357:B$2,-1+SUMPRODUCT(MAX(ROW(E5357:E$2)*(E5358=E5357:E$2)))))</f>
        <v> </v>
      </c>
      <c r="J5358" s="26" t="str">
        <f>IF(OR(E5358="",E5358="!!!",F5358="NEW"),"",COUNTBLANK(OFFSET(A$1,,,SUMPRODUCT(MAX(ROW(E$2:E5358)*(E5358=E$2:E5358)))))-COUNTBLANK(OFFSET(A$1,,,SUMPRODUCT(MAX(ROW(E$1:E5357)*(E2=E$1:E5357))))))</f>
        <v> </v>
      </c>
      <c r="K5358" s="26" t="str">
        <f>IF(OR(E5358="",E5358="!!!",F5358="NEW"),"",INDEX(J$1:J5357,SUMPRODUCT(MAX(ROW(E$1:E5357)*(E5358=E$1:E5357)))))</f>
        <v> </v>
      </c>
      <c r="L5358" s="27"/>
    </row>
    <row r="5359" spans="1:12">
      <c r="A5359" s="20" t="s">
        <v>1707</v>
      </c>
      <c r="E5359" s="22">
        <f>IF(D5359="?OLD","!!!","")</f>
        <v/>
      </c>
      <c r="F5359" s="23" t="str">
        <f>IF(OR(E5359="",E5359="!!!"),"",IF(NOT(ISNA(VLOOKUP(E5359,E$1:E5358,1,FALSE()))),"OLD",IF(AND(E5359&lt;&gt;"",E5359&lt;&gt;"!!!"),"NEW","")))</f>
        <v> </v>
      </c>
      <c r="G5359" s="24" t="str">
        <f>IF(OR(E5359="",E5359="!!!"),"",IF(OR(J5359=0,AND(J5359=1,K5359=1),AND(J5359=1,I5359="SBJ"),AND(J5359=1,I5359=0)),"?IN_FOCUS",IF(J5359&lt;=2,"?ACTIVATED",IF(J5359&lt;&gt;"","?FAMILIAR",IF(F5359="NEW",IF(ISNA(VLOOKUP(E5359,#REF!,1,FALSE())),"?TYPE_IDENTIFIABLE","?REFERENTIAL"),"_")))))</f>
        <v> </v>
      </c>
      <c r="H5359" s="25" t="str">
        <f>IF(J5359&lt;&gt;1,"",IF(I5359="SBJ","CB","?"))</f>
        <v> </v>
      </c>
      <c r="I5359" s="26" t="str">
        <f>IF(OR(E5359="",E5359="!!!",F5359="NEW"),"",INDEX(B5358:B$2,-1+SUMPRODUCT(MAX(ROW(E5358:E$2)*(E5359=E5358:E$2)))))</f>
        <v> </v>
      </c>
      <c r="J5359" s="26" t="str">
        <f>IF(OR(E5359="",E5359="!!!",F5359="NEW"),"",COUNTBLANK(OFFSET(A$1,,,SUMPRODUCT(MAX(ROW(E$2:E5359)*(E5359=E$2:E5359)))))-COUNTBLANK(OFFSET(A$1,,,SUMPRODUCT(MAX(ROW(E$1:E5358)*(E2=E$1:E5358))))))</f>
        <v> </v>
      </c>
      <c r="K5359" s="26" t="str">
        <f>IF(OR(E5359="",E5359="!!!",F5359="NEW"),"",INDEX(J$1:J5358,SUMPRODUCT(MAX(ROW(E$1:E5358)*(E5359=E$1:E5358)))))</f>
        <v> </v>
      </c>
      <c r="L5359" s="27"/>
    </row>
    <row r="5360" spans="1:12">
      <c r="A5360" s="20" t="s">
        <v>1090</v>
      </c>
      <c r="B5360" s="21" t="s">
        <v>1091</v>
      </c>
      <c r="C5360" s="21" t="s">
        <v>1092</v>
      </c>
      <c r="D5360" s="21" t="s">
        <v>1060</v>
      </c>
      <c r="E5360" s="22">
        <f>IF(D5360="?OLD","!!!","")</f>
        <v/>
      </c>
      <c r="F5360" s="23" t="str">
        <f>IF(OR(E5360="",E5360="!!!"),"",IF(NOT(ISNA(VLOOKUP(E5360,E$1:E5359,1,FALSE()))),"OLD",IF(AND(E5360&lt;&gt;"",E5360&lt;&gt;"!!!"),"NEW","")))</f>
        <v> </v>
      </c>
      <c r="G5360" s="24" t="str">
        <f>IF(OR(E5360="",E5360="!!!"),"",IF(OR(J5360=0,AND(J5360=1,K5360=1),AND(J5360=1,I5360="SBJ"),AND(J5360=1,I5360=0)),"?IN_FOCUS",IF(J5360&lt;=2,"?ACTIVATED",IF(J5360&lt;&gt;"","?FAMILIAR",IF(F5360="NEW",IF(ISNA(VLOOKUP(E5360,#REF!,1,FALSE())),"?TYPE_IDENTIFIABLE","?REFERENTIAL"),"_")))))</f>
        <v> </v>
      </c>
      <c r="H5360" s="25" t="str">
        <f>IF(J5360&lt;&gt;1,"",IF(I5360="SBJ","CB","?"))</f>
        <v> </v>
      </c>
      <c r="I5360" s="26" t="str">
        <f>IF(OR(E5360="",E5360="!!!",F5360="NEW"),"",INDEX(B5359:B$2,-1+SUMPRODUCT(MAX(ROW(E5359:E$2)*(E5360=E5359:E$2)))))</f>
        <v> </v>
      </c>
      <c r="J5360" s="26" t="str">
        <f>IF(OR(E5360="",E5360="!!!",F5360="NEW"),"",COUNTBLANK(OFFSET(A$1,,,SUMPRODUCT(MAX(ROW(E$2:E5360)*(E5360=E$2:E5360)))))-COUNTBLANK(OFFSET(A$1,,,SUMPRODUCT(MAX(ROW(E$1:E5359)*(E2=E$1:E5359))))))</f>
        <v> </v>
      </c>
      <c r="K5360" s="26" t="str">
        <f>IF(OR(E5360="",E5360="!!!",F5360="NEW"),"",INDEX(J$1:J5359,SUMPRODUCT(MAX(ROW(E$1:E5359)*(E5360=E$1:E5359)))))</f>
        <v> </v>
      </c>
      <c r="L5360" s="27"/>
    </row>
    <row r="5361" spans="1:12">
      <c r="A5361" s="20" t="s">
        <v>2527</v>
      </c>
      <c r="B5361" s="21" t="s">
        <v>1099</v>
      </c>
      <c r="C5361" s="21" t="s">
        <v>1059</v>
      </c>
      <c r="D5361" s="21" t="s">
        <v>1060</v>
      </c>
      <c r="E5361" s="22">
        <f>IF(D5361="?OLD","!!!","")</f>
        <v/>
      </c>
      <c r="F5361" s="23" t="str">
        <f>IF(OR(E5361="",E5361="!!!"),"",IF(NOT(ISNA(VLOOKUP(E5361,E$1:E5360,1,FALSE()))),"OLD",IF(AND(E5361&lt;&gt;"",E5361&lt;&gt;"!!!"),"NEW","")))</f>
        <v> </v>
      </c>
      <c r="G5361" s="24" t="str">
        <f>IF(OR(E5361="",E5361="!!!"),"",IF(OR(J5361=0,AND(J5361=1,K5361=1),AND(J5361=1,I5361="SBJ"),AND(J5361=1,I5361=0)),"?IN_FOCUS",IF(J5361&lt;=2,"?ACTIVATED",IF(J5361&lt;&gt;"","?FAMILIAR",IF(F5361="NEW",IF(ISNA(VLOOKUP(E5361,#REF!,1,FALSE())),"?TYPE_IDENTIFIABLE","?REFERENTIAL"),"_")))))</f>
        <v> </v>
      </c>
      <c r="H5361" s="25" t="str">
        <f>IF(J5361&lt;&gt;1,"",IF(I5361="SBJ","CB","?"))</f>
        <v> </v>
      </c>
      <c r="I5361" s="26" t="str">
        <f>IF(OR(E5361="",E5361="!!!",F5361="NEW"),"",INDEX(B5360:B$2,-1+SUMPRODUCT(MAX(ROW(E5360:E$2)*(E5361=E5360:E$2)))))</f>
        <v> </v>
      </c>
      <c r="J5361" s="26" t="str">
        <f>IF(OR(E5361="",E5361="!!!",F5361="NEW"),"",COUNTBLANK(OFFSET(A$1,,,SUMPRODUCT(MAX(ROW(E$2:E5361)*(E5361=E$2:E5361)))))-COUNTBLANK(OFFSET(A$1,,,SUMPRODUCT(MAX(ROW(E$1:E5360)*(E2=E$1:E5360))))))</f>
        <v> </v>
      </c>
      <c r="K5361" s="26" t="str">
        <f>IF(OR(E5361="",E5361="!!!",F5361="NEW"),"",INDEX(J$1:J5360,SUMPRODUCT(MAX(ROW(E$1:E5360)*(E5361=E$1:E5360)))))</f>
        <v> </v>
      </c>
      <c r="L5361" s="27"/>
    </row>
    <row r="5362" spans="1:12">
      <c r="A5362" s="20" t="s">
        <v>1070</v>
      </c>
      <c r="E5362" s="22">
        <f>IF(D5362="?OLD","!!!","")</f>
        <v/>
      </c>
      <c r="F5362" s="23" t="str">
        <f>IF(OR(E5362="",E5362="!!!"),"",IF(NOT(ISNA(VLOOKUP(E5362,E$1:E5361,1,FALSE()))),"OLD",IF(AND(E5362&lt;&gt;"",E5362&lt;&gt;"!!!"),"NEW","")))</f>
        <v> </v>
      </c>
      <c r="G5362" s="24" t="str">
        <f>IF(OR(E5362="",E5362="!!!"),"",IF(OR(J5362=0,AND(J5362=1,K5362=1),AND(J5362=1,I5362="SBJ"),AND(J5362=1,I5362=0)),"?IN_FOCUS",IF(J5362&lt;=2,"?ACTIVATED",IF(J5362&lt;&gt;"","?FAMILIAR",IF(F5362="NEW",IF(ISNA(VLOOKUP(E5362,#REF!,1,FALSE())),"?TYPE_IDENTIFIABLE","?REFERENTIAL"),"_")))))</f>
        <v> </v>
      </c>
      <c r="H5362" s="25" t="str">
        <f>IF(J5362&lt;&gt;1,"",IF(I5362="SBJ","CB","?"))</f>
        <v> </v>
      </c>
      <c r="I5362" s="26" t="str">
        <f>IF(OR(E5362="",E5362="!!!",F5362="NEW"),"",INDEX(B5361:B$2,-1+SUMPRODUCT(MAX(ROW(E5361:E$2)*(E5362=E5361:E$2)))))</f>
        <v> </v>
      </c>
      <c r="J5362" s="26" t="str">
        <f>IF(OR(E5362="",E5362="!!!",F5362="NEW"),"",COUNTBLANK(OFFSET(A$1,,,SUMPRODUCT(MAX(ROW(E$2:E5362)*(E5362=E$2:E5362)))))-COUNTBLANK(OFFSET(A$1,,,SUMPRODUCT(MAX(ROW(E$1:E5361)*(E2=E$1:E5361))))))</f>
        <v> </v>
      </c>
      <c r="K5362" s="26" t="str">
        <f>IF(OR(E5362="",E5362="!!!",F5362="NEW"),"",INDEX(J$1:J5361,SUMPRODUCT(MAX(ROW(E$1:E5361)*(E5362=E$1:E5361)))))</f>
        <v> </v>
      </c>
      <c r="L5362" s="27"/>
    </row>
    <row r="5363" spans="1:12">
      <c r="A5363" s="20" t="s">
        <v>1082</v>
      </c>
      <c r="E5363" s="22">
        <f>IF(D5363="?OLD","!!!","")</f>
        <v/>
      </c>
      <c r="F5363" s="23" t="str">
        <f>IF(OR(E5363="",E5363="!!!"),"",IF(NOT(ISNA(VLOOKUP(E5363,E$1:E5362,1,FALSE()))),"OLD",IF(AND(E5363&lt;&gt;"",E5363&lt;&gt;"!!!"),"NEW","")))</f>
        <v> </v>
      </c>
      <c r="G5363" s="24" t="str">
        <f>IF(OR(E5363="",E5363="!!!"),"",IF(OR(J5363=0,AND(J5363=1,K5363=1),AND(J5363=1,I5363="SBJ"),AND(J5363=1,I5363=0)),"?IN_FOCUS",IF(J5363&lt;=2,"?ACTIVATED",IF(J5363&lt;&gt;"","?FAMILIAR",IF(F5363="NEW",IF(ISNA(VLOOKUP(E5363,#REF!,1,FALSE())),"?TYPE_IDENTIFIABLE","?REFERENTIAL"),"_")))))</f>
        <v> </v>
      </c>
      <c r="H5363" s="25" t="str">
        <f>IF(J5363&lt;&gt;1,"",IF(I5363="SBJ","CB","?"))</f>
        <v> </v>
      </c>
      <c r="I5363" s="26" t="str">
        <f>IF(OR(E5363="",E5363="!!!",F5363="NEW"),"",INDEX(B5362:B$2,-1+SUMPRODUCT(MAX(ROW(E5362:E$2)*(E5363=E5362:E$2)))))</f>
        <v> </v>
      </c>
      <c r="J5363" s="26" t="str">
        <f>IF(OR(E5363="",E5363="!!!",F5363="NEW"),"",COUNTBLANK(OFFSET(A$1,,,SUMPRODUCT(MAX(ROW(E$2:E5363)*(E5363=E$2:E5363)))))-COUNTBLANK(OFFSET(A$1,,,SUMPRODUCT(MAX(ROW(E$1:E5362)*(E2=E$1:E5362))))))</f>
        <v> </v>
      </c>
      <c r="K5363" s="26" t="str">
        <f>IF(OR(E5363="",E5363="!!!",F5363="NEW"),"",INDEX(J$1:J5362,SUMPRODUCT(MAX(ROW(E$1:E5362)*(E5363=E$1:E5362)))))</f>
        <v> </v>
      </c>
      <c r="L5363" s="27"/>
    </row>
    <row r="5364" spans="1:12">
      <c r="A5364" s="20" t="s">
        <v>1083</v>
      </c>
      <c r="B5364" s="21" t="s">
        <v>1079</v>
      </c>
      <c r="C5364" s="21" t="s">
        <v>1076</v>
      </c>
      <c r="D5364" s="21" t="s">
        <v>1060</v>
      </c>
      <c r="E5364" s="22">
        <f>IF(D5364="?OLD","!!!","")</f>
        <v/>
      </c>
      <c r="F5364" s="23" t="str">
        <f>IF(OR(E5364="",E5364="!!!"),"",IF(NOT(ISNA(VLOOKUP(E5364,E$1:E5363,1,FALSE()))),"OLD",IF(AND(E5364&lt;&gt;"",E5364&lt;&gt;"!!!"),"NEW","")))</f>
        <v> </v>
      </c>
      <c r="G5364" s="24" t="str">
        <f>IF(OR(E5364="",E5364="!!!"),"",IF(OR(J5364=0,AND(J5364=1,K5364=1),AND(J5364=1,I5364="SBJ"),AND(J5364=1,I5364=0)),"?IN_FOCUS",IF(J5364&lt;=2,"?ACTIVATED",IF(J5364&lt;&gt;"","?FAMILIAR",IF(F5364="NEW",IF(ISNA(VLOOKUP(E5364,#REF!,1,FALSE())),"?TYPE_IDENTIFIABLE","?REFERENTIAL"),"_")))))</f>
        <v> </v>
      </c>
      <c r="H5364" s="25" t="str">
        <f>IF(J5364&lt;&gt;1,"",IF(I5364="SBJ","CB","?"))</f>
        <v> </v>
      </c>
      <c r="I5364" s="26" t="str">
        <f>IF(OR(E5364="",E5364="!!!",F5364="NEW"),"",INDEX(B5363:B$2,-1+SUMPRODUCT(MAX(ROW(E5363:E$2)*(E5364=E5363:E$2)))))</f>
        <v> </v>
      </c>
      <c r="J5364" s="26" t="str">
        <f>IF(OR(E5364="",E5364="!!!",F5364="NEW"),"",COUNTBLANK(OFFSET(A$1,,,SUMPRODUCT(MAX(ROW(E$2:E5364)*(E5364=E$2:E5364)))))-COUNTBLANK(OFFSET(A$1,,,SUMPRODUCT(MAX(ROW(E$1:E5363)*(E2=E$1:E5363))))))</f>
        <v> </v>
      </c>
      <c r="K5364" s="26" t="str">
        <f>IF(OR(E5364="",E5364="!!!",F5364="NEW"),"",INDEX(J$1:J5363,SUMPRODUCT(MAX(ROW(E$1:E5363)*(E5364=E$1:E5363)))))</f>
        <v> </v>
      </c>
      <c r="L5364" s="27"/>
    </row>
    <row r="5365" spans="1:12">
      <c r="A5365" s="20" t="s">
        <v>2528</v>
      </c>
      <c r="E5365" s="22">
        <f>IF(D5365="?OLD","!!!","")</f>
        <v/>
      </c>
      <c r="F5365" s="23" t="str">
        <f>IF(OR(E5365="",E5365="!!!"),"",IF(NOT(ISNA(VLOOKUP(E5365,E$1:E5364,1,FALSE()))),"OLD",IF(AND(E5365&lt;&gt;"",E5365&lt;&gt;"!!!"),"NEW","")))</f>
        <v> </v>
      </c>
      <c r="G5365" s="24" t="str">
        <f>IF(OR(E5365="",E5365="!!!"),"",IF(OR(J5365=0,AND(J5365=1,K5365=1),AND(J5365=1,I5365="SBJ"),AND(J5365=1,I5365=0)),"?IN_FOCUS",IF(J5365&lt;=2,"?ACTIVATED",IF(J5365&lt;&gt;"","?FAMILIAR",IF(F5365="NEW",IF(ISNA(VLOOKUP(E5365,#REF!,1,FALSE())),"?TYPE_IDENTIFIABLE","?REFERENTIAL"),"_")))))</f>
        <v> </v>
      </c>
      <c r="H5365" s="25" t="str">
        <f>IF(J5365&lt;&gt;1,"",IF(I5365="SBJ","CB","?"))</f>
        <v> </v>
      </c>
      <c r="I5365" s="26" t="str">
        <f>IF(OR(E5365="",E5365="!!!",F5365="NEW"),"",INDEX(B5364:B$2,-1+SUMPRODUCT(MAX(ROW(E5364:E$2)*(E5365=E5364:E$2)))))</f>
        <v> </v>
      </c>
      <c r="J5365" s="26" t="str">
        <f>IF(OR(E5365="",E5365="!!!",F5365="NEW"),"",COUNTBLANK(OFFSET(A$1,,,SUMPRODUCT(MAX(ROW(E$2:E5365)*(E5365=E$2:E5365)))))-COUNTBLANK(OFFSET(A$1,,,SUMPRODUCT(MAX(ROW(E$1:E5364)*(E2=E$1:E5364))))))</f>
        <v> </v>
      </c>
      <c r="K5365" s="26" t="str">
        <f>IF(OR(E5365="",E5365="!!!",F5365="NEW"),"",INDEX(J$1:J5364,SUMPRODUCT(MAX(ROW(E$1:E5364)*(E5365=E$1:E5364)))))</f>
        <v> </v>
      </c>
      <c r="L5365" s="27"/>
    </row>
    <row r="5366" spans="1:12">
      <c r="A5366" s="20" t="s">
        <v>621</v>
      </c>
      <c r="E5366" s="22">
        <f>IF(D5366="?OLD","!!!","")</f>
        <v/>
      </c>
      <c r="F5366" s="23" t="str">
        <f>IF(OR(E5366="",E5366="!!!"),"",IF(NOT(ISNA(VLOOKUP(E5366,E$1:E5365,1,FALSE()))),"OLD",IF(AND(E5366&lt;&gt;"",E5366&lt;&gt;"!!!"),"NEW","")))</f>
        <v> </v>
      </c>
      <c r="G5366" s="24" t="str">
        <f>IF(OR(E5366="",E5366="!!!"),"",IF(OR(J5366=0,AND(J5366=1,K5366=1),AND(J5366=1,I5366="SBJ"),AND(J5366=1,I5366=0)),"?IN_FOCUS",IF(J5366&lt;=2,"?ACTIVATED",IF(J5366&lt;&gt;"","?FAMILIAR",IF(F5366="NEW",IF(ISNA(VLOOKUP(E5366,#REF!,1,FALSE())),"?TYPE_IDENTIFIABLE","?REFERENTIAL"),"_")))))</f>
        <v> </v>
      </c>
      <c r="H5366" s="25" t="str">
        <f>IF(J5366&lt;&gt;1,"",IF(I5366="SBJ","CB","?"))</f>
        <v> </v>
      </c>
      <c r="I5366" s="26" t="str">
        <f>IF(OR(E5366="",E5366="!!!",F5366="NEW"),"",INDEX(B5365:B$2,-1+SUMPRODUCT(MAX(ROW(E5365:E$2)*(E5366=E5365:E$2)))))</f>
        <v> </v>
      </c>
      <c r="J5366" s="26" t="str">
        <f>IF(OR(E5366="",E5366="!!!",F5366="NEW"),"",COUNTBLANK(OFFSET(A$1,,,SUMPRODUCT(MAX(ROW(E$2:E5366)*(E5366=E$2:E5366)))))-COUNTBLANK(OFFSET(A$1,,,SUMPRODUCT(MAX(ROW(E$1:E5365)*(E2=E$1:E5365))))))</f>
        <v> </v>
      </c>
      <c r="K5366" s="26" t="str">
        <f>IF(OR(E5366="",E5366="!!!",F5366="NEW"),"",INDEX(J$1:J5365,SUMPRODUCT(MAX(ROW(E$1:E5365)*(E5366=E$1:E5365)))))</f>
        <v> </v>
      </c>
      <c r="L5366" s="27"/>
    </row>
    <row r="5367" spans="1:12">
      <c r="A5367" s="20" t="s">
        <v>1074</v>
      </c>
      <c r="B5367" s="21" t="s">
        <v>1136</v>
      </c>
      <c r="C5367" s="21" t="s">
        <v>1076</v>
      </c>
      <c r="D5367" s="21" t="s">
        <v>1060</v>
      </c>
      <c r="E5367" s="22">
        <f>IF(D5367="?OLD","!!!","")</f>
        <v/>
      </c>
      <c r="F5367" s="23" t="str">
        <f>IF(OR(E5367="",E5367="!!!"),"",IF(NOT(ISNA(VLOOKUP(E5367,E$1:E5366,1,FALSE()))),"OLD",IF(AND(E5367&lt;&gt;"",E5367&lt;&gt;"!!!"),"NEW","")))</f>
        <v> </v>
      </c>
      <c r="G5367" s="24" t="str">
        <f>IF(OR(E5367="",E5367="!!!"),"",IF(OR(J5367=0,AND(J5367=1,K5367=1),AND(J5367=1,I5367="SBJ"),AND(J5367=1,I5367=0)),"?IN_FOCUS",IF(J5367&lt;=2,"?ACTIVATED",IF(J5367&lt;&gt;"","?FAMILIAR",IF(F5367="NEW",IF(ISNA(VLOOKUP(E5367,#REF!,1,FALSE())),"?TYPE_IDENTIFIABLE","?REFERENTIAL"),"_")))))</f>
        <v> </v>
      </c>
      <c r="H5367" s="25" t="str">
        <f>IF(J5367&lt;&gt;1,"",IF(I5367="SBJ","CB","?"))</f>
        <v> </v>
      </c>
      <c r="I5367" s="26" t="str">
        <f>IF(OR(E5367="",E5367="!!!",F5367="NEW"),"",INDEX(B5366:B$2,-1+SUMPRODUCT(MAX(ROW(E5366:E$2)*(E5367=E5366:E$2)))))</f>
        <v> </v>
      </c>
      <c r="J5367" s="26" t="str">
        <f>IF(OR(E5367="",E5367="!!!",F5367="NEW"),"",COUNTBLANK(OFFSET(A$1,,,SUMPRODUCT(MAX(ROW(E$2:E5367)*(E5367=E$2:E5367)))))-COUNTBLANK(OFFSET(A$1,,,SUMPRODUCT(MAX(ROW(E$1:E5366)*(E2=E$1:E5366))))))</f>
        <v> </v>
      </c>
      <c r="K5367" s="26" t="str">
        <f>IF(OR(E5367="",E5367="!!!",F5367="NEW"),"",INDEX(J$1:J5366,SUMPRODUCT(MAX(ROW(E$1:E5366)*(E5367=E$1:E5366)))))</f>
        <v> </v>
      </c>
      <c r="L5367" s="27"/>
    </row>
    <row r="5368" spans="1:12">
      <c r="A5368" s="20" t="s">
        <v>923</v>
      </c>
      <c r="E5368" s="22">
        <f>IF(D5368="?OLD","!!!","")</f>
        <v/>
      </c>
      <c r="F5368" s="23" t="str">
        <f>IF(OR(E5368="",E5368="!!!"),"",IF(NOT(ISNA(VLOOKUP(E5368,E$1:E5367,1,FALSE()))),"OLD",IF(AND(E5368&lt;&gt;"",E5368&lt;&gt;"!!!"),"NEW","")))</f>
        <v> </v>
      </c>
      <c r="G5368" s="24" t="str">
        <f>IF(OR(E5368="",E5368="!!!"),"",IF(OR(J5368=0,AND(J5368=1,K5368=1),AND(J5368=1,I5368="SBJ"),AND(J5368=1,I5368=0)),"?IN_FOCUS",IF(J5368&lt;=2,"?ACTIVATED",IF(J5368&lt;&gt;"","?FAMILIAR",IF(F5368="NEW",IF(ISNA(VLOOKUP(E5368,#REF!,1,FALSE())),"?TYPE_IDENTIFIABLE","?REFERENTIAL"),"_")))))</f>
        <v> </v>
      </c>
      <c r="H5368" s="25" t="str">
        <f>IF(J5368&lt;&gt;1,"",IF(I5368="SBJ","CB","?"))</f>
        <v> </v>
      </c>
      <c r="I5368" s="26" t="str">
        <f>IF(OR(E5368="",E5368="!!!",F5368="NEW"),"",INDEX(B5367:B$2,-1+SUMPRODUCT(MAX(ROW(E5367:E$2)*(E5368=E5367:E$2)))))</f>
        <v> </v>
      </c>
      <c r="J5368" s="26" t="str">
        <f>IF(OR(E5368="",E5368="!!!",F5368="NEW"),"",COUNTBLANK(OFFSET(A$1,,,SUMPRODUCT(MAX(ROW(E$2:E5368)*(E5368=E$2:E5368)))))-COUNTBLANK(OFFSET(A$1,,,SUMPRODUCT(MAX(ROW(E$1:E5367)*(E2=E$1:E5367))))))</f>
        <v> </v>
      </c>
      <c r="K5368" s="26" t="str">
        <f>IF(OR(E5368="",E5368="!!!",F5368="NEW"),"",INDEX(J$1:J5367,SUMPRODUCT(MAX(ROW(E$1:E5367)*(E5368=E$1:E5367)))))</f>
        <v> </v>
      </c>
      <c r="L5368" s="27"/>
    </row>
    <row r="5369" spans="1:12">
      <c r="A5369" s="20"/>
    </row>
    <row r="5370" spans="1:12">
      <c r="A5370" s="20" t="s">
        <v>2529</v>
      </c>
    </row>
    <row r="5371" spans="1:12">
      <c r="A5371" s="20" t="s">
        <v>1360</v>
      </c>
      <c r="E5371" s="22">
        <f>IF(D5371="?OLD","!!!","")</f>
        <v/>
      </c>
      <c r="F5371" s="23" t="str">
        <f>IF(OR(E5371="",E5371="!!!"),"",IF(NOT(ISNA(VLOOKUP(E5371,E$1:E5370,1,FALSE()))),"OLD",IF(AND(E5371&lt;&gt;"",E5371&lt;&gt;"!!!"),"NEW","")))</f>
        <v> </v>
      </c>
      <c r="G5371" s="24" t="str">
        <f>IF(OR(E5371="",E5371="!!!"),"",IF(OR(J5371=0,AND(J5371=1,K5371=1),AND(J5371=1,I5371="SBJ"),AND(J5371=1,I5371=0)),"?IN_FOCUS",IF(J5371&lt;=2,"?ACTIVATED",IF(J5371&lt;&gt;"","?FAMILIAR",IF(F5371="NEW",IF(ISNA(VLOOKUP(E5371,#REF!,1,FALSE())),"?TYPE_IDENTIFIABLE","?REFERENTIAL"),"_")))))</f>
        <v> </v>
      </c>
      <c r="H5371" s="25" t="str">
        <f>IF(J5371&lt;&gt;1,"",IF(I5371="SBJ","CB","?"))</f>
        <v> </v>
      </c>
      <c r="I5371" s="26" t="str">
        <f>IF(OR(E5371="",E5371="!!!",F5371="NEW"),"",INDEX(B5370:B$2,-1+SUMPRODUCT(MAX(ROW(E5370:E$2)*(E5371=E5370:E$2)))))</f>
        <v> </v>
      </c>
      <c r="J5371" s="26" t="str">
        <f>IF(OR(E5371="",E5371="!!!",F5371="NEW"),"",COUNTBLANK(OFFSET(A$1,,,SUMPRODUCT(MAX(ROW(E$2:E5371)*(E5371=E$2:E5371)))))-COUNTBLANK(OFFSET(A$1,,,SUMPRODUCT(MAX(ROW(E$1:E5370)*(E2=E$1:E5370))))))</f>
        <v> </v>
      </c>
      <c r="K5371" s="26" t="str">
        <f>IF(OR(E5371="",E5371="!!!",F5371="NEW"),"",INDEX(J$1:J5370,SUMPRODUCT(MAX(ROW(E$1:E5370)*(E5371=E$1:E5370)))))</f>
        <v> </v>
      </c>
      <c r="L5371" s="27"/>
    </row>
    <row r="5372" spans="1:12">
      <c r="A5372" s="20" t="s">
        <v>2530</v>
      </c>
      <c r="B5372" s="21" t="s">
        <v>1058</v>
      </c>
      <c r="C5372" s="21" t="s">
        <v>1159</v>
      </c>
      <c r="D5372" s="21" t="s">
        <v>1060</v>
      </c>
      <c r="E5372" s="22">
        <f>IF(D5372="?OLD","!!!","")</f>
        <v/>
      </c>
      <c r="F5372" s="23" t="str">
        <f>IF(OR(E5372="",E5372="!!!"),"",IF(NOT(ISNA(VLOOKUP(E5372,E$1:E5371,1,FALSE()))),"OLD",IF(AND(E5372&lt;&gt;"",E5372&lt;&gt;"!!!"),"NEW","")))</f>
        <v> </v>
      </c>
      <c r="G5372" s="24" t="str">
        <f>IF(OR(E5372="",E5372="!!!"),"",IF(OR(J5372=0,AND(J5372=1,K5372=1),AND(J5372=1,I5372="SBJ"),AND(J5372=1,I5372=0)),"?IN_FOCUS",IF(J5372&lt;=2,"?ACTIVATED",IF(J5372&lt;&gt;"","?FAMILIAR",IF(F5372="NEW",IF(ISNA(VLOOKUP(E5372,#REF!,1,FALSE())),"?TYPE_IDENTIFIABLE","?REFERENTIAL"),"_")))))</f>
        <v> </v>
      </c>
      <c r="H5372" s="25" t="str">
        <f>IF(J5372&lt;&gt;1,"",IF(I5372="SBJ","CB","?"))</f>
        <v> </v>
      </c>
      <c r="I5372" s="26" t="str">
        <f>IF(OR(E5372="",E5372="!!!",F5372="NEW"),"",INDEX(B5371:B$2,-1+SUMPRODUCT(MAX(ROW(E5371:E$2)*(E5372=E5371:E$2)))))</f>
        <v> </v>
      </c>
      <c r="J5372" s="26" t="str">
        <f>IF(OR(E5372="",E5372="!!!",F5372="NEW"),"",COUNTBLANK(OFFSET(A$1,,,SUMPRODUCT(MAX(ROW(E$2:E5372)*(E5372=E$2:E5372)))))-COUNTBLANK(OFFSET(A$1,,,SUMPRODUCT(MAX(ROW(E$1:E5371)*(E2=E$1:E5371))))))</f>
        <v> </v>
      </c>
      <c r="K5372" s="26" t="str">
        <f>IF(OR(E5372="",E5372="!!!",F5372="NEW"),"",INDEX(J$1:J5371,SUMPRODUCT(MAX(ROW(E$1:E5371)*(E5372=E$1:E5371)))))</f>
        <v> </v>
      </c>
      <c r="L5372" s="27"/>
    </row>
    <row r="5373" spans="1:12">
      <c r="A5373" s="20" t="s">
        <v>1160</v>
      </c>
      <c r="E5373" s="22">
        <f>IF(D5373="?OLD","!!!","")</f>
        <v/>
      </c>
      <c r="F5373" s="23" t="str">
        <f>IF(OR(E5373="",E5373="!!!"),"",IF(NOT(ISNA(VLOOKUP(E5373,E$1:E5372,1,FALSE()))),"OLD",IF(AND(E5373&lt;&gt;"",E5373&lt;&gt;"!!!"),"NEW","")))</f>
        <v> </v>
      </c>
      <c r="G5373" s="24" t="str">
        <f>IF(OR(E5373="",E5373="!!!"),"",IF(OR(J5373=0,AND(J5373=1,K5373=1),AND(J5373=1,I5373="SBJ"),AND(J5373=1,I5373=0)),"?IN_FOCUS",IF(J5373&lt;=2,"?ACTIVATED",IF(J5373&lt;&gt;"","?FAMILIAR",IF(F5373="NEW",IF(ISNA(VLOOKUP(E5373,#REF!,1,FALSE())),"?TYPE_IDENTIFIABLE","?REFERENTIAL"),"_")))))</f>
        <v> </v>
      </c>
      <c r="H5373" s="25" t="str">
        <f>IF(J5373&lt;&gt;1,"",IF(I5373="SBJ","CB","?"))</f>
        <v> </v>
      </c>
      <c r="I5373" s="26" t="str">
        <f>IF(OR(E5373="",E5373="!!!",F5373="NEW"),"",INDEX(B5372:B$2,-1+SUMPRODUCT(MAX(ROW(E5372:E$2)*(E5373=E5372:E$2)))))</f>
        <v> </v>
      </c>
      <c r="J5373" s="26" t="str">
        <f>IF(OR(E5373="",E5373="!!!",F5373="NEW"),"",COUNTBLANK(OFFSET(A$1,,,SUMPRODUCT(MAX(ROW(E$2:E5373)*(E5373=E$2:E5373)))))-COUNTBLANK(OFFSET(A$1,,,SUMPRODUCT(MAX(ROW(E$1:E5372)*(E2=E$1:E5372))))))</f>
        <v> </v>
      </c>
      <c r="K5373" s="26" t="str">
        <f>IF(OR(E5373="",E5373="!!!",F5373="NEW"),"",INDEX(J$1:J5372,SUMPRODUCT(MAX(ROW(E$1:E5372)*(E5373=E$1:E5372)))))</f>
        <v> </v>
      </c>
      <c r="L5373" s="27"/>
    </row>
    <row r="5374" spans="1:12">
      <c r="A5374" s="20" t="s">
        <v>1101</v>
      </c>
      <c r="E5374" s="22">
        <f>IF(D5374="?OLD","!!!","")</f>
        <v/>
      </c>
      <c r="F5374" s="23" t="str">
        <f>IF(OR(E5374="",E5374="!!!"),"",IF(NOT(ISNA(VLOOKUP(E5374,E$1:E5373,1,FALSE()))),"OLD",IF(AND(E5374&lt;&gt;"",E5374&lt;&gt;"!!!"),"NEW","")))</f>
        <v> </v>
      </c>
      <c r="G5374" s="24" t="str">
        <f>IF(OR(E5374="",E5374="!!!"),"",IF(OR(J5374=0,AND(J5374=1,K5374=1),AND(J5374=1,I5374="SBJ"),AND(J5374=1,I5374=0)),"?IN_FOCUS",IF(J5374&lt;=2,"?ACTIVATED",IF(J5374&lt;&gt;"","?FAMILIAR",IF(F5374="NEW",IF(ISNA(VLOOKUP(E5374,#REF!,1,FALSE())),"?TYPE_IDENTIFIABLE","?REFERENTIAL"),"_")))))</f>
        <v> </v>
      </c>
      <c r="H5374" s="25" t="str">
        <f>IF(J5374&lt;&gt;1,"",IF(I5374="SBJ","CB","?"))</f>
        <v> </v>
      </c>
      <c r="I5374" s="26" t="str">
        <f>IF(OR(E5374="",E5374="!!!",F5374="NEW"),"",INDEX(B5373:B$2,-1+SUMPRODUCT(MAX(ROW(E5373:E$2)*(E5374=E5373:E$2)))))</f>
        <v> </v>
      </c>
      <c r="J5374" s="26" t="str">
        <f>IF(OR(E5374="",E5374="!!!",F5374="NEW"),"",COUNTBLANK(OFFSET(A$1,,,SUMPRODUCT(MAX(ROW(E$2:E5374)*(E5374=E$2:E5374)))))-COUNTBLANK(OFFSET(A$1,,,SUMPRODUCT(MAX(ROW(E$1:E5373)*(E2=E$1:E5373))))))</f>
        <v> </v>
      </c>
      <c r="K5374" s="26" t="str">
        <f>IF(OR(E5374="",E5374="!!!",F5374="NEW"),"",INDEX(J$1:J5373,SUMPRODUCT(MAX(ROW(E$1:E5373)*(E5374=E$1:E5373)))))</f>
        <v> </v>
      </c>
      <c r="L5374" s="27"/>
    </row>
    <row r="5375" spans="1:12">
      <c r="A5375" s="20" t="s">
        <v>2263</v>
      </c>
      <c r="B5375" s="21" t="s">
        <v>1068</v>
      </c>
      <c r="C5375" s="21" t="s">
        <v>1140</v>
      </c>
      <c r="D5375" s="21" t="s">
        <v>1060</v>
      </c>
      <c r="E5375" s="22">
        <f>IF(D5375="?OLD","!!!","")</f>
        <v/>
      </c>
      <c r="F5375" s="23" t="str">
        <f>IF(OR(E5375="",E5375="!!!"),"",IF(NOT(ISNA(VLOOKUP(E5375,E$1:E5374,1,FALSE()))),"OLD",IF(AND(E5375&lt;&gt;"",E5375&lt;&gt;"!!!"),"NEW","")))</f>
        <v> </v>
      </c>
      <c r="G5375" s="24" t="str">
        <f>IF(OR(E5375="",E5375="!!!"),"",IF(OR(J5375=0,AND(J5375=1,K5375=1),AND(J5375=1,I5375="SBJ"),AND(J5375=1,I5375=0)),"?IN_FOCUS",IF(J5375&lt;=2,"?ACTIVATED",IF(J5375&lt;&gt;"","?FAMILIAR",IF(F5375="NEW",IF(ISNA(VLOOKUP(E5375,#REF!,1,FALSE())),"?TYPE_IDENTIFIABLE","?REFERENTIAL"),"_")))))</f>
        <v> </v>
      </c>
      <c r="H5375" s="25" t="str">
        <f>IF(J5375&lt;&gt;1,"",IF(I5375="SBJ","CB","?"))</f>
        <v> </v>
      </c>
      <c r="I5375" s="26" t="str">
        <f>IF(OR(E5375="",E5375="!!!",F5375="NEW"),"",INDEX(B5374:B$2,-1+SUMPRODUCT(MAX(ROW(E5374:E$2)*(E5375=E5374:E$2)))))</f>
        <v> </v>
      </c>
      <c r="J5375" s="26" t="str">
        <f>IF(OR(E5375="",E5375="!!!",F5375="NEW"),"",COUNTBLANK(OFFSET(A$1,,,SUMPRODUCT(MAX(ROW(E$2:E5375)*(E5375=E$2:E5375)))))-COUNTBLANK(OFFSET(A$1,,,SUMPRODUCT(MAX(ROW(E$1:E5374)*(E2=E$1:E5374))))))</f>
        <v> </v>
      </c>
      <c r="K5375" s="26" t="str">
        <f>IF(OR(E5375="",E5375="!!!",F5375="NEW"),"",INDEX(J$1:J5374,SUMPRODUCT(MAX(ROW(E$1:E5374)*(E5375=E$1:E5374)))))</f>
        <v> </v>
      </c>
      <c r="L5375" s="27"/>
    </row>
    <row r="5376" spans="1:12">
      <c r="A5376" s="20" t="s">
        <v>1340</v>
      </c>
      <c r="E5376" s="22">
        <f>IF(D5376="?OLD","!!!","")</f>
        <v/>
      </c>
      <c r="F5376" s="23" t="str">
        <f>IF(OR(E5376="",E5376="!!!"),"",IF(NOT(ISNA(VLOOKUP(E5376,E$1:E5375,1,FALSE()))),"OLD",IF(AND(E5376&lt;&gt;"",E5376&lt;&gt;"!!!"),"NEW","")))</f>
        <v> </v>
      </c>
      <c r="G5376" s="24" t="str">
        <f>IF(OR(E5376="",E5376="!!!"),"",IF(OR(J5376=0,AND(J5376=1,K5376=1),AND(J5376=1,I5376="SBJ"),AND(J5376=1,I5376=0)),"?IN_FOCUS",IF(J5376&lt;=2,"?ACTIVATED",IF(J5376&lt;&gt;"","?FAMILIAR",IF(F5376="NEW",IF(ISNA(VLOOKUP(E5376,#REF!,1,FALSE())),"?TYPE_IDENTIFIABLE","?REFERENTIAL"),"_")))))</f>
        <v> </v>
      </c>
      <c r="H5376" s="25" t="str">
        <f>IF(J5376&lt;&gt;1,"",IF(I5376="SBJ","CB","?"))</f>
        <v> </v>
      </c>
      <c r="I5376" s="26" t="str">
        <f>IF(OR(E5376="",E5376="!!!",F5376="NEW"),"",INDEX(B5375:B$2,-1+SUMPRODUCT(MAX(ROW(E5375:E$2)*(E5376=E5375:E$2)))))</f>
        <v> </v>
      </c>
      <c r="J5376" s="26" t="str">
        <f>IF(OR(E5376="",E5376="!!!",F5376="NEW"),"",COUNTBLANK(OFFSET(A$1,,,SUMPRODUCT(MAX(ROW(E$2:E5376)*(E5376=E$2:E5376)))))-COUNTBLANK(OFFSET(A$1,,,SUMPRODUCT(MAX(ROW(E$1:E5375)*(E2=E$1:E5375))))))</f>
        <v> </v>
      </c>
      <c r="K5376" s="26" t="str">
        <f>IF(OR(E5376="",E5376="!!!",F5376="NEW"),"",INDEX(J$1:J5375,SUMPRODUCT(MAX(ROW(E$1:E5375)*(E5376=E$1:E5375)))))</f>
        <v> </v>
      </c>
      <c r="L5376" s="27"/>
    </row>
    <row r="5377" spans="1:12">
      <c r="A5377" s="20" t="s">
        <v>1109</v>
      </c>
      <c r="E5377" s="22">
        <f>IF(D5377="?OLD","!!!","")</f>
        <v/>
      </c>
      <c r="F5377" s="23" t="str">
        <f>IF(OR(E5377="",E5377="!!!"),"",IF(NOT(ISNA(VLOOKUP(E5377,E$1:E5376,1,FALSE()))),"OLD",IF(AND(E5377&lt;&gt;"",E5377&lt;&gt;"!!!"),"NEW","")))</f>
        <v> </v>
      </c>
      <c r="G5377" s="24" t="str">
        <f>IF(OR(E5377="",E5377="!!!"),"",IF(OR(J5377=0,AND(J5377=1,K5377=1),AND(J5377=1,I5377="SBJ"),AND(J5377=1,I5377=0)),"?IN_FOCUS",IF(J5377&lt;=2,"?ACTIVATED",IF(J5377&lt;&gt;"","?FAMILIAR",IF(F5377="NEW",IF(ISNA(VLOOKUP(E5377,#REF!,1,FALSE())),"?TYPE_IDENTIFIABLE","?REFERENTIAL"),"_")))))</f>
        <v> </v>
      </c>
      <c r="H5377" s="25" t="str">
        <f>IF(J5377&lt;&gt;1,"",IF(I5377="SBJ","CB","?"))</f>
        <v> </v>
      </c>
      <c r="I5377" s="26" t="str">
        <f>IF(OR(E5377="",E5377="!!!",F5377="NEW"),"",INDEX(B5376:B$2,-1+SUMPRODUCT(MAX(ROW(E5376:E$2)*(E5377=E5376:E$2)))))</f>
        <v> </v>
      </c>
      <c r="J5377" s="26" t="str">
        <f>IF(OR(E5377="",E5377="!!!",F5377="NEW"),"",COUNTBLANK(OFFSET(A$1,,,SUMPRODUCT(MAX(ROW(E$2:E5377)*(E5377=E$2:E5377)))))-COUNTBLANK(OFFSET(A$1,,,SUMPRODUCT(MAX(ROW(E$1:E5376)*(E2=E$1:E5376))))))</f>
        <v> </v>
      </c>
      <c r="K5377" s="26" t="str">
        <f>IF(OR(E5377="",E5377="!!!",F5377="NEW"),"",INDEX(J$1:J5376,SUMPRODUCT(MAX(ROW(E$1:E5376)*(E5377=E$1:E5376)))))</f>
        <v> </v>
      </c>
      <c r="L5377" s="27"/>
    </row>
    <row r="5378" spans="1:12">
      <c r="A5378" s="20" t="s">
        <v>1110</v>
      </c>
      <c r="E5378" s="22">
        <f>IF(D5378="?OLD","!!!","")</f>
        <v/>
      </c>
      <c r="F5378" s="23" t="str">
        <f>IF(OR(E5378="",E5378="!!!"),"",IF(NOT(ISNA(VLOOKUP(E5378,E$1:E5377,1,FALSE()))),"OLD",IF(AND(E5378&lt;&gt;"",E5378&lt;&gt;"!!!"),"NEW","")))</f>
        <v> </v>
      </c>
      <c r="G5378" s="24" t="str">
        <f>IF(OR(E5378="",E5378="!!!"),"",IF(OR(J5378=0,AND(J5378=1,K5378=1),AND(J5378=1,I5378="SBJ"),AND(J5378=1,I5378=0)),"?IN_FOCUS",IF(J5378&lt;=2,"?ACTIVATED",IF(J5378&lt;&gt;"","?FAMILIAR",IF(F5378="NEW",IF(ISNA(VLOOKUP(E5378,#REF!,1,FALSE())),"?TYPE_IDENTIFIABLE","?REFERENTIAL"),"_")))))</f>
        <v> </v>
      </c>
      <c r="H5378" s="25" t="str">
        <f>IF(J5378&lt;&gt;1,"",IF(I5378="SBJ","CB","?"))</f>
        <v> </v>
      </c>
      <c r="I5378" s="26" t="str">
        <f>IF(OR(E5378="",E5378="!!!",F5378="NEW"),"",INDEX(B5377:B$2,-1+SUMPRODUCT(MAX(ROW(E5377:E$2)*(E5378=E5377:E$2)))))</f>
        <v> </v>
      </c>
      <c r="J5378" s="26" t="str">
        <f>IF(OR(E5378="",E5378="!!!",F5378="NEW"),"",COUNTBLANK(OFFSET(A$1,,,SUMPRODUCT(MAX(ROW(E$2:E5378)*(E5378=E$2:E5378)))))-COUNTBLANK(OFFSET(A$1,,,SUMPRODUCT(MAX(ROW(E$1:E5377)*(E2=E$1:E5377))))))</f>
        <v> </v>
      </c>
      <c r="K5378" s="26" t="str">
        <f>IF(OR(E5378="",E5378="!!!",F5378="NEW"),"",INDEX(J$1:J5377,SUMPRODUCT(MAX(ROW(E$1:E5377)*(E5378=E$1:E5377)))))</f>
        <v> </v>
      </c>
      <c r="L5378" s="27"/>
    </row>
    <row r="5379" spans="1:12">
      <c r="A5379" s="20" t="s">
        <v>1101</v>
      </c>
      <c r="E5379" s="22">
        <f>IF(D5379="?OLD","!!!","")</f>
        <v/>
      </c>
      <c r="F5379" s="23" t="str">
        <f>IF(OR(E5379="",E5379="!!!"),"",IF(NOT(ISNA(VLOOKUP(E5379,E$1:E5378,1,FALSE()))),"OLD",IF(AND(E5379&lt;&gt;"",E5379&lt;&gt;"!!!"),"NEW","")))</f>
        <v> </v>
      </c>
      <c r="G5379" s="24" t="str">
        <f>IF(OR(E5379="",E5379="!!!"),"",IF(OR(J5379=0,AND(J5379=1,K5379=1),AND(J5379=1,I5379="SBJ"),AND(J5379=1,I5379=0)),"?IN_FOCUS",IF(J5379&lt;=2,"?ACTIVATED",IF(J5379&lt;&gt;"","?FAMILIAR",IF(F5379="NEW",IF(ISNA(VLOOKUP(E5379,#REF!,1,FALSE())),"?TYPE_IDENTIFIABLE","?REFERENTIAL"),"_")))))</f>
        <v> </v>
      </c>
      <c r="H5379" s="25" t="str">
        <f>IF(J5379&lt;&gt;1,"",IF(I5379="SBJ","CB","?"))</f>
        <v> </v>
      </c>
      <c r="I5379" s="26" t="str">
        <f>IF(OR(E5379="",E5379="!!!",F5379="NEW"),"",INDEX(B5378:B$2,-1+SUMPRODUCT(MAX(ROW(E5378:E$2)*(E5379=E5378:E$2)))))</f>
        <v> </v>
      </c>
      <c r="J5379" s="26" t="str">
        <f>IF(OR(E5379="",E5379="!!!",F5379="NEW"),"",COUNTBLANK(OFFSET(A$1,,,SUMPRODUCT(MAX(ROW(E$2:E5379)*(E5379=E$2:E5379)))))-COUNTBLANK(OFFSET(A$1,,,SUMPRODUCT(MAX(ROW(E$1:E5378)*(E2=E$1:E5378))))))</f>
        <v> </v>
      </c>
      <c r="K5379" s="26" t="str">
        <f>IF(OR(E5379="",E5379="!!!",F5379="NEW"),"",INDEX(J$1:J5378,SUMPRODUCT(MAX(ROW(E$1:E5378)*(E5379=E$1:E5378)))))</f>
        <v> </v>
      </c>
      <c r="L5379" s="27"/>
    </row>
    <row r="5380" spans="1:12">
      <c r="A5380" s="20" t="s">
        <v>2531</v>
      </c>
      <c r="E5380" s="22">
        <f>IF(D5380="?OLD","!!!","")</f>
        <v/>
      </c>
      <c r="F5380" s="23" t="str">
        <f>IF(OR(E5380="",E5380="!!!"),"",IF(NOT(ISNA(VLOOKUP(E5380,E$1:E5379,1,FALSE()))),"OLD",IF(AND(E5380&lt;&gt;"",E5380&lt;&gt;"!!!"),"NEW","")))</f>
        <v> </v>
      </c>
      <c r="G5380" s="24" t="str">
        <f>IF(OR(E5380="",E5380="!!!"),"",IF(OR(J5380=0,AND(J5380=1,K5380=1),AND(J5380=1,I5380="SBJ"),AND(J5380=1,I5380=0)),"?IN_FOCUS",IF(J5380&lt;=2,"?ACTIVATED",IF(J5380&lt;&gt;"","?FAMILIAR",IF(F5380="NEW",IF(ISNA(VLOOKUP(E5380,#REF!,1,FALSE())),"?TYPE_IDENTIFIABLE","?REFERENTIAL"),"_")))))</f>
        <v> </v>
      </c>
      <c r="H5380" s="25" t="str">
        <f>IF(J5380&lt;&gt;1,"",IF(I5380="SBJ","CB","?"))</f>
        <v> </v>
      </c>
      <c r="I5380" s="26" t="str">
        <f>IF(OR(E5380="",E5380="!!!",F5380="NEW"),"",INDEX(B5379:B$2,-1+SUMPRODUCT(MAX(ROW(E5379:E$2)*(E5380=E5379:E$2)))))</f>
        <v> </v>
      </c>
      <c r="J5380" s="26" t="str">
        <f>IF(OR(E5380="",E5380="!!!",F5380="NEW"),"",COUNTBLANK(OFFSET(A$1,,,SUMPRODUCT(MAX(ROW(E$2:E5380)*(E5380=E$2:E5380)))))-COUNTBLANK(OFFSET(A$1,,,SUMPRODUCT(MAX(ROW(E$1:E5379)*(E2=E$1:E5379))))))</f>
        <v> </v>
      </c>
      <c r="K5380" s="26" t="str">
        <f>IF(OR(E5380="",E5380="!!!",F5380="NEW"),"",INDEX(J$1:J5379,SUMPRODUCT(MAX(ROW(E$1:E5379)*(E5380=E$1:E5379)))))</f>
        <v> </v>
      </c>
      <c r="L5380" s="27"/>
    </row>
    <row r="5381" spans="1:12">
      <c r="A5381" s="20" t="s">
        <v>2532</v>
      </c>
      <c r="B5381" s="21" t="s">
        <v>1097</v>
      </c>
      <c r="C5381" s="21" t="s">
        <v>1140</v>
      </c>
      <c r="D5381" s="21" t="s">
        <v>1060</v>
      </c>
      <c r="E5381" s="22">
        <f>IF(D5381="?OLD","!!!","")</f>
        <v/>
      </c>
      <c r="F5381" s="23" t="str">
        <f>IF(OR(E5381="",E5381="!!!"),"",IF(NOT(ISNA(VLOOKUP(E5381,E$1:E5380,1,FALSE()))),"OLD",IF(AND(E5381&lt;&gt;"",E5381&lt;&gt;"!!!"),"NEW","")))</f>
        <v> </v>
      </c>
      <c r="G5381" s="24" t="str">
        <f>IF(OR(E5381="",E5381="!!!"),"",IF(OR(J5381=0,AND(J5381=1,K5381=1),AND(J5381=1,I5381="SBJ"),AND(J5381=1,I5381=0)),"?IN_FOCUS",IF(J5381&lt;=2,"?ACTIVATED",IF(J5381&lt;&gt;"","?FAMILIAR",IF(F5381="NEW",IF(ISNA(VLOOKUP(E5381,#REF!,1,FALSE())),"?TYPE_IDENTIFIABLE","?REFERENTIAL"),"_")))))</f>
        <v> </v>
      </c>
      <c r="H5381" s="25" t="str">
        <f>IF(J5381&lt;&gt;1,"",IF(I5381="SBJ","CB","?"))</f>
        <v> </v>
      </c>
      <c r="I5381" s="26" t="str">
        <f>IF(OR(E5381="",E5381="!!!",F5381="NEW"),"",INDEX(B5380:B$2,-1+SUMPRODUCT(MAX(ROW(E5380:E$2)*(E5381=E5380:E$2)))))</f>
        <v> </v>
      </c>
      <c r="J5381" s="26" t="str">
        <f>IF(OR(E5381="",E5381="!!!",F5381="NEW"),"",COUNTBLANK(OFFSET(A$1,,,SUMPRODUCT(MAX(ROW(E$2:E5381)*(E5381=E$2:E5381)))))-COUNTBLANK(OFFSET(A$1,,,SUMPRODUCT(MAX(ROW(E$1:E5380)*(E2=E$1:E5380))))))</f>
        <v> </v>
      </c>
      <c r="K5381" s="26" t="str">
        <f>IF(OR(E5381="",E5381="!!!",F5381="NEW"),"",INDEX(J$1:J5380,SUMPRODUCT(MAX(ROW(E$1:E5380)*(E5381=E$1:E5380)))))</f>
        <v> </v>
      </c>
      <c r="L5381" s="27"/>
    </row>
    <row r="5382" spans="1:12">
      <c r="A5382" s="20" t="s">
        <v>1194</v>
      </c>
      <c r="E5382" s="22">
        <f>IF(D5382="?OLD","!!!","")</f>
        <v/>
      </c>
      <c r="F5382" s="23" t="str">
        <f>IF(OR(E5382="",E5382="!!!"),"",IF(NOT(ISNA(VLOOKUP(E5382,E$1:E5381,1,FALSE()))),"OLD",IF(AND(E5382&lt;&gt;"",E5382&lt;&gt;"!!!"),"NEW","")))</f>
        <v> </v>
      </c>
      <c r="G5382" s="24" t="str">
        <f>IF(OR(E5382="",E5382="!!!"),"",IF(OR(J5382=0,AND(J5382=1,K5382=1),AND(J5382=1,I5382="SBJ"),AND(J5382=1,I5382=0)),"?IN_FOCUS",IF(J5382&lt;=2,"?ACTIVATED",IF(J5382&lt;&gt;"","?FAMILIAR",IF(F5382="NEW",IF(ISNA(VLOOKUP(E5382,#REF!,1,FALSE())),"?TYPE_IDENTIFIABLE","?REFERENTIAL"),"_")))))</f>
        <v> </v>
      </c>
      <c r="H5382" s="25" t="str">
        <f>IF(J5382&lt;&gt;1,"",IF(I5382="SBJ","CB","?"))</f>
        <v> </v>
      </c>
      <c r="I5382" s="26" t="str">
        <f>IF(OR(E5382="",E5382="!!!",F5382="NEW"),"",INDEX(B5381:B$2,-1+SUMPRODUCT(MAX(ROW(E5381:E$2)*(E5382=E5381:E$2)))))</f>
        <v> </v>
      </c>
      <c r="J5382" s="26" t="str">
        <f>IF(OR(E5382="",E5382="!!!",F5382="NEW"),"",COUNTBLANK(OFFSET(A$1,,,SUMPRODUCT(MAX(ROW(E$2:E5382)*(E5382=E$2:E5382)))))-COUNTBLANK(OFFSET(A$1,,,SUMPRODUCT(MAX(ROW(E$1:E5381)*(E2=E$1:E5381))))))</f>
        <v> </v>
      </c>
      <c r="K5382" s="26" t="str">
        <f>IF(OR(E5382="",E5382="!!!",F5382="NEW"),"",INDEX(J$1:J5381,SUMPRODUCT(MAX(ROW(E$1:E5381)*(E5382=E$1:E5381)))))</f>
        <v> </v>
      </c>
      <c r="L5382" s="27"/>
    </row>
    <row r="5383" spans="1:12">
      <c r="A5383" s="20" t="s">
        <v>1115</v>
      </c>
      <c r="E5383" s="22">
        <f>IF(D5383="?OLD","!!!","")</f>
        <v/>
      </c>
      <c r="F5383" s="23" t="str">
        <f>IF(OR(E5383="",E5383="!!!"),"",IF(NOT(ISNA(VLOOKUP(E5383,E$1:E5382,1,FALSE()))),"OLD",IF(AND(E5383&lt;&gt;"",E5383&lt;&gt;"!!!"),"NEW","")))</f>
        <v> </v>
      </c>
      <c r="G5383" s="24" t="str">
        <f>IF(OR(E5383="",E5383="!!!"),"",IF(OR(J5383=0,AND(J5383=1,K5383=1),AND(J5383=1,I5383="SBJ"),AND(J5383=1,I5383=0)),"?IN_FOCUS",IF(J5383&lt;=2,"?ACTIVATED",IF(J5383&lt;&gt;"","?FAMILIAR",IF(F5383="NEW",IF(ISNA(VLOOKUP(E5383,#REF!,1,FALSE())),"?TYPE_IDENTIFIABLE","?REFERENTIAL"),"_")))))</f>
        <v> </v>
      </c>
      <c r="H5383" s="25" t="str">
        <f>IF(J5383&lt;&gt;1,"",IF(I5383="SBJ","CB","?"))</f>
        <v> </v>
      </c>
      <c r="I5383" s="26" t="str">
        <f>IF(OR(E5383="",E5383="!!!",F5383="NEW"),"",INDEX(B5382:B$2,-1+SUMPRODUCT(MAX(ROW(E5382:E$2)*(E5383=E5382:E$2)))))</f>
        <v> </v>
      </c>
      <c r="J5383" s="26" t="str">
        <f>IF(OR(E5383="",E5383="!!!",F5383="NEW"),"",COUNTBLANK(OFFSET(A$1,,,SUMPRODUCT(MAX(ROW(E$2:E5383)*(E5383=E$2:E5383)))))-COUNTBLANK(OFFSET(A$1,,,SUMPRODUCT(MAX(ROW(E$1:E5382)*(E2=E$1:E5382))))))</f>
        <v> </v>
      </c>
      <c r="K5383" s="26" t="str">
        <f>IF(OR(E5383="",E5383="!!!",F5383="NEW"),"",INDEX(J$1:J5382,SUMPRODUCT(MAX(ROW(E$1:E5382)*(E5383=E$1:E5382)))))</f>
        <v> </v>
      </c>
      <c r="L5383" s="27"/>
    </row>
    <row r="5384" spans="1:12">
      <c r="A5384" s="20" t="s">
        <v>1101</v>
      </c>
      <c r="E5384" s="22">
        <f>IF(D5384="?OLD","!!!","")</f>
        <v/>
      </c>
      <c r="F5384" s="23" t="str">
        <f>IF(OR(E5384="",E5384="!!!"),"",IF(NOT(ISNA(VLOOKUP(E5384,E$1:E5383,1,FALSE()))),"OLD",IF(AND(E5384&lt;&gt;"",E5384&lt;&gt;"!!!"),"NEW","")))</f>
        <v> </v>
      </c>
      <c r="G5384" s="24" t="str">
        <f>IF(OR(E5384="",E5384="!!!"),"",IF(OR(J5384=0,AND(J5384=1,K5384=1),AND(J5384=1,I5384="SBJ"),AND(J5384=1,I5384=0)),"?IN_FOCUS",IF(J5384&lt;=2,"?ACTIVATED",IF(J5384&lt;&gt;"","?FAMILIAR",IF(F5384="NEW",IF(ISNA(VLOOKUP(E5384,#REF!,1,FALSE())),"?TYPE_IDENTIFIABLE","?REFERENTIAL"),"_")))))</f>
        <v> </v>
      </c>
      <c r="H5384" s="25" t="str">
        <f>IF(J5384&lt;&gt;1,"",IF(I5384="SBJ","CB","?"))</f>
        <v> </v>
      </c>
      <c r="I5384" s="26" t="str">
        <f>IF(OR(E5384="",E5384="!!!",F5384="NEW"),"",INDEX(B5383:B$2,-1+SUMPRODUCT(MAX(ROW(E5383:E$2)*(E5384=E5383:E$2)))))</f>
        <v> </v>
      </c>
      <c r="J5384" s="26" t="str">
        <f>IF(OR(E5384="",E5384="!!!",F5384="NEW"),"",COUNTBLANK(OFFSET(A$1,,,SUMPRODUCT(MAX(ROW(E$2:E5384)*(E5384=E$2:E5384)))))-COUNTBLANK(OFFSET(A$1,,,SUMPRODUCT(MAX(ROW(E$1:E5383)*(E2=E$1:E5383))))))</f>
        <v> </v>
      </c>
      <c r="K5384" s="26" t="str">
        <f>IF(OR(E5384="",E5384="!!!",F5384="NEW"),"",INDEX(J$1:J5383,SUMPRODUCT(MAX(ROW(E$1:E5383)*(E5384=E$1:E5383)))))</f>
        <v> </v>
      </c>
      <c r="L5384" s="27"/>
    </row>
    <row r="5385" spans="1:12">
      <c r="A5385" s="20" t="s">
        <v>1837</v>
      </c>
      <c r="B5385" s="21" t="s">
        <v>1079</v>
      </c>
      <c r="C5385" s="21" t="s">
        <v>1140</v>
      </c>
      <c r="D5385" s="21" t="s">
        <v>1060</v>
      </c>
      <c r="E5385" s="22">
        <f>IF(D5385="?OLD","!!!","")</f>
        <v/>
      </c>
      <c r="F5385" s="23" t="str">
        <f>IF(OR(E5385="",E5385="!!!"),"",IF(NOT(ISNA(VLOOKUP(E5385,E$1:E5384,1,FALSE()))),"OLD",IF(AND(E5385&lt;&gt;"",E5385&lt;&gt;"!!!"),"NEW","")))</f>
        <v> </v>
      </c>
      <c r="G5385" s="24" t="str">
        <f>IF(OR(E5385="",E5385="!!!"),"",IF(OR(J5385=0,AND(J5385=1,K5385=1),AND(J5385=1,I5385="SBJ"),AND(J5385=1,I5385=0)),"?IN_FOCUS",IF(J5385&lt;=2,"?ACTIVATED",IF(J5385&lt;&gt;"","?FAMILIAR",IF(F5385="NEW",IF(ISNA(VLOOKUP(E5385,#REF!,1,FALSE())),"?TYPE_IDENTIFIABLE","?REFERENTIAL"),"_")))))</f>
        <v> </v>
      </c>
      <c r="H5385" s="25" t="str">
        <f>IF(J5385&lt;&gt;1,"",IF(I5385="SBJ","CB","?"))</f>
        <v> </v>
      </c>
      <c r="I5385" s="26" t="str">
        <f>IF(OR(E5385="",E5385="!!!",F5385="NEW"),"",INDEX(B5384:B$2,-1+SUMPRODUCT(MAX(ROW(E5384:E$2)*(E5385=E5384:E$2)))))</f>
        <v> </v>
      </c>
      <c r="J5385" s="26" t="str">
        <f>IF(OR(E5385="",E5385="!!!",F5385="NEW"),"",COUNTBLANK(OFFSET(A$1,,,SUMPRODUCT(MAX(ROW(E$2:E5385)*(E5385=E$2:E5385)))))-COUNTBLANK(OFFSET(A$1,,,SUMPRODUCT(MAX(ROW(E$1:E5384)*(E2=E$1:E5384))))))</f>
        <v> </v>
      </c>
      <c r="K5385" s="26" t="str">
        <f>IF(OR(E5385="",E5385="!!!",F5385="NEW"),"",INDEX(J$1:J5384,SUMPRODUCT(MAX(ROW(E$1:E5384)*(E5385=E$1:E5384)))))</f>
        <v> </v>
      </c>
      <c r="L5385" s="27"/>
    </row>
    <row r="5386" spans="1:12">
      <c r="A5386" s="20" t="s">
        <v>1085</v>
      </c>
      <c r="E5386" s="22">
        <f>IF(D5386="?OLD","!!!","")</f>
        <v/>
      </c>
      <c r="F5386" s="23" t="str">
        <f>IF(OR(E5386="",E5386="!!!"),"",IF(NOT(ISNA(VLOOKUP(E5386,E$1:E5385,1,FALSE()))),"OLD",IF(AND(E5386&lt;&gt;"",E5386&lt;&gt;"!!!"),"NEW","")))</f>
        <v> </v>
      </c>
      <c r="G5386" s="24" t="str">
        <f>IF(OR(E5386="",E5386="!!!"),"",IF(OR(J5386=0,AND(J5386=1,K5386=1),AND(J5386=1,I5386="SBJ"),AND(J5386=1,I5386=0)),"?IN_FOCUS",IF(J5386&lt;=2,"?ACTIVATED",IF(J5386&lt;&gt;"","?FAMILIAR",IF(F5386="NEW",IF(ISNA(VLOOKUP(E5386,#REF!,1,FALSE())),"?TYPE_IDENTIFIABLE","?REFERENTIAL"),"_")))))</f>
        <v> </v>
      </c>
      <c r="H5386" s="25" t="str">
        <f>IF(J5386&lt;&gt;1,"",IF(I5386="SBJ","CB","?"))</f>
        <v> </v>
      </c>
      <c r="I5386" s="26" t="str">
        <f>IF(OR(E5386="",E5386="!!!",F5386="NEW"),"",INDEX(B5385:B$2,-1+SUMPRODUCT(MAX(ROW(E5385:E$2)*(E5386=E5385:E$2)))))</f>
        <v> </v>
      </c>
      <c r="J5386" s="26" t="str">
        <f>IF(OR(E5386="",E5386="!!!",F5386="NEW"),"",COUNTBLANK(OFFSET(A$1,,,SUMPRODUCT(MAX(ROW(E$2:E5386)*(E5386=E$2:E5386)))))-COUNTBLANK(OFFSET(A$1,,,SUMPRODUCT(MAX(ROW(E$1:E5385)*(E2=E$1:E5385))))))</f>
        <v> </v>
      </c>
      <c r="K5386" s="26" t="str">
        <f>IF(OR(E5386="",E5386="!!!",F5386="NEW"),"",INDEX(J$1:J5385,SUMPRODUCT(MAX(ROW(E$1:E5385)*(E5386=E$1:E5385)))))</f>
        <v> </v>
      </c>
      <c r="L5386" s="27"/>
    </row>
    <row r="5387" spans="1:12">
      <c r="A5387" s="20" t="s">
        <v>2533</v>
      </c>
      <c r="E5387" s="22">
        <f>IF(D5387="?OLD","!!!","")</f>
        <v/>
      </c>
      <c r="F5387" s="23" t="str">
        <f>IF(OR(E5387="",E5387="!!!"),"",IF(NOT(ISNA(VLOOKUP(E5387,E$1:E5386,1,FALSE()))),"OLD",IF(AND(E5387&lt;&gt;"",E5387&lt;&gt;"!!!"),"NEW","")))</f>
        <v> </v>
      </c>
      <c r="G5387" s="24" t="str">
        <f>IF(OR(E5387="",E5387="!!!"),"",IF(OR(J5387=0,AND(J5387=1,K5387=1),AND(J5387=1,I5387="SBJ"),AND(J5387=1,I5387=0)),"?IN_FOCUS",IF(J5387&lt;=2,"?ACTIVATED",IF(J5387&lt;&gt;"","?FAMILIAR",IF(F5387="NEW",IF(ISNA(VLOOKUP(E5387,#REF!,1,FALSE())),"?TYPE_IDENTIFIABLE","?REFERENTIAL"),"_")))))</f>
        <v> </v>
      </c>
      <c r="H5387" s="25" t="str">
        <f>IF(J5387&lt;&gt;1,"",IF(I5387="SBJ","CB","?"))</f>
        <v> </v>
      </c>
      <c r="I5387" s="26" t="str">
        <f>IF(OR(E5387="",E5387="!!!",F5387="NEW"),"",INDEX(B5386:B$2,-1+SUMPRODUCT(MAX(ROW(E5386:E$2)*(E5387=E5386:E$2)))))</f>
        <v> </v>
      </c>
      <c r="J5387" s="26" t="str">
        <f>IF(OR(E5387="",E5387="!!!",F5387="NEW"),"",COUNTBLANK(OFFSET(A$1,,,SUMPRODUCT(MAX(ROW(E$2:E5387)*(E5387=E$2:E5387)))))-COUNTBLANK(OFFSET(A$1,,,SUMPRODUCT(MAX(ROW(E$1:E5386)*(E2=E$1:E5386))))))</f>
        <v> </v>
      </c>
      <c r="K5387" s="26" t="str">
        <f>IF(OR(E5387="",E5387="!!!",F5387="NEW"),"",INDEX(J$1:J5386,SUMPRODUCT(MAX(ROW(E$1:E5386)*(E5387=E$1:E5386)))))</f>
        <v> </v>
      </c>
      <c r="L5387" s="27"/>
    </row>
    <row r="5388" spans="1:12">
      <c r="A5388" s="20" t="s">
        <v>923</v>
      </c>
      <c r="E5388" s="22">
        <f>IF(D5388="?OLD","!!!","")</f>
        <v/>
      </c>
      <c r="F5388" s="23" t="str">
        <f>IF(OR(E5388="",E5388="!!!"),"",IF(NOT(ISNA(VLOOKUP(E5388,E$1:E5387,1,FALSE()))),"OLD",IF(AND(E5388&lt;&gt;"",E5388&lt;&gt;"!!!"),"NEW","")))</f>
        <v> </v>
      </c>
      <c r="G5388" s="24" t="str">
        <f>IF(OR(E5388="",E5388="!!!"),"",IF(OR(J5388=0,AND(J5388=1,K5388=1),AND(J5388=1,I5388="SBJ"),AND(J5388=1,I5388=0)),"?IN_FOCUS",IF(J5388&lt;=2,"?ACTIVATED",IF(J5388&lt;&gt;"","?FAMILIAR",IF(F5388="NEW",IF(ISNA(VLOOKUP(E5388,#REF!,1,FALSE())),"?TYPE_IDENTIFIABLE","?REFERENTIAL"),"_")))))</f>
        <v> </v>
      </c>
      <c r="H5388" s="25" t="str">
        <f>IF(J5388&lt;&gt;1,"",IF(I5388="SBJ","CB","?"))</f>
        <v> </v>
      </c>
      <c r="I5388" s="26" t="str">
        <f>IF(OR(E5388="",E5388="!!!",F5388="NEW"),"",INDEX(B5387:B$2,-1+SUMPRODUCT(MAX(ROW(E5387:E$2)*(E5388=E5387:E$2)))))</f>
        <v> </v>
      </c>
      <c r="J5388" s="26" t="str">
        <f>IF(OR(E5388="",E5388="!!!",F5388="NEW"),"",COUNTBLANK(OFFSET(A$1,,,SUMPRODUCT(MAX(ROW(E$2:E5388)*(E5388=E$2:E5388)))))-COUNTBLANK(OFFSET(A$1,,,SUMPRODUCT(MAX(ROW(E$1:E5387)*(E2=E$1:E5387))))))</f>
        <v> </v>
      </c>
      <c r="K5388" s="26" t="str">
        <f>IF(OR(E5388="",E5388="!!!",F5388="NEW"),"",INDEX(J$1:J5387,SUMPRODUCT(MAX(ROW(E$1:E5387)*(E5388=E$1:E5387)))))</f>
        <v> </v>
      </c>
      <c r="L5388" s="27"/>
    </row>
    <row r="5389" spans="1:12">
      <c r="A5389" s="20"/>
    </row>
    <row r="5390" spans="1:12">
      <c r="A5390" s="20" t="s">
        <v>2534</v>
      </c>
    </row>
    <row r="5391" spans="1:12">
      <c r="A5391" s="20" t="s">
        <v>1240</v>
      </c>
      <c r="B5391" s="21" t="s">
        <v>1058</v>
      </c>
      <c r="C5391" s="21" t="s">
        <v>1076</v>
      </c>
      <c r="D5391" s="21" t="s">
        <v>1060</v>
      </c>
      <c r="E5391" s="22">
        <f>IF(D5391="?OLD","!!!","")</f>
        <v/>
      </c>
      <c r="F5391" s="23" t="str">
        <f>IF(OR(E5391="",E5391="!!!"),"",IF(NOT(ISNA(VLOOKUP(E5391,E$1:E5390,1,FALSE()))),"OLD",IF(AND(E5391&lt;&gt;"",E5391&lt;&gt;"!!!"),"NEW","")))</f>
        <v> </v>
      </c>
      <c r="G5391" s="24" t="str">
        <f>IF(OR(E5391="",E5391="!!!"),"",IF(OR(J5391=0,AND(J5391=1,K5391=1),AND(J5391=1,I5391="SBJ"),AND(J5391=1,I5391=0)),"?IN_FOCUS",IF(J5391&lt;=2,"?ACTIVATED",IF(J5391&lt;&gt;"","?FAMILIAR",IF(F5391="NEW",IF(ISNA(VLOOKUP(E5391,#REF!,1,FALSE())),"?TYPE_IDENTIFIABLE","?REFERENTIAL"),"_")))))</f>
        <v> </v>
      </c>
      <c r="H5391" s="25" t="str">
        <f>IF(J5391&lt;&gt;1,"",IF(I5391="SBJ","CB","?"))</f>
        <v> </v>
      </c>
      <c r="I5391" s="26" t="str">
        <f>IF(OR(E5391="",E5391="!!!",F5391="NEW"),"",INDEX(B5390:B$2,-1+SUMPRODUCT(MAX(ROW(E5390:E$2)*(E5391=E5390:E$2)))))</f>
        <v> </v>
      </c>
      <c r="J5391" s="26" t="str">
        <f>IF(OR(E5391="",E5391="!!!",F5391="NEW"),"",COUNTBLANK(OFFSET(A$1,,,SUMPRODUCT(MAX(ROW(E$2:E5391)*(E5391=E$2:E5391)))))-COUNTBLANK(OFFSET(A$1,,,SUMPRODUCT(MAX(ROW(E$1:E5390)*(E2=E$1:E5390))))))</f>
        <v> </v>
      </c>
      <c r="K5391" s="26" t="str">
        <f>IF(OR(E5391="",E5391="!!!",F5391="NEW"),"",INDEX(J$1:J5390,SUMPRODUCT(MAX(ROW(E$1:E5390)*(E5391=E$1:E5390)))))</f>
        <v> </v>
      </c>
      <c r="L5391" s="27"/>
    </row>
    <row r="5392" spans="1:12">
      <c r="A5392" s="20" t="s">
        <v>1085</v>
      </c>
      <c r="E5392" s="22">
        <f>IF(D5392="?OLD","!!!","")</f>
        <v/>
      </c>
      <c r="F5392" s="23" t="str">
        <f>IF(OR(E5392="",E5392="!!!"),"",IF(NOT(ISNA(VLOOKUP(E5392,E$1:E5391,1,FALSE()))),"OLD",IF(AND(E5392&lt;&gt;"",E5392&lt;&gt;"!!!"),"NEW","")))</f>
        <v> </v>
      </c>
      <c r="G5392" s="24" t="str">
        <f>IF(OR(E5392="",E5392="!!!"),"",IF(OR(J5392=0,AND(J5392=1,K5392=1),AND(J5392=1,I5392="SBJ"),AND(J5392=1,I5392=0)),"?IN_FOCUS",IF(J5392&lt;=2,"?ACTIVATED",IF(J5392&lt;&gt;"","?FAMILIAR",IF(F5392="NEW",IF(ISNA(VLOOKUP(E5392,#REF!,1,FALSE())),"?TYPE_IDENTIFIABLE","?REFERENTIAL"),"_")))))</f>
        <v> </v>
      </c>
      <c r="H5392" s="25" t="str">
        <f>IF(J5392&lt;&gt;1,"",IF(I5392="SBJ","CB","?"))</f>
        <v> </v>
      </c>
      <c r="I5392" s="26" t="str">
        <f>IF(OR(E5392="",E5392="!!!",F5392="NEW"),"",INDEX(B5391:B$2,-1+SUMPRODUCT(MAX(ROW(E5391:E$2)*(E5392=E5391:E$2)))))</f>
        <v> </v>
      </c>
      <c r="J5392" s="26" t="str">
        <f>IF(OR(E5392="",E5392="!!!",F5392="NEW"),"",COUNTBLANK(OFFSET(A$1,,,SUMPRODUCT(MAX(ROW(E$2:E5392)*(E5392=E$2:E5392)))))-COUNTBLANK(OFFSET(A$1,,,SUMPRODUCT(MAX(ROW(E$1:E5391)*(E2=E$1:E5391))))))</f>
        <v> </v>
      </c>
      <c r="K5392" s="26" t="str">
        <f>IF(OR(E5392="",E5392="!!!",F5392="NEW"),"",INDEX(J$1:J5391,SUMPRODUCT(MAX(ROW(E$1:E5391)*(E5392=E$1:E5391)))))</f>
        <v> </v>
      </c>
      <c r="L5392" s="27"/>
    </row>
    <row r="5393" spans="1:12">
      <c r="A5393" s="20" t="s">
        <v>2535</v>
      </c>
      <c r="E5393" s="22">
        <f>IF(D5393="?OLD","!!!","")</f>
        <v/>
      </c>
      <c r="F5393" s="23" t="str">
        <f>IF(OR(E5393="",E5393="!!!"),"",IF(NOT(ISNA(VLOOKUP(E5393,E$1:E5392,1,FALSE()))),"OLD",IF(AND(E5393&lt;&gt;"",E5393&lt;&gt;"!!!"),"NEW","")))</f>
        <v> </v>
      </c>
      <c r="G5393" s="24" t="str">
        <f>IF(OR(E5393="",E5393="!!!"),"",IF(OR(J5393=0,AND(J5393=1,K5393=1),AND(J5393=1,I5393="SBJ"),AND(J5393=1,I5393=0)),"?IN_FOCUS",IF(J5393&lt;=2,"?ACTIVATED",IF(J5393&lt;&gt;"","?FAMILIAR",IF(F5393="NEW",IF(ISNA(VLOOKUP(E5393,#REF!,1,FALSE())),"?TYPE_IDENTIFIABLE","?REFERENTIAL"),"_")))))</f>
        <v> </v>
      </c>
      <c r="H5393" s="25" t="str">
        <f>IF(J5393&lt;&gt;1,"",IF(I5393="SBJ","CB","?"))</f>
        <v> </v>
      </c>
      <c r="I5393" s="26" t="str">
        <f>IF(OR(E5393="",E5393="!!!",F5393="NEW"),"",INDEX(B5392:B$2,-1+SUMPRODUCT(MAX(ROW(E5392:E$2)*(E5393=E5392:E$2)))))</f>
        <v> </v>
      </c>
      <c r="J5393" s="26" t="str">
        <f>IF(OR(E5393="",E5393="!!!",F5393="NEW"),"",COUNTBLANK(OFFSET(A$1,,,SUMPRODUCT(MAX(ROW(E$2:E5393)*(E5393=E$2:E5393)))))-COUNTBLANK(OFFSET(A$1,,,SUMPRODUCT(MAX(ROW(E$1:E5392)*(E2=E$1:E5392))))))</f>
        <v> </v>
      </c>
      <c r="K5393" s="26" t="str">
        <f>IF(OR(E5393="",E5393="!!!",F5393="NEW"),"",INDEX(J$1:J5392,SUMPRODUCT(MAX(ROW(E$1:E5392)*(E5393=E$1:E5392)))))</f>
        <v> </v>
      </c>
      <c r="L5393" s="27"/>
    </row>
    <row r="5394" spans="1:12">
      <c r="A5394" s="20" t="s">
        <v>1070</v>
      </c>
      <c r="E5394" s="22">
        <f>IF(D5394="?OLD","!!!","")</f>
        <v/>
      </c>
      <c r="F5394" s="23" t="str">
        <f>IF(OR(E5394="",E5394="!!!"),"",IF(NOT(ISNA(VLOOKUP(E5394,E$1:E5393,1,FALSE()))),"OLD",IF(AND(E5394&lt;&gt;"",E5394&lt;&gt;"!!!"),"NEW","")))</f>
        <v> </v>
      </c>
      <c r="G5394" s="24" t="str">
        <f>IF(OR(E5394="",E5394="!!!"),"",IF(OR(J5394=0,AND(J5394=1,K5394=1),AND(J5394=1,I5394="SBJ"),AND(J5394=1,I5394=0)),"?IN_FOCUS",IF(J5394&lt;=2,"?ACTIVATED",IF(J5394&lt;&gt;"","?FAMILIAR",IF(F5394="NEW",IF(ISNA(VLOOKUP(E5394,#REF!,1,FALSE())),"?TYPE_IDENTIFIABLE","?REFERENTIAL"),"_")))))</f>
        <v> </v>
      </c>
      <c r="H5394" s="25" t="str">
        <f>IF(J5394&lt;&gt;1,"",IF(I5394="SBJ","CB","?"))</f>
        <v> </v>
      </c>
      <c r="I5394" s="26" t="str">
        <f>IF(OR(E5394="",E5394="!!!",F5394="NEW"),"",INDEX(B5393:B$2,-1+SUMPRODUCT(MAX(ROW(E5393:E$2)*(E5394=E5393:E$2)))))</f>
        <v> </v>
      </c>
      <c r="J5394" s="26" t="str">
        <f>IF(OR(E5394="",E5394="!!!",F5394="NEW"),"",COUNTBLANK(OFFSET(A$1,,,SUMPRODUCT(MAX(ROW(E$2:E5394)*(E5394=E$2:E5394)))))-COUNTBLANK(OFFSET(A$1,,,SUMPRODUCT(MAX(ROW(E$1:E5393)*(E2=E$1:E5393))))))</f>
        <v> </v>
      </c>
      <c r="K5394" s="26" t="str">
        <f>IF(OR(E5394="",E5394="!!!",F5394="NEW"),"",INDEX(J$1:J5393,SUMPRODUCT(MAX(ROW(E$1:E5393)*(E5394=E$1:E5393)))))</f>
        <v> </v>
      </c>
      <c r="L5394" s="27"/>
    </row>
    <row r="5395" spans="1:12">
      <c r="A5395" s="20" t="s">
        <v>1061</v>
      </c>
      <c r="E5395" s="22">
        <f>IF(D5395="?OLD","!!!","")</f>
        <v/>
      </c>
      <c r="F5395" s="23" t="str">
        <f>IF(OR(E5395="",E5395="!!!"),"",IF(NOT(ISNA(VLOOKUP(E5395,E$1:E5394,1,FALSE()))),"OLD",IF(AND(E5395&lt;&gt;"",E5395&lt;&gt;"!!!"),"NEW","")))</f>
        <v> </v>
      </c>
      <c r="G5395" s="24" t="str">
        <f>IF(OR(E5395="",E5395="!!!"),"",IF(OR(J5395=0,AND(J5395=1,K5395=1),AND(J5395=1,I5395="SBJ"),AND(J5395=1,I5395=0)),"?IN_FOCUS",IF(J5395&lt;=2,"?ACTIVATED",IF(J5395&lt;&gt;"","?FAMILIAR",IF(F5395="NEW",IF(ISNA(VLOOKUP(E5395,#REF!,1,FALSE())),"?TYPE_IDENTIFIABLE","?REFERENTIAL"),"_")))))</f>
        <v> </v>
      </c>
      <c r="H5395" s="25" t="str">
        <f>IF(J5395&lt;&gt;1,"",IF(I5395="SBJ","CB","?"))</f>
        <v> </v>
      </c>
      <c r="I5395" s="26" t="str">
        <f>IF(OR(E5395="",E5395="!!!",F5395="NEW"),"",INDEX(B5394:B$2,-1+SUMPRODUCT(MAX(ROW(E5394:E$2)*(E5395=E5394:E$2)))))</f>
        <v> </v>
      </c>
      <c r="J5395" s="26" t="str">
        <f>IF(OR(E5395="",E5395="!!!",F5395="NEW"),"",COUNTBLANK(OFFSET(A$1,,,SUMPRODUCT(MAX(ROW(E$2:E5395)*(E5395=E$2:E5395)))))-COUNTBLANK(OFFSET(A$1,,,SUMPRODUCT(MAX(ROW(E$1:E5394)*(E2=E$1:E5394))))))</f>
        <v> </v>
      </c>
      <c r="K5395" s="26" t="str">
        <f>IF(OR(E5395="",E5395="!!!",F5395="NEW"),"",INDEX(J$1:J5394,SUMPRODUCT(MAX(ROW(E$1:E5394)*(E5395=E$1:E5394)))))</f>
        <v> </v>
      </c>
      <c r="L5395" s="27"/>
    </row>
    <row r="5396" spans="1:12">
      <c r="A5396" s="20" t="s">
        <v>1186</v>
      </c>
      <c r="E5396" s="22">
        <f>IF(D5396="?OLD","!!!","")</f>
        <v/>
      </c>
      <c r="F5396" s="23" t="str">
        <f>IF(OR(E5396="",E5396="!!!"),"",IF(NOT(ISNA(VLOOKUP(E5396,E$1:E5395,1,FALSE()))),"OLD",IF(AND(E5396&lt;&gt;"",E5396&lt;&gt;"!!!"),"NEW","")))</f>
        <v> </v>
      </c>
      <c r="G5396" s="24" t="str">
        <f>IF(OR(E5396="",E5396="!!!"),"",IF(OR(J5396=0,AND(J5396=1,K5396=1),AND(J5396=1,I5396="SBJ"),AND(J5396=1,I5396=0)),"?IN_FOCUS",IF(J5396&lt;=2,"?ACTIVATED",IF(J5396&lt;&gt;"","?FAMILIAR",IF(F5396="NEW",IF(ISNA(VLOOKUP(E5396,#REF!,1,FALSE())),"?TYPE_IDENTIFIABLE","?REFERENTIAL"),"_")))))</f>
        <v> </v>
      </c>
      <c r="H5396" s="25" t="str">
        <f>IF(J5396&lt;&gt;1,"",IF(I5396="SBJ","CB","?"))</f>
        <v> </v>
      </c>
      <c r="I5396" s="26" t="str">
        <f>IF(OR(E5396="",E5396="!!!",F5396="NEW"),"",INDEX(B5395:B$2,-1+SUMPRODUCT(MAX(ROW(E5395:E$2)*(E5396=E5395:E$2)))))</f>
        <v> </v>
      </c>
      <c r="J5396" s="26" t="str">
        <f>IF(OR(E5396="",E5396="!!!",F5396="NEW"),"",COUNTBLANK(OFFSET(A$1,,,SUMPRODUCT(MAX(ROW(E$2:E5396)*(E5396=E$2:E5396)))))-COUNTBLANK(OFFSET(A$1,,,SUMPRODUCT(MAX(ROW(E$1:E5395)*(E2=E$1:E5395))))))</f>
        <v> </v>
      </c>
      <c r="K5396" s="26" t="str">
        <f>IF(OR(E5396="",E5396="!!!",F5396="NEW"),"",INDEX(J$1:J5395,SUMPRODUCT(MAX(ROW(E$1:E5395)*(E5396=E$1:E5395)))))</f>
        <v> </v>
      </c>
      <c r="L5396" s="27"/>
    </row>
    <row r="5397" spans="1:12">
      <c r="A5397" s="20" t="s">
        <v>1070</v>
      </c>
      <c r="E5397" s="22">
        <f>IF(D5397="?OLD","!!!","")</f>
        <v/>
      </c>
      <c r="F5397" s="23" t="str">
        <f>IF(OR(E5397="",E5397="!!!"),"",IF(NOT(ISNA(VLOOKUP(E5397,E$1:E5396,1,FALSE()))),"OLD",IF(AND(E5397&lt;&gt;"",E5397&lt;&gt;"!!!"),"NEW","")))</f>
        <v> </v>
      </c>
      <c r="G5397" s="24" t="str">
        <f>IF(OR(E5397="",E5397="!!!"),"",IF(OR(J5397=0,AND(J5397=1,K5397=1),AND(J5397=1,I5397="SBJ"),AND(J5397=1,I5397=0)),"?IN_FOCUS",IF(J5397&lt;=2,"?ACTIVATED",IF(J5397&lt;&gt;"","?FAMILIAR",IF(F5397="NEW",IF(ISNA(VLOOKUP(E5397,#REF!,1,FALSE())),"?TYPE_IDENTIFIABLE","?REFERENTIAL"),"_")))))</f>
        <v> </v>
      </c>
      <c r="H5397" s="25" t="str">
        <f>IF(J5397&lt;&gt;1,"",IF(I5397="SBJ","CB","?"))</f>
        <v> </v>
      </c>
      <c r="I5397" s="26" t="str">
        <f>IF(OR(E5397="",E5397="!!!",F5397="NEW"),"",INDEX(B5396:B$2,-1+SUMPRODUCT(MAX(ROW(E5396:E$2)*(E5397=E5396:E$2)))))</f>
        <v> </v>
      </c>
      <c r="J5397" s="26" t="str">
        <f>IF(OR(E5397="",E5397="!!!",F5397="NEW"),"",COUNTBLANK(OFFSET(A$1,,,SUMPRODUCT(MAX(ROW(E$2:E5397)*(E5397=E$2:E5397)))))-COUNTBLANK(OFFSET(A$1,,,SUMPRODUCT(MAX(ROW(E$1:E5396)*(E2=E$1:E5396))))))</f>
        <v> </v>
      </c>
      <c r="K5397" s="26" t="str">
        <f>IF(OR(E5397="",E5397="!!!",F5397="NEW"),"",INDEX(J$1:J5396,SUMPRODUCT(MAX(ROW(E$1:E5396)*(E5397=E$1:E5396)))))</f>
        <v> </v>
      </c>
      <c r="L5397" s="27"/>
    </row>
    <row r="5398" spans="1:12">
      <c r="A5398" s="20" t="s">
        <v>1229</v>
      </c>
      <c r="E5398" s="22">
        <f>IF(D5398="?OLD","!!!","")</f>
        <v/>
      </c>
      <c r="F5398" s="23" t="str">
        <f>IF(OR(E5398="",E5398="!!!"),"",IF(NOT(ISNA(VLOOKUP(E5398,E$1:E5397,1,FALSE()))),"OLD",IF(AND(E5398&lt;&gt;"",E5398&lt;&gt;"!!!"),"NEW","")))</f>
        <v> </v>
      </c>
      <c r="G5398" s="24" t="str">
        <f>IF(OR(E5398="",E5398="!!!"),"",IF(OR(J5398=0,AND(J5398=1,K5398=1),AND(J5398=1,I5398="SBJ"),AND(J5398=1,I5398=0)),"?IN_FOCUS",IF(J5398&lt;=2,"?ACTIVATED",IF(J5398&lt;&gt;"","?FAMILIAR",IF(F5398="NEW",IF(ISNA(VLOOKUP(E5398,#REF!,1,FALSE())),"?TYPE_IDENTIFIABLE","?REFERENTIAL"),"_")))))</f>
        <v> </v>
      </c>
      <c r="H5398" s="25" t="str">
        <f>IF(J5398&lt;&gt;1,"",IF(I5398="SBJ","CB","?"))</f>
        <v> </v>
      </c>
      <c r="I5398" s="26" t="str">
        <f>IF(OR(E5398="",E5398="!!!",F5398="NEW"),"",INDEX(B5397:B$2,-1+SUMPRODUCT(MAX(ROW(E5397:E$2)*(E5398=E5397:E$2)))))</f>
        <v> </v>
      </c>
      <c r="J5398" s="26" t="str">
        <f>IF(OR(E5398="",E5398="!!!",F5398="NEW"),"",COUNTBLANK(OFFSET(A$1,,,SUMPRODUCT(MAX(ROW(E$2:E5398)*(E5398=E$2:E5398)))))-COUNTBLANK(OFFSET(A$1,,,SUMPRODUCT(MAX(ROW(E$1:E5397)*(E2=E$1:E5397))))))</f>
        <v> </v>
      </c>
      <c r="K5398" s="26" t="str">
        <f>IF(OR(E5398="",E5398="!!!",F5398="NEW"),"",INDEX(J$1:J5397,SUMPRODUCT(MAX(ROW(E$1:E5397)*(E5398=E$1:E5397)))))</f>
        <v> </v>
      </c>
      <c r="L5398" s="27"/>
    </row>
    <row r="5399" spans="1:12">
      <c r="A5399" s="20" t="s">
        <v>1101</v>
      </c>
      <c r="E5399" s="22">
        <f>IF(D5399="?OLD","!!!","")</f>
        <v/>
      </c>
      <c r="F5399" s="23" t="str">
        <f>IF(OR(E5399="",E5399="!!!"),"",IF(NOT(ISNA(VLOOKUP(E5399,E$1:E5398,1,FALSE()))),"OLD",IF(AND(E5399&lt;&gt;"",E5399&lt;&gt;"!!!"),"NEW","")))</f>
        <v> </v>
      </c>
      <c r="G5399" s="24" t="str">
        <f>IF(OR(E5399="",E5399="!!!"),"",IF(OR(J5399=0,AND(J5399=1,K5399=1),AND(J5399=1,I5399="SBJ"),AND(J5399=1,I5399=0)),"?IN_FOCUS",IF(J5399&lt;=2,"?ACTIVATED",IF(J5399&lt;&gt;"","?FAMILIAR",IF(F5399="NEW",IF(ISNA(VLOOKUP(E5399,#REF!,1,FALSE())),"?TYPE_IDENTIFIABLE","?REFERENTIAL"),"_")))))</f>
        <v> </v>
      </c>
      <c r="H5399" s="25" t="str">
        <f>IF(J5399&lt;&gt;1,"",IF(I5399="SBJ","CB","?"))</f>
        <v> </v>
      </c>
      <c r="I5399" s="26" t="str">
        <f>IF(OR(E5399="",E5399="!!!",F5399="NEW"),"",INDEX(B5398:B$2,-1+SUMPRODUCT(MAX(ROW(E5398:E$2)*(E5399=E5398:E$2)))))</f>
        <v> </v>
      </c>
      <c r="J5399" s="26" t="str">
        <f>IF(OR(E5399="",E5399="!!!",F5399="NEW"),"",COUNTBLANK(OFFSET(A$1,,,SUMPRODUCT(MAX(ROW(E$2:E5399)*(E5399=E$2:E5399)))))-COUNTBLANK(OFFSET(A$1,,,SUMPRODUCT(MAX(ROW(E$1:E5398)*(E2=E$1:E5398))))))</f>
        <v> </v>
      </c>
      <c r="K5399" s="26" t="str">
        <f>IF(OR(E5399="",E5399="!!!",F5399="NEW"),"",INDEX(J$1:J5398,SUMPRODUCT(MAX(ROW(E$1:E5398)*(E5399=E$1:E5398)))))</f>
        <v> </v>
      </c>
      <c r="L5399" s="27"/>
    </row>
    <row r="5400" spans="1:12">
      <c r="A5400" s="20" t="s">
        <v>2308</v>
      </c>
      <c r="B5400" s="21" t="s">
        <v>1097</v>
      </c>
      <c r="C5400" s="21" t="s">
        <v>1140</v>
      </c>
      <c r="D5400" s="21" t="s">
        <v>1060</v>
      </c>
      <c r="E5400" s="22">
        <f>IF(D5400="?OLD","!!!","")</f>
        <v/>
      </c>
      <c r="F5400" s="23" t="str">
        <f>IF(OR(E5400="",E5400="!!!"),"",IF(NOT(ISNA(VLOOKUP(E5400,E$1:E5399,1,FALSE()))),"OLD",IF(AND(E5400&lt;&gt;"",E5400&lt;&gt;"!!!"),"NEW","")))</f>
        <v> </v>
      </c>
      <c r="G5400" s="24" t="str">
        <f>IF(OR(E5400="",E5400="!!!"),"",IF(OR(J5400=0,AND(J5400=1,K5400=1),AND(J5400=1,I5400="SBJ"),AND(J5400=1,I5400=0)),"?IN_FOCUS",IF(J5400&lt;=2,"?ACTIVATED",IF(J5400&lt;&gt;"","?FAMILIAR",IF(F5400="NEW",IF(ISNA(VLOOKUP(E5400,#REF!,1,FALSE())),"?TYPE_IDENTIFIABLE","?REFERENTIAL"),"_")))))</f>
        <v> </v>
      </c>
      <c r="H5400" s="25" t="str">
        <f>IF(J5400&lt;&gt;1,"",IF(I5400="SBJ","CB","?"))</f>
        <v> </v>
      </c>
      <c r="I5400" s="26" t="str">
        <f>IF(OR(E5400="",E5400="!!!",F5400="NEW"),"",INDEX(B5399:B$2,-1+SUMPRODUCT(MAX(ROW(E5399:E$2)*(E5400=E5399:E$2)))))</f>
        <v> </v>
      </c>
      <c r="J5400" s="26" t="str">
        <f>IF(OR(E5400="",E5400="!!!",F5400="NEW"),"",COUNTBLANK(OFFSET(A$1,,,SUMPRODUCT(MAX(ROW(E$2:E5400)*(E5400=E$2:E5400)))))-COUNTBLANK(OFFSET(A$1,,,SUMPRODUCT(MAX(ROW(E$1:E5399)*(E2=E$1:E5399))))))</f>
        <v> </v>
      </c>
      <c r="K5400" s="26" t="str">
        <f>IF(OR(E5400="",E5400="!!!",F5400="NEW"),"",INDEX(J$1:J5399,SUMPRODUCT(MAX(ROW(E$1:E5399)*(E5400=E$1:E5399)))))</f>
        <v> </v>
      </c>
      <c r="L5400" s="27"/>
    </row>
    <row r="5401" spans="1:12">
      <c r="A5401" s="20" t="s">
        <v>1061</v>
      </c>
      <c r="E5401" s="22">
        <f>IF(D5401="?OLD","!!!","")</f>
        <v/>
      </c>
      <c r="F5401" s="23" t="str">
        <f>IF(OR(E5401="",E5401="!!!"),"",IF(NOT(ISNA(VLOOKUP(E5401,E$1:E5400,1,FALSE()))),"OLD",IF(AND(E5401&lt;&gt;"",E5401&lt;&gt;"!!!"),"NEW","")))</f>
        <v> </v>
      </c>
      <c r="G5401" s="24" t="str">
        <f>IF(OR(E5401="",E5401="!!!"),"",IF(OR(J5401=0,AND(J5401=1,K5401=1),AND(J5401=1,I5401="SBJ"),AND(J5401=1,I5401=0)),"?IN_FOCUS",IF(J5401&lt;=2,"?ACTIVATED",IF(J5401&lt;&gt;"","?FAMILIAR",IF(F5401="NEW",IF(ISNA(VLOOKUP(E5401,#REF!,1,FALSE())),"?TYPE_IDENTIFIABLE","?REFERENTIAL"),"_")))))</f>
        <v> </v>
      </c>
      <c r="H5401" s="25" t="str">
        <f>IF(J5401&lt;&gt;1,"",IF(I5401="SBJ","CB","?"))</f>
        <v> </v>
      </c>
      <c r="I5401" s="26" t="str">
        <f>IF(OR(E5401="",E5401="!!!",F5401="NEW"),"",INDEX(B5400:B$2,-1+SUMPRODUCT(MAX(ROW(E5400:E$2)*(E5401=E5400:E$2)))))</f>
        <v> </v>
      </c>
      <c r="J5401" s="26" t="str">
        <f>IF(OR(E5401="",E5401="!!!",F5401="NEW"),"",COUNTBLANK(OFFSET(A$1,,,SUMPRODUCT(MAX(ROW(E$2:E5401)*(E5401=E$2:E5401)))))-COUNTBLANK(OFFSET(A$1,,,SUMPRODUCT(MAX(ROW(E$1:E5400)*(E2=E$1:E5400))))))</f>
        <v> </v>
      </c>
      <c r="K5401" s="26" t="str">
        <f>IF(OR(E5401="",E5401="!!!",F5401="NEW"),"",INDEX(J$1:J5400,SUMPRODUCT(MAX(ROW(E$1:E5400)*(E5401=E$1:E5400)))))</f>
        <v> </v>
      </c>
      <c r="L5401" s="27"/>
    </row>
    <row r="5402" spans="1:12">
      <c r="A5402" s="20" t="s">
        <v>1101</v>
      </c>
      <c r="E5402" s="22">
        <f>IF(D5402="?OLD","!!!","")</f>
        <v/>
      </c>
      <c r="F5402" s="23" t="str">
        <f>IF(OR(E5402="",E5402="!!!"),"",IF(NOT(ISNA(VLOOKUP(E5402,E$1:E5401,1,FALSE()))),"OLD",IF(AND(E5402&lt;&gt;"",E5402&lt;&gt;"!!!"),"NEW","")))</f>
        <v> </v>
      </c>
      <c r="G5402" s="24" t="str">
        <f>IF(OR(E5402="",E5402="!!!"),"",IF(OR(J5402=0,AND(J5402=1,K5402=1),AND(J5402=1,I5402="SBJ"),AND(J5402=1,I5402=0)),"?IN_FOCUS",IF(J5402&lt;=2,"?ACTIVATED",IF(J5402&lt;&gt;"","?FAMILIAR",IF(F5402="NEW",IF(ISNA(VLOOKUP(E5402,#REF!,1,FALSE())),"?TYPE_IDENTIFIABLE","?REFERENTIAL"),"_")))))</f>
        <v> </v>
      </c>
      <c r="H5402" s="25" t="str">
        <f>IF(J5402&lt;&gt;1,"",IF(I5402="SBJ","CB","?"))</f>
        <v> </v>
      </c>
      <c r="I5402" s="26" t="str">
        <f>IF(OR(E5402="",E5402="!!!",F5402="NEW"),"",INDEX(B5401:B$2,-1+SUMPRODUCT(MAX(ROW(E5401:E$2)*(E5402=E5401:E$2)))))</f>
        <v> </v>
      </c>
      <c r="J5402" s="26" t="str">
        <f>IF(OR(E5402="",E5402="!!!",F5402="NEW"),"",COUNTBLANK(OFFSET(A$1,,,SUMPRODUCT(MAX(ROW(E$2:E5402)*(E5402=E$2:E5402)))))-COUNTBLANK(OFFSET(A$1,,,SUMPRODUCT(MAX(ROW(E$1:E5401)*(E2=E$1:E5401))))))</f>
        <v> </v>
      </c>
      <c r="K5402" s="26" t="str">
        <f>IF(OR(E5402="",E5402="!!!",F5402="NEW"),"",INDEX(J$1:J5401,SUMPRODUCT(MAX(ROW(E$1:E5401)*(E5402=E$1:E5401)))))</f>
        <v> </v>
      </c>
      <c r="L5402" s="27"/>
    </row>
    <row r="5403" spans="1:12">
      <c r="A5403" s="20" t="s">
        <v>1953</v>
      </c>
      <c r="E5403" s="22">
        <f>IF(D5403="?OLD","!!!","")</f>
        <v/>
      </c>
      <c r="F5403" s="23" t="str">
        <f>IF(OR(E5403="",E5403="!!!"),"",IF(NOT(ISNA(VLOOKUP(E5403,E$1:E5402,1,FALSE()))),"OLD",IF(AND(E5403&lt;&gt;"",E5403&lt;&gt;"!!!"),"NEW","")))</f>
        <v> </v>
      </c>
      <c r="G5403" s="24" t="str">
        <f>IF(OR(E5403="",E5403="!!!"),"",IF(OR(J5403=0,AND(J5403=1,K5403=1),AND(J5403=1,I5403="SBJ"),AND(J5403=1,I5403=0)),"?IN_FOCUS",IF(J5403&lt;=2,"?ACTIVATED",IF(J5403&lt;&gt;"","?FAMILIAR",IF(F5403="NEW",IF(ISNA(VLOOKUP(E5403,#REF!,1,FALSE())),"?TYPE_IDENTIFIABLE","?REFERENTIAL"),"_")))))</f>
        <v> </v>
      </c>
      <c r="H5403" s="25" t="str">
        <f>IF(J5403&lt;&gt;1,"",IF(I5403="SBJ","CB","?"))</f>
        <v> </v>
      </c>
      <c r="I5403" s="26" t="str">
        <f>IF(OR(E5403="",E5403="!!!",F5403="NEW"),"",INDEX(B5402:B$2,-1+SUMPRODUCT(MAX(ROW(E5402:E$2)*(E5403=E5402:E$2)))))</f>
        <v> </v>
      </c>
      <c r="J5403" s="26" t="str">
        <f>IF(OR(E5403="",E5403="!!!",F5403="NEW"),"",COUNTBLANK(OFFSET(A$1,,,SUMPRODUCT(MAX(ROW(E$2:E5403)*(E5403=E$2:E5403)))))-COUNTBLANK(OFFSET(A$1,,,SUMPRODUCT(MAX(ROW(E$1:E5402)*(E2=E$1:E5402))))))</f>
        <v> </v>
      </c>
      <c r="K5403" s="26" t="str">
        <f>IF(OR(E5403="",E5403="!!!",F5403="NEW"),"",INDEX(J$1:J5402,SUMPRODUCT(MAX(ROW(E$1:E5402)*(E5403=E$1:E5402)))))</f>
        <v> </v>
      </c>
      <c r="L5403" s="27"/>
    </row>
    <row r="5404" spans="1:12">
      <c r="A5404" s="20" t="s">
        <v>2536</v>
      </c>
      <c r="E5404" s="22">
        <f>IF(D5404="?OLD","!!!","")</f>
        <v/>
      </c>
      <c r="F5404" s="23" t="str">
        <f>IF(OR(E5404="",E5404="!!!"),"",IF(NOT(ISNA(VLOOKUP(E5404,E$1:E5403,1,FALSE()))),"OLD",IF(AND(E5404&lt;&gt;"",E5404&lt;&gt;"!!!"),"NEW","")))</f>
        <v> </v>
      </c>
      <c r="G5404" s="24" t="str">
        <f>IF(OR(E5404="",E5404="!!!"),"",IF(OR(J5404=0,AND(J5404=1,K5404=1),AND(J5404=1,I5404="SBJ"),AND(J5404=1,I5404=0)),"?IN_FOCUS",IF(J5404&lt;=2,"?ACTIVATED",IF(J5404&lt;&gt;"","?FAMILIAR",IF(F5404="NEW",IF(ISNA(VLOOKUP(E5404,#REF!,1,FALSE())),"?TYPE_IDENTIFIABLE","?REFERENTIAL"),"_")))))</f>
        <v> </v>
      </c>
      <c r="H5404" s="25" t="str">
        <f>IF(J5404&lt;&gt;1,"",IF(I5404="SBJ","CB","?"))</f>
        <v> </v>
      </c>
      <c r="I5404" s="26" t="str">
        <f>IF(OR(E5404="",E5404="!!!",F5404="NEW"),"",INDEX(B5403:B$2,-1+SUMPRODUCT(MAX(ROW(E5403:E$2)*(E5404=E5403:E$2)))))</f>
        <v> </v>
      </c>
      <c r="J5404" s="26" t="str">
        <f>IF(OR(E5404="",E5404="!!!",F5404="NEW"),"",COUNTBLANK(OFFSET(A$1,,,SUMPRODUCT(MAX(ROW(E$2:E5404)*(E5404=E$2:E5404)))))-COUNTBLANK(OFFSET(A$1,,,SUMPRODUCT(MAX(ROW(E$1:E5403)*(E2=E$1:E5403))))))</f>
        <v> </v>
      </c>
      <c r="K5404" s="26" t="str">
        <f>IF(OR(E5404="",E5404="!!!",F5404="NEW"),"",INDEX(J$1:J5403,SUMPRODUCT(MAX(ROW(E$1:E5403)*(E5404=E$1:E5403)))))</f>
        <v> </v>
      </c>
      <c r="L5404" s="27"/>
    </row>
    <row r="5405" spans="1:12">
      <c r="A5405" s="20" t="s">
        <v>16</v>
      </c>
      <c r="E5405" s="22">
        <f>IF(D5405="?OLD","!!!","")</f>
        <v/>
      </c>
      <c r="F5405" s="23" t="str">
        <f>IF(OR(E5405="",E5405="!!!"),"",IF(NOT(ISNA(VLOOKUP(E5405,E$1:E5404,1,FALSE()))),"OLD",IF(AND(E5405&lt;&gt;"",E5405&lt;&gt;"!!!"),"NEW","")))</f>
        <v> </v>
      </c>
      <c r="G5405" s="24" t="str">
        <f>IF(OR(E5405="",E5405="!!!"),"",IF(OR(J5405=0,AND(J5405=1,K5405=1),AND(J5405=1,I5405="SBJ"),AND(J5405=1,I5405=0)),"?IN_FOCUS",IF(J5405&lt;=2,"?ACTIVATED",IF(J5405&lt;&gt;"","?FAMILIAR",IF(F5405="NEW",IF(ISNA(VLOOKUP(E5405,#REF!,1,FALSE())),"?TYPE_IDENTIFIABLE","?REFERENTIAL"),"_")))))</f>
        <v> </v>
      </c>
      <c r="H5405" s="25" t="str">
        <f>IF(J5405&lt;&gt;1,"",IF(I5405="SBJ","CB","?"))</f>
        <v> </v>
      </c>
      <c r="I5405" s="26" t="str">
        <f>IF(OR(E5405="",E5405="!!!",F5405="NEW"),"",INDEX(B5404:B$2,-1+SUMPRODUCT(MAX(ROW(E5404:E$2)*(E5405=E5404:E$2)))))</f>
        <v> </v>
      </c>
      <c r="J5405" s="26" t="str">
        <f>IF(OR(E5405="",E5405="!!!",F5405="NEW"),"",COUNTBLANK(OFFSET(A$1,,,SUMPRODUCT(MAX(ROW(E$2:E5405)*(E5405=E$2:E5405)))))-COUNTBLANK(OFFSET(A$1,,,SUMPRODUCT(MAX(ROW(E$1:E5404)*(E2=E$1:E5404))))))</f>
        <v> </v>
      </c>
      <c r="K5405" s="26" t="str">
        <f>IF(OR(E5405="",E5405="!!!",F5405="NEW"),"",INDEX(J$1:J5404,SUMPRODUCT(MAX(ROW(E$1:E5404)*(E5405=E$1:E5404)))))</f>
        <v> </v>
      </c>
      <c r="L5405" s="27"/>
    </row>
    <row r="5406" spans="1:12">
      <c r="A5406" s="20" t="s">
        <v>768</v>
      </c>
      <c r="B5406" s="21" t="s">
        <v>1068</v>
      </c>
      <c r="C5406" s="21" t="s">
        <v>1140</v>
      </c>
      <c r="D5406" s="21" t="s">
        <v>1060</v>
      </c>
      <c r="E5406" s="22">
        <f>IF(D5406="?OLD","!!!","")</f>
        <v/>
      </c>
      <c r="F5406" s="23" t="str">
        <f>IF(OR(E5406="",E5406="!!!"),"",IF(NOT(ISNA(VLOOKUP(E5406,E$1:E5405,1,FALSE()))),"OLD",IF(AND(E5406&lt;&gt;"",E5406&lt;&gt;"!!!"),"NEW","")))</f>
        <v> </v>
      </c>
      <c r="G5406" s="24" t="str">
        <f>IF(OR(E5406="",E5406="!!!"),"",IF(OR(J5406=0,AND(J5406=1,K5406=1),AND(J5406=1,I5406="SBJ"),AND(J5406=1,I5406=0)),"?IN_FOCUS",IF(J5406&lt;=2,"?ACTIVATED",IF(J5406&lt;&gt;"","?FAMILIAR",IF(F5406="NEW",IF(ISNA(VLOOKUP(E5406,#REF!,1,FALSE())),"?TYPE_IDENTIFIABLE","?REFERENTIAL"),"_")))))</f>
        <v> </v>
      </c>
      <c r="H5406" s="25" t="str">
        <f>IF(J5406&lt;&gt;1,"",IF(I5406="SBJ","CB","?"))</f>
        <v> </v>
      </c>
      <c r="I5406" s="26" t="str">
        <f>IF(OR(E5406="",E5406="!!!",F5406="NEW"),"",INDEX(B5405:B$2,-1+SUMPRODUCT(MAX(ROW(E5405:E$2)*(E5406=E5405:E$2)))))</f>
        <v> </v>
      </c>
      <c r="J5406" s="26" t="str">
        <f>IF(OR(E5406="",E5406="!!!",F5406="NEW"),"",COUNTBLANK(OFFSET(A$1,,,SUMPRODUCT(MAX(ROW(E$2:E5406)*(E5406=E$2:E5406)))))-COUNTBLANK(OFFSET(A$1,,,SUMPRODUCT(MAX(ROW(E$1:E5405)*(E2=E$1:E5405))))))</f>
        <v> </v>
      </c>
      <c r="K5406" s="26" t="str">
        <f>IF(OR(E5406="",E5406="!!!",F5406="NEW"),"",INDEX(J$1:J5405,SUMPRODUCT(MAX(ROW(E$1:E5405)*(E5406=E$1:E5405)))))</f>
        <v> </v>
      </c>
      <c r="L5406" s="27"/>
    </row>
    <row r="5407" spans="1:12">
      <c r="A5407" s="20" t="s">
        <v>1070</v>
      </c>
      <c r="E5407" s="22">
        <f>IF(D5407="?OLD","!!!","")</f>
        <v/>
      </c>
      <c r="F5407" s="23" t="str">
        <f>IF(OR(E5407="",E5407="!!!"),"",IF(NOT(ISNA(VLOOKUP(E5407,E$1:E5406,1,FALSE()))),"OLD",IF(AND(E5407&lt;&gt;"",E5407&lt;&gt;"!!!"),"NEW","")))</f>
        <v> </v>
      </c>
      <c r="G5407" s="24" t="str">
        <f>IF(OR(E5407="",E5407="!!!"),"",IF(OR(J5407=0,AND(J5407=1,K5407=1),AND(J5407=1,I5407="SBJ"),AND(J5407=1,I5407=0)),"?IN_FOCUS",IF(J5407&lt;=2,"?ACTIVATED",IF(J5407&lt;&gt;"","?FAMILIAR",IF(F5407="NEW",IF(ISNA(VLOOKUP(E5407,#REF!,1,FALSE())),"?TYPE_IDENTIFIABLE","?REFERENTIAL"),"_")))))</f>
        <v> </v>
      </c>
      <c r="H5407" s="25" t="str">
        <f>IF(J5407&lt;&gt;1,"",IF(I5407="SBJ","CB","?"))</f>
        <v> </v>
      </c>
      <c r="I5407" s="26" t="str">
        <f>IF(OR(E5407="",E5407="!!!",F5407="NEW"),"",INDEX(B5406:B$2,-1+SUMPRODUCT(MAX(ROW(E5406:E$2)*(E5407=E5406:E$2)))))</f>
        <v> </v>
      </c>
      <c r="J5407" s="26" t="str">
        <f>IF(OR(E5407="",E5407="!!!",F5407="NEW"),"",COUNTBLANK(OFFSET(A$1,,,SUMPRODUCT(MAX(ROW(E$2:E5407)*(E5407=E$2:E5407)))))-COUNTBLANK(OFFSET(A$1,,,SUMPRODUCT(MAX(ROW(E$1:E5406)*(E2=E$1:E5406))))))</f>
        <v> </v>
      </c>
      <c r="K5407" s="26" t="str">
        <f>IF(OR(E5407="",E5407="!!!",F5407="NEW"),"",INDEX(J$1:J5406,SUMPRODUCT(MAX(ROW(E$1:E5406)*(E5407=E$1:E5406)))))</f>
        <v> </v>
      </c>
      <c r="L5407" s="27"/>
    </row>
    <row r="5408" spans="1:12">
      <c r="A5408" s="20" t="s">
        <v>1118</v>
      </c>
      <c r="E5408" s="22">
        <f>IF(D5408="?OLD","!!!","")</f>
        <v/>
      </c>
      <c r="F5408" s="23" t="str">
        <f>IF(OR(E5408="",E5408="!!!"),"",IF(NOT(ISNA(VLOOKUP(E5408,E$1:E5407,1,FALSE()))),"OLD",IF(AND(E5408&lt;&gt;"",E5408&lt;&gt;"!!!"),"NEW","")))</f>
        <v> </v>
      </c>
      <c r="G5408" s="24" t="str">
        <f>IF(OR(E5408="",E5408="!!!"),"",IF(OR(J5408=0,AND(J5408=1,K5408=1),AND(J5408=1,I5408="SBJ"),AND(J5408=1,I5408=0)),"?IN_FOCUS",IF(J5408&lt;=2,"?ACTIVATED",IF(J5408&lt;&gt;"","?FAMILIAR",IF(F5408="NEW",IF(ISNA(VLOOKUP(E5408,#REF!,1,FALSE())),"?TYPE_IDENTIFIABLE","?REFERENTIAL"),"_")))))</f>
        <v> </v>
      </c>
      <c r="H5408" s="25" t="str">
        <f>IF(J5408&lt;&gt;1,"",IF(I5408="SBJ","CB","?"))</f>
        <v> </v>
      </c>
      <c r="I5408" s="26" t="str">
        <f>IF(OR(E5408="",E5408="!!!",F5408="NEW"),"",INDEX(B5407:B$2,-1+SUMPRODUCT(MAX(ROW(E5407:E$2)*(E5408=E5407:E$2)))))</f>
        <v> </v>
      </c>
      <c r="J5408" s="26" t="str">
        <f>IF(OR(E5408="",E5408="!!!",F5408="NEW"),"",COUNTBLANK(OFFSET(A$1,,,SUMPRODUCT(MAX(ROW(E$2:E5408)*(E5408=E$2:E5408)))))-COUNTBLANK(OFFSET(A$1,,,SUMPRODUCT(MAX(ROW(E$1:E5407)*(E2=E$1:E5407))))))</f>
        <v> </v>
      </c>
      <c r="K5408" s="26" t="str">
        <f>IF(OR(E5408="",E5408="!!!",F5408="NEW"),"",INDEX(J$1:J5407,SUMPRODUCT(MAX(ROW(E$1:E5407)*(E5408=E$1:E5407)))))</f>
        <v> </v>
      </c>
      <c r="L5408" s="27"/>
    </row>
    <row r="5409" spans="1:12">
      <c r="A5409" s="20" t="s">
        <v>1229</v>
      </c>
      <c r="E5409" s="22">
        <f>IF(D5409="?OLD","!!!","")</f>
        <v/>
      </c>
      <c r="F5409" s="23" t="str">
        <f>IF(OR(E5409="",E5409="!!!"),"",IF(NOT(ISNA(VLOOKUP(E5409,E$1:E5408,1,FALSE()))),"OLD",IF(AND(E5409&lt;&gt;"",E5409&lt;&gt;"!!!"),"NEW","")))</f>
        <v> </v>
      </c>
      <c r="G5409" s="24" t="str">
        <f>IF(OR(E5409="",E5409="!!!"),"",IF(OR(J5409=0,AND(J5409=1,K5409=1),AND(J5409=1,I5409="SBJ"),AND(J5409=1,I5409=0)),"?IN_FOCUS",IF(J5409&lt;=2,"?ACTIVATED",IF(J5409&lt;&gt;"","?FAMILIAR",IF(F5409="NEW",IF(ISNA(VLOOKUP(E5409,#REF!,1,FALSE())),"?TYPE_IDENTIFIABLE","?REFERENTIAL"),"_")))))</f>
        <v> </v>
      </c>
      <c r="H5409" s="25" t="str">
        <f>IF(J5409&lt;&gt;1,"",IF(I5409="SBJ","CB","?"))</f>
        <v> </v>
      </c>
      <c r="I5409" s="26" t="str">
        <f>IF(OR(E5409="",E5409="!!!",F5409="NEW"),"",INDEX(B5408:B$2,-1+SUMPRODUCT(MAX(ROW(E5408:E$2)*(E5409=E5408:E$2)))))</f>
        <v> </v>
      </c>
      <c r="J5409" s="26" t="str">
        <f>IF(OR(E5409="",E5409="!!!",F5409="NEW"),"",COUNTBLANK(OFFSET(A$1,,,SUMPRODUCT(MAX(ROW(E$2:E5409)*(E5409=E$2:E5409)))))-COUNTBLANK(OFFSET(A$1,,,SUMPRODUCT(MAX(ROW(E$1:E5408)*(E2=E$1:E5408))))))</f>
        <v> </v>
      </c>
      <c r="K5409" s="26" t="str">
        <f>IF(OR(E5409="",E5409="!!!",F5409="NEW"),"",INDEX(J$1:J5408,SUMPRODUCT(MAX(ROW(E$1:E5408)*(E5409=E$1:E5408)))))</f>
        <v> </v>
      </c>
      <c r="L5409" s="27"/>
    </row>
    <row r="5410" spans="1:12">
      <c r="A5410" s="20" t="s">
        <v>1101</v>
      </c>
      <c r="E5410" s="22">
        <f>IF(D5410="?OLD","!!!","")</f>
        <v/>
      </c>
      <c r="F5410" s="23" t="str">
        <f>IF(OR(E5410="",E5410="!!!"),"",IF(NOT(ISNA(VLOOKUP(E5410,E$1:E5409,1,FALSE()))),"OLD",IF(AND(E5410&lt;&gt;"",E5410&lt;&gt;"!!!"),"NEW","")))</f>
        <v> </v>
      </c>
      <c r="G5410" s="24" t="str">
        <f>IF(OR(E5410="",E5410="!!!"),"",IF(OR(J5410=0,AND(J5410=1,K5410=1),AND(J5410=1,I5410="SBJ"),AND(J5410=1,I5410=0)),"?IN_FOCUS",IF(J5410&lt;=2,"?ACTIVATED",IF(J5410&lt;&gt;"","?FAMILIAR",IF(F5410="NEW",IF(ISNA(VLOOKUP(E5410,#REF!,1,FALSE())),"?TYPE_IDENTIFIABLE","?REFERENTIAL"),"_")))))</f>
        <v> </v>
      </c>
      <c r="H5410" s="25" t="str">
        <f>IF(J5410&lt;&gt;1,"",IF(I5410="SBJ","CB","?"))</f>
        <v> </v>
      </c>
      <c r="I5410" s="26" t="str">
        <f>IF(OR(E5410="",E5410="!!!",F5410="NEW"),"",INDEX(B5409:B$2,-1+SUMPRODUCT(MAX(ROW(E5409:E$2)*(E5410=E5409:E$2)))))</f>
        <v> </v>
      </c>
      <c r="J5410" s="26" t="str">
        <f>IF(OR(E5410="",E5410="!!!",F5410="NEW"),"",COUNTBLANK(OFFSET(A$1,,,SUMPRODUCT(MAX(ROW(E$2:E5410)*(E5410=E$2:E5410)))))-COUNTBLANK(OFFSET(A$1,,,SUMPRODUCT(MAX(ROW(E$1:E5409)*(E2=E$1:E5409))))))</f>
        <v> </v>
      </c>
      <c r="K5410" s="26" t="str">
        <f>IF(OR(E5410="",E5410="!!!",F5410="NEW"),"",INDEX(J$1:J5409,SUMPRODUCT(MAX(ROW(E$1:E5409)*(E5410=E$1:E5409)))))</f>
        <v> </v>
      </c>
      <c r="L5410" s="27"/>
    </row>
    <row r="5411" spans="1:12">
      <c r="A5411" s="20" t="s">
        <v>2537</v>
      </c>
      <c r="B5411" s="21" t="s">
        <v>1064</v>
      </c>
      <c r="C5411" s="21" t="s">
        <v>1140</v>
      </c>
      <c r="D5411" s="21" t="s">
        <v>1060</v>
      </c>
      <c r="E5411" s="22">
        <f>IF(D5411="?OLD","!!!","")</f>
        <v/>
      </c>
      <c r="F5411" s="23" t="str">
        <f>IF(OR(E5411="",E5411="!!!"),"",IF(NOT(ISNA(VLOOKUP(E5411,E$1:E5410,1,FALSE()))),"OLD",IF(AND(E5411&lt;&gt;"",E5411&lt;&gt;"!!!"),"NEW","")))</f>
        <v> </v>
      </c>
      <c r="G5411" s="24" t="str">
        <f>IF(OR(E5411="",E5411="!!!"),"",IF(OR(J5411=0,AND(J5411=1,K5411=1),AND(J5411=1,I5411="SBJ"),AND(J5411=1,I5411=0)),"?IN_FOCUS",IF(J5411&lt;=2,"?ACTIVATED",IF(J5411&lt;&gt;"","?FAMILIAR",IF(F5411="NEW",IF(ISNA(VLOOKUP(E5411,#REF!,1,FALSE())),"?TYPE_IDENTIFIABLE","?REFERENTIAL"),"_")))))</f>
        <v> </v>
      </c>
      <c r="H5411" s="25" t="str">
        <f>IF(J5411&lt;&gt;1,"",IF(I5411="SBJ","CB","?"))</f>
        <v> </v>
      </c>
      <c r="I5411" s="26" t="str">
        <f>IF(OR(E5411="",E5411="!!!",F5411="NEW"),"",INDEX(B5410:B$2,-1+SUMPRODUCT(MAX(ROW(E5410:E$2)*(E5411=E5410:E$2)))))</f>
        <v> </v>
      </c>
      <c r="J5411" s="26" t="str">
        <f>IF(OR(E5411="",E5411="!!!",F5411="NEW"),"",COUNTBLANK(OFFSET(A$1,,,SUMPRODUCT(MAX(ROW(E$2:E5411)*(E5411=E$2:E5411)))))-COUNTBLANK(OFFSET(A$1,,,SUMPRODUCT(MAX(ROW(E$1:E5410)*(E2=E$1:E5410))))))</f>
        <v> </v>
      </c>
      <c r="K5411" s="26" t="str">
        <f>IF(OR(E5411="",E5411="!!!",F5411="NEW"),"",INDEX(J$1:J5410,SUMPRODUCT(MAX(ROW(E$1:E5410)*(E5411=E$1:E5410)))))</f>
        <v> </v>
      </c>
      <c r="L5411" s="27"/>
    </row>
    <row r="5412" spans="1:12">
      <c r="A5412" s="20" t="s">
        <v>1088</v>
      </c>
      <c r="E5412" s="22">
        <f>IF(D5412="?OLD","!!!","")</f>
        <v/>
      </c>
      <c r="F5412" s="23" t="str">
        <f>IF(OR(E5412="",E5412="!!!"),"",IF(NOT(ISNA(VLOOKUP(E5412,E$1:E5411,1,FALSE()))),"OLD",IF(AND(E5412&lt;&gt;"",E5412&lt;&gt;"!!!"),"NEW","")))</f>
        <v> </v>
      </c>
      <c r="G5412" s="24" t="str">
        <f>IF(OR(E5412="",E5412="!!!"),"",IF(OR(J5412=0,AND(J5412=1,K5412=1),AND(J5412=1,I5412="SBJ"),AND(J5412=1,I5412=0)),"?IN_FOCUS",IF(J5412&lt;=2,"?ACTIVATED",IF(J5412&lt;&gt;"","?FAMILIAR",IF(F5412="NEW",IF(ISNA(VLOOKUP(E5412,#REF!,1,FALSE())),"?TYPE_IDENTIFIABLE","?REFERENTIAL"),"_")))))</f>
        <v> </v>
      </c>
      <c r="H5412" s="25" t="str">
        <f>IF(J5412&lt;&gt;1,"",IF(I5412="SBJ","CB","?"))</f>
        <v> </v>
      </c>
      <c r="I5412" s="26" t="str">
        <f>IF(OR(E5412="",E5412="!!!",F5412="NEW"),"",INDEX(B5411:B$2,-1+SUMPRODUCT(MAX(ROW(E5411:E$2)*(E5412=E5411:E$2)))))</f>
        <v> </v>
      </c>
      <c r="J5412" s="26" t="str">
        <f>IF(OR(E5412="",E5412="!!!",F5412="NEW"),"",COUNTBLANK(OFFSET(A$1,,,SUMPRODUCT(MAX(ROW(E$2:E5412)*(E5412=E$2:E5412)))))-COUNTBLANK(OFFSET(A$1,,,SUMPRODUCT(MAX(ROW(E$1:E5411)*(E2=E$1:E5411))))))</f>
        <v> </v>
      </c>
      <c r="K5412" s="26" t="str">
        <f>IF(OR(E5412="",E5412="!!!",F5412="NEW"),"",INDEX(J$1:J5411,SUMPRODUCT(MAX(ROW(E$1:E5411)*(E5412=E$1:E5411)))))</f>
        <v> </v>
      </c>
      <c r="L5412" s="27"/>
    </row>
    <row r="5413" spans="1:12">
      <c r="A5413" s="20" t="s">
        <v>2538</v>
      </c>
      <c r="E5413" s="22">
        <f>IF(D5413="?OLD","!!!","")</f>
        <v/>
      </c>
      <c r="F5413" s="23" t="str">
        <f>IF(OR(E5413="",E5413="!!!"),"",IF(NOT(ISNA(VLOOKUP(E5413,E$1:E5412,1,FALSE()))),"OLD",IF(AND(E5413&lt;&gt;"",E5413&lt;&gt;"!!!"),"NEW","")))</f>
        <v> </v>
      </c>
      <c r="G5413" s="24" t="str">
        <f>IF(OR(E5413="",E5413="!!!"),"",IF(OR(J5413=0,AND(J5413=1,K5413=1),AND(J5413=1,I5413="SBJ"),AND(J5413=1,I5413=0)),"?IN_FOCUS",IF(J5413&lt;=2,"?ACTIVATED",IF(J5413&lt;&gt;"","?FAMILIAR",IF(F5413="NEW",IF(ISNA(VLOOKUP(E5413,#REF!,1,FALSE())),"?TYPE_IDENTIFIABLE","?REFERENTIAL"),"_")))))</f>
        <v> </v>
      </c>
      <c r="H5413" s="25" t="str">
        <f>IF(J5413&lt;&gt;1,"",IF(I5413="SBJ","CB","?"))</f>
        <v> </v>
      </c>
      <c r="I5413" s="26" t="str">
        <f>IF(OR(E5413="",E5413="!!!",F5413="NEW"),"",INDEX(B5412:B$2,-1+SUMPRODUCT(MAX(ROW(E5412:E$2)*(E5413=E5412:E$2)))))</f>
        <v> </v>
      </c>
      <c r="J5413" s="26" t="str">
        <f>IF(OR(E5413="",E5413="!!!",F5413="NEW"),"",COUNTBLANK(OFFSET(A$1,,,SUMPRODUCT(MAX(ROW(E$2:E5413)*(E5413=E$2:E5413)))))-COUNTBLANK(OFFSET(A$1,,,SUMPRODUCT(MAX(ROW(E$1:E5412)*(E2=E$1:E5412))))))</f>
        <v> </v>
      </c>
      <c r="K5413" s="26" t="str">
        <f>IF(OR(E5413="",E5413="!!!",F5413="NEW"),"",INDEX(J$1:J5412,SUMPRODUCT(MAX(ROW(E$1:E5412)*(E5413=E$1:E5412)))))</f>
        <v> </v>
      </c>
      <c r="L5413" s="27"/>
    </row>
    <row r="5414" spans="1:12">
      <c r="A5414" s="20" t="s">
        <v>2080</v>
      </c>
      <c r="E5414" s="22">
        <f>IF(D5414="?OLD","!!!","")</f>
        <v/>
      </c>
      <c r="F5414" s="23" t="str">
        <f>IF(OR(E5414="",E5414="!!!"),"",IF(NOT(ISNA(VLOOKUP(E5414,E$1:E5413,1,FALSE()))),"OLD",IF(AND(E5414&lt;&gt;"",E5414&lt;&gt;"!!!"),"NEW","")))</f>
        <v> </v>
      </c>
      <c r="G5414" s="24" t="str">
        <f>IF(OR(E5414="",E5414="!!!"),"",IF(OR(J5414=0,AND(J5414=1,K5414=1),AND(J5414=1,I5414="SBJ"),AND(J5414=1,I5414=0)),"?IN_FOCUS",IF(J5414&lt;=2,"?ACTIVATED",IF(J5414&lt;&gt;"","?FAMILIAR",IF(F5414="NEW",IF(ISNA(VLOOKUP(E5414,#REF!,1,FALSE())),"?TYPE_IDENTIFIABLE","?REFERENTIAL"),"_")))))</f>
        <v> </v>
      </c>
      <c r="H5414" s="25" t="str">
        <f>IF(J5414&lt;&gt;1,"",IF(I5414="SBJ","CB","?"))</f>
        <v> </v>
      </c>
      <c r="I5414" s="26" t="str">
        <f>IF(OR(E5414="",E5414="!!!",F5414="NEW"),"",INDEX(B5413:B$2,-1+SUMPRODUCT(MAX(ROW(E5413:E$2)*(E5414=E5413:E$2)))))</f>
        <v> </v>
      </c>
      <c r="J5414" s="26" t="str">
        <f>IF(OR(E5414="",E5414="!!!",F5414="NEW"),"",COUNTBLANK(OFFSET(A$1,,,SUMPRODUCT(MAX(ROW(E$2:E5414)*(E5414=E$2:E5414)))))-COUNTBLANK(OFFSET(A$1,,,SUMPRODUCT(MAX(ROW(E$1:E5413)*(E2=E$1:E5413))))))</f>
        <v> </v>
      </c>
      <c r="K5414" s="26" t="str">
        <f>IF(OR(E5414="",E5414="!!!",F5414="NEW"),"",INDEX(J$1:J5413,SUMPRODUCT(MAX(ROW(E$1:E5413)*(E5414=E$1:E5413)))))</f>
        <v> </v>
      </c>
      <c r="L5414" s="27"/>
    </row>
    <row r="5415" spans="1:12">
      <c r="A5415" s="20" t="s">
        <v>499</v>
      </c>
      <c r="E5415" s="22">
        <f>IF(D5415="?OLD","!!!","")</f>
        <v/>
      </c>
      <c r="F5415" s="23" t="str">
        <f>IF(OR(E5415="",E5415="!!!"),"",IF(NOT(ISNA(VLOOKUP(E5415,E$1:E5414,1,FALSE()))),"OLD",IF(AND(E5415&lt;&gt;"",E5415&lt;&gt;"!!!"),"NEW","")))</f>
        <v> </v>
      </c>
      <c r="G5415" s="24" t="str">
        <f>IF(OR(E5415="",E5415="!!!"),"",IF(OR(J5415=0,AND(J5415=1,K5415=1),AND(J5415=1,I5415="SBJ"),AND(J5415=1,I5415=0)),"?IN_FOCUS",IF(J5415&lt;=2,"?ACTIVATED",IF(J5415&lt;&gt;"","?FAMILIAR",IF(F5415="NEW",IF(ISNA(VLOOKUP(E5415,#REF!,1,FALSE())),"?TYPE_IDENTIFIABLE","?REFERENTIAL"),"_")))))</f>
        <v> </v>
      </c>
      <c r="H5415" s="25" t="str">
        <f>IF(J5415&lt;&gt;1,"",IF(I5415="SBJ","CB","?"))</f>
        <v> </v>
      </c>
      <c r="I5415" s="26" t="str">
        <f>IF(OR(E5415="",E5415="!!!",F5415="NEW"),"",INDEX(B5414:B$2,-1+SUMPRODUCT(MAX(ROW(E5414:E$2)*(E5415=E5414:E$2)))))</f>
        <v> </v>
      </c>
      <c r="J5415" s="26" t="str">
        <f>IF(OR(E5415="",E5415="!!!",F5415="NEW"),"",COUNTBLANK(OFFSET(A$1,,,SUMPRODUCT(MAX(ROW(E$2:E5415)*(E5415=E$2:E5415)))))-COUNTBLANK(OFFSET(A$1,,,SUMPRODUCT(MAX(ROW(E$1:E5414)*(E2=E$1:E5414))))))</f>
        <v> </v>
      </c>
      <c r="K5415" s="26" t="str">
        <f>IF(OR(E5415="",E5415="!!!",F5415="NEW"),"",INDEX(J$1:J5414,SUMPRODUCT(MAX(ROW(E$1:E5414)*(E5415=E$1:E5414)))))</f>
        <v> </v>
      </c>
      <c r="L5415" s="27"/>
    </row>
    <row r="5416" spans="1:12">
      <c r="A5416" s="20" t="s">
        <v>2539</v>
      </c>
      <c r="B5416" s="21" t="s">
        <v>1121</v>
      </c>
      <c r="C5416" s="21" t="s">
        <v>1149</v>
      </c>
      <c r="E5416" s="22">
        <f>IF(D5416="?OLD","!!!","")</f>
        <v/>
      </c>
      <c r="F5416" s="23" t="str">
        <f>IF(OR(E5416="",E5416="!!!"),"",IF(NOT(ISNA(VLOOKUP(E5416,E$1:E5415,1,FALSE()))),"OLD",IF(AND(E5416&lt;&gt;"",E5416&lt;&gt;"!!!"),"NEW","")))</f>
        <v> </v>
      </c>
      <c r="G5416" s="24" t="str">
        <f>IF(OR(E5416="",E5416="!!!"),"",IF(OR(J5416=0,AND(J5416=1,K5416=1),AND(J5416=1,I5416="SBJ"),AND(J5416=1,I5416=0)),"?IN_FOCUS",IF(J5416&lt;=2,"?ACTIVATED",IF(J5416&lt;&gt;"","?FAMILIAR",IF(F5416="NEW",IF(ISNA(VLOOKUP(E5416,#REF!,1,FALSE())),"?TYPE_IDENTIFIABLE","?REFERENTIAL"),"_")))))</f>
        <v> </v>
      </c>
      <c r="H5416" s="25" t="str">
        <f>IF(J5416&lt;&gt;1,"",IF(I5416="SBJ","CB","?"))</f>
        <v> </v>
      </c>
      <c r="I5416" s="26" t="str">
        <f>IF(OR(E5416="",E5416="!!!",F5416="NEW"),"",INDEX(B5415:B$2,-1+SUMPRODUCT(MAX(ROW(E5415:E$2)*(E5416=E5415:E$2)))))</f>
        <v> </v>
      </c>
      <c r="J5416" s="26" t="str">
        <f>IF(OR(E5416="",E5416="!!!",F5416="NEW"),"",COUNTBLANK(OFFSET(A$1,,,SUMPRODUCT(MAX(ROW(E$2:E5416)*(E5416=E$2:E5416)))))-COUNTBLANK(OFFSET(A$1,,,SUMPRODUCT(MAX(ROW(E$1:E5415)*(E2=E$1:E5415))))))</f>
        <v> </v>
      </c>
      <c r="K5416" s="26" t="str">
        <f>IF(OR(E5416="",E5416="!!!",F5416="NEW"),"",INDEX(J$1:J5415,SUMPRODUCT(MAX(ROW(E$1:E5415)*(E5416=E$1:E5415)))))</f>
        <v> </v>
      </c>
      <c r="L5416" s="27"/>
    </row>
    <row r="5417" spans="1:12">
      <c r="A5417" s="20" t="s">
        <v>1088</v>
      </c>
      <c r="E5417" s="22">
        <f>IF(D5417="?OLD","!!!","")</f>
        <v/>
      </c>
      <c r="F5417" s="23" t="str">
        <f>IF(OR(E5417="",E5417="!!!"),"",IF(NOT(ISNA(VLOOKUP(E5417,E$1:E5416,1,FALSE()))),"OLD",IF(AND(E5417&lt;&gt;"",E5417&lt;&gt;"!!!"),"NEW","")))</f>
        <v> </v>
      </c>
      <c r="G5417" s="24" t="str">
        <f>IF(OR(E5417="",E5417="!!!"),"",IF(OR(J5417=0,AND(J5417=1,K5417=1),AND(J5417=1,I5417="SBJ"),AND(J5417=1,I5417=0)),"?IN_FOCUS",IF(J5417&lt;=2,"?ACTIVATED",IF(J5417&lt;&gt;"","?FAMILIAR",IF(F5417="NEW",IF(ISNA(VLOOKUP(E5417,#REF!,1,FALSE())),"?TYPE_IDENTIFIABLE","?REFERENTIAL"),"_")))))</f>
        <v> </v>
      </c>
      <c r="H5417" s="25" t="str">
        <f>IF(J5417&lt;&gt;1,"",IF(I5417="SBJ","CB","?"))</f>
        <v> </v>
      </c>
      <c r="I5417" s="26" t="str">
        <f>IF(OR(E5417="",E5417="!!!",F5417="NEW"),"",INDEX(B5416:B$2,-1+SUMPRODUCT(MAX(ROW(E5416:E$2)*(E5417=E5416:E$2)))))</f>
        <v> </v>
      </c>
      <c r="J5417" s="26" t="str">
        <f>IF(OR(E5417="",E5417="!!!",F5417="NEW"),"",COUNTBLANK(OFFSET(A$1,,,SUMPRODUCT(MAX(ROW(E$2:E5417)*(E5417=E$2:E5417)))))-COUNTBLANK(OFFSET(A$1,,,SUMPRODUCT(MAX(ROW(E$1:E5416)*(E2=E$1:E5416))))))</f>
        <v> </v>
      </c>
      <c r="K5417" s="26" t="str">
        <f>IF(OR(E5417="",E5417="!!!",F5417="NEW"),"",INDEX(J$1:J5416,SUMPRODUCT(MAX(ROW(E$1:E5416)*(E5417=E$1:E5416)))))</f>
        <v> </v>
      </c>
      <c r="L5417" s="27"/>
    </row>
    <row r="5418" spans="1:12">
      <c r="A5418" s="20" t="s">
        <v>1975</v>
      </c>
      <c r="B5418" s="21" t="s">
        <v>1091</v>
      </c>
      <c r="C5418" s="21" t="s">
        <v>1149</v>
      </c>
      <c r="E5418" s="22">
        <f>IF(D5418="?OLD","!!!","")</f>
        <v/>
      </c>
      <c r="F5418" s="23" t="str">
        <f>IF(OR(E5418="",E5418="!!!"),"",IF(NOT(ISNA(VLOOKUP(E5418,E$1:E5417,1,FALSE()))),"OLD",IF(AND(E5418&lt;&gt;"",E5418&lt;&gt;"!!!"),"NEW","")))</f>
        <v> </v>
      </c>
      <c r="G5418" s="24" t="str">
        <f>IF(OR(E5418="",E5418="!!!"),"",IF(OR(J5418=0,AND(J5418=1,K5418=1),AND(J5418=1,I5418="SBJ"),AND(J5418=1,I5418=0)),"?IN_FOCUS",IF(J5418&lt;=2,"?ACTIVATED",IF(J5418&lt;&gt;"","?FAMILIAR",IF(F5418="NEW",IF(ISNA(VLOOKUP(E5418,#REF!,1,FALSE())),"?TYPE_IDENTIFIABLE","?REFERENTIAL"),"_")))))</f>
        <v> </v>
      </c>
      <c r="H5418" s="25" t="str">
        <f>IF(J5418&lt;&gt;1,"",IF(I5418="SBJ","CB","?"))</f>
        <v> </v>
      </c>
      <c r="I5418" s="26" t="str">
        <f>IF(OR(E5418="",E5418="!!!",F5418="NEW"),"",INDEX(B5417:B$2,-1+SUMPRODUCT(MAX(ROW(E5417:E$2)*(E5418=E5417:E$2)))))</f>
        <v> </v>
      </c>
      <c r="J5418" s="26" t="str">
        <f>IF(OR(E5418="",E5418="!!!",F5418="NEW"),"",COUNTBLANK(OFFSET(A$1,,,SUMPRODUCT(MAX(ROW(E$2:E5418)*(E5418=E$2:E5418)))))-COUNTBLANK(OFFSET(A$1,,,SUMPRODUCT(MAX(ROW(E$1:E5417)*(E2=E$1:E5417))))))</f>
        <v> </v>
      </c>
      <c r="K5418" s="26" t="str">
        <f>IF(OR(E5418="",E5418="!!!",F5418="NEW"),"",INDEX(J$1:J5417,SUMPRODUCT(MAX(ROW(E$1:E5417)*(E5418=E$1:E5417)))))</f>
        <v> </v>
      </c>
      <c r="L5418" s="27"/>
    </row>
    <row r="5419" spans="1:12">
      <c r="A5419" s="20" t="s">
        <v>923</v>
      </c>
      <c r="E5419" s="22">
        <f>IF(D5419="?OLD","!!!","")</f>
        <v/>
      </c>
      <c r="F5419" s="23" t="str">
        <f>IF(OR(E5419="",E5419="!!!"),"",IF(NOT(ISNA(VLOOKUP(E5419,E$1:E5418,1,FALSE()))),"OLD",IF(AND(E5419&lt;&gt;"",E5419&lt;&gt;"!!!"),"NEW","")))</f>
        <v> </v>
      </c>
      <c r="G5419" s="24" t="str">
        <f>IF(OR(E5419="",E5419="!!!"),"",IF(OR(J5419=0,AND(J5419=1,K5419=1),AND(J5419=1,I5419="SBJ"),AND(J5419=1,I5419=0)),"?IN_FOCUS",IF(J5419&lt;=2,"?ACTIVATED",IF(J5419&lt;&gt;"","?FAMILIAR",IF(F5419="NEW",IF(ISNA(VLOOKUP(E5419,#REF!,1,FALSE())),"?TYPE_IDENTIFIABLE","?REFERENTIAL"),"_")))))</f>
        <v> </v>
      </c>
      <c r="H5419" s="25" t="str">
        <f>IF(J5419&lt;&gt;1,"",IF(I5419="SBJ","CB","?"))</f>
        <v> </v>
      </c>
      <c r="I5419" s="26" t="str">
        <f>IF(OR(E5419="",E5419="!!!",F5419="NEW"),"",INDEX(B5418:B$2,-1+SUMPRODUCT(MAX(ROW(E5418:E$2)*(E5419=E5418:E$2)))))</f>
        <v> </v>
      </c>
      <c r="J5419" s="26" t="str">
        <f>IF(OR(E5419="",E5419="!!!",F5419="NEW"),"",COUNTBLANK(OFFSET(A$1,,,SUMPRODUCT(MAX(ROW(E$2:E5419)*(E5419=E$2:E5419)))))-COUNTBLANK(OFFSET(A$1,,,SUMPRODUCT(MAX(ROW(E$1:E5418)*(E2=E$1:E5418))))))</f>
        <v> </v>
      </c>
      <c r="K5419" s="26" t="str">
        <f>IF(OR(E5419="",E5419="!!!",F5419="NEW"),"",INDEX(J$1:J5418,SUMPRODUCT(MAX(ROW(E$1:E5418)*(E5419=E$1:E5418)))))</f>
        <v> </v>
      </c>
      <c r="L5419" s="27"/>
    </row>
    <row r="5420" spans="1:12">
      <c r="A5420" s="20"/>
    </row>
    <row r="5421" spans="1:12">
      <c r="A5421" s="20" t="s">
        <v>2540</v>
      </c>
    </row>
    <row r="5422" spans="1:12">
      <c r="A5422" s="20" t="s">
        <v>1528</v>
      </c>
      <c r="E5422" s="22">
        <f>IF(D5422="?OLD","!!!","")</f>
        <v/>
      </c>
      <c r="F5422" s="23" t="str">
        <f>IF(OR(E5422="",E5422="!!!"),"",IF(NOT(ISNA(VLOOKUP(E5422,E$1:E5421,1,FALSE()))),"OLD",IF(AND(E5422&lt;&gt;"",E5422&lt;&gt;"!!!"),"NEW","")))</f>
        <v> </v>
      </c>
      <c r="G5422" s="24" t="str">
        <f>IF(OR(E5422="",E5422="!!!"),"",IF(OR(J5422=0,AND(J5422=1,K5422=1),AND(J5422=1,I5422="SBJ"),AND(J5422=1,I5422=0)),"?IN_FOCUS",IF(J5422&lt;=2,"?ACTIVATED",IF(J5422&lt;&gt;"","?FAMILIAR",IF(F5422="NEW",IF(ISNA(VLOOKUP(E5422,#REF!,1,FALSE())),"?TYPE_IDENTIFIABLE","?REFERENTIAL"),"_")))))</f>
        <v> </v>
      </c>
      <c r="H5422" s="25" t="str">
        <f>IF(J5422&lt;&gt;1,"",IF(I5422="SBJ","CB","?"))</f>
        <v> </v>
      </c>
      <c r="I5422" s="26" t="str">
        <f>IF(OR(E5422="",E5422="!!!",F5422="NEW"),"",INDEX(B5421:B$2,-1+SUMPRODUCT(MAX(ROW(E5421:E$2)*(E5422=E5421:E$2)))))</f>
        <v> </v>
      </c>
      <c r="J5422" s="26" t="str">
        <f>IF(OR(E5422="",E5422="!!!",F5422="NEW"),"",COUNTBLANK(OFFSET(A$1,,,SUMPRODUCT(MAX(ROW(E$2:E5422)*(E5422=E$2:E5422)))))-COUNTBLANK(OFFSET(A$1,,,SUMPRODUCT(MAX(ROW(E$1:E5421)*(E2=E$1:E5421))))))</f>
        <v> </v>
      </c>
      <c r="K5422" s="26" t="str">
        <f>IF(OR(E5422="",E5422="!!!",F5422="NEW"),"",INDEX(J$1:J5421,SUMPRODUCT(MAX(ROW(E$1:E5421)*(E5422=E$1:E5421)))))</f>
        <v> </v>
      </c>
      <c r="L5422" s="27"/>
    </row>
    <row r="5423" spans="1:12">
      <c r="A5423" s="20" t="s">
        <v>2541</v>
      </c>
      <c r="E5423" s="22">
        <f>IF(D5423="?OLD","!!!","")</f>
        <v/>
      </c>
      <c r="F5423" s="23" t="str">
        <f>IF(OR(E5423="",E5423="!!!"),"",IF(NOT(ISNA(VLOOKUP(E5423,E$1:E5422,1,FALSE()))),"OLD",IF(AND(E5423&lt;&gt;"",E5423&lt;&gt;"!!!"),"NEW","")))</f>
        <v> </v>
      </c>
      <c r="G5423" s="24" t="str">
        <f>IF(OR(E5423="",E5423="!!!"),"",IF(OR(J5423=0,AND(J5423=1,K5423=1),AND(J5423=1,I5423="SBJ"),AND(J5423=1,I5423=0)),"?IN_FOCUS",IF(J5423&lt;=2,"?ACTIVATED",IF(J5423&lt;&gt;"","?FAMILIAR",IF(F5423="NEW",IF(ISNA(VLOOKUP(E5423,#REF!,1,FALSE())),"?TYPE_IDENTIFIABLE","?REFERENTIAL"),"_")))))</f>
        <v> </v>
      </c>
      <c r="H5423" s="25" t="str">
        <f>IF(J5423&lt;&gt;1,"",IF(I5423="SBJ","CB","?"))</f>
        <v> </v>
      </c>
      <c r="I5423" s="26" t="str">
        <f>IF(OR(E5423="",E5423="!!!",F5423="NEW"),"",INDEX(B5422:B$2,-1+SUMPRODUCT(MAX(ROW(E5422:E$2)*(E5423=E5422:E$2)))))</f>
        <v> </v>
      </c>
      <c r="J5423" s="26" t="str">
        <f>IF(OR(E5423="",E5423="!!!",F5423="NEW"),"",COUNTBLANK(OFFSET(A$1,,,SUMPRODUCT(MAX(ROW(E$2:E5423)*(E5423=E$2:E5423)))))-COUNTBLANK(OFFSET(A$1,,,SUMPRODUCT(MAX(ROW(E$1:E5422)*(E2=E$1:E5422))))))</f>
        <v> </v>
      </c>
      <c r="K5423" s="26" t="str">
        <f>IF(OR(E5423="",E5423="!!!",F5423="NEW"),"",INDEX(J$1:J5422,SUMPRODUCT(MAX(ROW(E$1:E5422)*(E5423=E$1:E5422)))))</f>
        <v> </v>
      </c>
      <c r="L5423" s="27"/>
    </row>
    <row r="5424" spans="1:12">
      <c r="A5424" s="20" t="s">
        <v>1101</v>
      </c>
      <c r="E5424" s="22">
        <f>IF(D5424="?OLD","!!!","")</f>
        <v/>
      </c>
      <c r="F5424" s="23" t="str">
        <f>IF(OR(E5424="",E5424="!!!"),"",IF(NOT(ISNA(VLOOKUP(E5424,E$1:E5423,1,FALSE()))),"OLD",IF(AND(E5424&lt;&gt;"",E5424&lt;&gt;"!!!"),"NEW","")))</f>
        <v> </v>
      </c>
      <c r="G5424" s="24" t="str">
        <f>IF(OR(E5424="",E5424="!!!"),"",IF(OR(J5424=0,AND(J5424=1,K5424=1),AND(J5424=1,I5424="SBJ"),AND(J5424=1,I5424=0)),"?IN_FOCUS",IF(J5424&lt;=2,"?ACTIVATED",IF(J5424&lt;&gt;"","?FAMILIAR",IF(F5424="NEW",IF(ISNA(VLOOKUP(E5424,#REF!,1,FALSE())),"?TYPE_IDENTIFIABLE","?REFERENTIAL"),"_")))))</f>
        <v> </v>
      </c>
      <c r="H5424" s="25" t="str">
        <f>IF(J5424&lt;&gt;1,"",IF(I5424="SBJ","CB","?"))</f>
        <v> </v>
      </c>
      <c r="I5424" s="26" t="str">
        <f>IF(OR(E5424="",E5424="!!!",F5424="NEW"),"",INDEX(B5423:B$2,-1+SUMPRODUCT(MAX(ROW(E5423:E$2)*(E5424=E5423:E$2)))))</f>
        <v> </v>
      </c>
      <c r="J5424" s="26" t="str">
        <f>IF(OR(E5424="",E5424="!!!",F5424="NEW"),"",COUNTBLANK(OFFSET(A$1,,,SUMPRODUCT(MAX(ROW(E$2:E5424)*(E5424=E$2:E5424)))))-COUNTBLANK(OFFSET(A$1,,,SUMPRODUCT(MAX(ROW(E$1:E5423)*(E2=E$1:E5423))))))</f>
        <v> </v>
      </c>
      <c r="K5424" s="26" t="str">
        <f>IF(OR(E5424="",E5424="!!!",F5424="NEW"),"",INDEX(J$1:J5423,SUMPRODUCT(MAX(ROW(E$1:E5423)*(E5424=E$1:E5423)))))</f>
        <v> </v>
      </c>
      <c r="L5424" s="27"/>
    </row>
    <row r="5425" spans="1:12">
      <c r="A5425" s="20" t="s">
        <v>2542</v>
      </c>
      <c r="E5425" s="22">
        <f>IF(D5425="?OLD","!!!","")</f>
        <v/>
      </c>
      <c r="F5425" s="23" t="str">
        <f>IF(OR(E5425="",E5425="!!!"),"",IF(NOT(ISNA(VLOOKUP(E5425,E$1:E5424,1,FALSE()))),"OLD",IF(AND(E5425&lt;&gt;"",E5425&lt;&gt;"!!!"),"NEW","")))</f>
        <v> </v>
      </c>
      <c r="G5425" s="24" t="str">
        <f>IF(OR(E5425="",E5425="!!!"),"",IF(OR(J5425=0,AND(J5425=1,K5425=1),AND(J5425=1,I5425="SBJ"),AND(J5425=1,I5425=0)),"?IN_FOCUS",IF(J5425&lt;=2,"?ACTIVATED",IF(J5425&lt;&gt;"","?FAMILIAR",IF(F5425="NEW",IF(ISNA(VLOOKUP(E5425,#REF!,1,FALSE())),"?TYPE_IDENTIFIABLE","?REFERENTIAL"),"_")))))</f>
        <v> </v>
      </c>
      <c r="H5425" s="25" t="str">
        <f>IF(J5425&lt;&gt;1,"",IF(I5425="SBJ","CB","?"))</f>
        <v> </v>
      </c>
      <c r="I5425" s="26" t="str">
        <f>IF(OR(E5425="",E5425="!!!",F5425="NEW"),"",INDEX(B5424:B$2,-1+SUMPRODUCT(MAX(ROW(E5424:E$2)*(E5425=E5424:E$2)))))</f>
        <v> </v>
      </c>
      <c r="J5425" s="26" t="str">
        <f>IF(OR(E5425="",E5425="!!!",F5425="NEW"),"",COUNTBLANK(OFFSET(A$1,,,SUMPRODUCT(MAX(ROW(E$2:E5425)*(E5425=E$2:E5425)))))-COUNTBLANK(OFFSET(A$1,,,SUMPRODUCT(MAX(ROW(E$1:E5424)*(E2=E$1:E5424))))))</f>
        <v> </v>
      </c>
      <c r="K5425" s="26" t="str">
        <f>IF(OR(E5425="",E5425="!!!",F5425="NEW"),"",INDEX(J$1:J5424,SUMPRODUCT(MAX(ROW(E$1:E5424)*(E5425=E$1:E5424)))))</f>
        <v> </v>
      </c>
      <c r="L5425" s="27"/>
    </row>
    <row r="5426" spans="1:12">
      <c r="A5426" s="20" t="s">
        <v>2543</v>
      </c>
      <c r="B5426" s="21" t="s">
        <v>1075</v>
      </c>
      <c r="C5426" s="21" t="s">
        <v>1140</v>
      </c>
      <c r="D5426" s="21" t="s">
        <v>1060</v>
      </c>
      <c r="E5426" s="22">
        <f>IF(D5426="?OLD","!!!","")</f>
        <v/>
      </c>
      <c r="F5426" s="23" t="str">
        <f>IF(OR(E5426="",E5426="!!!"),"",IF(NOT(ISNA(VLOOKUP(E5426,E$1:E5425,1,FALSE()))),"OLD",IF(AND(E5426&lt;&gt;"",E5426&lt;&gt;"!!!"),"NEW","")))</f>
        <v> </v>
      </c>
      <c r="G5426" s="24" t="str">
        <f>IF(OR(E5426="",E5426="!!!"),"",IF(OR(J5426=0,AND(J5426=1,K5426=1),AND(J5426=1,I5426="SBJ"),AND(J5426=1,I5426=0)),"?IN_FOCUS",IF(J5426&lt;=2,"?ACTIVATED",IF(J5426&lt;&gt;"","?FAMILIAR",IF(F5426="NEW",IF(ISNA(VLOOKUP(E5426,#REF!,1,FALSE())),"?TYPE_IDENTIFIABLE","?REFERENTIAL"),"_")))))</f>
        <v> </v>
      </c>
      <c r="H5426" s="25" t="str">
        <f>IF(J5426&lt;&gt;1,"",IF(I5426="SBJ","CB","?"))</f>
        <v> </v>
      </c>
      <c r="I5426" s="26" t="str">
        <f>IF(OR(E5426="",E5426="!!!",F5426="NEW"),"",INDEX(B5425:B$2,-1+SUMPRODUCT(MAX(ROW(E5425:E$2)*(E5426=E5425:E$2)))))</f>
        <v> </v>
      </c>
      <c r="J5426" s="26" t="str">
        <f>IF(OR(E5426="",E5426="!!!",F5426="NEW"),"",COUNTBLANK(OFFSET(A$1,,,SUMPRODUCT(MAX(ROW(E$2:E5426)*(E5426=E$2:E5426)))))-COUNTBLANK(OFFSET(A$1,,,SUMPRODUCT(MAX(ROW(E$1:E5425)*(E2=E$1:E5425))))))</f>
        <v> </v>
      </c>
      <c r="K5426" s="26" t="str">
        <f>IF(OR(E5426="",E5426="!!!",F5426="NEW"),"",INDEX(J$1:J5425,SUMPRODUCT(MAX(ROW(E$1:E5425)*(E5426=E$1:E5425)))))</f>
        <v> </v>
      </c>
      <c r="L5426" s="27"/>
    </row>
    <row r="5427" spans="1:12">
      <c r="A5427" s="20" t="s">
        <v>1061</v>
      </c>
      <c r="E5427" s="22">
        <f>IF(D5427="?OLD","!!!","")</f>
        <v/>
      </c>
      <c r="F5427" s="23" t="str">
        <f>IF(OR(E5427="",E5427="!!!"),"",IF(NOT(ISNA(VLOOKUP(E5427,E$1:E5426,1,FALSE()))),"OLD",IF(AND(E5427&lt;&gt;"",E5427&lt;&gt;"!!!"),"NEW","")))</f>
        <v> </v>
      </c>
      <c r="G5427" s="24" t="str">
        <f>IF(OR(E5427="",E5427="!!!"),"",IF(OR(J5427=0,AND(J5427=1,K5427=1),AND(J5427=1,I5427="SBJ"),AND(J5427=1,I5427=0)),"?IN_FOCUS",IF(J5427&lt;=2,"?ACTIVATED",IF(J5427&lt;&gt;"","?FAMILIAR",IF(F5427="NEW",IF(ISNA(VLOOKUP(E5427,#REF!,1,FALSE())),"?TYPE_IDENTIFIABLE","?REFERENTIAL"),"_")))))</f>
        <v> </v>
      </c>
      <c r="H5427" s="25" t="str">
        <f>IF(J5427&lt;&gt;1,"",IF(I5427="SBJ","CB","?"))</f>
        <v> </v>
      </c>
      <c r="I5427" s="26" t="str">
        <f>IF(OR(E5427="",E5427="!!!",F5427="NEW"),"",INDEX(B5426:B$2,-1+SUMPRODUCT(MAX(ROW(E5426:E$2)*(E5427=E5426:E$2)))))</f>
        <v> </v>
      </c>
      <c r="J5427" s="26" t="str">
        <f>IF(OR(E5427="",E5427="!!!",F5427="NEW"),"",COUNTBLANK(OFFSET(A$1,,,SUMPRODUCT(MAX(ROW(E$2:E5427)*(E5427=E$2:E5427)))))-COUNTBLANK(OFFSET(A$1,,,SUMPRODUCT(MAX(ROW(E$1:E5426)*(E2=E$1:E5426))))))</f>
        <v> </v>
      </c>
      <c r="K5427" s="26" t="str">
        <f>IF(OR(E5427="",E5427="!!!",F5427="NEW"),"",INDEX(J$1:J5426,SUMPRODUCT(MAX(ROW(E$1:E5426)*(E5427=E$1:E5426)))))</f>
        <v> </v>
      </c>
      <c r="L5427" s="27"/>
    </row>
    <row r="5428" spans="1:12">
      <c r="A5428" s="20" t="s">
        <v>1077</v>
      </c>
      <c r="E5428" s="22">
        <f>IF(D5428="?OLD","!!!","")</f>
        <v/>
      </c>
      <c r="F5428" s="23" t="str">
        <f>IF(OR(E5428="",E5428="!!!"),"",IF(NOT(ISNA(VLOOKUP(E5428,E$1:E5427,1,FALSE()))),"OLD",IF(AND(E5428&lt;&gt;"",E5428&lt;&gt;"!!!"),"NEW","")))</f>
        <v> </v>
      </c>
      <c r="G5428" s="24" t="str">
        <f>IF(OR(E5428="",E5428="!!!"),"",IF(OR(J5428=0,AND(J5428=1,K5428=1),AND(J5428=1,I5428="SBJ"),AND(J5428=1,I5428=0)),"?IN_FOCUS",IF(J5428&lt;=2,"?ACTIVATED",IF(J5428&lt;&gt;"","?FAMILIAR",IF(F5428="NEW",IF(ISNA(VLOOKUP(E5428,#REF!,1,FALSE())),"?TYPE_IDENTIFIABLE","?REFERENTIAL"),"_")))))</f>
        <v> </v>
      </c>
      <c r="H5428" s="25" t="str">
        <f>IF(J5428&lt;&gt;1,"",IF(I5428="SBJ","CB","?"))</f>
        <v> </v>
      </c>
      <c r="I5428" s="26" t="str">
        <f>IF(OR(E5428="",E5428="!!!",F5428="NEW"),"",INDEX(B5427:B$2,-1+SUMPRODUCT(MAX(ROW(E5427:E$2)*(E5428=E5427:E$2)))))</f>
        <v> </v>
      </c>
      <c r="J5428" s="26" t="str">
        <f>IF(OR(E5428="",E5428="!!!",F5428="NEW"),"",COUNTBLANK(OFFSET(A$1,,,SUMPRODUCT(MAX(ROW(E$2:E5428)*(E5428=E$2:E5428)))))-COUNTBLANK(OFFSET(A$1,,,SUMPRODUCT(MAX(ROW(E$1:E5427)*(E2=E$1:E5427))))))</f>
        <v> </v>
      </c>
      <c r="K5428" s="26" t="str">
        <f>IF(OR(E5428="",E5428="!!!",F5428="NEW"),"",INDEX(J$1:J5427,SUMPRODUCT(MAX(ROW(E$1:E5427)*(E5428=E$1:E5427)))))</f>
        <v> </v>
      </c>
      <c r="L5428" s="27"/>
    </row>
    <row r="5429" spans="1:12">
      <c r="A5429" s="20" t="s">
        <v>2544</v>
      </c>
      <c r="B5429" s="21" t="s">
        <v>1068</v>
      </c>
      <c r="C5429" s="21" t="s">
        <v>1080</v>
      </c>
      <c r="E5429" s="22">
        <f>IF(D5429="?OLD","!!!","")</f>
        <v/>
      </c>
      <c r="F5429" s="23" t="str">
        <f>IF(OR(E5429="",E5429="!!!"),"",IF(NOT(ISNA(VLOOKUP(E5429,E$1:E5428,1,FALSE()))),"OLD",IF(AND(E5429&lt;&gt;"",E5429&lt;&gt;"!!!"),"NEW","")))</f>
        <v> </v>
      </c>
      <c r="G5429" s="24" t="str">
        <f>IF(OR(E5429="",E5429="!!!"),"",IF(OR(J5429=0,AND(J5429=1,K5429=1),AND(J5429=1,I5429="SBJ"),AND(J5429=1,I5429=0)),"?IN_FOCUS",IF(J5429&lt;=2,"?ACTIVATED",IF(J5429&lt;&gt;"","?FAMILIAR",IF(F5429="NEW",IF(ISNA(VLOOKUP(E5429,#REF!,1,FALSE())),"?TYPE_IDENTIFIABLE","?REFERENTIAL"),"_")))))</f>
        <v> </v>
      </c>
      <c r="H5429" s="25" t="str">
        <f>IF(J5429&lt;&gt;1,"",IF(I5429="SBJ","CB","?"))</f>
        <v> </v>
      </c>
      <c r="I5429" s="26" t="str">
        <f>IF(OR(E5429="",E5429="!!!",F5429="NEW"),"",INDEX(B5428:B$2,-1+SUMPRODUCT(MAX(ROW(E5428:E$2)*(E5429=E5428:E$2)))))</f>
        <v> </v>
      </c>
      <c r="J5429" s="26" t="str">
        <f>IF(OR(E5429="",E5429="!!!",F5429="NEW"),"",COUNTBLANK(OFFSET(A$1,,,SUMPRODUCT(MAX(ROW(E$2:E5429)*(E5429=E$2:E5429)))))-COUNTBLANK(OFFSET(A$1,,,SUMPRODUCT(MAX(ROW(E$1:E5428)*(E2=E$1:E5428))))))</f>
        <v> </v>
      </c>
      <c r="K5429" s="26" t="str">
        <f>IF(OR(E5429="",E5429="!!!",F5429="NEW"),"",INDEX(J$1:J5428,SUMPRODUCT(MAX(ROW(E$1:E5428)*(E5429=E$1:E5428)))))</f>
        <v> </v>
      </c>
      <c r="L5429" s="27"/>
    </row>
    <row r="5430" spans="1:12">
      <c r="A5430" s="20" t="s">
        <v>1876</v>
      </c>
      <c r="E5430" s="22">
        <f>IF(D5430="?OLD","!!!","")</f>
        <v/>
      </c>
      <c r="F5430" s="23" t="str">
        <f>IF(OR(E5430="",E5430="!!!"),"",IF(NOT(ISNA(VLOOKUP(E5430,E$1:E5429,1,FALSE()))),"OLD",IF(AND(E5430&lt;&gt;"",E5430&lt;&gt;"!!!"),"NEW","")))</f>
        <v> </v>
      </c>
      <c r="G5430" s="24" t="str">
        <f>IF(OR(E5430="",E5430="!!!"),"",IF(OR(J5430=0,AND(J5430=1,K5430=1),AND(J5430=1,I5430="SBJ"),AND(J5430=1,I5430=0)),"?IN_FOCUS",IF(J5430&lt;=2,"?ACTIVATED",IF(J5430&lt;&gt;"","?FAMILIAR",IF(F5430="NEW",IF(ISNA(VLOOKUP(E5430,#REF!,1,FALSE())),"?TYPE_IDENTIFIABLE","?REFERENTIAL"),"_")))))</f>
        <v> </v>
      </c>
      <c r="H5430" s="25" t="str">
        <f>IF(J5430&lt;&gt;1,"",IF(I5430="SBJ","CB","?"))</f>
        <v> </v>
      </c>
      <c r="I5430" s="26" t="str">
        <f>IF(OR(E5430="",E5430="!!!",F5430="NEW"),"",INDEX(B5429:B$2,-1+SUMPRODUCT(MAX(ROW(E5429:E$2)*(E5430=E5429:E$2)))))</f>
        <v> </v>
      </c>
      <c r="J5430" s="26" t="str">
        <f>IF(OR(E5430="",E5430="!!!",F5430="NEW"),"",COUNTBLANK(OFFSET(A$1,,,SUMPRODUCT(MAX(ROW(E$2:E5430)*(E5430=E$2:E5430)))))-COUNTBLANK(OFFSET(A$1,,,SUMPRODUCT(MAX(ROW(E$1:E5429)*(E2=E$1:E5429))))))</f>
        <v> </v>
      </c>
      <c r="K5430" s="26" t="str">
        <f>IF(OR(E5430="",E5430="!!!",F5430="NEW"),"",INDEX(J$1:J5429,SUMPRODUCT(MAX(ROW(E$1:E5429)*(E5430=E$1:E5429)))))</f>
        <v> </v>
      </c>
      <c r="L5430" s="27"/>
    </row>
    <row r="5431" spans="1:12">
      <c r="A5431" s="20" t="s">
        <v>1118</v>
      </c>
      <c r="E5431" s="22">
        <f>IF(D5431="?OLD","!!!","")</f>
        <v/>
      </c>
      <c r="F5431" s="23" t="str">
        <f>IF(OR(E5431="",E5431="!!!"),"",IF(NOT(ISNA(VLOOKUP(E5431,E$1:E5430,1,FALSE()))),"OLD",IF(AND(E5431&lt;&gt;"",E5431&lt;&gt;"!!!"),"NEW","")))</f>
        <v> </v>
      </c>
      <c r="G5431" s="24" t="str">
        <f>IF(OR(E5431="",E5431="!!!"),"",IF(OR(J5431=0,AND(J5431=1,K5431=1),AND(J5431=1,I5431="SBJ"),AND(J5431=1,I5431=0)),"?IN_FOCUS",IF(J5431&lt;=2,"?ACTIVATED",IF(J5431&lt;&gt;"","?FAMILIAR",IF(F5431="NEW",IF(ISNA(VLOOKUP(E5431,#REF!,1,FALSE())),"?TYPE_IDENTIFIABLE","?REFERENTIAL"),"_")))))</f>
        <v> </v>
      </c>
      <c r="H5431" s="25" t="str">
        <f>IF(J5431&lt;&gt;1,"",IF(I5431="SBJ","CB","?"))</f>
        <v> </v>
      </c>
      <c r="I5431" s="26" t="str">
        <f>IF(OR(E5431="",E5431="!!!",F5431="NEW"),"",INDEX(B5430:B$2,-1+SUMPRODUCT(MAX(ROW(E5430:E$2)*(E5431=E5430:E$2)))))</f>
        <v> </v>
      </c>
      <c r="J5431" s="26" t="str">
        <f>IF(OR(E5431="",E5431="!!!",F5431="NEW"),"",COUNTBLANK(OFFSET(A$1,,,SUMPRODUCT(MAX(ROW(E$2:E5431)*(E5431=E$2:E5431)))))-COUNTBLANK(OFFSET(A$1,,,SUMPRODUCT(MAX(ROW(E$1:E5430)*(E2=E$1:E5430))))))</f>
        <v> </v>
      </c>
      <c r="K5431" s="26" t="str">
        <f>IF(OR(E5431="",E5431="!!!",F5431="NEW"),"",INDEX(J$1:J5430,SUMPRODUCT(MAX(ROW(E$1:E5430)*(E5431=E$1:E5430)))))</f>
        <v> </v>
      </c>
      <c r="L5431" s="27"/>
    </row>
    <row r="5432" spans="1:12">
      <c r="A5432" s="20" t="s">
        <v>2545</v>
      </c>
      <c r="E5432" s="22">
        <f>IF(D5432="?OLD","!!!","")</f>
        <v/>
      </c>
      <c r="F5432" s="23" t="str">
        <f>IF(OR(E5432="",E5432="!!!"),"",IF(NOT(ISNA(VLOOKUP(E5432,E$1:E5431,1,FALSE()))),"OLD",IF(AND(E5432&lt;&gt;"",E5432&lt;&gt;"!!!"),"NEW","")))</f>
        <v> </v>
      </c>
      <c r="G5432" s="24" t="str">
        <f>IF(OR(E5432="",E5432="!!!"),"",IF(OR(J5432=0,AND(J5432=1,K5432=1),AND(J5432=1,I5432="SBJ"),AND(J5432=1,I5432=0)),"?IN_FOCUS",IF(J5432&lt;=2,"?ACTIVATED",IF(J5432&lt;&gt;"","?FAMILIAR",IF(F5432="NEW",IF(ISNA(VLOOKUP(E5432,#REF!,1,FALSE())),"?TYPE_IDENTIFIABLE","?REFERENTIAL"),"_")))))</f>
        <v> </v>
      </c>
      <c r="H5432" s="25" t="str">
        <f>IF(J5432&lt;&gt;1,"",IF(I5432="SBJ","CB","?"))</f>
        <v> </v>
      </c>
      <c r="I5432" s="26" t="str">
        <f>IF(OR(E5432="",E5432="!!!",F5432="NEW"),"",INDEX(B5431:B$2,-1+SUMPRODUCT(MAX(ROW(E5431:E$2)*(E5432=E5431:E$2)))))</f>
        <v> </v>
      </c>
      <c r="J5432" s="26" t="str">
        <f>IF(OR(E5432="",E5432="!!!",F5432="NEW"),"",COUNTBLANK(OFFSET(A$1,,,SUMPRODUCT(MAX(ROW(E$2:E5432)*(E5432=E$2:E5432)))))-COUNTBLANK(OFFSET(A$1,,,SUMPRODUCT(MAX(ROW(E$1:E5431)*(E2=E$1:E5431))))))</f>
        <v> </v>
      </c>
      <c r="K5432" s="26" t="str">
        <f>IF(OR(E5432="",E5432="!!!",F5432="NEW"),"",INDEX(J$1:J5431,SUMPRODUCT(MAX(ROW(E$1:E5431)*(E5432=E$1:E5431)))))</f>
        <v> </v>
      </c>
      <c r="L5432" s="27"/>
    </row>
    <row r="5433" spans="1:12">
      <c r="A5433" s="20" t="s">
        <v>1070</v>
      </c>
      <c r="E5433" s="22">
        <f>IF(D5433="?OLD","!!!","")</f>
        <v/>
      </c>
      <c r="F5433" s="23" t="str">
        <f>IF(OR(E5433="",E5433="!!!"),"",IF(NOT(ISNA(VLOOKUP(E5433,E$1:E5432,1,FALSE()))),"OLD",IF(AND(E5433&lt;&gt;"",E5433&lt;&gt;"!!!"),"NEW","")))</f>
        <v> </v>
      </c>
      <c r="G5433" s="24" t="str">
        <f>IF(OR(E5433="",E5433="!!!"),"",IF(OR(J5433=0,AND(J5433=1,K5433=1),AND(J5433=1,I5433="SBJ"),AND(J5433=1,I5433=0)),"?IN_FOCUS",IF(J5433&lt;=2,"?ACTIVATED",IF(J5433&lt;&gt;"","?FAMILIAR",IF(F5433="NEW",IF(ISNA(VLOOKUP(E5433,#REF!,1,FALSE())),"?TYPE_IDENTIFIABLE","?REFERENTIAL"),"_")))))</f>
        <v> </v>
      </c>
      <c r="H5433" s="25" t="str">
        <f>IF(J5433&lt;&gt;1,"",IF(I5433="SBJ","CB","?"))</f>
        <v> </v>
      </c>
      <c r="I5433" s="26" t="str">
        <f>IF(OR(E5433="",E5433="!!!",F5433="NEW"),"",INDEX(B5432:B$2,-1+SUMPRODUCT(MAX(ROW(E5432:E$2)*(E5433=E5432:E$2)))))</f>
        <v> </v>
      </c>
      <c r="J5433" s="26" t="str">
        <f>IF(OR(E5433="",E5433="!!!",F5433="NEW"),"",COUNTBLANK(OFFSET(A$1,,,SUMPRODUCT(MAX(ROW(E$2:E5433)*(E5433=E$2:E5433)))))-COUNTBLANK(OFFSET(A$1,,,SUMPRODUCT(MAX(ROW(E$1:E5432)*(E2=E$1:E5432))))))</f>
        <v> </v>
      </c>
      <c r="K5433" s="26" t="str">
        <f>IF(OR(E5433="",E5433="!!!",F5433="NEW"),"",INDEX(J$1:J5432,SUMPRODUCT(MAX(ROW(E$1:E5432)*(E5433=E$1:E5432)))))</f>
        <v> </v>
      </c>
      <c r="L5433" s="27"/>
    </row>
    <row r="5434" spans="1:12">
      <c r="A5434" s="20" t="s">
        <v>1584</v>
      </c>
      <c r="E5434" s="22">
        <f>IF(D5434="?OLD","!!!","")</f>
        <v/>
      </c>
      <c r="F5434" s="23" t="str">
        <f>IF(OR(E5434="",E5434="!!!"),"",IF(NOT(ISNA(VLOOKUP(E5434,E$1:E5433,1,FALSE()))),"OLD",IF(AND(E5434&lt;&gt;"",E5434&lt;&gt;"!!!"),"NEW","")))</f>
        <v> </v>
      </c>
      <c r="G5434" s="24" t="str">
        <f>IF(OR(E5434="",E5434="!!!"),"",IF(OR(J5434=0,AND(J5434=1,K5434=1),AND(J5434=1,I5434="SBJ"),AND(J5434=1,I5434=0)),"?IN_FOCUS",IF(J5434&lt;=2,"?ACTIVATED",IF(J5434&lt;&gt;"","?FAMILIAR",IF(F5434="NEW",IF(ISNA(VLOOKUP(E5434,#REF!,1,FALSE())),"?TYPE_IDENTIFIABLE","?REFERENTIAL"),"_")))))</f>
        <v> </v>
      </c>
      <c r="H5434" s="25" t="str">
        <f>IF(J5434&lt;&gt;1,"",IF(I5434="SBJ","CB","?"))</f>
        <v> </v>
      </c>
      <c r="I5434" s="26" t="str">
        <f>IF(OR(E5434="",E5434="!!!",F5434="NEW"),"",INDEX(B5433:B$2,-1+SUMPRODUCT(MAX(ROW(E5433:E$2)*(E5434=E5433:E$2)))))</f>
        <v> </v>
      </c>
      <c r="J5434" s="26" t="str">
        <f>IF(OR(E5434="",E5434="!!!",F5434="NEW"),"",COUNTBLANK(OFFSET(A$1,,,SUMPRODUCT(MAX(ROW(E$2:E5434)*(E5434=E$2:E5434)))))-COUNTBLANK(OFFSET(A$1,,,SUMPRODUCT(MAX(ROW(E$1:E5433)*(E2=E$1:E5433))))))</f>
        <v> </v>
      </c>
      <c r="K5434" s="26" t="str">
        <f>IF(OR(E5434="",E5434="!!!",F5434="NEW"),"",INDEX(J$1:J5433,SUMPRODUCT(MAX(ROW(E$1:E5433)*(E5434=E$1:E5433)))))</f>
        <v> </v>
      </c>
      <c r="L5434" s="27"/>
    </row>
    <row r="5435" spans="1:12">
      <c r="A5435" s="20" t="s">
        <v>1146</v>
      </c>
      <c r="E5435" s="22">
        <f>IF(D5435="?OLD","!!!","")</f>
        <v/>
      </c>
      <c r="F5435" s="23" t="str">
        <f>IF(OR(E5435="",E5435="!!!"),"",IF(NOT(ISNA(VLOOKUP(E5435,E$1:E5434,1,FALSE()))),"OLD",IF(AND(E5435&lt;&gt;"",E5435&lt;&gt;"!!!"),"NEW","")))</f>
        <v> </v>
      </c>
      <c r="G5435" s="24" t="str">
        <f>IF(OR(E5435="",E5435="!!!"),"",IF(OR(J5435=0,AND(J5435=1,K5435=1),AND(J5435=1,I5435="SBJ"),AND(J5435=1,I5435=0)),"?IN_FOCUS",IF(J5435&lt;=2,"?ACTIVATED",IF(J5435&lt;&gt;"","?FAMILIAR",IF(F5435="NEW",IF(ISNA(VLOOKUP(E5435,#REF!,1,FALSE())),"?TYPE_IDENTIFIABLE","?REFERENTIAL"),"_")))))</f>
        <v> </v>
      </c>
      <c r="H5435" s="25" t="str">
        <f>IF(J5435&lt;&gt;1,"",IF(I5435="SBJ","CB","?"))</f>
        <v> </v>
      </c>
      <c r="I5435" s="26" t="str">
        <f>IF(OR(E5435="",E5435="!!!",F5435="NEW"),"",INDEX(B5434:B$2,-1+SUMPRODUCT(MAX(ROW(E5434:E$2)*(E5435=E5434:E$2)))))</f>
        <v> </v>
      </c>
      <c r="J5435" s="26" t="str">
        <f>IF(OR(E5435="",E5435="!!!",F5435="NEW"),"",COUNTBLANK(OFFSET(A$1,,,SUMPRODUCT(MAX(ROW(E$2:E5435)*(E5435=E$2:E5435)))))-COUNTBLANK(OFFSET(A$1,,,SUMPRODUCT(MAX(ROW(E$1:E5434)*(E2=E$1:E5434))))))</f>
        <v> </v>
      </c>
      <c r="K5435" s="26" t="str">
        <f>IF(OR(E5435="",E5435="!!!",F5435="NEW"),"",INDEX(J$1:J5434,SUMPRODUCT(MAX(ROW(E$1:E5434)*(E5435=E$1:E5434)))))</f>
        <v> </v>
      </c>
      <c r="L5435" s="27"/>
    </row>
    <row r="5436" spans="1:12">
      <c r="A5436" s="20" t="s">
        <v>1172</v>
      </c>
      <c r="B5436" s="21" t="s">
        <v>1064</v>
      </c>
      <c r="C5436" s="21" t="s">
        <v>1092</v>
      </c>
      <c r="D5436" s="21" t="s">
        <v>1060</v>
      </c>
      <c r="E5436" s="22">
        <f>IF(D5436="?OLD","!!!","")</f>
        <v/>
      </c>
      <c r="F5436" s="23" t="str">
        <f>IF(OR(E5436="",E5436="!!!"),"",IF(NOT(ISNA(VLOOKUP(E5436,E$1:E5435,1,FALSE()))),"OLD",IF(AND(E5436&lt;&gt;"",E5436&lt;&gt;"!!!"),"NEW","")))</f>
        <v> </v>
      </c>
      <c r="G5436" s="24" t="str">
        <f>IF(OR(E5436="",E5436="!!!"),"",IF(OR(J5436=0,AND(J5436=1,K5436=1),AND(J5436=1,I5436="SBJ"),AND(J5436=1,I5436=0)),"?IN_FOCUS",IF(J5436&lt;=2,"?ACTIVATED",IF(J5436&lt;&gt;"","?FAMILIAR",IF(F5436="NEW",IF(ISNA(VLOOKUP(E5436,#REF!,1,FALSE())),"?TYPE_IDENTIFIABLE","?REFERENTIAL"),"_")))))</f>
        <v> </v>
      </c>
      <c r="H5436" s="25" t="str">
        <f>IF(J5436&lt;&gt;1,"",IF(I5436="SBJ","CB","?"))</f>
        <v> </v>
      </c>
      <c r="I5436" s="26" t="str">
        <f>IF(OR(E5436="",E5436="!!!",F5436="NEW"),"",INDEX(B5435:B$2,-1+SUMPRODUCT(MAX(ROW(E5435:E$2)*(E5436=E5435:E$2)))))</f>
        <v> </v>
      </c>
      <c r="J5436" s="26" t="str">
        <f>IF(OR(E5436="",E5436="!!!",F5436="NEW"),"",COUNTBLANK(OFFSET(A$1,,,SUMPRODUCT(MAX(ROW(E$2:E5436)*(E5436=E$2:E5436)))))-COUNTBLANK(OFFSET(A$1,,,SUMPRODUCT(MAX(ROW(E$1:E5435)*(E2=E$1:E5435))))))</f>
        <v> </v>
      </c>
      <c r="K5436" s="26" t="str">
        <f>IF(OR(E5436="",E5436="!!!",F5436="NEW"),"",INDEX(J$1:J5435,SUMPRODUCT(MAX(ROW(E$1:E5435)*(E5436=E$1:E5435)))))</f>
        <v> </v>
      </c>
      <c r="L5436" s="27"/>
    </row>
    <row r="5437" spans="1:12">
      <c r="A5437" s="20" t="s">
        <v>1302</v>
      </c>
      <c r="B5437" s="21" t="s">
        <v>1079</v>
      </c>
      <c r="C5437" s="21" t="s">
        <v>1059</v>
      </c>
      <c r="D5437" s="21" t="s">
        <v>1060</v>
      </c>
      <c r="E5437" s="22">
        <f>IF(D5437="?OLD","!!!","")</f>
        <v/>
      </c>
      <c r="F5437" s="23" t="str">
        <f>IF(OR(E5437="",E5437="!!!"),"",IF(NOT(ISNA(VLOOKUP(E5437,E$1:E5436,1,FALSE()))),"OLD",IF(AND(E5437&lt;&gt;"",E5437&lt;&gt;"!!!"),"NEW","")))</f>
        <v> </v>
      </c>
      <c r="G5437" s="24" t="str">
        <f>IF(OR(E5437="",E5437="!!!"),"",IF(OR(J5437=0,AND(J5437=1,K5437=1),AND(J5437=1,I5437="SBJ"),AND(J5437=1,I5437=0)),"?IN_FOCUS",IF(J5437&lt;=2,"?ACTIVATED",IF(J5437&lt;&gt;"","?FAMILIAR",IF(F5437="NEW",IF(ISNA(VLOOKUP(E5437,#REF!,1,FALSE())),"?TYPE_IDENTIFIABLE","?REFERENTIAL"),"_")))))</f>
        <v> </v>
      </c>
      <c r="H5437" s="25" t="str">
        <f>IF(J5437&lt;&gt;1,"",IF(I5437="SBJ","CB","?"))</f>
        <v> </v>
      </c>
      <c r="I5437" s="26" t="str">
        <f>IF(OR(E5437="",E5437="!!!",F5437="NEW"),"",INDEX(B5436:B$2,-1+SUMPRODUCT(MAX(ROW(E5436:E$2)*(E5437=E5436:E$2)))))</f>
        <v> </v>
      </c>
      <c r="J5437" s="26" t="str">
        <f>IF(OR(E5437="",E5437="!!!",F5437="NEW"),"",COUNTBLANK(OFFSET(A$1,,,SUMPRODUCT(MAX(ROW(E$2:E5437)*(E5437=E$2:E5437)))))-COUNTBLANK(OFFSET(A$1,,,SUMPRODUCT(MAX(ROW(E$1:E5436)*(E2=E$1:E5436))))))</f>
        <v> </v>
      </c>
      <c r="K5437" s="26" t="str">
        <f>IF(OR(E5437="",E5437="!!!",F5437="NEW"),"",INDEX(J$1:J5436,SUMPRODUCT(MAX(ROW(E$1:E5436)*(E5437=E$1:E5436)))))</f>
        <v> </v>
      </c>
      <c r="L5437" s="27"/>
    </row>
    <row r="5438" spans="1:12">
      <c r="A5438" s="20" t="s">
        <v>1255</v>
      </c>
      <c r="E5438" s="22">
        <f>IF(D5438="?OLD","!!!","")</f>
        <v/>
      </c>
      <c r="F5438" s="23" t="str">
        <f>IF(OR(E5438="",E5438="!!!"),"",IF(NOT(ISNA(VLOOKUP(E5438,E$1:E5437,1,FALSE()))),"OLD",IF(AND(E5438&lt;&gt;"",E5438&lt;&gt;"!!!"),"NEW","")))</f>
        <v> </v>
      </c>
      <c r="G5438" s="24" t="str">
        <f>IF(OR(E5438="",E5438="!!!"),"",IF(OR(J5438=0,AND(J5438=1,K5438=1),AND(J5438=1,I5438="SBJ"),AND(J5438=1,I5438=0)),"?IN_FOCUS",IF(J5438&lt;=2,"?ACTIVATED",IF(J5438&lt;&gt;"","?FAMILIAR",IF(F5438="NEW",IF(ISNA(VLOOKUP(E5438,#REF!,1,FALSE())),"?TYPE_IDENTIFIABLE","?REFERENTIAL"),"_")))))</f>
        <v> </v>
      </c>
      <c r="H5438" s="25" t="str">
        <f>IF(J5438&lt;&gt;1,"",IF(I5438="SBJ","CB","?"))</f>
        <v> </v>
      </c>
      <c r="I5438" s="26" t="str">
        <f>IF(OR(E5438="",E5438="!!!",F5438="NEW"),"",INDEX(B5437:B$2,-1+SUMPRODUCT(MAX(ROW(E5437:E$2)*(E5438=E5437:E$2)))))</f>
        <v> </v>
      </c>
      <c r="J5438" s="26" t="str">
        <f>IF(OR(E5438="",E5438="!!!",F5438="NEW"),"",COUNTBLANK(OFFSET(A$1,,,SUMPRODUCT(MAX(ROW(E$2:E5438)*(E5438=E$2:E5438)))))-COUNTBLANK(OFFSET(A$1,,,SUMPRODUCT(MAX(ROW(E$1:E5437)*(E2=E$1:E5437))))))</f>
        <v> </v>
      </c>
      <c r="K5438" s="26" t="str">
        <f>IF(OR(E5438="",E5438="!!!",F5438="NEW"),"",INDEX(J$1:J5437,SUMPRODUCT(MAX(ROW(E$1:E5437)*(E5438=E$1:E5437)))))</f>
        <v> </v>
      </c>
      <c r="L5438" s="27"/>
    </row>
    <row r="5439" spans="1:12">
      <c r="A5439" s="20" t="s">
        <v>1070</v>
      </c>
      <c r="E5439" s="22">
        <f>IF(D5439="?OLD","!!!","")</f>
        <v/>
      </c>
      <c r="F5439" s="23" t="str">
        <f>IF(OR(E5439="",E5439="!!!"),"",IF(NOT(ISNA(VLOOKUP(E5439,E$1:E5438,1,FALSE()))),"OLD",IF(AND(E5439&lt;&gt;"",E5439&lt;&gt;"!!!"),"NEW","")))</f>
        <v> </v>
      </c>
      <c r="G5439" s="24" t="str">
        <f>IF(OR(E5439="",E5439="!!!"),"",IF(OR(J5439=0,AND(J5439=1,K5439=1),AND(J5439=1,I5439="SBJ"),AND(J5439=1,I5439=0)),"?IN_FOCUS",IF(J5439&lt;=2,"?ACTIVATED",IF(J5439&lt;&gt;"","?FAMILIAR",IF(F5439="NEW",IF(ISNA(VLOOKUP(E5439,#REF!,1,FALSE())),"?TYPE_IDENTIFIABLE","?REFERENTIAL"),"_")))))</f>
        <v> </v>
      </c>
      <c r="H5439" s="25" t="str">
        <f>IF(J5439&lt;&gt;1,"",IF(I5439="SBJ","CB","?"))</f>
        <v> </v>
      </c>
      <c r="I5439" s="26" t="str">
        <f>IF(OR(E5439="",E5439="!!!",F5439="NEW"),"",INDEX(B5438:B$2,-1+SUMPRODUCT(MAX(ROW(E5438:E$2)*(E5439=E5438:E$2)))))</f>
        <v> </v>
      </c>
      <c r="J5439" s="26" t="str">
        <f>IF(OR(E5439="",E5439="!!!",F5439="NEW"),"",COUNTBLANK(OFFSET(A$1,,,SUMPRODUCT(MAX(ROW(E$2:E5439)*(E5439=E$2:E5439)))))-COUNTBLANK(OFFSET(A$1,,,SUMPRODUCT(MAX(ROW(E$1:E5438)*(E2=E$1:E5438))))))</f>
        <v> </v>
      </c>
      <c r="K5439" s="26" t="str">
        <f>IF(OR(E5439="",E5439="!!!",F5439="NEW"),"",INDEX(J$1:J5438,SUMPRODUCT(MAX(ROW(E$1:E5438)*(E5439=E$1:E5438)))))</f>
        <v> </v>
      </c>
      <c r="L5439" s="27"/>
    </row>
    <row r="5440" spans="1:12">
      <c r="A5440" s="20" t="s">
        <v>1118</v>
      </c>
      <c r="E5440" s="22">
        <f>IF(D5440="?OLD","!!!","")</f>
        <v/>
      </c>
      <c r="F5440" s="23" t="str">
        <f>IF(OR(E5440="",E5440="!!!"),"",IF(NOT(ISNA(VLOOKUP(E5440,E$1:E5439,1,FALSE()))),"OLD",IF(AND(E5440&lt;&gt;"",E5440&lt;&gt;"!!!"),"NEW","")))</f>
        <v> </v>
      </c>
      <c r="G5440" s="24" t="str">
        <f>IF(OR(E5440="",E5440="!!!"),"",IF(OR(J5440=0,AND(J5440=1,K5440=1),AND(J5440=1,I5440="SBJ"),AND(J5440=1,I5440=0)),"?IN_FOCUS",IF(J5440&lt;=2,"?ACTIVATED",IF(J5440&lt;&gt;"","?FAMILIAR",IF(F5440="NEW",IF(ISNA(VLOOKUP(E5440,#REF!,1,FALSE())),"?TYPE_IDENTIFIABLE","?REFERENTIAL"),"_")))))</f>
        <v> </v>
      </c>
      <c r="H5440" s="25" t="str">
        <f>IF(J5440&lt;&gt;1,"",IF(I5440="SBJ","CB","?"))</f>
        <v> </v>
      </c>
      <c r="I5440" s="26" t="str">
        <f>IF(OR(E5440="",E5440="!!!",F5440="NEW"),"",INDEX(B5439:B$2,-1+SUMPRODUCT(MAX(ROW(E5439:E$2)*(E5440=E5439:E$2)))))</f>
        <v> </v>
      </c>
      <c r="J5440" s="26" t="str">
        <f>IF(OR(E5440="",E5440="!!!",F5440="NEW"),"",COUNTBLANK(OFFSET(A$1,,,SUMPRODUCT(MAX(ROW(E$2:E5440)*(E5440=E$2:E5440)))))-COUNTBLANK(OFFSET(A$1,,,SUMPRODUCT(MAX(ROW(E$1:E5439)*(E2=E$1:E5439))))))</f>
        <v> </v>
      </c>
      <c r="K5440" s="26" t="str">
        <f>IF(OR(E5440="",E5440="!!!",F5440="NEW"),"",INDEX(J$1:J5439,SUMPRODUCT(MAX(ROW(E$1:E5439)*(E5440=E$1:E5439)))))</f>
        <v> </v>
      </c>
      <c r="L5440" s="27"/>
    </row>
    <row r="5441" spans="1:12">
      <c r="A5441" s="20" t="s">
        <v>1146</v>
      </c>
      <c r="E5441" s="22">
        <f>IF(D5441="?OLD","!!!","")</f>
        <v/>
      </c>
      <c r="F5441" s="23" t="str">
        <f>IF(OR(E5441="",E5441="!!!"),"",IF(NOT(ISNA(VLOOKUP(E5441,E$1:E5440,1,FALSE()))),"OLD",IF(AND(E5441&lt;&gt;"",E5441&lt;&gt;"!!!"),"NEW","")))</f>
        <v> </v>
      </c>
      <c r="G5441" s="24" t="str">
        <f>IF(OR(E5441="",E5441="!!!"),"",IF(OR(J5441=0,AND(J5441=1,K5441=1),AND(J5441=1,I5441="SBJ"),AND(J5441=1,I5441=0)),"?IN_FOCUS",IF(J5441&lt;=2,"?ACTIVATED",IF(J5441&lt;&gt;"","?FAMILIAR",IF(F5441="NEW",IF(ISNA(VLOOKUP(E5441,#REF!,1,FALSE())),"?TYPE_IDENTIFIABLE","?REFERENTIAL"),"_")))))</f>
        <v> </v>
      </c>
      <c r="H5441" s="25" t="str">
        <f>IF(J5441&lt;&gt;1,"",IF(I5441="SBJ","CB","?"))</f>
        <v> </v>
      </c>
      <c r="I5441" s="26" t="str">
        <f>IF(OR(E5441="",E5441="!!!",F5441="NEW"),"",INDEX(B5440:B$2,-1+SUMPRODUCT(MAX(ROW(E5440:E$2)*(E5441=E5440:E$2)))))</f>
        <v> </v>
      </c>
      <c r="J5441" s="26" t="str">
        <f>IF(OR(E5441="",E5441="!!!",F5441="NEW"),"",COUNTBLANK(OFFSET(A$1,,,SUMPRODUCT(MAX(ROW(E$2:E5441)*(E5441=E$2:E5441)))))-COUNTBLANK(OFFSET(A$1,,,SUMPRODUCT(MAX(ROW(E$1:E5440)*(E2=E$1:E5440))))))</f>
        <v> </v>
      </c>
      <c r="K5441" s="26" t="str">
        <f>IF(OR(E5441="",E5441="!!!",F5441="NEW"),"",INDEX(J$1:J5440,SUMPRODUCT(MAX(ROW(E$1:E5440)*(E5441=E$1:E5440)))))</f>
        <v> </v>
      </c>
      <c r="L5441" s="27"/>
    </row>
    <row r="5442" spans="1:12">
      <c r="A5442" s="20" t="s">
        <v>1170</v>
      </c>
      <c r="B5442" s="21" t="s">
        <v>1084</v>
      </c>
      <c r="C5442" s="21" t="s">
        <v>1076</v>
      </c>
      <c r="D5442" s="21" t="s">
        <v>1060</v>
      </c>
      <c r="E5442" s="22">
        <f>IF(D5442="?OLD","!!!","")</f>
        <v/>
      </c>
      <c r="F5442" s="23" t="str">
        <f>IF(OR(E5442="",E5442="!!!"),"",IF(NOT(ISNA(VLOOKUP(E5442,E$1:E5441,1,FALSE()))),"OLD",IF(AND(E5442&lt;&gt;"",E5442&lt;&gt;"!!!"),"NEW","")))</f>
        <v> </v>
      </c>
      <c r="G5442" s="24" t="str">
        <f>IF(OR(E5442="",E5442="!!!"),"",IF(OR(J5442=0,AND(J5442=1,K5442=1),AND(J5442=1,I5442="SBJ"),AND(J5442=1,I5442=0)),"?IN_FOCUS",IF(J5442&lt;=2,"?ACTIVATED",IF(J5442&lt;&gt;"","?FAMILIAR",IF(F5442="NEW",IF(ISNA(VLOOKUP(E5442,#REF!,1,FALSE())),"?TYPE_IDENTIFIABLE","?REFERENTIAL"),"_")))))</f>
        <v> </v>
      </c>
      <c r="H5442" s="25" t="str">
        <f>IF(J5442&lt;&gt;1,"",IF(I5442="SBJ","CB","?"))</f>
        <v> </v>
      </c>
      <c r="I5442" s="26" t="str">
        <f>IF(OR(E5442="",E5442="!!!",F5442="NEW"),"",INDEX(B5441:B$2,-1+SUMPRODUCT(MAX(ROW(E5441:E$2)*(E5442=E5441:E$2)))))</f>
        <v> </v>
      </c>
      <c r="J5442" s="26" t="str">
        <f>IF(OR(E5442="",E5442="!!!",F5442="NEW"),"",COUNTBLANK(OFFSET(A$1,,,SUMPRODUCT(MAX(ROW(E$2:E5442)*(E5442=E$2:E5442)))))-COUNTBLANK(OFFSET(A$1,,,SUMPRODUCT(MAX(ROW(E$1:E5441)*(E2=E$1:E5441))))))</f>
        <v> </v>
      </c>
      <c r="K5442" s="26" t="str">
        <f>IF(OR(E5442="",E5442="!!!",F5442="NEW"),"",INDEX(J$1:J5441,SUMPRODUCT(MAX(ROW(E$1:E5441)*(E5442=E$1:E5441)))))</f>
        <v> </v>
      </c>
      <c r="L5442" s="27"/>
    </row>
    <row r="5443" spans="1:12">
      <c r="A5443" s="20" t="s">
        <v>2546</v>
      </c>
      <c r="B5443" s="21" t="s">
        <v>1084</v>
      </c>
      <c r="C5443" s="21" t="s">
        <v>1076</v>
      </c>
      <c r="D5443" s="21" t="s">
        <v>1060</v>
      </c>
      <c r="E5443" s="22">
        <f>IF(D5443="?OLD","!!!","")</f>
        <v/>
      </c>
      <c r="F5443" s="23" t="str">
        <f>IF(OR(E5443="",E5443="!!!"),"",IF(NOT(ISNA(VLOOKUP(E5443,E$1:E5442,1,FALSE()))),"OLD",IF(AND(E5443&lt;&gt;"",E5443&lt;&gt;"!!!"),"NEW","")))</f>
        <v> </v>
      </c>
      <c r="G5443" s="24" t="str">
        <f>IF(OR(E5443="",E5443="!!!"),"",IF(OR(J5443=0,AND(J5443=1,K5443=1),AND(J5443=1,I5443="SBJ"),AND(J5443=1,I5443=0)),"?IN_FOCUS",IF(J5443&lt;=2,"?ACTIVATED",IF(J5443&lt;&gt;"","?FAMILIAR",IF(F5443="NEW",IF(ISNA(VLOOKUP(E5443,#REF!,1,FALSE())),"?TYPE_IDENTIFIABLE","?REFERENTIAL"),"_")))))</f>
        <v> </v>
      </c>
      <c r="H5443" s="25" t="str">
        <f>IF(J5443&lt;&gt;1,"",IF(I5443="SBJ","CB","?"))</f>
        <v> </v>
      </c>
      <c r="I5443" s="26" t="str">
        <f>IF(OR(E5443="",E5443="!!!",F5443="NEW"),"",INDEX(B5442:B$2,-1+SUMPRODUCT(MAX(ROW(E5442:E$2)*(E5443=E5442:E$2)))))</f>
        <v> </v>
      </c>
      <c r="J5443" s="26" t="str">
        <f>IF(OR(E5443="",E5443="!!!",F5443="NEW"),"",COUNTBLANK(OFFSET(A$1,,,SUMPRODUCT(MAX(ROW(E$2:E5443)*(E5443=E$2:E5443)))))-COUNTBLANK(OFFSET(A$1,,,SUMPRODUCT(MAX(ROW(E$1:E5442)*(E2=E$1:E5442))))))</f>
        <v> </v>
      </c>
      <c r="K5443" s="26" t="str">
        <f>IF(OR(E5443="",E5443="!!!",F5443="NEW"),"",INDEX(J$1:J5442,SUMPRODUCT(MAX(ROW(E$1:E5442)*(E5443=E$1:E5442)))))</f>
        <v> </v>
      </c>
      <c r="L5443" s="27"/>
    </row>
    <row r="5444" spans="1:12">
      <c r="A5444" s="20" t="s">
        <v>1999</v>
      </c>
      <c r="E5444" s="22">
        <f>IF(D5444="?OLD","!!!","")</f>
        <v/>
      </c>
      <c r="F5444" s="23" t="str">
        <f>IF(OR(E5444="",E5444="!!!"),"",IF(NOT(ISNA(VLOOKUP(E5444,E$1:E5443,1,FALSE()))),"OLD",IF(AND(E5444&lt;&gt;"",E5444&lt;&gt;"!!!"),"NEW","")))</f>
        <v> </v>
      </c>
      <c r="G5444" s="24" t="str">
        <f>IF(OR(E5444="",E5444="!!!"),"",IF(OR(J5444=0,AND(J5444=1,K5444=1),AND(J5444=1,I5444="SBJ"),AND(J5444=1,I5444=0)),"?IN_FOCUS",IF(J5444&lt;=2,"?ACTIVATED",IF(J5444&lt;&gt;"","?FAMILIAR",IF(F5444="NEW",IF(ISNA(VLOOKUP(E5444,#REF!,1,FALSE())),"?TYPE_IDENTIFIABLE","?REFERENTIAL"),"_")))))</f>
        <v> </v>
      </c>
      <c r="H5444" s="25" t="str">
        <f>IF(J5444&lt;&gt;1,"",IF(I5444="SBJ","CB","?"))</f>
        <v> </v>
      </c>
      <c r="I5444" s="26" t="str">
        <f>IF(OR(E5444="",E5444="!!!",F5444="NEW"),"",INDEX(B5443:B$2,-1+SUMPRODUCT(MAX(ROW(E5443:E$2)*(E5444=E5443:E$2)))))</f>
        <v> </v>
      </c>
      <c r="J5444" s="26" t="str">
        <f>IF(OR(E5444="",E5444="!!!",F5444="NEW"),"",COUNTBLANK(OFFSET(A$1,,,SUMPRODUCT(MAX(ROW(E$2:E5444)*(E5444=E$2:E5444)))))-COUNTBLANK(OFFSET(A$1,,,SUMPRODUCT(MAX(ROW(E$1:E5443)*(E2=E$1:E5443))))))</f>
        <v> </v>
      </c>
      <c r="K5444" s="26" t="str">
        <f>IF(OR(E5444="",E5444="!!!",F5444="NEW"),"",INDEX(J$1:J5443,SUMPRODUCT(MAX(ROW(E$1:E5443)*(E5444=E$1:E5443)))))</f>
        <v> </v>
      </c>
      <c r="L5444" s="27"/>
    </row>
    <row r="5445" spans="1:12">
      <c r="A5445" s="20" t="s">
        <v>576</v>
      </c>
      <c r="E5445" s="22">
        <f>IF(D5445="?OLD","!!!","")</f>
        <v/>
      </c>
      <c r="F5445" s="23" t="str">
        <f>IF(OR(E5445="",E5445="!!!"),"",IF(NOT(ISNA(VLOOKUP(E5445,E$1:E5444,1,FALSE()))),"OLD",IF(AND(E5445&lt;&gt;"",E5445&lt;&gt;"!!!"),"NEW","")))</f>
        <v> </v>
      </c>
      <c r="G5445" s="24" t="str">
        <f>IF(OR(E5445="",E5445="!!!"),"",IF(OR(J5445=0,AND(J5445=1,K5445=1),AND(J5445=1,I5445="SBJ"),AND(J5445=1,I5445=0)),"?IN_FOCUS",IF(J5445&lt;=2,"?ACTIVATED",IF(J5445&lt;&gt;"","?FAMILIAR",IF(F5445="NEW",IF(ISNA(VLOOKUP(E5445,#REF!,1,FALSE())),"?TYPE_IDENTIFIABLE","?REFERENTIAL"),"_")))))</f>
        <v> </v>
      </c>
      <c r="H5445" s="25" t="str">
        <f>IF(J5445&lt;&gt;1,"",IF(I5445="SBJ","CB","?"))</f>
        <v> </v>
      </c>
      <c r="I5445" s="26" t="str">
        <f>IF(OR(E5445="",E5445="!!!",F5445="NEW"),"",INDEX(B5444:B$2,-1+SUMPRODUCT(MAX(ROW(E5444:E$2)*(E5445=E5444:E$2)))))</f>
        <v> </v>
      </c>
      <c r="J5445" s="26" t="str">
        <f>IF(OR(E5445="",E5445="!!!",F5445="NEW"),"",COUNTBLANK(OFFSET(A$1,,,SUMPRODUCT(MAX(ROW(E$2:E5445)*(E5445=E$2:E5445)))))-COUNTBLANK(OFFSET(A$1,,,SUMPRODUCT(MAX(ROW(E$1:E5444)*(E2=E$1:E5444))))))</f>
        <v> </v>
      </c>
      <c r="K5445" s="26" t="str">
        <f>IF(OR(E5445="",E5445="!!!",F5445="NEW"),"",INDEX(J$1:J5444,SUMPRODUCT(MAX(ROW(E$1:E5444)*(E5445=E$1:E5444)))))</f>
        <v> </v>
      </c>
      <c r="L5445" s="27"/>
    </row>
    <row r="5446" spans="1:12">
      <c r="A5446" s="20" t="s">
        <v>2049</v>
      </c>
      <c r="E5446" s="22">
        <f>IF(D5446="?OLD","!!!","")</f>
        <v/>
      </c>
      <c r="F5446" s="23" t="str">
        <f>IF(OR(E5446="",E5446="!!!"),"",IF(NOT(ISNA(VLOOKUP(E5446,E$1:E5445,1,FALSE()))),"OLD",IF(AND(E5446&lt;&gt;"",E5446&lt;&gt;"!!!"),"NEW","")))</f>
        <v> </v>
      </c>
      <c r="G5446" s="24" t="str">
        <f>IF(OR(E5446="",E5446="!!!"),"",IF(OR(J5446=0,AND(J5446=1,K5446=1),AND(J5446=1,I5446="SBJ"),AND(J5446=1,I5446=0)),"?IN_FOCUS",IF(J5446&lt;=2,"?ACTIVATED",IF(J5446&lt;&gt;"","?FAMILIAR",IF(F5446="NEW",IF(ISNA(VLOOKUP(E5446,#REF!,1,FALSE())),"?TYPE_IDENTIFIABLE","?REFERENTIAL"),"_")))))</f>
        <v> </v>
      </c>
      <c r="H5446" s="25" t="str">
        <f>IF(J5446&lt;&gt;1,"",IF(I5446="SBJ","CB","?"))</f>
        <v> </v>
      </c>
      <c r="I5446" s="26" t="str">
        <f>IF(OR(E5446="",E5446="!!!",F5446="NEW"),"",INDEX(B5445:B$2,-1+SUMPRODUCT(MAX(ROW(E5445:E$2)*(E5446=E5445:E$2)))))</f>
        <v> </v>
      </c>
      <c r="J5446" s="26" t="str">
        <f>IF(OR(E5446="",E5446="!!!",F5446="NEW"),"",COUNTBLANK(OFFSET(A$1,,,SUMPRODUCT(MAX(ROW(E$2:E5446)*(E5446=E$2:E5446)))))-COUNTBLANK(OFFSET(A$1,,,SUMPRODUCT(MAX(ROW(E$1:E5445)*(E2=E$1:E5445))))))</f>
        <v> </v>
      </c>
      <c r="K5446" s="26" t="str">
        <f>IF(OR(E5446="",E5446="!!!",F5446="NEW"),"",INDEX(J$1:J5445,SUMPRODUCT(MAX(ROW(E$1:E5445)*(E5446=E$1:E5445)))))</f>
        <v> </v>
      </c>
      <c r="L5446" s="27"/>
    </row>
    <row r="5447" spans="1:12">
      <c r="A5447" s="20" t="s">
        <v>1070</v>
      </c>
      <c r="E5447" s="22">
        <f>IF(D5447="?OLD","!!!","")</f>
        <v/>
      </c>
      <c r="F5447" s="23" t="str">
        <f>IF(OR(E5447="",E5447="!!!"),"",IF(NOT(ISNA(VLOOKUP(E5447,E$1:E5446,1,FALSE()))),"OLD",IF(AND(E5447&lt;&gt;"",E5447&lt;&gt;"!!!"),"NEW","")))</f>
        <v> </v>
      </c>
      <c r="G5447" s="24" t="str">
        <f>IF(OR(E5447="",E5447="!!!"),"",IF(OR(J5447=0,AND(J5447=1,K5447=1),AND(J5447=1,I5447="SBJ"),AND(J5447=1,I5447=0)),"?IN_FOCUS",IF(J5447&lt;=2,"?ACTIVATED",IF(J5447&lt;&gt;"","?FAMILIAR",IF(F5447="NEW",IF(ISNA(VLOOKUP(E5447,#REF!,1,FALSE())),"?TYPE_IDENTIFIABLE","?REFERENTIAL"),"_")))))</f>
        <v> </v>
      </c>
      <c r="H5447" s="25" t="str">
        <f>IF(J5447&lt;&gt;1,"",IF(I5447="SBJ","CB","?"))</f>
        <v> </v>
      </c>
      <c r="I5447" s="26" t="str">
        <f>IF(OR(E5447="",E5447="!!!",F5447="NEW"),"",INDEX(B5446:B$2,-1+SUMPRODUCT(MAX(ROW(E5446:E$2)*(E5447=E5446:E$2)))))</f>
        <v> </v>
      </c>
      <c r="J5447" s="26" t="str">
        <f>IF(OR(E5447="",E5447="!!!",F5447="NEW"),"",COUNTBLANK(OFFSET(A$1,,,SUMPRODUCT(MAX(ROW(E$2:E5447)*(E5447=E$2:E5447)))))-COUNTBLANK(OFFSET(A$1,,,SUMPRODUCT(MAX(ROW(E$1:E5446)*(E2=E$1:E5446))))))</f>
        <v> </v>
      </c>
      <c r="K5447" s="26" t="str">
        <f>IF(OR(E5447="",E5447="!!!",F5447="NEW"),"",INDEX(J$1:J5446,SUMPRODUCT(MAX(ROW(E$1:E5446)*(E5447=E$1:E5446)))))</f>
        <v> </v>
      </c>
      <c r="L5447" s="27"/>
    </row>
    <row r="5448" spans="1:12">
      <c r="A5448" s="20" t="s">
        <v>1196</v>
      </c>
      <c r="E5448" s="22">
        <f>IF(D5448="?OLD","!!!","")</f>
        <v/>
      </c>
      <c r="F5448" s="23" t="str">
        <f>IF(OR(E5448="",E5448="!!!"),"",IF(NOT(ISNA(VLOOKUP(E5448,E$1:E5447,1,FALSE()))),"OLD",IF(AND(E5448&lt;&gt;"",E5448&lt;&gt;"!!!"),"NEW","")))</f>
        <v> </v>
      </c>
      <c r="G5448" s="24" t="str">
        <f>IF(OR(E5448="",E5448="!!!"),"",IF(OR(J5448=0,AND(J5448=1,K5448=1),AND(J5448=1,I5448="SBJ"),AND(J5448=1,I5448=0)),"?IN_FOCUS",IF(J5448&lt;=2,"?ACTIVATED",IF(J5448&lt;&gt;"","?FAMILIAR",IF(F5448="NEW",IF(ISNA(VLOOKUP(E5448,#REF!,1,FALSE())),"?TYPE_IDENTIFIABLE","?REFERENTIAL"),"_")))))</f>
        <v> </v>
      </c>
      <c r="H5448" s="25" t="str">
        <f>IF(J5448&lt;&gt;1,"",IF(I5448="SBJ","CB","?"))</f>
        <v> </v>
      </c>
      <c r="I5448" s="26" t="str">
        <f>IF(OR(E5448="",E5448="!!!",F5448="NEW"),"",INDEX(B5447:B$2,-1+SUMPRODUCT(MAX(ROW(E5447:E$2)*(E5448=E5447:E$2)))))</f>
        <v> </v>
      </c>
      <c r="J5448" s="26" t="str">
        <f>IF(OR(E5448="",E5448="!!!",F5448="NEW"),"",COUNTBLANK(OFFSET(A$1,,,SUMPRODUCT(MAX(ROW(E$2:E5448)*(E5448=E$2:E5448)))))-COUNTBLANK(OFFSET(A$1,,,SUMPRODUCT(MAX(ROW(E$1:E5447)*(E2=E$1:E5447))))))</f>
        <v> </v>
      </c>
      <c r="K5448" s="26" t="str">
        <f>IF(OR(E5448="",E5448="!!!",F5448="NEW"),"",INDEX(J$1:J5447,SUMPRODUCT(MAX(ROW(E$1:E5447)*(E5448=E$1:E5447)))))</f>
        <v> </v>
      </c>
      <c r="L5448" s="27"/>
    </row>
    <row r="5449" spans="1:12">
      <c r="A5449" s="20" t="s">
        <v>1083</v>
      </c>
      <c r="B5449" s="21" t="s">
        <v>1079</v>
      </c>
      <c r="C5449" s="21" t="s">
        <v>1076</v>
      </c>
      <c r="D5449" s="21" t="s">
        <v>1060</v>
      </c>
      <c r="E5449" s="22">
        <f>IF(D5449="?OLD","!!!","")</f>
        <v/>
      </c>
      <c r="F5449" s="23" t="str">
        <f>IF(OR(E5449="",E5449="!!!"),"",IF(NOT(ISNA(VLOOKUP(E5449,E$1:E5448,1,FALSE()))),"OLD",IF(AND(E5449&lt;&gt;"",E5449&lt;&gt;"!!!"),"NEW","")))</f>
        <v> </v>
      </c>
      <c r="G5449" s="24" t="str">
        <f>IF(OR(E5449="",E5449="!!!"),"",IF(OR(J5449=0,AND(J5449=1,K5449=1),AND(J5449=1,I5449="SBJ"),AND(J5449=1,I5449=0)),"?IN_FOCUS",IF(J5449&lt;=2,"?ACTIVATED",IF(J5449&lt;&gt;"","?FAMILIAR",IF(F5449="NEW",IF(ISNA(VLOOKUP(E5449,#REF!,1,FALSE())),"?TYPE_IDENTIFIABLE","?REFERENTIAL"),"_")))))</f>
        <v> </v>
      </c>
      <c r="H5449" s="25" t="str">
        <f>IF(J5449&lt;&gt;1,"",IF(I5449="SBJ","CB","?"))</f>
        <v> </v>
      </c>
      <c r="I5449" s="26" t="str">
        <f>IF(OR(E5449="",E5449="!!!",F5449="NEW"),"",INDEX(B5448:B$2,-1+SUMPRODUCT(MAX(ROW(E5448:E$2)*(E5449=E5448:E$2)))))</f>
        <v> </v>
      </c>
      <c r="J5449" s="26" t="str">
        <f>IF(OR(E5449="",E5449="!!!",F5449="NEW"),"",COUNTBLANK(OFFSET(A$1,,,SUMPRODUCT(MAX(ROW(E$2:E5449)*(E5449=E$2:E5449)))))-COUNTBLANK(OFFSET(A$1,,,SUMPRODUCT(MAX(ROW(E$1:E5448)*(E2=E$1:E5448))))))</f>
        <v> </v>
      </c>
      <c r="K5449" s="26" t="str">
        <f>IF(OR(E5449="",E5449="!!!",F5449="NEW"),"",INDEX(J$1:J5448,SUMPRODUCT(MAX(ROW(E$1:E5448)*(E5449=E$1:E5448)))))</f>
        <v> </v>
      </c>
      <c r="L5449" s="27"/>
    </row>
    <row r="5450" spans="1:12">
      <c r="A5450" s="20" t="s">
        <v>1495</v>
      </c>
      <c r="E5450" s="22">
        <f>IF(D5450="?OLD","!!!","")</f>
        <v/>
      </c>
      <c r="F5450" s="23" t="str">
        <f>IF(OR(E5450="",E5450="!!!"),"",IF(NOT(ISNA(VLOOKUP(E5450,E$1:E5449,1,FALSE()))),"OLD",IF(AND(E5450&lt;&gt;"",E5450&lt;&gt;"!!!"),"NEW","")))</f>
        <v> </v>
      </c>
      <c r="G5450" s="24" t="str">
        <f>IF(OR(E5450="",E5450="!!!"),"",IF(OR(J5450=0,AND(J5450=1,K5450=1),AND(J5450=1,I5450="SBJ"),AND(J5450=1,I5450=0)),"?IN_FOCUS",IF(J5450&lt;=2,"?ACTIVATED",IF(J5450&lt;&gt;"","?FAMILIAR",IF(F5450="NEW",IF(ISNA(VLOOKUP(E5450,#REF!,1,FALSE())),"?TYPE_IDENTIFIABLE","?REFERENTIAL"),"_")))))</f>
        <v> </v>
      </c>
      <c r="H5450" s="25" t="str">
        <f>IF(J5450&lt;&gt;1,"",IF(I5450="SBJ","CB","?"))</f>
        <v> </v>
      </c>
      <c r="I5450" s="26" t="str">
        <f>IF(OR(E5450="",E5450="!!!",F5450="NEW"),"",INDEX(B5449:B$2,-1+SUMPRODUCT(MAX(ROW(E5449:E$2)*(E5450=E5449:E$2)))))</f>
        <v> </v>
      </c>
      <c r="J5450" s="26" t="str">
        <f>IF(OR(E5450="",E5450="!!!",F5450="NEW"),"",COUNTBLANK(OFFSET(A$1,,,SUMPRODUCT(MAX(ROW(E$2:E5450)*(E5450=E$2:E5450)))))-COUNTBLANK(OFFSET(A$1,,,SUMPRODUCT(MAX(ROW(E$1:E5449)*(E2=E$1:E5449))))))</f>
        <v> </v>
      </c>
      <c r="K5450" s="26" t="str">
        <f>IF(OR(E5450="",E5450="!!!",F5450="NEW"),"",INDEX(J$1:J5449,SUMPRODUCT(MAX(ROW(E$1:E5449)*(E5450=E$1:E5449)))))</f>
        <v> </v>
      </c>
      <c r="L5450" s="27"/>
    </row>
    <row r="5451" spans="1:12">
      <c r="A5451" s="20" t="s">
        <v>1807</v>
      </c>
      <c r="E5451" s="22">
        <f>IF(D5451="?OLD","!!!","")</f>
        <v/>
      </c>
      <c r="F5451" s="23" t="str">
        <f>IF(OR(E5451="",E5451="!!!"),"",IF(NOT(ISNA(VLOOKUP(E5451,E$1:E5450,1,FALSE()))),"OLD",IF(AND(E5451&lt;&gt;"",E5451&lt;&gt;"!!!"),"NEW","")))</f>
        <v> </v>
      </c>
      <c r="G5451" s="24" t="str">
        <f>IF(OR(E5451="",E5451="!!!"),"",IF(OR(J5451=0,AND(J5451=1,K5451=1),AND(J5451=1,I5451="SBJ"),AND(J5451=1,I5451=0)),"?IN_FOCUS",IF(J5451&lt;=2,"?ACTIVATED",IF(J5451&lt;&gt;"","?FAMILIAR",IF(F5451="NEW",IF(ISNA(VLOOKUP(E5451,#REF!,1,FALSE())),"?TYPE_IDENTIFIABLE","?REFERENTIAL"),"_")))))</f>
        <v> </v>
      </c>
      <c r="H5451" s="25" t="str">
        <f>IF(J5451&lt;&gt;1,"",IF(I5451="SBJ","CB","?"))</f>
        <v> </v>
      </c>
      <c r="I5451" s="26" t="str">
        <f>IF(OR(E5451="",E5451="!!!",F5451="NEW"),"",INDEX(B5450:B$2,-1+SUMPRODUCT(MAX(ROW(E5450:E$2)*(E5451=E5450:E$2)))))</f>
        <v> </v>
      </c>
      <c r="J5451" s="26" t="str">
        <f>IF(OR(E5451="",E5451="!!!",F5451="NEW"),"",COUNTBLANK(OFFSET(A$1,,,SUMPRODUCT(MAX(ROW(E$2:E5451)*(E5451=E$2:E5451)))))-COUNTBLANK(OFFSET(A$1,,,SUMPRODUCT(MAX(ROW(E$1:E5450)*(E2=E$1:E5450))))))</f>
        <v> </v>
      </c>
      <c r="K5451" s="26" t="str">
        <f>IF(OR(E5451="",E5451="!!!",F5451="NEW"),"",INDEX(J$1:J5450,SUMPRODUCT(MAX(ROW(E$1:E5450)*(E5451=E$1:E5450)))))</f>
        <v> </v>
      </c>
      <c r="L5451" s="27"/>
    </row>
    <row r="5452" spans="1:12">
      <c r="A5452" s="20" t="s">
        <v>1077</v>
      </c>
      <c r="E5452" s="22">
        <f>IF(D5452="?OLD","!!!","")</f>
        <v/>
      </c>
      <c r="F5452" s="23" t="str">
        <f>IF(OR(E5452="",E5452="!!!"),"",IF(NOT(ISNA(VLOOKUP(E5452,E$1:E5451,1,FALSE()))),"OLD",IF(AND(E5452&lt;&gt;"",E5452&lt;&gt;"!!!"),"NEW","")))</f>
        <v> </v>
      </c>
      <c r="G5452" s="24" t="str">
        <f>IF(OR(E5452="",E5452="!!!"),"",IF(OR(J5452=0,AND(J5452=1,K5452=1),AND(J5452=1,I5452="SBJ"),AND(J5452=1,I5452=0)),"?IN_FOCUS",IF(J5452&lt;=2,"?ACTIVATED",IF(J5452&lt;&gt;"","?FAMILIAR",IF(F5452="NEW",IF(ISNA(VLOOKUP(E5452,#REF!,1,FALSE())),"?TYPE_IDENTIFIABLE","?REFERENTIAL"),"_")))))</f>
        <v> </v>
      </c>
      <c r="H5452" s="25" t="str">
        <f>IF(J5452&lt;&gt;1,"",IF(I5452="SBJ","CB","?"))</f>
        <v> </v>
      </c>
      <c r="I5452" s="26" t="str">
        <f>IF(OR(E5452="",E5452="!!!",F5452="NEW"),"",INDEX(B5451:B$2,-1+SUMPRODUCT(MAX(ROW(E5451:E$2)*(E5452=E5451:E$2)))))</f>
        <v> </v>
      </c>
      <c r="J5452" s="26" t="str">
        <f>IF(OR(E5452="",E5452="!!!",F5452="NEW"),"",COUNTBLANK(OFFSET(A$1,,,SUMPRODUCT(MAX(ROW(E$2:E5452)*(E5452=E$2:E5452)))))-COUNTBLANK(OFFSET(A$1,,,SUMPRODUCT(MAX(ROW(E$1:E5451)*(E2=E$1:E5451))))))</f>
        <v> </v>
      </c>
      <c r="K5452" s="26" t="str">
        <f>IF(OR(E5452="",E5452="!!!",F5452="NEW"),"",INDEX(J$1:J5451,SUMPRODUCT(MAX(ROW(E$1:E5451)*(E5452=E$1:E5451)))))</f>
        <v> </v>
      </c>
      <c r="L5452" s="27"/>
    </row>
    <row r="5453" spans="1:12">
      <c r="A5453" s="20" t="s">
        <v>1837</v>
      </c>
      <c r="B5453" s="21" t="s">
        <v>1132</v>
      </c>
      <c r="C5453" s="21" t="s">
        <v>1122</v>
      </c>
      <c r="E5453" s="22">
        <f>IF(D5453="?OLD","!!!","")</f>
        <v/>
      </c>
      <c r="F5453" s="23" t="str">
        <f>IF(OR(E5453="",E5453="!!!"),"",IF(NOT(ISNA(VLOOKUP(E5453,E$1:E5452,1,FALSE()))),"OLD",IF(AND(E5453&lt;&gt;"",E5453&lt;&gt;"!!!"),"NEW","")))</f>
        <v> </v>
      </c>
      <c r="G5453" s="24" t="str">
        <f>IF(OR(E5453="",E5453="!!!"),"",IF(OR(J5453=0,AND(J5453=1,K5453=1),AND(J5453=1,I5453="SBJ"),AND(J5453=1,I5453=0)),"?IN_FOCUS",IF(J5453&lt;=2,"?ACTIVATED",IF(J5453&lt;&gt;"","?FAMILIAR",IF(F5453="NEW",IF(ISNA(VLOOKUP(E5453,#REF!,1,FALSE())),"?TYPE_IDENTIFIABLE","?REFERENTIAL"),"_")))))</f>
        <v> </v>
      </c>
      <c r="H5453" s="25" t="str">
        <f>IF(J5453&lt;&gt;1,"",IF(I5453="SBJ","CB","?"))</f>
        <v> </v>
      </c>
      <c r="I5453" s="26" t="str">
        <f>IF(OR(E5453="",E5453="!!!",F5453="NEW"),"",INDEX(B5452:B$2,-1+SUMPRODUCT(MAX(ROW(E5452:E$2)*(E5453=E5452:E$2)))))</f>
        <v> </v>
      </c>
      <c r="J5453" s="26" t="str">
        <f>IF(OR(E5453="",E5453="!!!",F5453="NEW"),"",COUNTBLANK(OFFSET(A$1,,,SUMPRODUCT(MAX(ROW(E$2:E5453)*(E5453=E$2:E5453)))))-COUNTBLANK(OFFSET(A$1,,,SUMPRODUCT(MAX(ROW(E$1:E5452)*(E2=E$1:E5452))))))</f>
        <v> </v>
      </c>
      <c r="K5453" s="26" t="str">
        <f>IF(OR(E5453="",E5453="!!!",F5453="NEW"),"",INDEX(J$1:J5452,SUMPRODUCT(MAX(ROW(E$1:E5452)*(E5453=E$1:E5452)))))</f>
        <v> </v>
      </c>
      <c r="L5453" s="27"/>
    </row>
    <row r="5454" spans="1:12">
      <c r="A5454" s="20" t="s">
        <v>2547</v>
      </c>
      <c r="E5454" s="22">
        <f>IF(D5454="?OLD","!!!","")</f>
        <v/>
      </c>
      <c r="F5454" s="23" t="str">
        <f>IF(OR(E5454="",E5454="!!!"),"",IF(NOT(ISNA(VLOOKUP(E5454,E$1:E5453,1,FALSE()))),"OLD",IF(AND(E5454&lt;&gt;"",E5454&lt;&gt;"!!!"),"NEW","")))</f>
        <v> </v>
      </c>
      <c r="G5454" s="24" t="str">
        <f>IF(OR(E5454="",E5454="!!!"),"",IF(OR(J5454=0,AND(J5454=1,K5454=1),AND(J5454=1,I5454="SBJ"),AND(J5454=1,I5454=0)),"?IN_FOCUS",IF(J5454&lt;=2,"?ACTIVATED",IF(J5454&lt;&gt;"","?FAMILIAR",IF(F5454="NEW",IF(ISNA(VLOOKUP(E5454,#REF!,1,FALSE())),"?TYPE_IDENTIFIABLE","?REFERENTIAL"),"_")))))</f>
        <v> </v>
      </c>
      <c r="H5454" s="25" t="str">
        <f>IF(J5454&lt;&gt;1,"",IF(I5454="SBJ","CB","?"))</f>
        <v> </v>
      </c>
      <c r="I5454" s="26" t="str">
        <f>IF(OR(E5454="",E5454="!!!",F5454="NEW"),"",INDEX(B5453:B$2,-1+SUMPRODUCT(MAX(ROW(E5453:E$2)*(E5454=E5453:E$2)))))</f>
        <v> </v>
      </c>
      <c r="J5454" s="26" t="str">
        <f>IF(OR(E5454="",E5454="!!!",F5454="NEW"),"",COUNTBLANK(OFFSET(A$1,,,SUMPRODUCT(MAX(ROW(E$2:E5454)*(E5454=E$2:E5454)))))-COUNTBLANK(OFFSET(A$1,,,SUMPRODUCT(MAX(ROW(E$1:E5453)*(E2=E$1:E5453))))))</f>
        <v> </v>
      </c>
      <c r="K5454" s="26" t="str">
        <f>IF(OR(E5454="",E5454="!!!",F5454="NEW"),"",INDEX(J$1:J5453,SUMPRODUCT(MAX(ROW(E$1:E5453)*(E5454=E$1:E5453)))))</f>
        <v> </v>
      </c>
      <c r="L5454" s="27"/>
    </row>
    <row r="5455" spans="1:12">
      <c r="A5455" s="20" t="s">
        <v>1436</v>
      </c>
      <c r="E5455" s="22">
        <f>IF(D5455="?OLD","!!!","")</f>
        <v/>
      </c>
      <c r="F5455" s="23" t="str">
        <f>IF(OR(E5455="",E5455="!!!"),"",IF(NOT(ISNA(VLOOKUP(E5455,E$1:E5454,1,FALSE()))),"OLD",IF(AND(E5455&lt;&gt;"",E5455&lt;&gt;"!!!"),"NEW","")))</f>
        <v> </v>
      </c>
      <c r="G5455" s="24" t="str">
        <f>IF(OR(E5455="",E5455="!!!"),"",IF(OR(J5455=0,AND(J5455=1,K5455=1),AND(J5455=1,I5455="SBJ"),AND(J5455=1,I5455=0)),"?IN_FOCUS",IF(J5455&lt;=2,"?ACTIVATED",IF(J5455&lt;&gt;"","?FAMILIAR",IF(F5455="NEW",IF(ISNA(VLOOKUP(E5455,#REF!,1,FALSE())),"?TYPE_IDENTIFIABLE","?REFERENTIAL"),"_")))))</f>
        <v> </v>
      </c>
      <c r="H5455" s="25" t="str">
        <f>IF(J5455&lt;&gt;1,"",IF(I5455="SBJ","CB","?"))</f>
        <v> </v>
      </c>
      <c r="I5455" s="26" t="str">
        <f>IF(OR(E5455="",E5455="!!!",F5455="NEW"),"",INDEX(B5454:B$2,-1+SUMPRODUCT(MAX(ROW(E5454:E$2)*(E5455=E5454:E$2)))))</f>
        <v> </v>
      </c>
      <c r="J5455" s="26" t="str">
        <f>IF(OR(E5455="",E5455="!!!",F5455="NEW"),"",COUNTBLANK(OFFSET(A$1,,,SUMPRODUCT(MAX(ROW(E$2:E5455)*(E5455=E$2:E5455)))))-COUNTBLANK(OFFSET(A$1,,,SUMPRODUCT(MAX(ROW(E$1:E5454)*(E2=E$1:E5454))))))</f>
        <v> </v>
      </c>
      <c r="K5455" s="26" t="str">
        <f>IF(OR(E5455="",E5455="!!!",F5455="NEW"),"",INDEX(J$1:J5454,SUMPRODUCT(MAX(ROW(E$1:E5454)*(E5455=E$1:E5454)))))</f>
        <v> </v>
      </c>
      <c r="L5455" s="27"/>
    </row>
    <row r="5456" spans="1:12">
      <c r="A5456" s="20" t="s">
        <v>1101</v>
      </c>
      <c r="E5456" s="22">
        <f>IF(D5456="?OLD","!!!","")</f>
        <v/>
      </c>
      <c r="F5456" s="23" t="str">
        <f>IF(OR(E5456="",E5456="!!!"),"",IF(NOT(ISNA(VLOOKUP(E5456,E$1:E5455,1,FALSE()))),"OLD",IF(AND(E5456&lt;&gt;"",E5456&lt;&gt;"!!!"),"NEW","")))</f>
        <v> </v>
      </c>
      <c r="G5456" s="24" t="str">
        <f>IF(OR(E5456="",E5456="!!!"),"",IF(OR(J5456=0,AND(J5456=1,K5456=1),AND(J5456=1,I5456="SBJ"),AND(J5456=1,I5456=0)),"?IN_FOCUS",IF(J5456&lt;=2,"?ACTIVATED",IF(J5456&lt;&gt;"","?FAMILIAR",IF(F5456="NEW",IF(ISNA(VLOOKUP(E5456,#REF!,1,FALSE())),"?TYPE_IDENTIFIABLE","?REFERENTIAL"),"_")))))</f>
        <v> </v>
      </c>
      <c r="H5456" s="25" t="str">
        <f>IF(J5456&lt;&gt;1,"",IF(I5456="SBJ","CB","?"))</f>
        <v> </v>
      </c>
      <c r="I5456" s="26" t="str">
        <f>IF(OR(E5456="",E5456="!!!",F5456="NEW"),"",INDEX(B5455:B$2,-1+SUMPRODUCT(MAX(ROW(E5455:E$2)*(E5456=E5455:E$2)))))</f>
        <v> </v>
      </c>
      <c r="J5456" s="26" t="str">
        <f>IF(OR(E5456="",E5456="!!!",F5456="NEW"),"",COUNTBLANK(OFFSET(A$1,,,SUMPRODUCT(MAX(ROW(E$2:E5456)*(E5456=E$2:E5456)))))-COUNTBLANK(OFFSET(A$1,,,SUMPRODUCT(MAX(ROW(E$1:E5455)*(E2=E$1:E5455))))))</f>
        <v> </v>
      </c>
      <c r="K5456" s="26" t="str">
        <f>IF(OR(E5456="",E5456="!!!",F5456="NEW"),"",INDEX(J$1:J5455,SUMPRODUCT(MAX(ROW(E$1:E5455)*(E5456=E$1:E5455)))))</f>
        <v> </v>
      </c>
      <c r="L5456" s="27"/>
    </row>
    <row r="5457" spans="1:12">
      <c r="A5457" s="20" t="s">
        <v>1161</v>
      </c>
      <c r="B5457" s="21" t="s">
        <v>1099</v>
      </c>
      <c r="C5457" s="21" t="s">
        <v>1140</v>
      </c>
      <c r="D5457" s="21" t="s">
        <v>1060</v>
      </c>
      <c r="E5457" s="22">
        <f>IF(D5457="?OLD","!!!","")</f>
        <v/>
      </c>
      <c r="F5457" s="23" t="str">
        <f>IF(OR(E5457="",E5457="!!!"),"",IF(NOT(ISNA(VLOOKUP(E5457,E$1:E5456,1,FALSE()))),"OLD",IF(AND(E5457&lt;&gt;"",E5457&lt;&gt;"!!!"),"NEW","")))</f>
        <v> </v>
      </c>
      <c r="G5457" s="24" t="str">
        <f>IF(OR(E5457="",E5457="!!!"),"",IF(OR(J5457=0,AND(J5457=1,K5457=1),AND(J5457=1,I5457="SBJ"),AND(J5457=1,I5457=0)),"?IN_FOCUS",IF(J5457&lt;=2,"?ACTIVATED",IF(J5457&lt;&gt;"","?FAMILIAR",IF(F5457="NEW",IF(ISNA(VLOOKUP(E5457,#REF!,1,FALSE())),"?TYPE_IDENTIFIABLE","?REFERENTIAL"),"_")))))</f>
        <v> </v>
      </c>
      <c r="H5457" s="25" t="str">
        <f>IF(J5457&lt;&gt;1,"",IF(I5457="SBJ","CB","?"))</f>
        <v> </v>
      </c>
      <c r="I5457" s="26" t="str">
        <f>IF(OR(E5457="",E5457="!!!",F5457="NEW"),"",INDEX(B5456:B$2,-1+SUMPRODUCT(MAX(ROW(E5456:E$2)*(E5457=E5456:E$2)))))</f>
        <v> </v>
      </c>
      <c r="J5457" s="26" t="str">
        <f>IF(OR(E5457="",E5457="!!!",F5457="NEW"),"",COUNTBLANK(OFFSET(A$1,,,SUMPRODUCT(MAX(ROW(E$2:E5457)*(E5457=E$2:E5457)))))-COUNTBLANK(OFFSET(A$1,,,SUMPRODUCT(MAX(ROW(E$1:E5456)*(E2=E$1:E5456))))))</f>
        <v> </v>
      </c>
      <c r="K5457" s="26" t="str">
        <f>IF(OR(E5457="",E5457="!!!",F5457="NEW"),"",INDEX(J$1:J5456,SUMPRODUCT(MAX(ROW(E$1:E5456)*(E5457=E$1:E5456)))))</f>
        <v> </v>
      </c>
      <c r="L5457" s="27"/>
    </row>
    <row r="5458" spans="1:12">
      <c r="A5458" s="20" t="s">
        <v>1061</v>
      </c>
      <c r="E5458" s="22">
        <f>IF(D5458="?OLD","!!!","")</f>
        <v/>
      </c>
      <c r="F5458" s="23" t="str">
        <f>IF(OR(E5458="",E5458="!!!"),"",IF(NOT(ISNA(VLOOKUP(E5458,E$1:E5457,1,FALSE()))),"OLD",IF(AND(E5458&lt;&gt;"",E5458&lt;&gt;"!!!"),"NEW","")))</f>
        <v> </v>
      </c>
      <c r="G5458" s="24" t="str">
        <f>IF(OR(E5458="",E5458="!!!"),"",IF(OR(J5458=0,AND(J5458=1,K5458=1),AND(J5458=1,I5458="SBJ"),AND(J5458=1,I5458=0)),"?IN_FOCUS",IF(J5458&lt;=2,"?ACTIVATED",IF(J5458&lt;&gt;"","?FAMILIAR",IF(F5458="NEW",IF(ISNA(VLOOKUP(E5458,#REF!,1,FALSE())),"?TYPE_IDENTIFIABLE","?REFERENTIAL"),"_")))))</f>
        <v> </v>
      </c>
      <c r="H5458" s="25" t="str">
        <f>IF(J5458&lt;&gt;1,"",IF(I5458="SBJ","CB","?"))</f>
        <v> </v>
      </c>
      <c r="I5458" s="26" t="str">
        <f>IF(OR(E5458="",E5458="!!!",F5458="NEW"),"",INDEX(B5457:B$2,-1+SUMPRODUCT(MAX(ROW(E5457:E$2)*(E5458=E5457:E$2)))))</f>
        <v> </v>
      </c>
      <c r="J5458" s="26" t="str">
        <f>IF(OR(E5458="",E5458="!!!",F5458="NEW"),"",COUNTBLANK(OFFSET(A$1,,,SUMPRODUCT(MAX(ROW(E$2:E5458)*(E5458=E$2:E5458)))))-COUNTBLANK(OFFSET(A$1,,,SUMPRODUCT(MAX(ROW(E$1:E5457)*(E2=E$1:E5457))))))</f>
        <v> </v>
      </c>
      <c r="K5458" s="26" t="str">
        <f>IF(OR(E5458="",E5458="!!!",F5458="NEW"),"",INDEX(J$1:J5457,SUMPRODUCT(MAX(ROW(E$1:E5457)*(E5458=E$1:E5457)))))</f>
        <v> </v>
      </c>
      <c r="L5458" s="27"/>
    </row>
    <row r="5459" spans="1:12">
      <c r="A5459" s="20" t="s">
        <v>1101</v>
      </c>
      <c r="E5459" s="22">
        <f>IF(D5459="?OLD","!!!","")</f>
        <v/>
      </c>
      <c r="F5459" s="23" t="str">
        <f>IF(OR(E5459="",E5459="!!!"),"",IF(NOT(ISNA(VLOOKUP(E5459,E$1:E5458,1,FALSE()))),"OLD",IF(AND(E5459&lt;&gt;"",E5459&lt;&gt;"!!!"),"NEW","")))</f>
        <v> </v>
      </c>
      <c r="G5459" s="24" t="str">
        <f>IF(OR(E5459="",E5459="!!!"),"",IF(OR(J5459=0,AND(J5459=1,K5459=1),AND(J5459=1,I5459="SBJ"),AND(J5459=1,I5459=0)),"?IN_FOCUS",IF(J5459&lt;=2,"?ACTIVATED",IF(J5459&lt;&gt;"","?FAMILIAR",IF(F5459="NEW",IF(ISNA(VLOOKUP(E5459,#REF!,1,FALSE())),"?TYPE_IDENTIFIABLE","?REFERENTIAL"),"_")))))</f>
        <v> </v>
      </c>
      <c r="H5459" s="25" t="str">
        <f>IF(J5459&lt;&gt;1,"",IF(I5459="SBJ","CB","?"))</f>
        <v> </v>
      </c>
      <c r="I5459" s="26" t="str">
        <f>IF(OR(E5459="",E5459="!!!",F5459="NEW"),"",INDEX(B5458:B$2,-1+SUMPRODUCT(MAX(ROW(E5458:E$2)*(E5459=E5458:E$2)))))</f>
        <v> </v>
      </c>
      <c r="J5459" s="26" t="str">
        <f>IF(OR(E5459="",E5459="!!!",F5459="NEW"),"",COUNTBLANK(OFFSET(A$1,,,SUMPRODUCT(MAX(ROW(E$2:E5459)*(E5459=E$2:E5459)))))-COUNTBLANK(OFFSET(A$1,,,SUMPRODUCT(MAX(ROW(E$1:E5458)*(E2=E$1:E5458))))))</f>
        <v> </v>
      </c>
      <c r="K5459" s="26" t="str">
        <f>IF(OR(E5459="",E5459="!!!",F5459="NEW"),"",INDEX(J$1:J5458,SUMPRODUCT(MAX(ROW(E$1:E5458)*(E5459=E$1:E5458)))))</f>
        <v> </v>
      </c>
      <c r="L5459" s="27"/>
    </row>
    <row r="5460" spans="1:12">
      <c r="A5460" s="20" t="s">
        <v>1213</v>
      </c>
      <c r="B5460" s="21" t="s">
        <v>1091</v>
      </c>
      <c r="C5460" s="21" t="s">
        <v>1140</v>
      </c>
      <c r="D5460" s="21" t="s">
        <v>1060</v>
      </c>
      <c r="E5460" s="22">
        <f>IF(D5460="?OLD","!!!","")</f>
        <v/>
      </c>
      <c r="F5460" s="23" t="str">
        <f>IF(OR(E5460="",E5460="!!!"),"",IF(NOT(ISNA(VLOOKUP(E5460,E$1:E5459,1,FALSE()))),"OLD",IF(AND(E5460&lt;&gt;"",E5460&lt;&gt;"!!!"),"NEW","")))</f>
        <v> </v>
      </c>
      <c r="G5460" s="24" t="str">
        <f>IF(OR(E5460="",E5460="!!!"),"",IF(OR(J5460=0,AND(J5460=1,K5460=1),AND(J5460=1,I5460="SBJ"),AND(J5460=1,I5460=0)),"?IN_FOCUS",IF(J5460&lt;=2,"?ACTIVATED",IF(J5460&lt;&gt;"","?FAMILIAR",IF(F5460="NEW",IF(ISNA(VLOOKUP(E5460,#REF!,1,FALSE())),"?TYPE_IDENTIFIABLE","?REFERENTIAL"),"_")))))</f>
        <v> </v>
      </c>
      <c r="H5460" s="25" t="str">
        <f>IF(J5460&lt;&gt;1,"",IF(I5460="SBJ","CB","?"))</f>
        <v> </v>
      </c>
      <c r="I5460" s="26" t="str">
        <f>IF(OR(E5460="",E5460="!!!",F5460="NEW"),"",INDEX(B5459:B$2,-1+SUMPRODUCT(MAX(ROW(E5459:E$2)*(E5460=E5459:E$2)))))</f>
        <v> </v>
      </c>
      <c r="J5460" s="26" t="str">
        <f>IF(OR(E5460="",E5460="!!!",F5460="NEW"),"",COUNTBLANK(OFFSET(A$1,,,SUMPRODUCT(MAX(ROW(E$2:E5460)*(E5460=E$2:E5460)))))-COUNTBLANK(OFFSET(A$1,,,SUMPRODUCT(MAX(ROW(E$1:E5459)*(E2=E$1:E5459))))))</f>
        <v> </v>
      </c>
      <c r="K5460" s="26" t="str">
        <f>IF(OR(E5460="",E5460="!!!",F5460="NEW"),"",INDEX(J$1:J5459,SUMPRODUCT(MAX(ROW(E$1:E5459)*(E5460=E$1:E5459)))))</f>
        <v> </v>
      </c>
      <c r="L5460" s="27"/>
    </row>
    <row r="5461" spans="1:12">
      <c r="A5461" s="20" t="s">
        <v>1199</v>
      </c>
      <c r="E5461" s="22">
        <f>IF(D5461="?OLD","!!!","")</f>
        <v/>
      </c>
      <c r="F5461" s="23" t="str">
        <f>IF(OR(E5461="",E5461="!!!"),"",IF(NOT(ISNA(VLOOKUP(E5461,E$1:E5460,1,FALSE()))),"OLD",IF(AND(E5461&lt;&gt;"",E5461&lt;&gt;"!!!"),"NEW","")))</f>
        <v> </v>
      </c>
      <c r="G5461" s="24" t="str">
        <f>IF(OR(E5461="",E5461="!!!"),"",IF(OR(J5461=0,AND(J5461=1,K5461=1),AND(J5461=1,I5461="SBJ"),AND(J5461=1,I5461=0)),"?IN_FOCUS",IF(J5461&lt;=2,"?ACTIVATED",IF(J5461&lt;&gt;"","?FAMILIAR",IF(F5461="NEW",IF(ISNA(VLOOKUP(E5461,#REF!,1,FALSE())),"?TYPE_IDENTIFIABLE","?REFERENTIAL"),"_")))))</f>
        <v> </v>
      </c>
      <c r="H5461" s="25" t="str">
        <f>IF(J5461&lt;&gt;1,"",IF(I5461="SBJ","CB","?"))</f>
        <v> </v>
      </c>
      <c r="I5461" s="26" t="str">
        <f>IF(OR(E5461="",E5461="!!!",F5461="NEW"),"",INDEX(B5460:B$2,-1+SUMPRODUCT(MAX(ROW(E5460:E$2)*(E5461=E5460:E$2)))))</f>
        <v> </v>
      </c>
      <c r="J5461" s="26" t="str">
        <f>IF(OR(E5461="",E5461="!!!",F5461="NEW"),"",COUNTBLANK(OFFSET(A$1,,,SUMPRODUCT(MAX(ROW(E$2:E5461)*(E5461=E$2:E5461)))))-COUNTBLANK(OFFSET(A$1,,,SUMPRODUCT(MAX(ROW(E$1:E5460)*(E2=E$1:E5460))))))</f>
        <v> </v>
      </c>
      <c r="K5461" s="26" t="str">
        <f>IF(OR(E5461="",E5461="!!!",F5461="NEW"),"",INDEX(J$1:J5460,SUMPRODUCT(MAX(ROW(E$1:E5460)*(E5461=E$1:E5460)))))</f>
        <v> </v>
      </c>
      <c r="L5461" s="27"/>
    </row>
    <row r="5462" spans="1:12">
      <c r="A5462" s="20" t="s">
        <v>1090</v>
      </c>
      <c r="B5462" s="21" t="s">
        <v>1091</v>
      </c>
      <c r="C5462" s="21" t="s">
        <v>1092</v>
      </c>
      <c r="D5462" s="21" t="s">
        <v>1060</v>
      </c>
      <c r="E5462" s="22">
        <f>IF(D5462="?OLD","!!!","")</f>
        <v/>
      </c>
      <c r="F5462" s="23" t="str">
        <f>IF(OR(E5462="",E5462="!!!"),"",IF(NOT(ISNA(VLOOKUP(E5462,E$1:E5461,1,FALSE()))),"OLD",IF(AND(E5462&lt;&gt;"",E5462&lt;&gt;"!!!"),"NEW","")))</f>
        <v> </v>
      </c>
      <c r="G5462" s="24" t="str">
        <f>IF(OR(E5462="",E5462="!!!"),"",IF(OR(J5462=0,AND(J5462=1,K5462=1),AND(J5462=1,I5462="SBJ"),AND(J5462=1,I5462=0)),"?IN_FOCUS",IF(J5462&lt;=2,"?ACTIVATED",IF(J5462&lt;&gt;"","?FAMILIAR",IF(F5462="NEW",IF(ISNA(VLOOKUP(E5462,#REF!,1,FALSE())),"?TYPE_IDENTIFIABLE","?REFERENTIAL"),"_")))))</f>
        <v> </v>
      </c>
      <c r="H5462" s="25" t="str">
        <f>IF(J5462&lt;&gt;1,"",IF(I5462="SBJ","CB","?"))</f>
        <v> </v>
      </c>
      <c r="I5462" s="26" t="str">
        <f>IF(OR(E5462="",E5462="!!!",F5462="NEW"),"",INDEX(B5461:B$2,-1+SUMPRODUCT(MAX(ROW(E5461:E$2)*(E5462=E5461:E$2)))))</f>
        <v> </v>
      </c>
      <c r="J5462" s="26" t="str">
        <f>IF(OR(E5462="",E5462="!!!",F5462="NEW"),"",COUNTBLANK(OFFSET(A$1,,,SUMPRODUCT(MAX(ROW(E$2:E5462)*(E5462=E$2:E5462)))))-COUNTBLANK(OFFSET(A$1,,,SUMPRODUCT(MAX(ROW(E$1:E5461)*(E2=E$1:E5461))))))</f>
        <v> </v>
      </c>
      <c r="K5462" s="26" t="str">
        <f>IF(OR(E5462="",E5462="!!!",F5462="NEW"),"",INDEX(J$1:J5461,SUMPRODUCT(MAX(ROW(E$1:E5461)*(E5462=E$1:E5461)))))</f>
        <v> </v>
      </c>
      <c r="L5462" s="27"/>
    </row>
    <row r="5463" spans="1:12">
      <c r="A5463" s="20" t="s">
        <v>1351</v>
      </c>
      <c r="B5463" s="21" t="s">
        <v>1099</v>
      </c>
      <c r="C5463" s="21" t="s">
        <v>1059</v>
      </c>
      <c r="D5463" s="21" t="s">
        <v>1060</v>
      </c>
      <c r="E5463" s="22">
        <f>IF(D5463="?OLD","!!!","")</f>
        <v/>
      </c>
      <c r="F5463" s="23" t="str">
        <f>IF(OR(E5463="",E5463="!!!"),"",IF(NOT(ISNA(VLOOKUP(E5463,E$1:E5462,1,FALSE()))),"OLD",IF(AND(E5463&lt;&gt;"",E5463&lt;&gt;"!!!"),"NEW","")))</f>
        <v> </v>
      </c>
      <c r="G5463" s="24" t="str">
        <f>IF(OR(E5463="",E5463="!!!"),"",IF(OR(J5463=0,AND(J5463=1,K5463=1),AND(J5463=1,I5463="SBJ"),AND(J5463=1,I5463=0)),"?IN_FOCUS",IF(J5463&lt;=2,"?ACTIVATED",IF(J5463&lt;&gt;"","?FAMILIAR",IF(F5463="NEW",IF(ISNA(VLOOKUP(E5463,#REF!,1,FALSE())),"?TYPE_IDENTIFIABLE","?REFERENTIAL"),"_")))))</f>
        <v> </v>
      </c>
      <c r="H5463" s="25" t="str">
        <f>IF(J5463&lt;&gt;1,"",IF(I5463="SBJ","CB","?"))</f>
        <v> </v>
      </c>
      <c r="I5463" s="26" t="str">
        <f>IF(OR(E5463="",E5463="!!!",F5463="NEW"),"",INDEX(B5462:B$2,-1+SUMPRODUCT(MAX(ROW(E5462:E$2)*(E5463=E5462:E$2)))))</f>
        <v> </v>
      </c>
      <c r="J5463" s="26" t="str">
        <f>IF(OR(E5463="",E5463="!!!",F5463="NEW"),"",COUNTBLANK(OFFSET(A$1,,,SUMPRODUCT(MAX(ROW(E$2:E5463)*(E5463=E$2:E5463)))))-COUNTBLANK(OFFSET(A$1,,,SUMPRODUCT(MAX(ROW(E$1:E5462)*(E2=E$1:E5462))))))</f>
        <v> </v>
      </c>
      <c r="K5463" s="26" t="str">
        <f>IF(OR(E5463="",E5463="!!!",F5463="NEW"),"",INDEX(J$1:J5462,SUMPRODUCT(MAX(ROW(E$1:E5462)*(E5463=E$1:E5462)))))</f>
        <v> </v>
      </c>
      <c r="L5463" s="27"/>
    </row>
    <row r="5464" spans="1:12">
      <c r="A5464" s="20" t="s">
        <v>923</v>
      </c>
      <c r="E5464" s="22">
        <f>IF(D5464="?OLD","!!!","")</f>
        <v/>
      </c>
      <c r="F5464" s="23" t="str">
        <f>IF(OR(E5464="",E5464="!!!"),"",IF(NOT(ISNA(VLOOKUP(E5464,E$1:E5463,1,FALSE()))),"OLD",IF(AND(E5464&lt;&gt;"",E5464&lt;&gt;"!!!"),"NEW","")))</f>
        <v> </v>
      </c>
      <c r="G5464" s="24" t="str">
        <f>IF(OR(E5464="",E5464="!!!"),"",IF(OR(J5464=0,AND(J5464=1,K5464=1),AND(J5464=1,I5464="SBJ"),AND(J5464=1,I5464=0)),"?IN_FOCUS",IF(J5464&lt;=2,"?ACTIVATED",IF(J5464&lt;&gt;"","?FAMILIAR",IF(F5464="NEW",IF(ISNA(VLOOKUP(E5464,#REF!,1,FALSE())),"?TYPE_IDENTIFIABLE","?REFERENTIAL"),"_")))))</f>
        <v> </v>
      </c>
      <c r="H5464" s="25" t="str">
        <f>IF(J5464&lt;&gt;1,"",IF(I5464="SBJ","CB","?"))</f>
        <v> </v>
      </c>
      <c r="I5464" s="26" t="str">
        <f>IF(OR(E5464="",E5464="!!!",F5464="NEW"),"",INDEX(B5463:B$2,-1+SUMPRODUCT(MAX(ROW(E5463:E$2)*(E5464=E5463:E$2)))))</f>
        <v> </v>
      </c>
      <c r="J5464" s="26" t="str">
        <f>IF(OR(E5464="",E5464="!!!",F5464="NEW"),"",COUNTBLANK(OFFSET(A$1,,,SUMPRODUCT(MAX(ROW(E$2:E5464)*(E5464=E$2:E5464)))))-COUNTBLANK(OFFSET(A$1,,,SUMPRODUCT(MAX(ROW(E$1:E5463)*(E2=E$1:E5463))))))</f>
        <v> </v>
      </c>
      <c r="K5464" s="26" t="str">
        <f>IF(OR(E5464="",E5464="!!!",F5464="NEW"),"",INDEX(J$1:J5463,SUMPRODUCT(MAX(ROW(E$1:E5463)*(E5464=E$1:E5463)))))</f>
        <v> </v>
      </c>
      <c r="L5464" s="27"/>
    </row>
    <row r="5465" spans="1:12">
      <c r="A5465" s="20"/>
    </row>
    <row r="5466" spans="1:12">
      <c r="A5466" s="20" t="s">
        <v>2548</v>
      </c>
    </row>
    <row r="5467" spans="1:12">
      <c r="A5467" s="20" t="s">
        <v>1240</v>
      </c>
      <c r="B5467" s="21" t="s">
        <v>1058</v>
      </c>
      <c r="C5467" s="21" t="s">
        <v>1076</v>
      </c>
      <c r="D5467" s="21" t="s">
        <v>1060</v>
      </c>
      <c r="E5467" s="22">
        <f>IF(D5467="?OLD","!!!","")</f>
        <v/>
      </c>
      <c r="F5467" s="23" t="str">
        <f>IF(OR(E5467="",E5467="!!!"),"",IF(NOT(ISNA(VLOOKUP(E5467,E$1:E5466,1,FALSE()))),"OLD",IF(AND(E5467&lt;&gt;"",E5467&lt;&gt;"!!!"),"NEW","")))</f>
        <v> </v>
      </c>
      <c r="G5467" s="24" t="str">
        <f>IF(OR(E5467="",E5467="!!!"),"",IF(OR(J5467=0,AND(J5467=1,K5467=1),AND(J5467=1,I5467="SBJ"),AND(J5467=1,I5467=0)),"?IN_FOCUS",IF(J5467&lt;=2,"?ACTIVATED",IF(J5467&lt;&gt;"","?FAMILIAR",IF(F5467="NEW",IF(ISNA(VLOOKUP(E5467,#REF!,1,FALSE())),"?TYPE_IDENTIFIABLE","?REFERENTIAL"),"_")))))</f>
        <v> </v>
      </c>
      <c r="H5467" s="25" t="str">
        <f>IF(J5467&lt;&gt;1,"",IF(I5467="SBJ","CB","?"))</f>
        <v> </v>
      </c>
      <c r="I5467" s="26" t="str">
        <f>IF(OR(E5467="",E5467="!!!",F5467="NEW"),"",INDEX(B5466:B$2,-1+SUMPRODUCT(MAX(ROW(E5466:E$2)*(E5467=E5466:E$2)))))</f>
        <v> </v>
      </c>
      <c r="J5467" s="26" t="str">
        <f>IF(OR(E5467="",E5467="!!!",F5467="NEW"),"",COUNTBLANK(OFFSET(A$1,,,SUMPRODUCT(MAX(ROW(E$2:E5467)*(E5467=E$2:E5467)))))-COUNTBLANK(OFFSET(A$1,,,SUMPRODUCT(MAX(ROW(E$1:E5466)*(E2=E$1:E5466))))))</f>
        <v> </v>
      </c>
      <c r="K5467" s="26" t="str">
        <f>IF(OR(E5467="",E5467="!!!",F5467="NEW"),"",INDEX(J$1:J5466,SUMPRODUCT(MAX(ROW(E$1:E5466)*(E5467=E$1:E5466)))))</f>
        <v> </v>
      </c>
      <c r="L5467" s="27"/>
    </row>
    <row r="5468" spans="1:12">
      <c r="A5468" s="20" t="s">
        <v>1085</v>
      </c>
      <c r="E5468" s="22">
        <f>IF(D5468="?OLD","!!!","")</f>
        <v/>
      </c>
      <c r="F5468" s="23" t="str">
        <f>IF(OR(E5468="",E5468="!!!"),"",IF(NOT(ISNA(VLOOKUP(E5468,E$1:E5467,1,FALSE()))),"OLD",IF(AND(E5468&lt;&gt;"",E5468&lt;&gt;"!!!"),"NEW","")))</f>
        <v> </v>
      </c>
      <c r="G5468" s="24" t="str">
        <f>IF(OR(E5468="",E5468="!!!"),"",IF(OR(J5468=0,AND(J5468=1,K5468=1),AND(J5468=1,I5468="SBJ"),AND(J5468=1,I5468=0)),"?IN_FOCUS",IF(J5468&lt;=2,"?ACTIVATED",IF(J5468&lt;&gt;"","?FAMILIAR",IF(F5468="NEW",IF(ISNA(VLOOKUP(E5468,#REF!,1,FALSE())),"?TYPE_IDENTIFIABLE","?REFERENTIAL"),"_")))))</f>
        <v> </v>
      </c>
      <c r="H5468" s="25" t="str">
        <f>IF(J5468&lt;&gt;1,"",IF(I5468="SBJ","CB","?"))</f>
        <v> </v>
      </c>
      <c r="I5468" s="26" t="str">
        <f>IF(OR(E5468="",E5468="!!!",F5468="NEW"),"",INDEX(B5467:B$2,-1+SUMPRODUCT(MAX(ROW(E5467:E$2)*(E5468=E5467:E$2)))))</f>
        <v> </v>
      </c>
      <c r="J5468" s="26" t="str">
        <f>IF(OR(E5468="",E5468="!!!",F5468="NEW"),"",COUNTBLANK(OFFSET(A$1,,,SUMPRODUCT(MAX(ROW(E$2:E5468)*(E5468=E$2:E5468)))))-COUNTBLANK(OFFSET(A$1,,,SUMPRODUCT(MAX(ROW(E$1:E5467)*(E2=E$1:E5467))))))</f>
        <v> </v>
      </c>
      <c r="K5468" s="26" t="str">
        <f>IF(OR(E5468="",E5468="!!!",F5468="NEW"),"",INDEX(J$1:J5467,SUMPRODUCT(MAX(ROW(E$1:E5467)*(E5468=E$1:E5467)))))</f>
        <v> </v>
      </c>
      <c r="L5468" s="27"/>
    </row>
    <row r="5469" spans="1:12">
      <c r="A5469" s="20" t="s">
        <v>1077</v>
      </c>
      <c r="E5469" s="22">
        <f>IF(D5469="?OLD","!!!","")</f>
        <v/>
      </c>
      <c r="F5469" s="23" t="str">
        <f>IF(OR(E5469="",E5469="!!!"),"",IF(NOT(ISNA(VLOOKUP(E5469,E$1:E5468,1,FALSE()))),"OLD",IF(AND(E5469&lt;&gt;"",E5469&lt;&gt;"!!!"),"NEW","")))</f>
        <v> </v>
      </c>
      <c r="G5469" s="24" t="str">
        <f>IF(OR(E5469="",E5469="!!!"),"",IF(OR(J5469=0,AND(J5469=1,K5469=1),AND(J5469=1,I5469="SBJ"),AND(J5469=1,I5469=0)),"?IN_FOCUS",IF(J5469&lt;=2,"?ACTIVATED",IF(J5469&lt;&gt;"","?FAMILIAR",IF(F5469="NEW",IF(ISNA(VLOOKUP(E5469,#REF!,1,FALSE())),"?TYPE_IDENTIFIABLE","?REFERENTIAL"),"_")))))</f>
        <v> </v>
      </c>
      <c r="H5469" s="25" t="str">
        <f>IF(J5469&lt;&gt;1,"",IF(I5469="SBJ","CB","?"))</f>
        <v> </v>
      </c>
      <c r="I5469" s="26" t="str">
        <f>IF(OR(E5469="",E5469="!!!",F5469="NEW"),"",INDEX(B5468:B$2,-1+SUMPRODUCT(MAX(ROW(E5468:E$2)*(E5469=E5468:E$2)))))</f>
        <v> </v>
      </c>
      <c r="J5469" s="26" t="str">
        <f>IF(OR(E5469="",E5469="!!!",F5469="NEW"),"",COUNTBLANK(OFFSET(A$1,,,SUMPRODUCT(MAX(ROW(E$2:E5469)*(E5469=E$2:E5469)))))-COUNTBLANK(OFFSET(A$1,,,SUMPRODUCT(MAX(ROW(E$1:E5468)*(E2=E$1:E5468))))))</f>
        <v> </v>
      </c>
      <c r="K5469" s="26" t="str">
        <f>IF(OR(E5469="",E5469="!!!",F5469="NEW"),"",INDEX(J$1:J5468,SUMPRODUCT(MAX(ROW(E$1:E5468)*(E5469=E$1:E5468)))))</f>
        <v> </v>
      </c>
      <c r="L5469" s="27"/>
    </row>
    <row r="5470" spans="1:12">
      <c r="A5470" s="20" t="s">
        <v>1993</v>
      </c>
      <c r="E5470" s="22">
        <f>IF(D5470="?OLD","!!!","")</f>
        <v/>
      </c>
      <c r="F5470" s="23" t="str">
        <f>IF(OR(E5470="",E5470="!!!"),"",IF(NOT(ISNA(VLOOKUP(E5470,E$1:E5469,1,FALSE()))),"OLD",IF(AND(E5470&lt;&gt;"",E5470&lt;&gt;"!!!"),"NEW","")))</f>
        <v> </v>
      </c>
      <c r="G5470" s="24" t="str">
        <f>IF(OR(E5470="",E5470="!!!"),"",IF(OR(J5470=0,AND(J5470=1,K5470=1),AND(J5470=1,I5470="SBJ"),AND(J5470=1,I5470=0)),"?IN_FOCUS",IF(J5470&lt;=2,"?ACTIVATED",IF(J5470&lt;&gt;"","?FAMILIAR",IF(F5470="NEW",IF(ISNA(VLOOKUP(E5470,#REF!,1,FALSE())),"?TYPE_IDENTIFIABLE","?REFERENTIAL"),"_")))))</f>
        <v> </v>
      </c>
      <c r="H5470" s="25" t="str">
        <f>IF(J5470&lt;&gt;1,"",IF(I5470="SBJ","CB","?"))</f>
        <v> </v>
      </c>
      <c r="I5470" s="26" t="str">
        <f>IF(OR(E5470="",E5470="!!!",F5470="NEW"),"",INDEX(B5469:B$2,-1+SUMPRODUCT(MAX(ROW(E5469:E$2)*(E5470=E5469:E$2)))))</f>
        <v> </v>
      </c>
      <c r="J5470" s="26" t="str">
        <f>IF(OR(E5470="",E5470="!!!",F5470="NEW"),"",COUNTBLANK(OFFSET(A$1,,,SUMPRODUCT(MAX(ROW(E$2:E5470)*(E5470=E$2:E5470)))))-COUNTBLANK(OFFSET(A$1,,,SUMPRODUCT(MAX(ROW(E$1:E5469)*(E2=E$1:E5469))))))</f>
        <v> </v>
      </c>
      <c r="K5470" s="26" t="str">
        <f>IF(OR(E5470="",E5470="!!!",F5470="NEW"),"",INDEX(J$1:J5469,SUMPRODUCT(MAX(ROW(E$1:E5469)*(E5470=E$1:E5469)))))</f>
        <v> </v>
      </c>
      <c r="L5470" s="27"/>
    </row>
    <row r="5471" spans="1:12">
      <c r="A5471" s="20" t="s">
        <v>2549</v>
      </c>
      <c r="B5471" s="21" t="s">
        <v>1097</v>
      </c>
      <c r="C5471" s="21" t="s">
        <v>1080</v>
      </c>
      <c r="E5471" s="22">
        <f>IF(D5471="?OLD","!!!","")</f>
        <v/>
      </c>
      <c r="F5471" s="23" t="str">
        <f>IF(OR(E5471="",E5471="!!!"),"",IF(NOT(ISNA(VLOOKUP(E5471,E$1:E5470,1,FALSE()))),"OLD",IF(AND(E5471&lt;&gt;"",E5471&lt;&gt;"!!!"),"NEW","")))</f>
        <v> </v>
      </c>
      <c r="G5471" s="24" t="str">
        <f>IF(OR(E5471="",E5471="!!!"),"",IF(OR(J5471=0,AND(J5471=1,K5471=1),AND(J5471=1,I5471="SBJ"),AND(J5471=1,I5471=0)),"?IN_FOCUS",IF(J5471&lt;=2,"?ACTIVATED",IF(J5471&lt;&gt;"","?FAMILIAR",IF(F5471="NEW",IF(ISNA(VLOOKUP(E5471,#REF!,1,FALSE())),"?TYPE_IDENTIFIABLE","?REFERENTIAL"),"_")))))</f>
        <v> </v>
      </c>
      <c r="H5471" s="25" t="str">
        <f>IF(J5471&lt;&gt;1,"",IF(I5471="SBJ","CB","?"))</f>
        <v> </v>
      </c>
      <c r="I5471" s="26" t="str">
        <f>IF(OR(E5471="",E5471="!!!",F5471="NEW"),"",INDEX(B5470:B$2,-1+SUMPRODUCT(MAX(ROW(E5470:E$2)*(E5471=E5470:E$2)))))</f>
        <v> </v>
      </c>
      <c r="J5471" s="26" t="str">
        <f>IF(OR(E5471="",E5471="!!!",F5471="NEW"),"",COUNTBLANK(OFFSET(A$1,,,SUMPRODUCT(MAX(ROW(E$2:E5471)*(E5471=E$2:E5471)))))-COUNTBLANK(OFFSET(A$1,,,SUMPRODUCT(MAX(ROW(E$1:E5470)*(E2=E$1:E5470))))))</f>
        <v> </v>
      </c>
      <c r="K5471" s="26" t="str">
        <f>IF(OR(E5471="",E5471="!!!",F5471="NEW"),"",INDEX(J$1:J5470,SUMPRODUCT(MAX(ROW(E$1:E5470)*(E5471=E$1:E5470)))))</f>
        <v> </v>
      </c>
      <c r="L5471" s="27"/>
    </row>
    <row r="5472" spans="1:12">
      <c r="A5472" s="20" t="s">
        <v>1070</v>
      </c>
      <c r="E5472" s="22">
        <f>IF(D5472="?OLD","!!!","")</f>
        <v/>
      </c>
      <c r="F5472" s="23" t="str">
        <f>IF(OR(E5472="",E5472="!!!"),"",IF(NOT(ISNA(VLOOKUP(E5472,E$1:E5471,1,FALSE()))),"OLD",IF(AND(E5472&lt;&gt;"",E5472&lt;&gt;"!!!"),"NEW","")))</f>
        <v> </v>
      </c>
      <c r="G5472" s="24" t="str">
        <f>IF(OR(E5472="",E5472="!!!"),"",IF(OR(J5472=0,AND(J5472=1,K5472=1),AND(J5472=1,I5472="SBJ"),AND(J5472=1,I5472=0)),"?IN_FOCUS",IF(J5472&lt;=2,"?ACTIVATED",IF(J5472&lt;&gt;"","?FAMILIAR",IF(F5472="NEW",IF(ISNA(VLOOKUP(E5472,#REF!,1,FALSE())),"?TYPE_IDENTIFIABLE","?REFERENTIAL"),"_")))))</f>
        <v> </v>
      </c>
      <c r="H5472" s="25" t="str">
        <f>IF(J5472&lt;&gt;1,"",IF(I5472="SBJ","CB","?"))</f>
        <v> </v>
      </c>
      <c r="I5472" s="26" t="str">
        <f>IF(OR(E5472="",E5472="!!!",F5472="NEW"),"",INDEX(B5471:B$2,-1+SUMPRODUCT(MAX(ROW(E5471:E$2)*(E5472=E5471:E$2)))))</f>
        <v> </v>
      </c>
      <c r="J5472" s="26" t="str">
        <f>IF(OR(E5472="",E5472="!!!",F5472="NEW"),"",COUNTBLANK(OFFSET(A$1,,,SUMPRODUCT(MAX(ROW(E$2:E5472)*(E5472=E$2:E5472)))))-COUNTBLANK(OFFSET(A$1,,,SUMPRODUCT(MAX(ROW(E$1:E5471)*(E2=E$1:E5471))))))</f>
        <v> </v>
      </c>
      <c r="K5472" s="26" t="str">
        <f>IF(OR(E5472="",E5472="!!!",F5472="NEW"),"",INDEX(J$1:J5471,SUMPRODUCT(MAX(ROW(E$1:E5471)*(E5472=E$1:E5471)))))</f>
        <v> </v>
      </c>
      <c r="L5472" s="27"/>
    </row>
    <row r="5473" spans="1:12">
      <c r="A5473" s="20" t="s">
        <v>1144</v>
      </c>
      <c r="E5473" s="22">
        <f>IF(D5473="?OLD","!!!","")</f>
        <v/>
      </c>
      <c r="F5473" s="23" t="str">
        <f>IF(OR(E5473="",E5473="!!!"),"",IF(NOT(ISNA(VLOOKUP(E5473,E$1:E5472,1,FALSE()))),"OLD",IF(AND(E5473&lt;&gt;"",E5473&lt;&gt;"!!!"),"NEW","")))</f>
        <v> </v>
      </c>
      <c r="G5473" s="24" t="str">
        <f>IF(OR(E5473="",E5473="!!!"),"",IF(OR(J5473=0,AND(J5473=1,K5473=1),AND(J5473=1,I5473="SBJ"),AND(J5473=1,I5473=0)),"?IN_FOCUS",IF(J5473&lt;=2,"?ACTIVATED",IF(J5473&lt;&gt;"","?FAMILIAR",IF(F5473="NEW",IF(ISNA(VLOOKUP(E5473,#REF!,1,FALSE())),"?TYPE_IDENTIFIABLE","?REFERENTIAL"),"_")))))</f>
        <v> </v>
      </c>
      <c r="H5473" s="25" t="str">
        <f>IF(J5473&lt;&gt;1,"",IF(I5473="SBJ","CB","?"))</f>
        <v> </v>
      </c>
      <c r="I5473" s="26" t="str">
        <f>IF(OR(E5473="",E5473="!!!",F5473="NEW"),"",INDEX(B5472:B$2,-1+SUMPRODUCT(MAX(ROW(E5472:E$2)*(E5473=E5472:E$2)))))</f>
        <v> </v>
      </c>
      <c r="J5473" s="26" t="str">
        <f>IF(OR(E5473="",E5473="!!!",F5473="NEW"),"",COUNTBLANK(OFFSET(A$1,,,SUMPRODUCT(MAX(ROW(E$2:E5473)*(E5473=E$2:E5473)))))-COUNTBLANK(OFFSET(A$1,,,SUMPRODUCT(MAX(ROW(E$1:E5472)*(E2=E$1:E5472))))))</f>
        <v> </v>
      </c>
      <c r="K5473" s="26" t="str">
        <f>IF(OR(E5473="",E5473="!!!",F5473="NEW"),"",INDEX(J$1:J5472,SUMPRODUCT(MAX(ROW(E$1:E5472)*(E5473=E$1:E5472)))))</f>
        <v> </v>
      </c>
      <c r="L5473" s="27"/>
    </row>
    <row r="5474" spans="1:12">
      <c r="A5474" s="20" t="s">
        <v>1070</v>
      </c>
      <c r="E5474" s="22">
        <f>IF(D5474="?OLD","!!!","")</f>
        <v/>
      </c>
      <c r="F5474" s="23" t="str">
        <f>IF(OR(E5474="",E5474="!!!"),"",IF(NOT(ISNA(VLOOKUP(E5474,E$1:E5473,1,FALSE()))),"OLD",IF(AND(E5474&lt;&gt;"",E5474&lt;&gt;"!!!"),"NEW","")))</f>
        <v> </v>
      </c>
      <c r="G5474" s="24" t="str">
        <f>IF(OR(E5474="",E5474="!!!"),"",IF(OR(J5474=0,AND(J5474=1,K5474=1),AND(J5474=1,I5474="SBJ"),AND(J5474=1,I5474=0)),"?IN_FOCUS",IF(J5474&lt;=2,"?ACTIVATED",IF(J5474&lt;&gt;"","?FAMILIAR",IF(F5474="NEW",IF(ISNA(VLOOKUP(E5474,#REF!,1,FALSE())),"?TYPE_IDENTIFIABLE","?REFERENTIAL"),"_")))))</f>
        <v> </v>
      </c>
      <c r="H5474" s="25" t="str">
        <f>IF(J5474&lt;&gt;1,"",IF(I5474="SBJ","CB","?"))</f>
        <v> </v>
      </c>
      <c r="I5474" s="26" t="str">
        <f>IF(OR(E5474="",E5474="!!!",F5474="NEW"),"",INDEX(B5473:B$2,-1+SUMPRODUCT(MAX(ROW(E5473:E$2)*(E5474=E5473:E$2)))))</f>
        <v> </v>
      </c>
      <c r="J5474" s="26" t="str">
        <f>IF(OR(E5474="",E5474="!!!",F5474="NEW"),"",COUNTBLANK(OFFSET(A$1,,,SUMPRODUCT(MAX(ROW(E$2:E5474)*(E5474=E$2:E5474)))))-COUNTBLANK(OFFSET(A$1,,,SUMPRODUCT(MAX(ROW(E$1:E5473)*(E2=E$1:E5473))))))</f>
        <v> </v>
      </c>
      <c r="K5474" s="26" t="str">
        <f>IF(OR(E5474="",E5474="!!!",F5474="NEW"),"",INDEX(J$1:J5473,SUMPRODUCT(MAX(ROW(E$1:E5473)*(E5474=E$1:E5473)))))</f>
        <v> </v>
      </c>
      <c r="L5474" s="27"/>
    </row>
    <row r="5475" spans="1:12">
      <c r="A5475" s="20" t="s">
        <v>2550</v>
      </c>
      <c r="E5475" s="22">
        <f>IF(D5475="?OLD","!!!","")</f>
        <v/>
      </c>
      <c r="F5475" s="23" t="str">
        <f>IF(OR(E5475="",E5475="!!!"),"",IF(NOT(ISNA(VLOOKUP(E5475,E$1:E5474,1,FALSE()))),"OLD",IF(AND(E5475&lt;&gt;"",E5475&lt;&gt;"!!!"),"NEW","")))</f>
        <v> </v>
      </c>
      <c r="G5475" s="24" t="str">
        <f>IF(OR(E5475="",E5475="!!!"),"",IF(OR(J5475=0,AND(J5475=1,K5475=1),AND(J5475=1,I5475="SBJ"),AND(J5475=1,I5475=0)),"?IN_FOCUS",IF(J5475&lt;=2,"?ACTIVATED",IF(J5475&lt;&gt;"","?FAMILIAR",IF(F5475="NEW",IF(ISNA(VLOOKUP(E5475,#REF!,1,FALSE())),"?TYPE_IDENTIFIABLE","?REFERENTIAL"),"_")))))</f>
        <v> </v>
      </c>
      <c r="H5475" s="25" t="str">
        <f>IF(J5475&lt;&gt;1,"",IF(I5475="SBJ","CB","?"))</f>
        <v> </v>
      </c>
      <c r="I5475" s="26" t="str">
        <f>IF(OR(E5475="",E5475="!!!",F5475="NEW"),"",INDEX(B5474:B$2,-1+SUMPRODUCT(MAX(ROW(E5474:E$2)*(E5475=E5474:E$2)))))</f>
        <v> </v>
      </c>
      <c r="J5475" s="26" t="str">
        <f>IF(OR(E5475="",E5475="!!!",F5475="NEW"),"",COUNTBLANK(OFFSET(A$1,,,SUMPRODUCT(MAX(ROW(E$2:E5475)*(E5475=E$2:E5475)))))-COUNTBLANK(OFFSET(A$1,,,SUMPRODUCT(MAX(ROW(E$1:E5474)*(E2=E$1:E5474))))))</f>
        <v> </v>
      </c>
      <c r="K5475" s="26" t="str">
        <f>IF(OR(E5475="",E5475="!!!",F5475="NEW"),"",INDEX(J$1:J5474,SUMPRODUCT(MAX(ROW(E$1:E5474)*(E5475=E$1:E5474)))))</f>
        <v> </v>
      </c>
      <c r="L5475" s="27"/>
    </row>
    <row r="5476" spans="1:12">
      <c r="A5476" s="20" t="s">
        <v>1111</v>
      </c>
      <c r="E5476" s="22">
        <f>IF(D5476="?OLD","!!!","")</f>
        <v/>
      </c>
      <c r="F5476" s="23" t="str">
        <f>IF(OR(E5476="",E5476="!!!"),"",IF(NOT(ISNA(VLOOKUP(E5476,E$1:E5475,1,FALSE()))),"OLD",IF(AND(E5476&lt;&gt;"",E5476&lt;&gt;"!!!"),"NEW","")))</f>
        <v> </v>
      </c>
      <c r="G5476" s="24" t="str">
        <f>IF(OR(E5476="",E5476="!!!"),"",IF(OR(J5476=0,AND(J5476=1,K5476=1),AND(J5476=1,I5476="SBJ"),AND(J5476=1,I5476=0)),"?IN_FOCUS",IF(J5476&lt;=2,"?ACTIVATED",IF(J5476&lt;&gt;"","?FAMILIAR",IF(F5476="NEW",IF(ISNA(VLOOKUP(E5476,#REF!,1,FALSE())),"?TYPE_IDENTIFIABLE","?REFERENTIAL"),"_")))))</f>
        <v> </v>
      </c>
      <c r="H5476" s="25" t="str">
        <f>IF(J5476&lt;&gt;1,"",IF(I5476="SBJ","CB","?"))</f>
        <v> </v>
      </c>
      <c r="I5476" s="26" t="str">
        <f>IF(OR(E5476="",E5476="!!!",F5476="NEW"),"",INDEX(B5475:B$2,-1+SUMPRODUCT(MAX(ROW(E5475:E$2)*(E5476=E5475:E$2)))))</f>
        <v> </v>
      </c>
      <c r="J5476" s="26" t="str">
        <f>IF(OR(E5476="",E5476="!!!",F5476="NEW"),"",COUNTBLANK(OFFSET(A$1,,,SUMPRODUCT(MAX(ROW(E$2:E5476)*(E5476=E$2:E5476)))))-COUNTBLANK(OFFSET(A$1,,,SUMPRODUCT(MAX(ROW(E$1:E5475)*(E2=E$1:E5475))))))</f>
        <v> </v>
      </c>
      <c r="K5476" s="26" t="str">
        <f>IF(OR(E5476="",E5476="!!!",F5476="NEW"),"",INDEX(J$1:J5475,SUMPRODUCT(MAX(ROW(E$1:E5475)*(E5476=E$1:E5475)))))</f>
        <v> </v>
      </c>
      <c r="L5476" s="27"/>
    </row>
    <row r="5477" spans="1:12">
      <c r="A5477" s="20" t="s">
        <v>1101</v>
      </c>
      <c r="E5477" s="22">
        <f>IF(D5477="?OLD","!!!","")</f>
        <v/>
      </c>
      <c r="F5477" s="23" t="str">
        <f>IF(OR(E5477="",E5477="!!!"),"",IF(NOT(ISNA(VLOOKUP(E5477,E$1:E5476,1,FALSE()))),"OLD",IF(AND(E5477&lt;&gt;"",E5477&lt;&gt;"!!!"),"NEW","")))</f>
        <v> </v>
      </c>
      <c r="G5477" s="24" t="str">
        <f>IF(OR(E5477="",E5477="!!!"),"",IF(OR(J5477=0,AND(J5477=1,K5477=1),AND(J5477=1,I5477="SBJ"),AND(J5477=1,I5477=0)),"?IN_FOCUS",IF(J5477&lt;=2,"?ACTIVATED",IF(J5477&lt;&gt;"","?FAMILIAR",IF(F5477="NEW",IF(ISNA(VLOOKUP(E5477,#REF!,1,FALSE())),"?TYPE_IDENTIFIABLE","?REFERENTIAL"),"_")))))</f>
        <v> </v>
      </c>
      <c r="H5477" s="25" t="str">
        <f>IF(J5477&lt;&gt;1,"",IF(I5477="SBJ","CB","?"))</f>
        <v> </v>
      </c>
      <c r="I5477" s="26" t="str">
        <f>IF(OR(E5477="",E5477="!!!",F5477="NEW"),"",INDEX(B5476:B$2,-1+SUMPRODUCT(MAX(ROW(E5476:E$2)*(E5477=E5476:E$2)))))</f>
        <v> </v>
      </c>
      <c r="J5477" s="26" t="str">
        <f>IF(OR(E5477="",E5477="!!!",F5477="NEW"),"",COUNTBLANK(OFFSET(A$1,,,SUMPRODUCT(MAX(ROW(E$2:E5477)*(E5477=E$2:E5477)))))-COUNTBLANK(OFFSET(A$1,,,SUMPRODUCT(MAX(ROW(E$1:E5476)*(E2=E$1:E5476))))))</f>
        <v> </v>
      </c>
      <c r="K5477" s="26" t="str">
        <f>IF(OR(E5477="",E5477="!!!",F5477="NEW"),"",INDEX(J$1:J5476,SUMPRODUCT(MAX(ROW(E$1:E5476)*(E5477=E$1:E5476)))))</f>
        <v> </v>
      </c>
      <c r="L5477" s="27"/>
    </row>
    <row r="5478" spans="1:12">
      <c r="A5478" s="20" t="s">
        <v>1702</v>
      </c>
      <c r="B5478" s="21" t="s">
        <v>1097</v>
      </c>
      <c r="C5478" s="21" t="s">
        <v>1140</v>
      </c>
      <c r="D5478" s="21" t="s">
        <v>1060</v>
      </c>
      <c r="E5478" s="22">
        <f>IF(D5478="?OLD","!!!","")</f>
        <v/>
      </c>
      <c r="F5478" s="23" t="str">
        <f>IF(OR(E5478="",E5478="!!!"),"",IF(NOT(ISNA(VLOOKUP(E5478,E$1:E5477,1,FALSE()))),"OLD",IF(AND(E5478&lt;&gt;"",E5478&lt;&gt;"!!!"),"NEW","")))</f>
        <v> </v>
      </c>
      <c r="G5478" s="24" t="str">
        <f>IF(OR(E5478="",E5478="!!!"),"",IF(OR(J5478=0,AND(J5478=1,K5478=1),AND(J5478=1,I5478="SBJ"),AND(J5478=1,I5478=0)),"?IN_FOCUS",IF(J5478&lt;=2,"?ACTIVATED",IF(J5478&lt;&gt;"","?FAMILIAR",IF(F5478="NEW",IF(ISNA(VLOOKUP(E5478,#REF!,1,FALSE())),"?TYPE_IDENTIFIABLE","?REFERENTIAL"),"_")))))</f>
        <v> </v>
      </c>
      <c r="H5478" s="25" t="str">
        <f>IF(J5478&lt;&gt;1,"",IF(I5478="SBJ","CB","?"))</f>
        <v> </v>
      </c>
      <c r="I5478" s="26" t="str">
        <f>IF(OR(E5478="",E5478="!!!",F5478="NEW"),"",INDEX(B5477:B$2,-1+SUMPRODUCT(MAX(ROW(E5477:E$2)*(E5478=E5477:E$2)))))</f>
        <v> </v>
      </c>
      <c r="J5478" s="26" t="str">
        <f>IF(OR(E5478="",E5478="!!!",F5478="NEW"),"",COUNTBLANK(OFFSET(A$1,,,SUMPRODUCT(MAX(ROW(E$2:E5478)*(E5478=E$2:E5478)))))-COUNTBLANK(OFFSET(A$1,,,SUMPRODUCT(MAX(ROW(E$1:E5477)*(E2=E$1:E5477))))))</f>
        <v> </v>
      </c>
      <c r="K5478" s="26" t="str">
        <f>IF(OR(E5478="",E5478="!!!",F5478="NEW"),"",INDEX(J$1:J5477,SUMPRODUCT(MAX(ROW(E$1:E5477)*(E5478=E$1:E5477)))))</f>
        <v> </v>
      </c>
      <c r="L5478" s="27"/>
    </row>
    <row r="5479" spans="1:12">
      <c r="A5479" s="20" t="s">
        <v>1061</v>
      </c>
      <c r="E5479" s="22">
        <f>IF(D5479="?OLD","!!!","")</f>
        <v/>
      </c>
      <c r="F5479" s="23" t="str">
        <f>IF(OR(E5479="",E5479="!!!"),"",IF(NOT(ISNA(VLOOKUP(E5479,E$1:E5478,1,FALSE()))),"OLD",IF(AND(E5479&lt;&gt;"",E5479&lt;&gt;"!!!"),"NEW","")))</f>
        <v> </v>
      </c>
      <c r="G5479" s="24" t="str">
        <f>IF(OR(E5479="",E5479="!!!"),"",IF(OR(J5479=0,AND(J5479=1,K5479=1),AND(J5479=1,I5479="SBJ"),AND(J5479=1,I5479=0)),"?IN_FOCUS",IF(J5479&lt;=2,"?ACTIVATED",IF(J5479&lt;&gt;"","?FAMILIAR",IF(F5479="NEW",IF(ISNA(VLOOKUP(E5479,#REF!,1,FALSE())),"?TYPE_IDENTIFIABLE","?REFERENTIAL"),"_")))))</f>
        <v> </v>
      </c>
      <c r="H5479" s="25" t="str">
        <f>IF(J5479&lt;&gt;1,"",IF(I5479="SBJ","CB","?"))</f>
        <v> </v>
      </c>
      <c r="I5479" s="26" t="str">
        <f>IF(OR(E5479="",E5479="!!!",F5479="NEW"),"",INDEX(B5478:B$2,-1+SUMPRODUCT(MAX(ROW(E5478:E$2)*(E5479=E5478:E$2)))))</f>
        <v> </v>
      </c>
      <c r="J5479" s="26" t="str">
        <f>IF(OR(E5479="",E5479="!!!",F5479="NEW"),"",COUNTBLANK(OFFSET(A$1,,,SUMPRODUCT(MAX(ROW(E$2:E5479)*(E5479=E$2:E5479)))))-COUNTBLANK(OFFSET(A$1,,,SUMPRODUCT(MAX(ROW(E$1:E5478)*(E2=E$1:E5478))))))</f>
        <v> </v>
      </c>
      <c r="K5479" s="26" t="str">
        <f>IF(OR(E5479="",E5479="!!!",F5479="NEW"),"",INDEX(J$1:J5478,SUMPRODUCT(MAX(ROW(E$1:E5478)*(E5479=E$1:E5478)))))</f>
        <v> </v>
      </c>
      <c r="L5479" s="27"/>
    </row>
    <row r="5480" spans="1:12">
      <c r="A5480" s="20" t="s">
        <v>2471</v>
      </c>
      <c r="E5480" s="22">
        <f>IF(D5480="?OLD","!!!","")</f>
        <v/>
      </c>
      <c r="F5480" s="23" t="str">
        <f>IF(OR(E5480="",E5480="!!!"),"",IF(NOT(ISNA(VLOOKUP(E5480,E$1:E5479,1,FALSE()))),"OLD",IF(AND(E5480&lt;&gt;"",E5480&lt;&gt;"!!!"),"NEW","")))</f>
        <v> </v>
      </c>
      <c r="G5480" s="24" t="str">
        <f>IF(OR(E5480="",E5480="!!!"),"",IF(OR(J5480=0,AND(J5480=1,K5480=1),AND(J5480=1,I5480="SBJ"),AND(J5480=1,I5480=0)),"?IN_FOCUS",IF(J5480&lt;=2,"?ACTIVATED",IF(J5480&lt;&gt;"","?FAMILIAR",IF(F5480="NEW",IF(ISNA(VLOOKUP(E5480,#REF!,1,FALSE())),"?TYPE_IDENTIFIABLE","?REFERENTIAL"),"_")))))</f>
        <v> </v>
      </c>
      <c r="H5480" s="25" t="str">
        <f>IF(J5480&lt;&gt;1,"",IF(I5480="SBJ","CB","?"))</f>
        <v> </v>
      </c>
      <c r="I5480" s="26" t="str">
        <f>IF(OR(E5480="",E5480="!!!",F5480="NEW"),"",INDEX(B5479:B$2,-1+SUMPRODUCT(MAX(ROW(E5479:E$2)*(E5480=E5479:E$2)))))</f>
        <v> </v>
      </c>
      <c r="J5480" s="26" t="str">
        <f>IF(OR(E5480="",E5480="!!!",F5480="NEW"),"",COUNTBLANK(OFFSET(A$1,,,SUMPRODUCT(MAX(ROW(E$2:E5480)*(E5480=E$2:E5480)))))-COUNTBLANK(OFFSET(A$1,,,SUMPRODUCT(MAX(ROW(E$1:E5479)*(E2=E$1:E5479))))))</f>
        <v> </v>
      </c>
      <c r="K5480" s="26" t="str">
        <f>IF(OR(E5480="",E5480="!!!",F5480="NEW"),"",INDEX(J$1:J5479,SUMPRODUCT(MAX(ROW(E$1:E5479)*(E5480=E$1:E5479)))))</f>
        <v> </v>
      </c>
      <c r="L5480" s="27"/>
    </row>
    <row r="5481" spans="1:12">
      <c r="A5481" s="20" t="s">
        <v>2190</v>
      </c>
      <c r="B5481" s="21" t="s">
        <v>1099</v>
      </c>
      <c r="C5481" s="21" t="s">
        <v>1092</v>
      </c>
      <c r="D5481" s="21" t="s">
        <v>1060</v>
      </c>
      <c r="E5481" s="22">
        <f>IF(D5481="?OLD","!!!","")</f>
        <v/>
      </c>
      <c r="F5481" s="23" t="str">
        <f>IF(OR(E5481="",E5481="!!!"),"",IF(NOT(ISNA(VLOOKUP(E5481,E$1:E5480,1,FALSE()))),"OLD",IF(AND(E5481&lt;&gt;"",E5481&lt;&gt;"!!!"),"NEW","")))</f>
        <v> </v>
      </c>
      <c r="G5481" s="24" t="str">
        <f>IF(OR(E5481="",E5481="!!!"),"",IF(OR(J5481=0,AND(J5481=1,K5481=1),AND(J5481=1,I5481="SBJ"),AND(J5481=1,I5481=0)),"?IN_FOCUS",IF(J5481&lt;=2,"?ACTIVATED",IF(J5481&lt;&gt;"","?FAMILIAR",IF(F5481="NEW",IF(ISNA(VLOOKUP(E5481,#REF!,1,FALSE())),"?TYPE_IDENTIFIABLE","?REFERENTIAL"),"_")))))</f>
        <v> </v>
      </c>
      <c r="H5481" s="25" t="str">
        <f>IF(J5481&lt;&gt;1,"",IF(I5481="SBJ","CB","?"))</f>
        <v> </v>
      </c>
      <c r="I5481" s="26" t="str">
        <f>IF(OR(E5481="",E5481="!!!",F5481="NEW"),"",INDEX(B5480:B$2,-1+SUMPRODUCT(MAX(ROW(E5480:E$2)*(E5481=E5480:E$2)))))</f>
        <v> </v>
      </c>
      <c r="J5481" s="26" t="str">
        <f>IF(OR(E5481="",E5481="!!!",F5481="NEW"),"",COUNTBLANK(OFFSET(A$1,,,SUMPRODUCT(MAX(ROW(E$2:E5481)*(E5481=E$2:E5481)))))-COUNTBLANK(OFFSET(A$1,,,SUMPRODUCT(MAX(ROW(E$1:E5480)*(E2=E$1:E5480))))))</f>
        <v> </v>
      </c>
      <c r="K5481" s="26" t="str">
        <f>IF(OR(E5481="",E5481="!!!",F5481="NEW"),"",INDEX(J$1:J5480,SUMPRODUCT(MAX(ROW(E$1:E5480)*(E5481=E$1:E5480)))))</f>
        <v> </v>
      </c>
      <c r="L5481" s="27"/>
    </row>
    <row r="5482" spans="1:12">
      <c r="A5482" s="20" t="s">
        <v>1892</v>
      </c>
      <c r="B5482" s="21" t="s">
        <v>1136</v>
      </c>
      <c r="C5482" s="21" t="s">
        <v>1059</v>
      </c>
      <c r="D5482" s="21" t="s">
        <v>1060</v>
      </c>
      <c r="E5482" s="22">
        <f>IF(D5482="?OLD","!!!","")</f>
        <v/>
      </c>
      <c r="F5482" s="23" t="str">
        <f>IF(OR(E5482="",E5482="!!!"),"",IF(NOT(ISNA(VLOOKUP(E5482,E$1:E5481,1,FALSE()))),"OLD",IF(AND(E5482&lt;&gt;"",E5482&lt;&gt;"!!!"),"NEW","")))</f>
        <v> </v>
      </c>
      <c r="G5482" s="24" t="str">
        <f>IF(OR(E5482="",E5482="!!!"),"",IF(OR(J5482=0,AND(J5482=1,K5482=1),AND(J5482=1,I5482="SBJ"),AND(J5482=1,I5482=0)),"?IN_FOCUS",IF(J5482&lt;=2,"?ACTIVATED",IF(J5482&lt;&gt;"","?FAMILIAR",IF(F5482="NEW",IF(ISNA(VLOOKUP(E5482,#REF!,1,FALSE())),"?TYPE_IDENTIFIABLE","?REFERENTIAL"),"_")))))</f>
        <v> </v>
      </c>
      <c r="H5482" s="25" t="str">
        <f>IF(J5482&lt;&gt;1,"",IF(I5482="SBJ","CB","?"))</f>
        <v> </v>
      </c>
      <c r="I5482" s="26" t="str">
        <f>IF(OR(E5482="",E5482="!!!",F5482="NEW"),"",INDEX(B5481:B$2,-1+SUMPRODUCT(MAX(ROW(E5481:E$2)*(E5482=E5481:E$2)))))</f>
        <v> </v>
      </c>
      <c r="J5482" s="26" t="str">
        <f>IF(OR(E5482="",E5482="!!!",F5482="NEW"),"",COUNTBLANK(OFFSET(A$1,,,SUMPRODUCT(MAX(ROW(E$2:E5482)*(E5482=E$2:E5482)))))-COUNTBLANK(OFFSET(A$1,,,SUMPRODUCT(MAX(ROW(E$1:E5481)*(E2=E$1:E5481))))))</f>
        <v> </v>
      </c>
      <c r="K5482" s="26" t="str">
        <f>IF(OR(E5482="",E5482="!!!",F5482="NEW"),"",INDEX(J$1:J5481,SUMPRODUCT(MAX(ROW(E$1:E5481)*(E5482=E$1:E5481)))))</f>
        <v> </v>
      </c>
      <c r="L5482" s="27"/>
    </row>
    <row r="5483" spans="1:12">
      <c r="A5483" s="20" t="s">
        <v>1088</v>
      </c>
      <c r="E5483" s="22">
        <f>IF(D5483="?OLD","!!!","")</f>
        <v/>
      </c>
      <c r="F5483" s="23" t="str">
        <f>IF(OR(E5483="",E5483="!!!"),"",IF(NOT(ISNA(VLOOKUP(E5483,E$1:E5482,1,FALSE()))),"OLD",IF(AND(E5483&lt;&gt;"",E5483&lt;&gt;"!!!"),"NEW","")))</f>
        <v> </v>
      </c>
      <c r="G5483" s="24" t="str">
        <f>IF(OR(E5483="",E5483="!!!"),"",IF(OR(J5483=0,AND(J5483=1,K5483=1),AND(J5483=1,I5483="SBJ"),AND(J5483=1,I5483=0)),"?IN_FOCUS",IF(J5483&lt;=2,"?ACTIVATED",IF(J5483&lt;&gt;"","?FAMILIAR",IF(F5483="NEW",IF(ISNA(VLOOKUP(E5483,#REF!,1,FALSE())),"?TYPE_IDENTIFIABLE","?REFERENTIAL"),"_")))))</f>
        <v> </v>
      </c>
      <c r="H5483" s="25" t="str">
        <f>IF(J5483&lt;&gt;1,"",IF(I5483="SBJ","CB","?"))</f>
        <v> </v>
      </c>
      <c r="I5483" s="26" t="str">
        <f>IF(OR(E5483="",E5483="!!!",F5483="NEW"),"",INDEX(B5482:B$2,-1+SUMPRODUCT(MAX(ROW(E5482:E$2)*(E5483=E5482:E$2)))))</f>
        <v> </v>
      </c>
      <c r="J5483" s="26" t="str">
        <f>IF(OR(E5483="",E5483="!!!",F5483="NEW"),"",COUNTBLANK(OFFSET(A$1,,,SUMPRODUCT(MAX(ROW(E$2:E5483)*(E5483=E$2:E5483)))))-COUNTBLANK(OFFSET(A$1,,,SUMPRODUCT(MAX(ROW(E$1:E5482)*(E2=E$1:E5482))))))</f>
        <v> </v>
      </c>
      <c r="K5483" s="26" t="str">
        <f>IF(OR(E5483="",E5483="!!!",F5483="NEW"),"",INDEX(J$1:J5482,SUMPRODUCT(MAX(ROW(E$1:E5482)*(E5483=E$1:E5482)))))</f>
        <v> </v>
      </c>
      <c r="L5483" s="27"/>
    </row>
    <row r="5484" spans="1:12">
      <c r="A5484" s="20" t="s">
        <v>1090</v>
      </c>
      <c r="B5484" s="21" t="s">
        <v>1099</v>
      </c>
      <c r="C5484" s="21" t="s">
        <v>1092</v>
      </c>
      <c r="D5484" s="21" t="s">
        <v>1060</v>
      </c>
      <c r="E5484" s="22">
        <f>IF(D5484="?OLD","!!!","")</f>
        <v/>
      </c>
      <c r="F5484" s="23" t="str">
        <f>IF(OR(E5484="",E5484="!!!"),"",IF(NOT(ISNA(VLOOKUP(E5484,E$1:E5483,1,FALSE()))),"OLD",IF(AND(E5484&lt;&gt;"",E5484&lt;&gt;"!!!"),"NEW","")))</f>
        <v> </v>
      </c>
      <c r="G5484" s="24" t="str">
        <f>IF(OR(E5484="",E5484="!!!"),"",IF(OR(J5484=0,AND(J5484=1,K5484=1),AND(J5484=1,I5484="SBJ"),AND(J5484=1,I5484=0)),"?IN_FOCUS",IF(J5484&lt;=2,"?ACTIVATED",IF(J5484&lt;&gt;"","?FAMILIAR",IF(F5484="NEW",IF(ISNA(VLOOKUP(E5484,#REF!,1,FALSE())),"?TYPE_IDENTIFIABLE","?REFERENTIAL"),"_")))))</f>
        <v> </v>
      </c>
      <c r="H5484" s="25" t="str">
        <f>IF(J5484&lt;&gt;1,"",IF(I5484="SBJ","CB","?"))</f>
        <v> </v>
      </c>
      <c r="I5484" s="26" t="str">
        <f>IF(OR(E5484="",E5484="!!!",F5484="NEW"),"",INDEX(B5483:B$2,-1+SUMPRODUCT(MAX(ROW(E5483:E$2)*(E5484=E5483:E$2)))))</f>
        <v> </v>
      </c>
      <c r="J5484" s="26" t="str">
        <f>IF(OR(E5484="",E5484="!!!",F5484="NEW"),"",COUNTBLANK(OFFSET(A$1,,,SUMPRODUCT(MAX(ROW(E$2:E5484)*(E5484=E$2:E5484)))))-COUNTBLANK(OFFSET(A$1,,,SUMPRODUCT(MAX(ROW(E$1:E5483)*(E2=E$1:E5483))))))</f>
        <v> </v>
      </c>
      <c r="K5484" s="26" t="str">
        <f>IF(OR(E5484="",E5484="!!!",F5484="NEW"),"",INDEX(J$1:J5483,SUMPRODUCT(MAX(ROW(E$1:E5483)*(E5484=E$1:E5483)))))</f>
        <v> </v>
      </c>
      <c r="L5484" s="27"/>
    </row>
    <row r="5485" spans="1:12">
      <c r="A5485" s="20" t="s">
        <v>1975</v>
      </c>
      <c r="B5485" s="21" t="s">
        <v>1064</v>
      </c>
      <c r="C5485" s="21" t="s">
        <v>1059</v>
      </c>
      <c r="D5485" s="21" t="s">
        <v>1060</v>
      </c>
      <c r="E5485" s="22">
        <f>IF(D5485="?OLD","!!!","")</f>
        <v/>
      </c>
      <c r="F5485" s="23" t="str">
        <f>IF(OR(E5485="",E5485="!!!"),"",IF(NOT(ISNA(VLOOKUP(E5485,E$1:E5484,1,FALSE()))),"OLD",IF(AND(E5485&lt;&gt;"",E5485&lt;&gt;"!!!"),"NEW","")))</f>
        <v> </v>
      </c>
      <c r="G5485" s="24" t="str">
        <f>IF(OR(E5485="",E5485="!!!"),"",IF(OR(J5485=0,AND(J5485=1,K5485=1),AND(J5485=1,I5485="SBJ"),AND(J5485=1,I5485=0)),"?IN_FOCUS",IF(J5485&lt;=2,"?ACTIVATED",IF(J5485&lt;&gt;"","?FAMILIAR",IF(F5485="NEW",IF(ISNA(VLOOKUP(E5485,#REF!,1,FALSE())),"?TYPE_IDENTIFIABLE","?REFERENTIAL"),"_")))))</f>
        <v> </v>
      </c>
      <c r="H5485" s="25" t="str">
        <f>IF(J5485&lt;&gt;1,"",IF(I5485="SBJ","CB","?"))</f>
        <v> </v>
      </c>
      <c r="I5485" s="26" t="str">
        <f>IF(OR(E5485="",E5485="!!!",F5485="NEW"),"",INDEX(B5484:B$2,-1+SUMPRODUCT(MAX(ROW(E5484:E$2)*(E5485=E5484:E$2)))))</f>
        <v> </v>
      </c>
      <c r="J5485" s="26" t="str">
        <f>IF(OR(E5485="",E5485="!!!",F5485="NEW"),"",COUNTBLANK(OFFSET(A$1,,,SUMPRODUCT(MAX(ROW(E$2:E5485)*(E5485=E$2:E5485)))))-COUNTBLANK(OFFSET(A$1,,,SUMPRODUCT(MAX(ROW(E$1:E5484)*(E2=E$1:E5484))))))</f>
        <v> </v>
      </c>
      <c r="K5485" s="26" t="str">
        <f>IF(OR(E5485="",E5485="!!!",F5485="NEW"),"",INDEX(J$1:J5484,SUMPRODUCT(MAX(ROW(E$1:E5484)*(E5485=E$1:E5484)))))</f>
        <v> </v>
      </c>
      <c r="L5485" s="27"/>
    </row>
    <row r="5486" spans="1:12">
      <c r="A5486" s="20" t="s">
        <v>1070</v>
      </c>
      <c r="E5486" s="22">
        <f>IF(D5486="?OLD","!!!","")</f>
        <v/>
      </c>
      <c r="F5486" s="23" t="str">
        <f>IF(OR(E5486="",E5486="!!!"),"",IF(NOT(ISNA(VLOOKUP(E5486,E$1:E5485,1,FALSE()))),"OLD",IF(AND(E5486&lt;&gt;"",E5486&lt;&gt;"!!!"),"NEW","")))</f>
        <v> </v>
      </c>
      <c r="G5486" s="24" t="str">
        <f>IF(OR(E5486="",E5486="!!!"),"",IF(OR(J5486=0,AND(J5486=1,K5486=1),AND(J5486=1,I5486="SBJ"),AND(J5486=1,I5486=0)),"?IN_FOCUS",IF(J5486&lt;=2,"?ACTIVATED",IF(J5486&lt;&gt;"","?FAMILIAR",IF(F5486="NEW",IF(ISNA(VLOOKUP(E5486,#REF!,1,FALSE())),"?TYPE_IDENTIFIABLE","?REFERENTIAL"),"_")))))</f>
        <v> </v>
      </c>
      <c r="H5486" s="25" t="str">
        <f>IF(J5486&lt;&gt;1,"",IF(I5486="SBJ","CB","?"))</f>
        <v> </v>
      </c>
      <c r="I5486" s="26" t="str">
        <f>IF(OR(E5486="",E5486="!!!",F5486="NEW"),"",INDEX(B5485:B$2,-1+SUMPRODUCT(MAX(ROW(E5485:E$2)*(E5486=E5485:E$2)))))</f>
        <v> </v>
      </c>
      <c r="J5486" s="26" t="str">
        <f>IF(OR(E5486="",E5486="!!!",F5486="NEW"),"",COUNTBLANK(OFFSET(A$1,,,SUMPRODUCT(MAX(ROW(E$2:E5486)*(E5486=E$2:E5486)))))-COUNTBLANK(OFFSET(A$1,,,SUMPRODUCT(MAX(ROW(E$1:E5485)*(E2=E$1:E5485))))))</f>
        <v> </v>
      </c>
      <c r="K5486" s="26" t="str">
        <f>IF(OR(E5486="",E5486="!!!",F5486="NEW"),"",INDEX(J$1:J5485,SUMPRODUCT(MAX(ROW(E$1:E5485)*(E5486=E$1:E5485)))))</f>
        <v> </v>
      </c>
      <c r="L5486" s="27"/>
    </row>
    <row r="5487" spans="1:12">
      <c r="A5487" s="20" t="s">
        <v>1183</v>
      </c>
      <c r="B5487" s="21" t="s">
        <v>1079</v>
      </c>
      <c r="C5487" s="21" t="s">
        <v>1184</v>
      </c>
      <c r="E5487" s="22">
        <f>IF(D5487="?OLD","!!!","")</f>
        <v/>
      </c>
      <c r="F5487" s="23" t="str">
        <f>IF(OR(E5487="",E5487="!!!"),"",IF(NOT(ISNA(VLOOKUP(E5487,E$1:E5486,1,FALSE()))),"OLD",IF(AND(E5487&lt;&gt;"",E5487&lt;&gt;"!!!"),"NEW","")))</f>
        <v> </v>
      </c>
      <c r="G5487" s="24" t="str">
        <f>IF(OR(E5487="",E5487="!!!"),"",IF(OR(J5487=0,AND(J5487=1,K5487=1),AND(J5487=1,I5487="SBJ"),AND(J5487=1,I5487=0)),"?IN_FOCUS",IF(J5487&lt;=2,"?ACTIVATED",IF(J5487&lt;&gt;"","?FAMILIAR",IF(F5487="NEW",IF(ISNA(VLOOKUP(E5487,#REF!,1,FALSE())),"?TYPE_IDENTIFIABLE","?REFERENTIAL"),"_")))))</f>
        <v> </v>
      </c>
      <c r="H5487" s="25" t="str">
        <f>IF(J5487&lt;&gt;1,"",IF(I5487="SBJ","CB","?"))</f>
        <v> </v>
      </c>
      <c r="I5487" s="26" t="str">
        <f>IF(OR(E5487="",E5487="!!!",F5487="NEW"),"",INDEX(B5486:B$2,-1+SUMPRODUCT(MAX(ROW(E5486:E$2)*(E5487=E5486:E$2)))))</f>
        <v> </v>
      </c>
      <c r="J5487" s="26" t="str">
        <f>IF(OR(E5487="",E5487="!!!",F5487="NEW"),"",COUNTBLANK(OFFSET(A$1,,,SUMPRODUCT(MAX(ROW(E$2:E5487)*(E5487=E$2:E5487)))))-COUNTBLANK(OFFSET(A$1,,,SUMPRODUCT(MAX(ROW(E$1:E5486)*(E2=E$1:E5486))))))</f>
        <v> </v>
      </c>
      <c r="K5487" s="26" t="str">
        <f>IF(OR(E5487="",E5487="!!!",F5487="NEW"),"",INDEX(J$1:J5486,SUMPRODUCT(MAX(ROW(E$1:E5486)*(E5487=E$1:E5486)))))</f>
        <v> </v>
      </c>
      <c r="L5487" s="27"/>
    </row>
    <row r="5488" spans="1:12">
      <c r="A5488" s="20" t="s">
        <v>2551</v>
      </c>
      <c r="E5488" s="22">
        <f>IF(D5488="?OLD","!!!","")</f>
        <v/>
      </c>
      <c r="F5488" s="23" t="str">
        <f>IF(OR(E5488="",E5488="!!!"),"",IF(NOT(ISNA(VLOOKUP(E5488,E$1:E5487,1,FALSE()))),"OLD",IF(AND(E5488&lt;&gt;"",E5488&lt;&gt;"!!!"),"NEW","")))</f>
        <v> </v>
      </c>
      <c r="G5488" s="24" t="str">
        <f>IF(OR(E5488="",E5488="!!!"),"",IF(OR(J5488=0,AND(J5488=1,K5488=1),AND(J5488=1,I5488="SBJ"),AND(J5488=1,I5488=0)),"?IN_FOCUS",IF(J5488&lt;=2,"?ACTIVATED",IF(J5488&lt;&gt;"","?FAMILIAR",IF(F5488="NEW",IF(ISNA(VLOOKUP(E5488,#REF!,1,FALSE())),"?TYPE_IDENTIFIABLE","?REFERENTIAL"),"_")))))</f>
        <v> </v>
      </c>
      <c r="H5488" s="25" t="str">
        <f>IF(J5488&lt;&gt;1,"",IF(I5488="SBJ","CB","?"))</f>
        <v> </v>
      </c>
      <c r="I5488" s="26" t="str">
        <f>IF(OR(E5488="",E5488="!!!",F5488="NEW"),"",INDEX(B5487:B$2,-1+SUMPRODUCT(MAX(ROW(E5487:E$2)*(E5488=E5487:E$2)))))</f>
        <v> </v>
      </c>
      <c r="J5488" s="26" t="str">
        <f>IF(OR(E5488="",E5488="!!!",F5488="NEW"),"",COUNTBLANK(OFFSET(A$1,,,SUMPRODUCT(MAX(ROW(E$2:E5488)*(E5488=E$2:E5488)))))-COUNTBLANK(OFFSET(A$1,,,SUMPRODUCT(MAX(ROW(E$1:E5487)*(E2=E$1:E5487))))))</f>
        <v> </v>
      </c>
      <c r="K5488" s="26" t="str">
        <f>IF(OR(E5488="",E5488="!!!",F5488="NEW"),"",INDEX(J$1:J5487,SUMPRODUCT(MAX(ROW(E$1:E5487)*(E5488=E$1:E5487)))))</f>
        <v> </v>
      </c>
      <c r="L5488" s="27"/>
    </row>
    <row r="5489" spans="1:12">
      <c r="A5489" s="20" t="s">
        <v>1189</v>
      </c>
      <c r="E5489" s="22">
        <f>IF(D5489="?OLD","!!!","")</f>
        <v/>
      </c>
      <c r="F5489" s="23" t="str">
        <f>IF(OR(E5489="",E5489="!!!"),"",IF(NOT(ISNA(VLOOKUP(E5489,E$1:E5488,1,FALSE()))),"OLD",IF(AND(E5489&lt;&gt;"",E5489&lt;&gt;"!!!"),"NEW","")))</f>
        <v> </v>
      </c>
      <c r="G5489" s="24" t="str">
        <f>IF(OR(E5489="",E5489="!!!"),"",IF(OR(J5489=0,AND(J5489=1,K5489=1),AND(J5489=1,I5489="SBJ"),AND(J5489=1,I5489=0)),"?IN_FOCUS",IF(J5489&lt;=2,"?ACTIVATED",IF(J5489&lt;&gt;"","?FAMILIAR",IF(F5489="NEW",IF(ISNA(VLOOKUP(E5489,#REF!,1,FALSE())),"?TYPE_IDENTIFIABLE","?REFERENTIAL"),"_")))))</f>
        <v> </v>
      </c>
      <c r="H5489" s="25" t="str">
        <f>IF(J5489&lt;&gt;1,"",IF(I5489="SBJ","CB","?"))</f>
        <v> </v>
      </c>
      <c r="I5489" s="26" t="str">
        <f>IF(OR(E5489="",E5489="!!!",F5489="NEW"),"",INDEX(B5488:B$2,-1+SUMPRODUCT(MAX(ROW(E5488:E$2)*(E5489=E5488:E$2)))))</f>
        <v> </v>
      </c>
      <c r="J5489" s="26" t="str">
        <f>IF(OR(E5489="",E5489="!!!",F5489="NEW"),"",COUNTBLANK(OFFSET(A$1,,,SUMPRODUCT(MAX(ROW(E$2:E5489)*(E5489=E$2:E5489)))))-COUNTBLANK(OFFSET(A$1,,,SUMPRODUCT(MAX(ROW(E$1:E5488)*(E2=E$1:E5488))))))</f>
        <v> </v>
      </c>
      <c r="K5489" s="26" t="str">
        <f>IF(OR(E5489="",E5489="!!!",F5489="NEW"),"",INDEX(J$1:J5488,SUMPRODUCT(MAX(ROW(E$1:E5488)*(E5489=E$1:E5488)))))</f>
        <v> </v>
      </c>
      <c r="L5489" s="27"/>
    </row>
    <row r="5490" spans="1:12">
      <c r="A5490" s="20" t="s">
        <v>2552</v>
      </c>
      <c r="E5490" s="22">
        <f>IF(D5490="?OLD","!!!","")</f>
        <v/>
      </c>
      <c r="F5490" s="23" t="str">
        <f>IF(OR(E5490="",E5490="!!!"),"",IF(NOT(ISNA(VLOOKUP(E5490,E$1:E5489,1,FALSE()))),"OLD",IF(AND(E5490&lt;&gt;"",E5490&lt;&gt;"!!!"),"NEW","")))</f>
        <v> </v>
      </c>
      <c r="G5490" s="24" t="str">
        <f>IF(OR(E5490="",E5490="!!!"),"",IF(OR(J5490=0,AND(J5490=1,K5490=1),AND(J5490=1,I5490="SBJ"),AND(J5490=1,I5490=0)),"?IN_FOCUS",IF(J5490&lt;=2,"?ACTIVATED",IF(J5490&lt;&gt;"","?FAMILIAR",IF(F5490="NEW",IF(ISNA(VLOOKUP(E5490,#REF!,1,FALSE())),"?TYPE_IDENTIFIABLE","?REFERENTIAL"),"_")))))</f>
        <v> </v>
      </c>
      <c r="H5490" s="25" t="str">
        <f>IF(J5490&lt;&gt;1,"",IF(I5490="SBJ","CB","?"))</f>
        <v> </v>
      </c>
      <c r="I5490" s="26" t="str">
        <f>IF(OR(E5490="",E5490="!!!",F5490="NEW"),"",INDEX(B5489:B$2,-1+SUMPRODUCT(MAX(ROW(E5489:E$2)*(E5490=E5489:E$2)))))</f>
        <v> </v>
      </c>
      <c r="J5490" s="26" t="str">
        <f>IF(OR(E5490="",E5490="!!!",F5490="NEW"),"",COUNTBLANK(OFFSET(A$1,,,SUMPRODUCT(MAX(ROW(E$2:E5490)*(E5490=E$2:E5490)))))-COUNTBLANK(OFFSET(A$1,,,SUMPRODUCT(MAX(ROW(E$1:E5489)*(E2=E$1:E5489))))))</f>
        <v> </v>
      </c>
      <c r="K5490" s="26" t="str">
        <f>IF(OR(E5490="",E5490="!!!",F5490="NEW"),"",INDEX(J$1:J5489,SUMPRODUCT(MAX(ROW(E$1:E5489)*(E5490=E$1:E5489)))))</f>
        <v> </v>
      </c>
      <c r="L5490" s="27"/>
    </row>
    <row r="5491" spans="1:12">
      <c r="A5491" s="20" t="s">
        <v>1088</v>
      </c>
      <c r="E5491" s="22">
        <f>IF(D5491="?OLD","!!!","")</f>
        <v/>
      </c>
      <c r="F5491" s="23" t="str">
        <f>IF(OR(E5491="",E5491="!!!"),"",IF(NOT(ISNA(VLOOKUP(E5491,E$1:E5490,1,FALSE()))),"OLD",IF(AND(E5491&lt;&gt;"",E5491&lt;&gt;"!!!"),"NEW","")))</f>
        <v> </v>
      </c>
      <c r="G5491" s="24" t="str">
        <f>IF(OR(E5491="",E5491="!!!"),"",IF(OR(J5491=0,AND(J5491=1,K5491=1),AND(J5491=1,I5491="SBJ"),AND(J5491=1,I5491=0)),"?IN_FOCUS",IF(J5491&lt;=2,"?ACTIVATED",IF(J5491&lt;&gt;"","?FAMILIAR",IF(F5491="NEW",IF(ISNA(VLOOKUP(E5491,#REF!,1,FALSE())),"?TYPE_IDENTIFIABLE","?REFERENTIAL"),"_")))))</f>
        <v> </v>
      </c>
      <c r="H5491" s="25" t="str">
        <f>IF(J5491&lt;&gt;1,"",IF(I5491="SBJ","CB","?"))</f>
        <v> </v>
      </c>
      <c r="I5491" s="26" t="str">
        <f>IF(OR(E5491="",E5491="!!!",F5491="NEW"),"",INDEX(B5490:B$2,-1+SUMPRODUCT(MAX(ROW(E5490:E$2)*(E5491=E5490:E$2)))))</f>
        <v> </v>
      </c>
      <c r="J5491" s="26" t="str">
        <f>IF(OR(E5491="",E5491="!!!",F5491="NEW"),"",COUNTBLANK(OFFSET(A$1,,,SUMPRODUCT(MAX(ROW(E$2:E5491)*(E5491=E$2:E5491)))))-COUNTBLANK(OFFSET(A$1,,,SUMPRODUCT(MAX(ROW(E$1:E5490)*(E2=E$1:E5490))))))</f>
        <v> </v>
      </c>
      <c r="K5491" s="26" t="str">
        <f>IF(OR(E5491="",E5491="!!!",F5491="NEW"),"",INDEX(J$1:J5490,SUMPRODUCT(MAX(ROW(E$1:E5490)*(E5491=E$1:E5490)))))</f>
        <v> </v>
      </c>
      <c r="L5491" s="27"/>
    </row>
    <row r="5492" spans="1:12">
      <c r="A5492" s="20" t="s">
        <v>2553</v>
      </c>
      <c r="E5492" s="22">
        <f>IF(D5492="?OLD","!!!","")</f>
        <v/>
      </c>
      <c r="F5492" s="23" t="str">
        <f>IF(OR(E5492="",E5492="!!!"),"",IF(NOT(ISNA(VLOOKUP(E5492,E$1:E5491,1,FALSE()))),"OLD",IF(AND(E5492&lt;&gt;"",E5492&lt;&gt;"!!!"),"NEW","")))</f>
        <v> </v>
      </c>
      <c r="G5492" s="24" t="str">
        <f>IF(OR(E5492="",E5492="!!!"),"",IF(OR(J5492=0,AND(J5492=1,K5492=1),AND(J5492=1,I5492="SBJ"),AND(J5492=1,I5492=0)),"?IN_FOCUS",IF(J5492&lt;=2,"?ACTIVATED",IF(J5492&lt;&gt;"","?FAMILIAR",IF(F5492="NEW",IF(ISNA(VLOOKUP(E5492,#REF!,1,FALSE())),"?TYPE_IDENTIFIABLE","?REFERENTIAL"),"_")))))</f>
        <v> </v>
      </c>
      <c r="H5492" s="25" t="str">
        <f>IF(J5492&lt;&gt;1,"",IF(I5492="SBJ","CB","?"))</f>
        <v> </v>
      </c>
      <c r="I5492" s="26" t="str">
        <f>IF(OR(E5492="",E5492="!!!",F5492="NEW"),"",INDEX(B5491:B$2,-1+SUMPRODUCT(MAX(ROW(E5491:E$2)*(E5492=E5491:E$2)))))</f>
        <v> </v>
      </c>
      <c r="J5492" s="26" t="str">
        <f>IF(OR(E5492="",E5492="!!!",F5492="NEW"),"",COUNTBLANK(OFFSET(A$1,,,SUMPRODUCT(MAX(ROW(E$2:E5492)*(E5492=E$2:E5492)))))-COUNTBLANK(OFFSET(A$1,,,SUMPRODUCT(MAX(ROW(E$1:E5491)*(E2=E$1:E5491))))))</f>
        <v> </v>
      </c>
      <c r="K5492" s="26" t="str">
        <f>IF(OR(E5492="",E5492="!!!",F5492="NEW"),"",INDEX(J$1:J5491,SUMPRODUCT(MAX(ROW(E$1:E5491)*(E5492=E$1:E5491)))))</f>
        <v> </v>
      </c>
      <c r="L5492" s="27"/>
    </row>
    <row r="5493" spans="1:12">
      <c r="A5493" s="20" t="s">
        <v>1699</v>
      </c>
      <c r="E5493" s="22">
        <f>IF(D5493="?OLD","!!!","")</f>
        <v/>
      </c>
      <c r="F5493" s="23" t="str">
        <f>IF(OR(E5493="",E5493="!!!"),"",IF(NOT(ISNA(VLOOKUP(E5493,E$1:E5492,1,FALSE()))),"OLD",IF(AND(E5493&lt;&gt;"",E5493&lt;&gt;"!!!"),"NEW","")))</f>
        <v> </v>
      </c>
      <c r="G5493" s="24" t="str">
        <f>IF(OR(E5493="",E5493="!!!"),"",IF(OR(J5493=0,AND(J5493=1,K5493=1),AND(J5493=1,I5493="SBJ"),AND(J5493=1,I5493=0)),"?IN_FOCUS",IF(J5493&lt;=2,"?ACTIVATED",IF(J5493&lt;&gt;"","?FAMILIAR",IF(F5493="NEW",IF(ISNA(VLOOKUP(E5493,#REF!,1,FALSE())),"?TYPE_IDENTIFIABLE","?REFERENTIAL"),"_")))))</f>
        <v> </v>
      </c>
      <c r="H5493" s="25" t="str">
        <f>IF(J5493&lt;&gt;1,"",IF(I5493="SBJ","CB","?"))</f>
        <v> </v>
      </c>
      <c r="I5493" s="26" t="str">
        <f>IF(OR(E5493="",E5493="!!!",F5493="NEW"),"",INDEX(B5492:B$2,-1+SUMPRODUCT(MAX(ROW(E5492:E$2)*(E5493=E5492:E$2)))))</f>
        <v> </v>
      </c>
      <c r="J5493" s="26" t="str">
        <f>IF(OR(E5493="",E5493="!!!",F5493="NEW"),"",COUNTBLANK(OFFSET(A$1,,,SUMPRODUCT(MAX(ROW(E$2:E5493)*(E5493=E$2:E5493)))))-COUNTBLANK(OFFSET(A$1,,,SUMPRODUCT(MAX(ROW(E$1:E5492)*(E2=E$1:E5492))))))</f>
        <v> </v>
      </c>
      <c r="K5493" s="26" t="str">
        <f>IF(OR(E5493="",E5493="!!!",F5493="NEW"),"",INDEX(J$1:J5492,SUMPRODUCT(MAX(ROW(E$1:E5492)*(E5493=E$1:E5492)))))</f>
        <v> </v>
      </c>
      <c r="L5493" s="27"/>
    </row>
    <row r="5494" spans="1:12">
      <c r="A5494" s="20" t="s">
        <v>2554</v>
      </c>
      <c r="E5494" s="22">
        <f>IF(D5494="?OLD","!!!","")</f>
        <v/>
      </c>
      <c r="F5494" s="23" t="str">
        <f>IF(OR(E5494="",E5494="!!!"),"",IF(NOT(ISNA(VLOOKUP(E5494,E$1:E5493,1,FALSE()))),"OLD",IF(AND(E5494&lt;&gt;"",E5494&lt;&gt;"!!!"),"NEW","")))</f>
        <v> </v>
      </c>
      <c r="G5494" s="24" t="str">
        <f>IF(OR(E5494="",E5494="!!!"),"",IF(OR(J5494=0,AND(J5494=1,K5494=1),AND(J5494=1,I5494="SBJ"),AND(J5494=1,I5494=0)),"?IN_FOCUS",IF(J5494&lt;=2,"?ACTIVATED",IF(J5494&lt;&gt;"","?FAMILIAR",IF(F5494="NEW",IF(ISNA(VLOOKUP(E5494,#REF!,1,FALSE())),"?TYPE_IDENTIFIABLE","?REFERENTIAL"),"_")))))</f>
        <v> </v>
      </c>
      <c r="H5494" s="25" t="str">
        <f>IF(J5494&lt;&gt;1,"",IF(I5494="SBJ","CB","?"))</f>
        <v> </v>
      </c>
      <c r="I5494" s="26" t="str">
        <f>IF(OR(E5494="",E5494="!!!",F5494="NEW"),"",INDEX(B5493:B$2,-1+SUMPRODUCT(MAX(ROW(E5493:E$2)*(E5494=E5493:E$2)))))</f>
        <v> </v>
      </c>
      <c r="J5494" s="26" t="str">
        <f>IF(OR(E5494="",E5494="!!!",F5494="NEW"),"",COUNTBLANK(OFFSET(A$1,,,SUMPRODUCT(MAX(ROW(E$2:E5494)*(E5494=E$2:E5494)))))-COUNTBLANK(OFFSET(A$1,,,SUMPRODUCT(MAX(ROW(E$1:E5493)*(E2=E$1:E5493))))))</f>
        <v> </v>
      </c>
      <c r="K5494" s="26" t="str">
        <f>IF(OR(E5494="",E5494="!!!",F5494="NEW"),"",INDEX(J$1:J5493,SUMPRODUCT(MAX(ROW(E$1:E5493)*(E5494=E$1:E5493)))))</f>
        <v> </v>
      </c>
      <c r="L5494" s="27"/>
    </row>
    <row r="5495" spans="1:12">
      <c r="A5495" s="20" t="s">
        <v>1376</v>
      </c>
      <c r="E5495" s="22">
        <f>IF(D5495="?OLD","!!!","")</f>
        <v/>
      </c>
      <c r="F5495" s="23" t="str">
        <f>IF(OR(E5495="",E5495="!!!"),"",IF(NOT(ISNA(VLOOKUP(E5495,E$1:E5494,1,FALSE()))),"OLD",IF(AND(E5495&lt;&gt;"",E5495&lt;&gt;"!!!"),"NEW","")))</f>
        <v> </v>
      </c>
      <c r="G5495" s="24" t="str">
        <f>IF(OR(E5495="",E5495="!!!"),"",IF(OR(J5495=0,AND(J5495=1,K5495=1),AND(J5495=1,I5495="SBJ"),AND(J5495=1,I5495=0)),"?IN_FOCUS",IF(J5495&lt;=2,"?ACTIVATED",IF(J5495&lt;&gt;"","?FAMILIAR",IF(F5495="NEW",IF(ISNA(VLOOKUP(E5495,#REF!,1,FALSE())),"?TYPE_IDENTIFIABLE","?REFERENTIAL"),"_")))))</f>
        <v> </v>
      </c>
      <c r="H5495" s="25" t="str">
        <f>IF(J5495&lt;&gt;1,"",IF(I5495="SBJ","CB","?"))</f>
        <v> </v>
      </c>
      <c r="I5495" s="26" t="str">
        <f>IF(OR(E5495="",E5495="!!!",F5495="NEW"),"",INDEX(B5494:B$2,-1+SUMPRODUCT(MAX(ROW(E5494:E$2)*(E5495=E5494:E$2)))))</f>
        <v> </v>
      </c>
      <c r="J5495" s="26" t="str">
        <f>IF(OR(E5495="",E5495="!!!",F5495="NEW"),"",COUNTBLANK(OFFSET(A$1,,,SUMPRODUCT(MAX(ROW(E$2:E5495)*(E5495=E$2:E5495)))))-COUNTBLANK(OFFSET(A$1,,,SUMPRODUCT(MAX(ROW(E$1:E5494)*(E2=E$1:E5494))))))</f>
        <v> </v>
      </c>
      <c r="K5495" s="26" t="str">
        <f>IF(OR(E5495="",E5495="!!!",F5495="NEW"),"",INDEX(J$1:J5494,SUMPRODUCT(MAX(ROW(E$1:E5494)*(E5495=E$1:E5494)))))</f>
        <v> </v>
      </c>
      <c r="L5495" s="27"/>
    </row>
    <row r="5496" spans="1:12">
      <c r="A5496" s="20" t="s">
        <v>1807</v>
      </c>
      <c r="E5496" s="22">
        <f>IF(D5496="?OLD","!!!","")</f>
        <v/>
      </c>
      <c r="F5496" s="23" t="str">
        <f>IF(OR(E5496="",E5496="!!!"),"",IF(NOT(ISNA(VLOOKUP(E5496,E$1:E5495,1,FALSE()))),"OLD",IF(AND(E5496&lt;&gt;"",E5496&lt;&gt;"!!!"),"NEW","")))</f>
        <v> </v>
      </c>
      <c r="G5496" s="24" t="str">
        <f>IF(OR(E5496="",E5496="!!!"),"",IF(OR(J5496=0,AND(J5496=1,K5496=1),AND(J5496=1,I5496="SBJ"),AND(J5496=1,I5496=0)),"?IN_FOCUS",IF(J5496&lt;=2,"?ACTIVATED",IF(J5496&lt;&gt;"","?FAMILIAR",IF(F5496="NEW",IF(ISNA(VLOOKUP(E5496,#REF!,1,FALSE())),"?TYPE_IDENTIFIABLE","?REFERENTIAL"),"_")))))</f>
        <v> </v>
      </c>
      <c r="H5496" s="25" t="str">
        <f>IF(J5496&lt;&gt;1,"",IF(I5496="SBJ","CB","?"))</f>
        <v> </v>
      </c>
      <c r="I5496" s="26" t="str">
        <f>IF(OR(E5496="",E5496="!!!",F5496="NEW"),"",INDEX(B5495:B$2,-1+SUMPRODUCT(MAX(ROW(E5495:E$2)*(E5496=E5495:E$2)))))</f>
        <v> </v>
      </c>
      <c r="J5496" s="26" t="str">
        <f>IF(OR(E5496="",E5496="!!!",F5496="NEW"),"",COUNTBLANK(OFFSET(A$1,,,SUMPRODUCT(MAX(ROW(E$2:E5496)*(E5496=E$2:E5496)))))-COUNTBLANK(OFFSET(A$1,,,SUMPRODUCT(MAX(ROW(E$1:E5495)*(E2=E$1:E5495))))))</f>
        <v> </v>
      </c>
      <c r="K5496" s="26" t="str">
        <f>IF(OR(E5496="",E5496="!!!",F5496="NEW"),"",INDEX(J$1:J5495,SUMPRODUCT(MAX(ROW(E$1:E5495)*(E5496=E$1:E5495)))))</f>
        <v> </v>
      </c>
      <c r="L5496" s="27"/>
    </row>
    <row r="5497" spans="1:12">
      <c r="A5497" s="20" t="s">
        <v>1077</v>
      </c>
      <c r="E5497" s="22">
        <f>IF(D5497="?OLD","!!!","")</f>
        <v/>
      </c>
      <c r="F5497" s="23" t="str">
        <f>IF(OR(E5497="",E5497="!!!"),"",IF(NOT(ISNA(VLOOKUP(E5497,E$1:E5496,1,FALSE()))),"OLD",IF(AND(E5497&lt;&gt;"",E5497&lt;&gt;"!!!"),"NEW","")))</f>
        <v> </v>
      </c>
      <c r="G5497" s="24" t="str">
        <f>IF(OR(E5497="",E5497="!!!"),"",IF(OR(J5497=0,AND(J5497=1,K5497=1),AND(J5497=1,I5497="SBJ"),AND(J5497=1,I5497=0)),"?IN_FOCUS",IF(J5497&lt;=2,"?ACTIVATED",IF(J5497&lt;&gt;"","?FAMILIAR",IF(F5497="NEW",IF(ISNA(VLOOKUP(E5497,#REF!,1,FALSE())),"?TYPE_IDENTIFIABLE","?REFERENTIAL"),"_")))))</f>
        <v> </v>
      </c>
      <c r="H5497" s="25" t="str">
        <f>IF(J5497&lt;&gt;1,"",IF(I5497="SBJ","CB","?"))</f>
        <v> </v>
      </c>
      <c r="I5497" s="26" t="str">
        <f>IF(OR(E5497="",E5497="!!!",F5497="NEW"),"",INDEX(B5496:B$2,-1+SUMPRODUCT(MAX(ROW(E5496:E$2)*(E5497=E5496:E$2)))))</f>
        <v> </v>
      </c>
      <c r="J5497" s="26" t="str">
        <f>IF(OR(E5497="",E5497="!!!",F5497="NEW"),"",COUNTBLANK(OFFSET(A$1,,,SUMPRODUCT(MAX(ROW(E$2:E5497)*(E5497=E$2:E5497)))))-COUNTBLANK(OFFSET(A$1,,,SUMPRODUCT(MAX(ROW(E$1:E5496)*(E2=E$1:E5496))))))</f>
        <v> </v>
      </c>
      <c r="K5497" s="26" t="str">
        <f>IF(OR(E5497="",E5497="!!!",F5497="NEW"),"",INDEX(J$1:J5496,SUMPRODUCT(MAX(ROW(E$1:E5496)*(E5497=E$1:E5496)))))</f>
        <v> </v>
      </c>
      <c r="L5497" s="27"/>
    </row>
    <row r="5498" spans="1:12">
      <c r="A5498" s="20" t="s">
        <v>1837</v>
      </c>
      <c r="B5498" s="21" t="s">
        <v>1099</v>
      </c>
      <c r="C5498" s="21" t="s">
        <v>1122</v>
      </c>
      <c r="E5498" s="22">
        <f>IF(D5498="?OLD","!!!","")</f>
        <v/>
      </c>
      <c r="F5498" s="23" t="str">
        <f>IF(OR(E5498="",E5498="!!!"),"",IF(NOT(ISNA(VLOOKUP(E5498,E$1:E5497,1,FALSE()))),"OLD",IF(AND(E5498&lt;&gt;"",E5498&lt;&gt;"!!!"),"NEW","")))</f>
        <v> </v>
      </c>
      <c r="G5498" s="24" t="str">
        <f>IF(OR(E5498="",E5498="!!!"),"",IF(OR(J5498=0,AND(J5498=1,K5498=1),AND(J5498=1,I5498="SBJ"),AND(J5498=1,I5498=0)),"?IN_FOCUS",IF(J5498&lt;=2,"?ACTIVATED",IF(J5498&lt;&gt;"","?FAMILIAR",IF(F5498="NEW",IF(ISNA(VLOOKUP(E5498,#REF!,1,FALSE())),"?TYPE_IDENTIFIABLE","?REFERENTIAL"),"_")))))</f>
        <v> </v>
      </c>
      <c r="H5498" s="25" t="str">
        <f>IF(J5498&lt;&gt;1,"",IF(I5498="SBJ","CB","?"))</f>
        <v> </v>
      </c>
      <c r="I5498" s="26" t="str">
        <f>IF(OR(E5498="",E5498="!!!",F5498="NEW"),"",INDEX(B5497:B$2,-1+SUMPRODUCT(MAX(ROW(E5497:E$2)*(E5498=E5497:E$2)))))</f>
        <v> </v>
      </c>
      <c r="J5498" s="26" t="str">
        <f>IF(OR(E5498="",E5498="!!!",F5498="NEW"),"",COUNTBLANK(OFFSET(A$1,,,SUMPRODUCT(MAX(ROW(E$2:E5498)*(E5498=E$2:E5498)))))-COUNTBLANK(OFFSET(A$1,,,SUMPRODUCT(MAX(ROW(E$1:E5497)*(E2=E$1:E5497))))))</f>
        <v> </v>
      </c>
      <c r="K5498" s="26" t="str">
        <f>IF(OR(E5498="",E5498="!!!",F5498="NEW"),"",INDEX(J$1:J5497,SUMPRODUCT(MAX(ROW(E$1:E5497)*(E5498=E$1:E5497)))))</f>
        <v> </v>
      </c>
      <c r="L5498" s="27"/>
    </row>
    <row r="5499" spans="1:12">
      <c r="A5499" s="20" t="s">
        <v>2555</v>
      </c>
      <c r="E5499" s="22">
        <f>IF(D5499="?OLD","!!!","")</f>
        <v/>
      </c>
      <c r="F5499" s="23" t="str">
        <f>IF(OR(E5499="",E5499="!!!"),"",IF(NOT(ISNA(VLOOKUP(E5499,E$1:E5498,1,FALSE()))),"OLD",IF(AND(E5499&lt;&gt;"",E5499&lt;&gt;"!!!"),"NEW","")))</f>
        <v> </v>
      </c>
      <c r="G5499" s="24" t="str">
        <f>IF(OR(E5499="",E5499="!!!"),"",IF(OR(J5499=0,AND(J5499=1,K5499=1),AND(J5499=1,I5499="SBJ"),AND(J5499=1,I5499=0)),"?IN_FOCUS",IF(J5499&lt;=2,"?ACTIVATED",IF(J5499&lt;&gt;"","?FAMILIAR",IF(F5499="NEW",IF(ISNA(VLOOKUP(E5499,#REF!,1,FALSE())),"?TYPE_IDENTIFIABLE","?REFERENTIAL"),"_")))))</f>
        <v> </v>
      </c>
      <c r="H5499" s="25" t="str">
        <f>IF(J5499&lt;&gt;1,"",IF(I5499="SBJ","CB","?"))</f>
        <v> </v>
      </c>
      <c r="I5499" s="26" t="str">
        <f>IF(OR(E5499="",E5499="!!!",F5499="NEW"),"",INDEX(B5498:B$2,-1+SUMPRODUCT(MAX(ROW(E5498:E$2)*(E5499=E5498:E$2)))))</f>
        <v> </v>
      </c>
      <c r="J5499" s="26" t="str">
        <f>IF(OR(E5499="",E5499="!!!",F5499="NEW"),"",COUNTBLANK(OFFSET(A$1,,,SUMPRODUCT(MAX(ROW(E$2:E5499)*(E5499=E$2:E5499)))))-COUNTBLANK(OFFSET(A$1,,,SUMPRODUCT(MAX(ROW(E$1:E5498)*(E2=E$1:E5498))))))</f>
        <v> </v>
      </c>
      <c r="K5499" s="26" t="str">
        <f>IF(OR(E5499="",E5499="!!!",F5499="NEW"),"",INDEX(J$1:J5498,SUMPRODUCT(MAX(ROW(E$1:E5498)*(E5499=E$1:E5498)))))</f>
        <v> </v>
      </c>
      <c r="L5499" s="27"/>
    </row>
    <row r="5500" spans="1:12">
      <c r="A5500" s="20" t="s">
        <v>1083</v>
      </c>
      <c r="B5500" s="21" t="s">
        <v>1079</v>
      </c>
      <c r="C5500" s="21" t="s">
        <v>1076</v>
      </c>
      <c r="D5500" s="21" t="s">
        <v>1060</v>
      </c>
      <c r="E5500" s="22">
        <f>IF(D5500="?OLD","!!!","")</f>
        <v/>
      </c>
      <c r="F5500" s="23" t="str">
        <f>IF(OR(E5500="",E5500="!!!"),"",IF(NOT(ISNA(VLOOKUP(E5500,E$1:E5499,1,FALSE()))),"OLD",IF(AND(E5500&lt;&gt;"",E5500&lt;&gt;"!!!"),"NEW","")))</f>
        <v> </v>
      </c>
      <c r="G5500" s="24" t="str">
        <f>IF(OR(E5500="",E5500="!!!"),"",IF(OR(J5500=0,AND(J5500=1,K5500=1),AND(J5500=1,I5500="SBJ"),AND(J5500=1,I5500=0)),"?IN_FOCUS",IF(J5500&lt;=2,"?ACTIVATED",IF(J5500&lt;&gt;"","?FAMILIAR",IF(F5500="NEW",IF(ISNA(VLOOKUP(E5500,#REF!,1,FALSE())),"?TYPE_IDENTIFIABLE","?REFERENTIAL"),"_")))))</f>
        <v> </v>
      </c>
      <c r="H5500" s="25" t="str">
        <f>IF(J5500&lt;&gt;1,"",IF(I5500="SBJ","CB","?"))</f>
        <v> </v>
      </c>
      <c r="I5500" s="26" t="str">
        <f>IF(OR(E5500="",E5500="!!!",F5500="NEW"),"",INDEX(B5499:B$2,-1+SUMPRODUCT(MAX(ROW(E5499:E$2)*(E5500=E5499:E$2)))))</f>
        <v> </v>
      </c>
      <c r="J5500" s="26" t="str">
        <f>IF(OR(E5500="",E5500="!!!",F5500="NEW"),"",COUNTBLANK(OFFSET(A$1,,,SUMPRODUCT(MAX(ROW(E$2:E5500)*(E5500=E$2:E5500)))))-COUNTBLANK(OFFSET(A$1,,,SUMPRODUCT(MAX(ROW(E$1:E5499)*(E2=E$1:E5499))))))</f>
        <v> </v>
      </c>
      <c r="K5500" s="26" t="str">
        <f>IF(OR(E5500="",E5500="!!!",F5500="NEW"),"",INDEX(J$1:J5499,SUMPRODUCT(MAX(ROW(E$1:E5499)*(E5500=E$1:E5499)))))</f>
        <v> </v>
      </c>
      <c r="L5500" s="27"/>
    </row>
    <row r="5501" spans="1:12">
      <c r="A5501" s="20" t="s">
        <v>138</v>
      </c>
      <c r="E5501" s="22">
        <f>IF(D5501="?OLD","!!!","")</f>
        <v/>
      </c>
      <c r="F5501" s="23" t="str">
        <f>IF(OR(E5501="",E5501="!!!"),"",IF(NOT(ISNA(VLOOKUP(E5501,E$1:E5500,1,FALSE()))),"OLD",IF(AND(E5501&lt;&gt;"",E5501&lt;&gt;"!!!"),"NEW","")))</f>
        <v> </v>
      </c>
      <c r="G5501" s="24" t="str">
        <f>IF(OR(E5501="",E5501="!!!"),"",IF(OR(J5501=0,AND(J5501=1,K5501=1),AND(J5501=1,I5501="SBJ"),AND(J5501=1,I5501=0)),"?IN_FOCUS",IF(J5501&lt;=2,"?ACTIVATED",IF(J5501&lt;&gt;"","?FAMILIAR",IF(F5501="NEW",IF(ISNA(VLOOKUP(E5501,#REF!,1,FALSE())),"?TYPE_IDENTIFIABLE","?REFERENTIAL"),"_")))))</f>
        <v> </v>
      </c>
      <c r="H5501" s="25" t="str">
        <f>IF(J5501&lt;&gt;1,"",IF(I5501="SBJ","CB","?"))</f>
        <v> </v>
      </c>
      <c r="I5501" s="26" t="str">
        <f>IF(OR(E5501="",E5501="!!!",F5501="NEW"),"",INDEX(B5500:B$2,-1+SUMPRODUCT(MAX(ROW(E5500:E$2)*(E5501=E5500:E$2)))))</f>
        <v> </v>
      </c>
      <c r="J5501" s="26" t="str">
        <f>IF(OR(E5501="",E5501="!!!",F5501="NEW"),"",COUNTBLANK(OFFSET(A$1,,,SUMPRODUCT(MAX(ROW(E$2:E5501)*(E5501=E$2:E5501)))))-COUNTBLANK(OFFSET(A$1,,,SUMPRODUCT(MAX(ROW(E$1:E5500)*(E2=E$1:E5500))))))</f>
        <v> </v>
      </c>
      <c r="K5501" s="26" t="str">
        <f>IF(OR(E5501="",E5501="!!!",F5501="NEW"),"",INDEX(J$1:J5500,SUMPRODUCT(MAX(ROW(E$1:E5500)*(E5501=E$1:E5500)))))</f>
        <v> </v>
      </c>
      <c r="L5501" s="27"/>
    </row>
    <row r="5502" spans="1:12">
      <c r="A5502" s="20" t="s">
        <v>2556</v>
      </c>
      <c r="B5502" s="21" t="s">
        <v>1132</v>
      </c>
      <c r="C5502" s="21" t="s">
        <v>1059</v>
      </c>
      <c r="D5502" s="21" t="s">
        <v>1060</v>
      </c>
      <c r="E5502" s="22">
        <f>IF(D5502="?OLD","!!!","")</f>
        <v/>
      </c>
      <c r="F5502" s="23" t="str">
        <f>IF(OR(E5502="",E5502="!!!"),"",IF(NOT(ISNA(VLOOKUP(E5502,E$1:E5501,1,FALSE()))),"OLD",IF(AND(E5502&lt;&gt;"",E5502&lt;&gt;"!!!"),"NEW","")))</f>
        <v> </v>
      </c>
      <c r="G5502" s="24" t="str">
        <f>IF(OR(E5502="",E5502="!!!"),"",IF(OR(J5502=0,AND(J5502=1,K5502=1),AND(J5502=1,I5502="SBJ"),AND(J5502=1,I5502=0)),"?IN_FOCUS",IF(J5502&lt;=2,"?ACTIVATED",IF(J5502&lt;&gt;"","?FAMILIAR",IF(F5502="NEW",IF(ISNA(VLOOKUP(E5502,#REF!,1,FALSE())),"?TYPE_IDENTIFIABLE","?REFERENTIAL"),"_")))))</f>
        <v> </v>
      </c>
      <c r="H5502" s="25" t="str">
        <f>IF(J5502&lt;&gt;1,"",IF(I5502="SBJ","CB","?"))</f>
        <v> </v>
      </c>
      <c r="I5502" s="26" t="str">
        <f>IF(OR(E5502="",E5502="!!!",F5502="NEW"),"",INDEX(B5501:B$2,-1+SUMPRODUCT(MAX(ROW(E5501:E$2)*(E5502=E5501:E$2)))))</f>
        <v> </v>
      </c>
      <c r="J5502" s="26" t="str">
        <f>IF(OR(E5502="",E5502="!!!",F5502="NEW"),"",COUNTBLANK(OFFSET(A$1,,,SUMPRODUCT(MAX(ROW(E$2:E5502)*(E5502=E$2:E5502)))))-COUNTBLANK(OFFSET(A$1,,,SUMPRODUCT(MAX(ROW(E$1:E5501)*(E2=E$1:E5501))))))</f>
        <v> </v>
      </c>
      <c r="K5502" s="26" t="str">
        <f>IF(OR(E5502="",E5502="!!!",F5502="NEW"),"",INDEX(J$1:J5501,SUMPRODUCT(MAX(ROW(E$1:E5501)*(E5502=E$1:E5501)))))</f>
        <v> </v>
      </c>
      <c r="L5502" s="27"/>
    </row>
    <row r="5503" spans="1:12">
      <c r="A5503" s="20" t="s">
        <v>1061</v>
      </c>
      <c r="E5503" s="22">
        <f>IF(D5503="?OLD","!!!","")</f>
        <v/>
      </c>
      <c r="F5503" s="23" t="str">
        <f>IF(OR(E5503="",E5503="!!!"),"",IF(NOT(ISNA(VLOOKUP(E5503,E$1:E5502,1,FALSE()))),"OLD",IF(AND(E5503&lt;&gt;"",E5503&lt;&gt;"!!!"),"NEW","")))</f>
        <v> </v>
      </c>
      <c r="G5503" s="24" t="str">
        <f>IF(OR(E5503="",E5503="!!!"),"",IF(OR(J5503=0,AND(J5503=1,K5503=1),AND(J5503=1,I5503="SBJ"),AND(J5503=1,I5503=0)),"?IN_FOCUS",IF(J5503&lt;=2,"?ACTIVATED",IF(J5503&lt;&gt;"","?FAMILIAR",IF(F5503="NEW",IF(ISNA(VLOOKUP(E5503,#REF!,1,FALSE())),"?TYPE_IDENTIFIABLE","?REFERENTIAL"),"_")))))</f>
        <v> </v>
      </c>
      <c r="H5503" s="25" t="str">
        <f>IF(J5503&lt;&gt;1,"",IF(I5503="SBJ","CB","?"))</f>
        <v> </v>
      </c>
      <c r="I5503" s="26" t="str">
        <f>IF(OR(E5503="",E5503="!!!",F5503="NEW"),"",INDEX(B5502:B$2,-1+SUMPRODUCT(MAX(ROW(E5502:E$2)*(E5503=E5502:E$2)))))</f>
        <v> </v>
      </c>
      <c r="J5503" s="26" t="str">
        <f>IF(OR(E5503="",E5503="!!!",F5503="NEW"),"",COUNTBLANK(OFFSET(A$1,,,SUMPRODUCT(MAX(ROW(E$2:E5503)*(E5503=E$2:E5503)))))-COUNTBLANK(OFFSET(A$1,,,SUMPRODUCT(MAX(ROW(E$1:E5502)*(E2=E$1:E5502))))))</f>
        <v> </v>
      </c>
      <c r="K5503" s="26" t="str">
        <f>IF(OR(E5503="",E5503="!!!",F5503="NEW"),"",INDEX(J$1:J5502,SUMPRODUCT(MAX(ROW(E$1:E5502)*(E5503=E$1:E5502)))))</f>
        <v> </v>
      </c>
      <c r="L5503" s="27"/>
    </row>
    <row r="5504" spans="1:12">
      <c r="A5504" s="20" t="s">
        <v>1074</v>
      </c>
      <c r="B5504" s="21" t="s">
        <v>1064</v>
      </c>
      <c r="C5504" s="21" t="s">
        <v>1076</v>
      </c>
      <c r="D5504" s="21" t="s">
        <v>1060</v>
      </c>
      <c r="E5504" s="22">
        <f>IF(D5504="?OLD","!!!","")</f>
        <v/>
      </c>
      <c r="F5504" s="23" t="str">
        <f>IF(OR(E5504="",E5504="!!!"),"",IF(NOT(ISNA(VLOOKUP(E5504,E$1:E5503,1,FALSE()))),"OLD",IF(AND(E5504&lt;&gt;"",E5504&lt;&gt;"!!!"),"NEW","")))</f>
        <v> </v>
      </c>
      <c r="G5504" s="24" t="str">
        <f>IF(OR(E5504="",E5504="!!!"),"",IF(OR(J5504=0,AND(J5504=1,K5504=1),AND(J5504=1,I5504="SBJ"),AND(J5504=1,I5504=0)),"?IN_FOCUS",IF(J5504&lt;=2,"?ACTIVATED",IF(J5504&lt;&gt;"","?FAMILIAR",IF(F5504="NEW",IF(ISNA(VLOOKUP(E5504,#REF!,1,FALSE())),"?TYPE_IDENTIFIABLE","?REFERENTIAL"),"_")))))</f>
        <v> </v>
      </c>
      <c r="H5504" s="25" t="str">
        <f>IF(J5504&lt;&gt;1,"",IF(I5504="SBJ","CB","?"))</f>
        <v> </v>
      </c>
      <c r="I5504" s="26" t="str">
        <f>IF(OR(E5504="",E5504="!!!",F5504="NEW"),"",INDEX(B5503:B$2,-1+SUMPRODUCT(MAX(ROW(E5503:E$2)*(E5504=E5503:E$2)))))</f>
        <v> </v>
      </c>
      <c r="J5504" s="26" t="str">
        <f>IF(OR(E5504="",E5504="!!!",F5504="NEW"),"",COUNTBLANK(OFFSET(A$1,,,SUMPRODUCT(MAX(ROW(E$2:E5504)*(E5504=E$2:E5504)))))-COUNTBLANK(OFFSET(A$1,,,SUMPRODUCT(MAX(ROW(E$1:E5503)*(E2=E$1:E5503))))))</f>
        <v> </v>
      </c>
      <c r="K5504" s="26" t="str">
        <f>IF(OR(E5504="",E5504="!!!",F5504="NEW"),"",INDEX(J$1:J5503,SUMPRODUCT(MAX(ROW(E$1:E5503)*(E5504=E$1:E5503)))))</f>
        <v> </v>
      </c>
      <c r="L5504" s="27"/>
    </row>
    <row r="5505" spans="1:12">
      <c r="A5505" s="20" t="s">
        <v>1070</v>
      </c>
      <c r="E5505" s="22">
        <f>IF(D5505="?OLD","!!!","")</f>
        <v/>
      </c>
      <c r="F5505" s="23" t="str">
        <f>IF(OR(E5505="",E5505="!!!"),"",IF(NOT(ISNA(VLOOKUP(E5505,E$1:E5504,1,FALSE()))),"OLD",IF(AND(E5505&lt;&gt;"",E5505&lt;&gt;"!!!"),"NEW","")))</f>
        <v> </v>
      </c>
      <c r="G5505" s="24" t="str">
        <f>IF(OR(E5505="",E5505="!!!"),"",IF(OR(J5505=0,AND(J5505=1,K5505=1),AND(J5505=1,I5505="SBJ"),AND(J5505=1,I5505=0)),"?IN_FOCUS",IF(J5505&lt;=2,"?ACTIVATED",IF(J5505&lt;&gt;"","?FAMILIAR",IF(F5505="NEW",IF(ISNA(VLOOKUP(E5505,#REF!,1,FALSE())),"?TYPE_IDENTIFIABLE","?REFERENTIAL"),"_")))))</f>
        <v> </v>
      </c>
      <c r="H5505" s="25" t="str">
        <f>IF(J5505&lt;&gt;1,"",IF(I5505="SBJ","CB","?"))</f>
        <v> </v>
      </c>
      <c r="I5505" s="26" t="str">
        <f>IF(OR(E5505="",E5505="!!!",F5505="NEW"),"",INDEX(B5504:B$2,-1+SUMPRODUCT(MAX(ROW(E5504:E$2)*(E5505=E5504:E$2)))))</f>
        <v> </v>
      </c>
      <c r="J5505" s="26" t="str">
        <f>IF(OR(E5505="",E5505="!!!",F5505="NEW"),"",COUNTBLANK(OFFSET(A$1,,,SUMPRODUCT(MAX(ROW(E$2:E5505)*(E5505=E$2:E5505)))))-COUNTBLANK(OFFSET(A$1,,,SUMPRODUCT(MAX(ROW(E$1:E5504)*(E2=E$1:E5504))))))</f>
        <v> </v>
      </c>
      <c r="K5505" s="26" t="str">
        <f>IF(OR(E5505="",E5505="!!!",F5505="NEW"),"",INDEX(J$1:J5504,SUMPRODUCT(MAX(ROW(E$1:E5504)*(E5505=E$1:E5504)))))</f>
        <v> </v>
      </c>
      <c r="L5505" s="27"/>
    </row>
    <row r="5506" spans="1:12">
      <c r="A5506" s="20" t="s">
        <v>1146</v>
      </c>
      <c r="E5506" s="22">
        <f>IF(D5506="?OLD","!!!","")</f>
        <v/>
      </c>
      <c r="F5506" s="23" t="str">
        <f>IF(OR(E5506="",E5506="!!!"),"",IF(NOT(ISNA(VLOOKUP(E5506,E$1:E5505,1,FALSE()))),"OLD",IF(AND(E5506&lt;&gt;"",E5506&lt;&gt;"!!!"),"NEW","")))</f>
        <v> </v>
      </c>
      <c r="G5506" s="24" t="str">
        <f>IF(OR(E5506="",E5506="!!!"),"",IF(OR(J5506=0,AND(J5506=1,K5506=1),AND(J5506=1,I5506="SBJ"),AND(J5506=1,I5506=0)),"?IN_FOCUS",IF(J5506&lt;=2,"?ACTIVATED",IF(J5506&lt;&gt;"","?FAMILIAR",IF(F5506="NEW",IF(ISNA(VLOOKUP(E5506,#REF!,1,FALSE())),"?TYPE_IDENTIFIABLE","?REFERENTIAL"),"_")))))</f>
        <v> </v>
      </c>
      <c r="H5506" s="25" t="str">
        <f>IF(J5506&lt;&gt;1,"",IF(I5506="SBJ","CB","?"))</f>
        <v> </v>
      </c>
      <c r="I5506" s="26" t="str">
        <f>IF(OR(E5506="",E5506="!!!",F5506="NEW"),"",INDEX(B5505:B$2,-1+SUMPRODUCT(MAX(ROW(E5505:E$2)*(E5506=E5505:E$2)))))</f>
        <v> </v>
      </c>
      <c r="J5506" s="26" t="str">
        <f>IF(OR(E5506="",E5506="!!!",F5506="NEW"),"",COUNTBLANK(OFFSET(A$1,,,SUMPRODUCT(MAX(ROW(E$2:E5506)*(E5506=E$2:E5506)))))-COUNTBLANK(OFFSET(A$1,,,SUMPRODUCT(MAX(ROW(E$1:E5505)*(E2=E$1:E5505))))))</f>
        <v> </v>
      </c>
      <c r="K5506" s="26" t="str">
        <f>IF(OR(E5506="",E5506="!!!",F5506="NEW"),"",INDEX(J$1:J5505,SUMPRODUCT(MAX(ROW(E$1:E5505)*(E5506=E$1:E5505)))))</f>
        <v> </v>
      </c>
      <c r="L5506" s="27"/>
    </row>
    <row r="5507" spans="1:12">
      <c r="A5507" s="20" t="s">
        <v>2557</v>
      </c>
      <c r="B5507" s="21" t="s">
        <v>1084</v>
      </c>
      <c r="E5507" s="22">
        <f>IF(D5507="?OLD","!!!","")</f>
        <v/>
      </c>
      <c r="F5507" s="23" t="str">
        <f>IF(OR(E5507="",E5507="!!!"),"",IF(NOT(ISNA(VLOOKUP(E5507,E$1:E5506,1,FALSE()))),"OLD",IF(AND(E5507&lt;&gt;"",E5507&lt;&gt;"!!!"),"NEW","")))</f>
        <v> </v>
      </c>
      <c r="G5507" s="24" t="str">
        <f>IF(OR(E5507="",E5507="!!!"),"",IF(OR(J5507=0,AND(J5507=1,K5507=1),AND(J5507=1,I5507="SBJ"),AND(J5507=1,I5507=0)),"?IN_FOCUS",IF(J5507&lt;=2,"?ACTIVATED",IF(J5507&lt;&gt;"","?FAMILIAR",IF(F5507="NEW",IF(ISNA(VLOOKUP(E5507,#REF!,1,FALSE())),"?TYPE_IDENTIFIABLE","?REFERENTIAL"),"_")))))</f>
        <v> </v>
      </c>
      <c r="H5507" s="25" t="str">
        <f>IF(J5507&lt;&gt;1,"",IF(I5507="SBJ","CB","?"))</f>
        <v> </v>
      </c>
      <c r="I5507" s="26" t="str">
        <f>IF(OR(E5507="",E5507="!!!",F5507="NEW"),"",INDEX(B5506:B$2,-1+SUMPRODUCT(MAX(ROW(E5506:E$2)*(E5507=E5506:E$2)))))</f>
        <v> </v>
      </c>
      <c r="J5507" s="26" t="str">
        <f>IF(OR(E5507="",E5507="!!!",F5507="NEW"),"",COUNTBLANK(OFFSET(A$1,,,SUMPRODUCT(MAX(ROW(E$2:E5507)*(E5507=E$2:E5507)))))-COUNTBLANK(OFFSET(A$1,,,SUMPRODUCT(MAX(ROW(E$1:E5506)*(E2=E$1:E5506))))))</f>
        <v> </v>
      </c>
      <c r="K5507" s="26" t="str">
        <f>IF(OR(E5507="",E5507="!!!",F5507="NEW"),"",INDEX(J$1:J5506,SUMPRODUCT(MAX(ROW(E$1:E5506)*(E5507=E$1:E5506)))))</f>
        <v> </v>
      </c>
      <c r="L5507" s="27"/>
    </row>
    <row r="5508" spans="1:12">
      <c r="A5508" s="20" t="s">
        <v>576</v>
      </c>
      <c r="E5508" s="22">
        <f>IF(D5508="?OLD","!!!","")</f>
        <v/>
      </c>
      <c r="F5508" s="23" t="str">
        <f>IF(OR(E5508="",E5508="!!!"),"",IF(NOT(ISNA(VLOOKUP(E5508,E$1:E5507,1,FALSE()))),"OLD",IF(AND(E5508&lt;&gt;"",E5508&lt;&gt;"!!!"),"NEW","")))</f>
        <v> </v>
      </c>
      <c r="G5508" s="24" t="str">
        <f>IF(OR(E5508="",E5508="!!!"),"",IF(OR(J5508=0,AND(J5508=1,K5508=1),AND(J5508=1,I5508="SBJ"),AND(J5508=1,I5508=0)),"?IN_FOCUS",IF(J5508&lt;=2,"?ACTIVATED",IF(J5508&lt;&gt;"","?FAMILIAR",IF(F5508="NEW",IF(ISNA(VLOOKUP(E5508,#REF!,1,FALSE())),"?TYPE_IDENTIFIABLE","?REFERENTIAL"),"_")))))</f>
        <v> </v>
      </c>
      <c r="H5508" s="25" t="str">
        <f>IF(J5508&lt;&gt;1,"",IF(I5508="SBJ","CB","?"))</f>
        <v> </v>
      </c>
      <c r="I5508" s="26" t="str">
        <f>IF(OR(E5508="",E5508="!!!",F5508="NEW"),"",INDEX(B5507:B$2,-1+SUMPRODUCT(MAX(ROW(E5507:E$2)*(E5508=E5507:E$2)))))</f>
        <v> </v>
      </c>
      <c r="J5508" s="26" t="str">
        <f>IF(OR(E5508="",E5508="!!!",F5508="NEW"),"",COUNTBLANK(OFFSET(A$1,,,SUMPRODUCT(MAX(ROW(E$2:E5508)*(E5508=E$2:E5508)))))-COUNTBLANK(OFFSET(A$1,,,SUMPRODUCT(MAX(ROW(E$1:E5507)*(E2=E$1:E5507))))))</f>
        <v> </v>
      </c>
      <c r="K5508" s="26" t="str">
        <f>IF(OR(E5508="",E5508="!!!",F5508="NEW"),"",INDEX(J$1:J5507,SUMPRODUCT(MAX(ROW(E$1:E5507)*(E5508=E$1:E5507)))))</f>
        <v> </v>
      </c>
      <c r="L5508" s="27"/>
    </row>
    <row r="5509" spans="1:12">
      <c r="A5509" s="20" t="s">
        <v>2049</v>
      </c>
      <c r="E5509" s="22">
        <f>IF(D5509="?OLD","!!!","")</f>
        <v/>
      </c>
      <c r="F5509" s="23" t="str">
        <f>IF(OR(E5509="",E5509="!!!"),"",IF(NOT(ISNA(VLOOKUP(E5509,E$1:E5508,1,FALSE()))),"OLD",IF(AND(E5509&lt;&gt;"",E5509&lt;&gt;"!!!"),"NEW","")))</f>
        <v> </v>
      </c>
      <c r="G5509" s="24" t="str">
        <f>IF(OR(E5509="",E5509="!!!"),"",IF(OR(J5509=0,AND(J5509=1,K5509=1),AND(J5509=1,I5509="SBJ"),AND(J5509=1,I5509=0)),"?IN_FOCUS",IF(J5509&lt;=2,"?ACTIVATED",IF(J5509&lt;&gt;"","?FAMILIAR",IF(F5509="NEW",IF(ISNA(VLOOKUP(E5509,#REF!,1,FALSE())),"?TYPE_IDENTIFIABLE","?REFERENTIAL"),"_")))))</f>
        <v> </v>
      </c>
      <c r="H5509" s="25" t="str">
        <f>IF(J5509&lt;&gt;1,"",IF(I5509="SBJ","CB","?"))</f>
        <v> </v>
      </c>
      <c r="I5509" s="26" t="str">
        <f>IF(OR(E5509="",E5509="!!!",F5509="NEW"),"",INDEX(B5508:B$2,-1+SUMPRODUCT(MAX(ROW(E5508:E$2)*(E5509=E5508:E$2)))))</f>
        <v> </v>
      </c>
      <c r="J5509" s="26" t="str">
        <f>IF(OR(E5509="",E5509="!!!",F5509="NEW"),"",COUNTBLANK(OFFSET(A$1,,,SUMPRODUCT(MAX(ROW(E$2:E5509)*(E5509=E$2:E5509)))))-COUNTBLANK(OFFSET(A$1,,,SUMPRODUCT(MAX(ROW(E$1:E5508)*(E2=E$1:E5508))))))</f>
        <v> </v>
      </c>
      <c r="K5509" s="26" t="str">
        <f>IF(OR(E5509="",E5509="!!!",F5509="NEW"),"",INDEX(J$1:J5508,SUMPRODUCT(MAX(ROW(E$1:E5508)*(E5509=E$1:E5508)))))</f>
        <v> </v>
      </c>
      <c r="L5509" s="27"/>
    </row>
    <row r="5510" spans="1:12">
      <c r="A5510" s="20" t="s">
        <v>1070</v>
      </c>
      <c r="E5510" s="22">
        <f>IF(D5510="?OLD","!!!","")</f>
        <v/>
      </c>
      <c r="F5510" s="23" t="str">
        <f>IF(OR(E5510="",E5510="!!!"),"",IF(NOT(ISNA(VLOOKUP(E5510,E$1:E5509,1,FALSE()))),"OLD",IF(AND(E5510&lt;&gt;"",E5510&lt;&gt;"!!!"),"NEW","")))</f>
        <v> </v>
      </c>
      <c r="G5510" s="24" t="str">
        <f>IF(OR(E5510="",E5510="!!!"),"",IF(OR(J5510=0,AND(J5510=1,K5510=1),AND(J5510=1,I5510="SBJ"),AND(J5510=1,I5510=0)),"?IN_FOCUS",IF(J5510&lt;=2,"?ACTIVATED",IF(J5510&lt;&gt;"","?FAMILIAR",IF(F5510="NEW",IF(ISNA(VLOOKUP(E5510,#REF!,1,FALSE())),"?TYPE_IDENTIFIABLE","?REFERENTIAL"),"_")))))</f>
        <v> </v>
      </c>
      <c r="H5510" s="25" t="str">
        <f>IF(J5510&lt;&gt;1,"",IF(I5510="SBJ","CB","?"))</f>
        <v> </v>
      </c>
      <c r="I5510" s="26" t="str">
        <f>IF(OR(E5510="",E5510="!!!",F5510="NEW"),"",INDEX(B5509:B$2,-1+SUMPRODUCT(MAX(ROW(E5509:E$2)*(E5510=E5509:E$2)))))</f>
        <v> </v>
      </c>
      <c r="J5510" s="26" t="str">
        <f>IF(OR(E5510="",E5510="!!!",F5510="NEW"),"",COUNTBLANK(OFFSET(A$1,,,SUMPRODUCT(MAX(ROW(E$2:E5510)*(E5510=E$2:E5510)))))-COUNTBLANK(OFFSET(A$1,,,SUMPRODUCT(MAX(ROW(E$1:E5509)*(E2=E$1:E5509))))))</f>
        <v> </v>
      </c>
      <c r="K5510" s="26" t="str">
        <f>IF(OR(E5510="",E5510="!!!",F5510="NEW"),"",INDEX(J$1:J5509,SUMPRODUCT(MAX(ROW(E$1:E5509)*(E5510=E$1:E5509)))))</f>
        <v> </v>
      </c>
      <c r="L5510" s="27"/>
    </row>
    <row r="5511" spans="1:12">
      <c r="A5511" s="20" t="s">
        <v>1199</v>
      </c>
      <c r="E5511" s="22">
        <f>IF(D5511="?OLD","!!!","")</f>
        <v/>
      </c>
      <c r="F5511" s="23" t="str">
        <f>IF(OR(E5511="",E5511="!!!"),"",IF(NOT(ISNA(VLOOKUP(E5511,E$1:E5510,1,FALSE()))),"OLD",IF(AND(E5511&lt;&gt;"",E5511&lt;&gt;"!!!"),"NEW","")))</f>
        <v> </v>
      </c>
      <c r="G5511" s="24" t="str">
        <f>IF(OR(E5511="",E5511="!!!"),"",IF(OR(J5511=0,AND(J5511=1,K5511=1),AND(J5511=1,I5511="SBJ"),AND(J5511=1,I5511=0)),"?IN_FOCUS",IF(J5511&lt;=2,"?ACTIVATED",IF(J5511&lt;&gt;"","?FAMILIAR",IF(F5511="NEW",IF(ISNA(VLOOKUP(E5511,#REF!,1,FALSE())),"?TYPE_IDENTIFIABLE","?REFERENTIAL"),"_")))))</f>
        <v> </v>
      </c>
      <c r="H5511" s="25" t="str">
        <f>IF(J5511&lt;&gt;1,"",IF(I5511="SBJ","CB","?"))</f>
        <v> </v>
      </c>
      <c r="I5511" s="26" t="str">
        <f>IF(OR(E5511="",E5511="!!!",F5511="NEW"),"",INDEX(B5510:B$2,-1+SUMPRODUCT(MAX(ROW(E5510:E$2)*(E5511=E5510:E$2)))))</f>
        <v> </v>
      </c>
      <c r="J5511" s="26" t="str">
        <f>IF(OR(E5511="",E5511="!!!",F5511="NEW"),"",COUNTBLANK(OFFSET(A$1,,,SUMPRODUCT(MAX(ROW(E$2:E5511)*(E5511=E$2:E5511)))))-COUNTBLANK(OFFSET(A$1,,,SUMPRODUCT(MAX(ROW(E$1:E5510)*(E2=E$1:E5510))))))</f>
        <v> </v>
      </c>
      <c r="K5511" s="26" t="str">
        <f>IF(OR(E5511="",E5511="!!!",F5511="NEW"),"",INDEX(J$1:J5510,SUMPRODUCT(MAX(ROW(E$1:E5510)*(E5511=E$1:E5510)))))</f>
        <v> </v>
      </c>
      <c r="L5511" s="27"/>
    </row>
    <row r="5512" spans="1:12">
      <c r="A5512" s="20" t="s">
        <v>1101</v>
      </c>
      <c r="E5512" s="22">
        <f>IF(D5512="?OLD","!!!","")</f>
        <v/>
      </c>
      <c r="F5512" s="23" t="str">
        <f>IF(OR(E5512="",E5512="!!!"),"",IF(NOT(ISNA(VLOOKUP(E5512,E$1:E5511,1,FALSE()))),"OLD",IF(AND(E5512&lt;&gt;"",E5512&lt;&gt;"!!!"),"NEW","")))</f>
        <v> </v>
      </c>
      <c r="G5512" s="24" t="str">
        <f>IF(OR(E5512="",E5512="!!!"),"",IF(OR(J5512=0,AND(J5512=1,K5512=1),AND(J5512=1,I5512="SBJ"),AND(J5512=1,I5512=0)),"?IN_FOCUS",IF(J5512&lt;=2,"?ACTIVATED",IF(J5512&lt;&gt;"","?FAMILIAR",IF(F5512="NEW",IF(ISNA(VLOOKUP(E5512,#REF!,1,FALSE())),"?TYPE_IDENTIFIABLE","?REFERENTIAL"),"_")))))</f>
        <v> </v>
      </c>
      <c r="H5512" s="25" t="str">
        <f>IF(J5512&lt;&gt;1,"",IF(I5512="SBJ","CB","?"))</f>
        <v> </v>
      </c>
      <c r="I5512" s="26" t="str">
        <f>IF(OR(E5512="",E5512="!!!",F5512="NEW"),"",INDEX(B5511:B$2,-1+SUMPRODUCT(MAX(ROW(E5511:E$2)*(E5512=E5511:E$2)))))</f>
        <v> </v>
      </c>
      <c r="J5512" s="26" t="str">
        <f>IF(OR(E5512="",E5512="!!!",F5512="NEW"),"",COUNTBLANK(OFFSET(A$1,,,SUMPRODUCT(MAX(ROW(E$2:E5512)*(E5512=E$2:E5512)))))-COUNTBLANK(OFFSET(A$1,,,SUMPRODUCT(MAX(ROW(E$1:E5511)*(E2=E$1:E5511))))))</f>
        <v> </v>
      </c>
      <c r="K5512" s="26" t="str">
        <f>IF(OR(E5512="",E5512="!!!",F5512="NEW"),"",INDEX(J$1:J5511,SUMPRODUCT(MAX(ROW(E$1:E5511)*(E5512=E$1:E5511)))))</f>
        <v> </v>
      </c>
      <c r="L5512" s="27"/>
    </row>
    <row r="5513" spans="1:12">
      <c r="A5513" s="20" t="s">
        <v>1213</v>
      </c>
      <c r="B5513" s="21" t="s">
        <v>1068</v>
      </c>
      <c r="C5513" s="21" t="s">
        <v>1140</v>
      </c>
      <c r="D5513" s="21" t="s">
        <v>1060</v>
      </c>
      <c r="E5513" s="22">
        <f>IF(D5513="?OLD","!!!","")</f>
        <v/>
      </c>
      <c r="F5513" s="23" t="str">
        <f>IF(OR(E5513="",E5513="!!!"),"",IF(NOT(ISNA(VLOOKUP(E5513,E$1:E5512,1,FALSE()))),"OLD",IF(AND(E5513&lt;&gt;"",E5513&lt;&gt;"!!!"),"NEW","")))</f>
        <v> </v>
      </c>
      <c r="G5513" s="24" t="str">
        <f>IF(OR(E5513="",E5513="!!!"),"",IF(OR(J5513=0,AND(J5513=1,K5513=1),AND(J5513=1,I5513="SBJ"),AND(J5513=1,I5513=0)),"?IN_FOCUS",IF(J5513&lt;=2,"?ACTIVATED",IF(J5513&lt;&gt;"","?FAMILIAR",IF(F5513="NEW",IF(ISNA(VLOOKUP(E5513,#REF!,1,FALSE())),"?TYPE_IDENTIFIABLE","?REFERENTIAL"),"_")))))</f>
        <v> </v>
      </c>
      <c r="H5513" s="25" t="str">
        <f>IF(J5513&lt;&gt;1,"",IF(I5513="SBJ","CB","?"))</f>
        <v> </v>
      </c>
      <c r="I5513" s="26" t="str">
        <f>IF(OR(E5513="",E5513="!!!",F5513="NEW"),"",INDEX(B5512:B$2,-1+SUMPRODUCT(MAX(ROW(E5512:E$2)*(E5513=E5512:E$2)))))</f>
        <v> </v>
      </c>
      <c r="J5513" s="26" t="str">
        <f>IF(OR(E5513="",E5513="!!!",F5513="NEW"),"",COUNTBLANK(OFFSET(A$1,,,SUMPRODUCT(MAX(ROW(E$2:E5513)*(E5513=E$2:E5513)))))-COUNTBLANK(OFFSET(A$1,,,SUMPRODUCT(MAX(ROW(E$1:E5512)*(E2=E$1:E5512))))))</f>
        <v> </v>
      </c>
      <c r="K5513" s="26" t="str">
        <f>IF(OR(E5513="",E5513="!!!",F5513="NEW"),"",INDEX(J$1:J5512,SUMPRODUCT(MAX(ROW(E$1:E5512)*(E5513=E$1:E5512)))))</f>
        <v> </v>
      </c>
      <c r="L5513" s="27"/>
    </row>
    <row r="5514" spans="1:12">
      <c r="A5514" s="20" t="s">
        <v>1282</v>
      </c>
      <c r="E5514" s="22">
        <f>IF(D5514="?OLD","!!!","")</f>
        <v/>
      </c>
      <c r="F5514" s="23" t="str">
        <f>IF(OR(E5514="",E5514="!!!"),"",IF(NOT(ISNA(VLOOKUP(E5514,E$1:E5513,1,FALSE()))),"OLD",IF(AND(E5514&lt;&gt;"",E5514&lt;&gt;"!!!"),"NEW","")))</f>
        <v> </v>
      </c>
      <c r="G5514" s="24" t="str">
        <f>IF(OR(E5514="",E5514="!!!"),"",IF(OR(J5514=0,AND(J5514=1,K5514=1),AND(J5514=1,I5514="SBJ"),AND(J5514=1,I5514=0)),"?IN_FOCUS",IF(J5514&lt;=2,"?ACTIVATED",IF(J5514&lt;&gt;"","?FAMILIAR",IF(F5514="NEW",IF(ISNA(VLOOKUP(E5514,#REF!,1,FALSE())),"?TYPE_IDENTIFIABLE","?REFERENTIAL"),"_")))))</f>
        <v> </v>
      </c>
      <c r="H5514" s="25" t="str">
        <f>IF(J5514&lt;&gt;1,"",IF(I5514="SBJ","CB","?"))</f>
        <v> </v>
      </c>
      <c r="I5514" s="26" t="str">
        <f>IF(OR(E5514="",E5514="!!!",F5514="NEW"),"",INDEX(B5513:B$2,-1+SUMPRODUCT(MAX(ROW(E5513:E$2)*(E5514=E5513:E$2)))))</f>
        <v> </v>
      </c>
      <c r="J5514" s="26" t="str">
        <f>IF(OR(E5514="",E5514="!!!",F5514="NEW"),"",COUNTBLANK(OFFSET(A$1,,,SUMPRODUCT(MAX(ROW(E$2:E5514)*(E5514=E$2:E5514)))))-COUNTBLANK(OFFSET(A$1,,,SUMPRODUCT(MAX(ROW(E$1:E5513)*(E2=E$1:E5513))))))</f>
        <v> </v>
      </c>
      <c r="K5514" s="26" t="str">
        <f>IF(OR(E5514="",E5514="!!!",F5514="NEW"),"",INDEX(J$1:J5513,SUMPRODUCT(MAX(ROW(E$1:E5513)*(E5514=E$1:E5513)))))</f>
        <v> </v>
      </c>
      <c r="L5514" s="27"/>
    </row>
    <row r="5515" spans="1:12">
      <c r="A5515" s="20"/>
    </row>
    <row r="5516" spans="1:12">
      <c r="A5516" s="20" t="s">
        <v>1276</v>
      </c>
      <c r="E5516" s="22">
        <f>IF(D5516="?OLD","!!!","")</f>
        <v/>
      </c>
      <c r="F5516" s="23" t="str">
        <f>IF(OR(E5516="",E5516="!!!"),"",IF(NOT(ISNA(VLOOKUP(E5516,E$1:E5515,1,FALSE()))),"OLD",IF(AND(E5516&lt;&gt;"",E5516&lt;&gt;"!!!"),"NEW","")))</f>
        <v> </v>
      </c>
      <c r="G5516" s="24" t="str">
        <f>IF(OR(E5516="",E5516="!!!"),"",IF(OR(J5516=0,AND(J5516=1,K5516=1),AND(J5516=1,I5516="SBJ"),AND(J5516=1,I5516=0)),"?IN_FOCUS",IF(J5516&lt;=2,"?ACTIVATED",IF(J5516&lt;&gt;"","?FAMILIAR",IF(F5516="NEW",IF(ISNA(VLOOKUP(E5516,#REF!,1,FALSE())),"?TYPE_IDENTIFIABLE","?REFERENTIAL"),"_")))))</f>
        <v> </v>
      </c>
      <c r="H5516" s="25" t="str">
        <f>IF(J5516&lt;&gt;1,"",IF(I5516="SBJ","CB","?"))</f>
        <v> </v>
      </c>
      <c r="I5516" s="26" t="str">
        <f>IF(OR(E5516="",E5516="!!!",F5516="NEW"),"",INDEX(B5515:B$2,-1+SUMPRODUCT(MAX(ROW(E5515:E$2)*(E5516=E5515:E$2)))))</f>
        <v> </v>
      </c>
      <c r="J5516" s="26" t="str">
        <f>IF(OR(E5516="",E5516="!!!",F5516="NEW"),"",COUNTBLANK(OFFSET(A$1,,,SUMPRODUCT(MAX(ROW(E$2:E5516)*(E5516=E$2:E5516)))))-COUNTBLANK(OFFSET(A$1,,,SUMPRODUCT(MAX(ROW(E$1:E5515)*(E2=E$1:E5515))))))</f>
        <v> </v>
      </c>
      <c r="K5516" s="26" t="str">
        <f>IF(OR(E5516="",E5516="!!!",F5516="NEW"),"",INDEX(J$1:J5515,SUMPRODUCT(MAX(ROW(E$1:E5515)*(E5516=E$1:E5515)))))</f>
        <v> </v>
      </c>
      <c r="L5516" s="27"/>
    </row>
    <row r="5517" spans="1:12">
      <c r="A5517" s="20" t="s">
        <v>2558</v>
      </c>
    </row>
    <row r="5518" spans="1:12">
      <c r="A5518" s="20" t="s">
        <v>1151</v>
      </c>
      <c r="B5518" s="21" t="s">
        <v>1058</v>
      </c>
      <c r="C5518" s="21" t="s">
        <v>1076</v>
      </c>
      <c r="D5518" s="21" t="s">
        <v>1060</v>
      </c>
      <c r="E5518" s="22">
        <f>IF(D5518="?OLD","!!!","")</f>
        <v/>
      </c>
      <c r="F5518" s="23" t="str">
        <f>IF(OR(E5518="",E5518="!!!"),"",IF(NOT(ISNA(VLOOKUP(E5518,E$1:E5517,1,FALSE()))),"OLD",IF(AND(E5518&lt;&gt;"",E5518&lt;&gt;"!!!"),"NEW","")))</f>
        <v> </v>
      </c>
      <c r="G5518" s="24" t="str">
        <f>IF(OR(E5518="",E5518="!!!"),"",IF(OR(J5518=0,AND(J5518=1,K5518=1),AND(J5518=1,I5518="SBJ"),AND(J5518=1,I5518=0)),"?IN_FOCUS",IF(J5518&lt;=2,"?ACTIVATED",IF(J5518&lt;&gt;"","?FAMILIAR",IF(F5518="NEW",IF(ISNA(VLOOKUP(E5518,#REF!,1,FALSE())),"?TYPE_IDENTIFIABLE","?REFERENTIAL"),"_")))))</f>
        <v> </v>
      </c>
      <c r="H5518" s="25" t="str">
        <f>IF(J5518&lt;&gt;1,"",IF(I5518="SBJ","CB","?"))</f>
        <v> </v>
      </c>
      <c r="I5518" s="26" t="str">
        <f>IF(OR(E5518="",E5518="!!!",F5518="NEW"),"",INDEX(B5517:B$2,-1+SUMPRODUCT(MAX(ROW(E5517:E$2)*(E5518=E5517:E$2)))))</f>
        <v> </v>
      </c>
      <c r="J5518" s="26" t="str">
        <f>IF(OR(E5518="",E5518="!!!",F5518="NEW"),"",COUNTBLANK(OFFSET(A$1,,,SUMPRODUCT(MAX(ROW(E$2:E5518)*(E5518=E$2:E5518)))))-COUNTBLANK(OFFSET(A$1,,,SUMPRODUCT(MAX(ROW(E$1:E5517)*(E2=E$1:E5517))))))</f>
        <v> </v>
      </c>
      <c r="K5518" s="26" t="str">
        <f>IF(OR(E5518="",E5518="!!!",F5518="NEW"),"",INDEX(J$1:J5517,SUMPRODUCT(MAX(ROW(E$1:E5517)*(E5518=E$1:E5517)))))</f>
        <v> </v>
      </c>
      <c r="L5518" s="27"/>
    </row>
    <row r="5519" spans="1:12">
      <c r="A5519" s="20" t="s">
        <v>1176</v>
      </c>
      <c r="E5519" s="22">
        <f>IF(D5519="?OLD","!!!","")</f>
        <v/>
      </c>
      <c r="F5519" s="23" t="str">
        <f>IF(OR(E5519="",E5519="!!!"),"",IF(NOT(ISNA(VLOOKUP(E5519,E$1:E5518,1,FALSE()))),"OLD",IF(AND(E5519&lt;&gt;"",E5519&lt;&gt;"!!!"),"NEW","")))</f>
        <v> </v>
      </c>
      <c r="G5519" s="24" t="str">
        <f>IF(OR(E5519="",E5519="!!!"),"",IF(OR(J5519=0,AND(J5519=1,K5519=1),AND(J5519=1,I5519="SBJ"),AND(J5519=1,I5519=0)),"?IN_FOCUS",IF(J5519&lt;=2,"?ACTIVATED",IF(J5519&lt;&gt;"","?FAMILIAR",IF(F5519="NEW",IF(ISNA(VLOOKUP(E5519,#REF!,1,FALSE())),"?TYPE_IDENTIFIABLE","?REFERENTIAL"),"_")))))</f>
        <v> </v>
      </c>
      <c r="H5519" s="25" t="str">
        <f>IF(J5519&lt;&gt;1,"",IF(I5519="SBJ","CB","?"))</f>
        <v> </v>
      </c>
      <c r="I5519" s="26" t="str">
        <f>IF(OR(E5519="",E5519="!!!",F5519="NEW"),"",INDEX(B5518:B$2,-1+SUMPRODUCT(MAX(ROW(E5518:E$2)*(E5519=E5518:E$2)))))</f>
        <v> </v>
      </c>
      <c r="J5519" s="26" t="str">
        <f>IF(OR(E5519="",E5519="!!!",F5519="NEW"),"",COUNTBLANK(OFFSET(A$1,,,SUMPRODUCT(MAX(ROW(E$2:E5519)*(E5519=E$2:E5519)))))-COUNTBLANK(OFFSET(A$1,,,SUMPRODUCT(MAX(ROW(E$1:E5518)*(E2=E$1:E5518))))))</f>
        <v> </v>
      </c>
      <c r="K5519" s="26" t="str">
        <f>IF(OR(E5519="",E5519="!!!",F5519="NEW"),"",INDEX(J$1:J5518,SUMPRODUCT(MAX(ROW(E$1:E5518)*(E5519=E$1:E5518)))))</f>
        <v> </v>
      </c>
      <c r="L5519" s="27"/>
    </row>
    <row r="5520" spans="1:12">
      <c r="A5520" s="20" t="s">
        <v>1074</v>
      </c>
      <c r="B5520" s="21" t="s">
        <v>1075</v>
      </c>
      <c r="C5520" s="21" t="s">
        <v>1076</v>
      </c>
      <c r="D5520" s="21" t="s">
        <v>1060</v>
      </c>
      <c r="E5520" s="22">
        <f>IF(D5520="?OLD","!!!","")</f>
        <v/>
      </c>
      <c r="F5520" s="23" t="str">
        <f>IF(OR(E5520="",E5520="!!!"),"",IF(NOT(ISNA(VLOOKUP(E5520,E$1:E5519,1,FALSE()))),"OLD",IF(AND(E5520&lt;&gt;"",E5520&lt;&gt;"!!!"),"NEW","")))</f>
        <v> </v>
      </c>
      <c r="G5520" s="24" t="str">
        <f>IF(OR(E5520="",E5520="!!!"),"",IF(OR(J5520=0,AND(J5520=1,K5520=1),AND(J5520=1,I5520="SBJ"),AND(J5520=1,I5520=0)),"?IN_FOCUS",IF(J5520&lt;=2,"?ACTIVATED",IF(J5520&lt;&gt;"","?FAMILIAR",IF(F5520="NEW",IF(ISNA(VLOOKUP(E5520,#REF!,1,FALSE())),"?TYPE_IDENTIFIABLE","?REFERENTIAL"),"_")))))</f>
        <v> </v>
      </c>
      <c r="H5520" s="25" t="str">
        <f>IF(J5520&lt;&gt;1,"",IF(I5520="SBJ","CB","?"))</f>
        <v> </v>
      </c>
      <c r="I5520" s="26" t="str">
        <f>IF(OR(E5520="",E5520="!!!",F5520="NEW"),"",INDEX(B5519:B$2,-1+SUMPRODUCT(MAX(ROW(E5519:E$2)*(E5520=E5519:E$2)))))</f>
        <v> </v>
      </c>
      <c r="J5520" s="26" t="str">
        <f>IF(OR(E5520="",E5520="!!!",F5520="NEW"),"",COUNTBLANK(OFFSET(A$1,,,SUMPRODUCT(MAX(ROW(E$2:E5520)*(E5520=E$2:E5520)))))-COUNTBLANK(OFFSET(A$1,,,SUMPRODUCT(MAX(ROW(E$1:E5519)*(E2=E$1:E5519))))))</f>
        <v> </v>
      </c>
      <c r="K5520" s="26" t="str">
        <f>IF(OR(E5520="",E5520="!!!",F5520="NEW"),"",INDEX(J$1:J5519,SUMPRODUCT(MAX(ROW(E$1:E5519)*(E5520=E$1:E5519)))))</f>
        <v> </v>
      </c>
      <c r="L5520" s="27"/>
    </row>
    <row r="5521" spans="1:12">
      <c r="A5521" s="20" t="s">
        <v>1160</v>
      </c>
      <c r="E5521" s="22">
        <f>IF(D5521="?OLD","!!!","")</f>
        <v/>
      </c>
      <c r="F5521" s="23" t="str">
        <f>IF(OR(E5521="",E5521="!!!"),"",IF(NOT(ISNA(VLOOKUP(E5521,E$1:E5520,1,FALSE()))),"OLD",IF(AND(E5521&lt;&gt;"",E5521&lt;&gt;"!!!"),"NEW","")))</f>
        <v> </v>
      </c>
      <c r="G5521" s="24" t="str">
        <f>IF(OR(E5521="",E5521="!!!"),"",IF(OR(J5521=0,AND(J5521=1,K5521=1),AND(J5521=1,I5521="SBJ"),AND(J5521=1,I5521=0)),"?IN_FOCUS",IF(J5521&lt;=2,"?ACTIVATED",IF(J5521&lt;&gt;"","?FAMILIAR",IF(F5521="NEW",IF(ISNA(VLOOKUP(E5521,#REF!,1,FALSE())),"?TYPE_IDENTIFIABLE","?REFERENTIAL"),"_")))))</f>
        <v> </v>
      </c>
      <c r="H5521" s="25" t="str">
        <f>IF(J5521&lt;&gt;1,"",IF(I5521="SBJ","CB","?"))</f>
        <v> </v>
      </c>
      <c r="I5521" s="26" t="str">
        <f>IF(OR(E5521="",E5521="!!!",F5521="NEW"),"",INDEX(B5520:B$2,-1+SUMPRODUCT(MAX(ROW(E5520:E$2)*(E5521=E5520:E$2)))))</f>
        <v> </v>
      </c>
      <c r="J5521" s="26" t="str">
        <f>IF(OR(E5521="",E5521="!!!",F5521="NEW"),"",COUNTBLANK(OFFSET(A$1,,,SUMPRODUCT(MAX(ROW(E$2:E5521)*(E5521=E$2:E5521)))))-COUNTBLANK(OFFSET(A$1,,,SUMPRODUCT(MAX(ROW(E$1:E5520)*(E2=E$1:E5520))))))</f>
        <v> </v>
      </c>
      <c r="K5521" s="26" t="str">
        <f>IF(OR(E5521="",E5521="!!!",F5521="NEW"),"",INDEX(J$1:J5520,SUMPRODUCT(MAX(ROW(E$1:E5520)*(E5521=E$1:E5520)))))</f>
        <v> </v>
      </c>
      <c r="L5521" s="27"/>
    </row>
    <row r="5522" spans="1:12">
      <c r="A5522" s="20" t="s">
        <v>2559</v>
      </c>
      <c r="B5522" s="21" t="s">
        <v>1097</v>
      </c>
      <c r="C5522" s="21" t="s">
        <v>1065</v>
      </c>
      <c r="D5522" s="21" t="s">
        <v>1060</v>
      </c>
      <c r="E5522" s="22">
        <f>IF(D5522="?OLD","!!!","")</f>
        <v/>
      </c>
      <c r="F5522" s="23" t="str">
        <f>IF(OR(E5522="",E5522="!!!"),"",IF(NOT(ISNA(VLOOKUP(E5522,E$1:E5521,1,FALSE()))),"OLD",IF(AND(E5522&lt;&gt;"",E5522&lt;&gt;"!!!"),"NEW","")))</f>
        <v> </v>
      </c>
      <c r="G5522" s="24" t="str">
        <f>IF(OR(E5522="",E5522="!!!"),"",IF(OR(J5522=0,AND(J5522=1,K5522=1),AND(J5522=1,I5522="SBJ"),AND(J5522=1,I5522=0)),"?IN_FOCUS",IF(J5522&lt;=2,"?ACTIVATED",IF(J5522&lt;&gt;"","?FAMILIAR",IF(F5522="NEW",IF(ISNA(VLOOKUP(E5522,#REF!,1,FALSE())),"?TYPE_IDENTIFIABLE","?REFERENTIAL"),"_")))))</f>
        <v> </v>
      </c>
      <c r="H5522" s="25" t="str">
        <f>IF(J5522&lt;&gt;1,"",IF(I5522="SBJ","CB","?"))</f>
        <v> </v>
      </c>
      <c r="I5522" s="26" t="str">
        <f>IF(OR(E5522="",E5522="!!!",F5522="NEW"),"",INDEX(B5521:B$2,-1+SUMPRODUCT(MAX(ROW(E5521:E$2)*(E5522=E5521:E$2)))))</f>
        <v> </v>
      </c>
      <c r="J5522" s="26" t="str">
        <f>IF(OR(E5522="",E5522="!!!",F5522="NEW"),"",COUNTBLANK(OFFSET(A$1,,,SUMPRODUCT(MAX(ROW(E$2:E5522)*(E5522=E$2:E5522)))))-COUNTBLANK(OFFSET(A$1,,,SUMPRODUCT(MAX(ROW(E$1:E5521)*(E2=E$1:E5521))))))</f>
        <v> </v>
      </c>
      <c r="K5522" s="26" t="str">
        <f>IF(OR(E5522="",E5522="!!!",F5522="NEW"),"",INDEX(J$1:J5521,SUMPRODUCT(MAX(ROW(E$1:E5521)*(E5522=E$1:E5521)))))</f>
        <v> </v>
      </c>
      <c r="L5522" s="27"/>
    </row>
    <row r="5523" spans="1:12">
      <c r="A5523" s="20" t="s">
        <v>1070</v>
      </c>
      <c r="E5523" s="22">
        <f>IF(D5523="?OLD","!!!","")</f>
        <v/>
      </c>
      <c r="F5523" s="23" t="str">
        <f>IF(OR(E5523="",E5523="!!!"),"",IF(NOT(ISNA(VLOOKUP(E5523,E$1:E5522,1,FALSE()))),"OLD",IF(AND(E5523&lt;&gt;"",E5523&lt;&gt;"!!!"),"NEW","")))</f>
        <v> </v>
      </c>
      <c r="G5523" s="24" t="str">
        <f>IF(OR(E5523="",E5523="!!!"),"",IF(OR(J5523=0,AND(J5523=1,K5523=1),AND(J5523=1,I5523="SBJ"),AND(J5523=1,I5523=0)),"?IN_FOCUS",IF(J5523&lt;=2,"?ACTIVATED",IF(J5523&lt;&gt;"","?FAMILIAR",IF(F5523="NEW",IF(ISNA(VLOOKUP(E5523,#REF!,1,FALSE())),"?TYPE_IDENTIFIABLE","?REFERENTIAL"),"_")))))</f>
        <v> </v>
      </c>
      <c r="H5523" s="25" t="str">
        <f>IF(J5523&lt;&gt;1,"",IF(I5523="SBJ","CB","?"))</f>
        <v> </v>
      </c>
      <c r="I5523" s="26" t="str">
        <f>IF(OR(E5523="",E5523="!!!",F5523="NEW"),"",INDEX(B5522:B$2,-1+SUMPRODUCT(MAX(ROW(E5522:E$2)*(E5523=E5522:E$2)))))</f>
        <v> </v>
      </c>
      <c r="J5523" s="26" t="str">
        <f>IF(OR(E5523="",E5523="!!!",F5523="NEW"),"",COUNTBLANK(OFFSET(A$1,,,SUMPRODUCT(MAX(ROW(E$2:E5523)*(E5523=E$2:E5523)))))-COUNTBLANK(OFFSET(A$1,,,SUMPRODUCT(MAX(ROW(E$1:E5522)*(E2=E$1:E5522))))))</f>
        <v> </v>
      </c>
      <c r="K5523" s="26" t="str">
        <f>IF(OR(E5523="",E5523="!!!",F5523="NEW"),"",INDEX(J$1:J5522,SUMPRODUCT(MAX(ROW(E$1:E5522)*(E5523=E$1:E5522)))))</f>
        <v> </v>
      </c>
      <c r="L5523" s="27"/>
    </row>
    <row r="5524" spans="1:12">
      <c r="A5524" s="20" t="s">
        <v>1381</v>
      </c>
      <c r="B5524" s="21" t="s">
        <v>1068</v>
      </c>
      <c r="C5524" s="21" t="s">
        <v>1065</v>
      </c>
      <c r="D5524" s="21" t="s">
        <v>1060</v>
      </c>
      <c r="E5524" s="22">
        <f>IF(D5524="?OLD","!!!","")</f>
        <v/>
      </c>
      <c r="F5524" s="23" t="str">
        <f>IF(OR(E5524="",E5524="!!!"),"",IF(NOT(ISNA(VLOOKUP(E5524,E$1:E5523,1,FALSE()))),"OLD",IF(AND(E5524&lt;&gt;"",E5524&lt;&gt;"!!!"),"NEW","")))</f>
        <v> </v>
      </c>
      <c r="G5524" s="24" t="str">
        <f>IF(OR(E5524="",E5524="!!!"),"",IF(OR(J5524=0,AND(J5524=1,K5524=1),AND(J5524=1,I5524="SBJ"),AND(J5524=1,I5524=0)),"?IN_FOCUS",IF(J5524&lt;=2,"?ACTIVATED",IF(J5524&lt;&gt;"","?FAMILIAR",IF(F5524="NEW",IF(ISNA(VLOOKUP(E5524,#REF!,1,FALSE())),"?TYPE_IDENTIFIABLE","?REFERENTIAL"),"_")))))</f>
        <v> </v>
      </c>
      <c r="H5524" s="25" t="str">
        <f>IF(J5524&lt;&gt;1,"",IF(I5524="SBJ","CB","?"))</f>
        <v> </v>
      </c>
      <c r="I5524" s="26" t="str">
        <f>IF(OR(E5524="",E5524="!!!",F5524="NEW"),"",INDEX(B5523:B$2,-1+SUMPRODUCT(MAX(ROW(E5523:E$2)*(E5524=E5523:E$2)))))</f>
        <v> </v>
      </c>
      <c r="J5524" s="26" t="str">
        <f>IF(OR(E5524="",E5524="!!!",F5524="NEW"),"",COUNTBLANK(OFFSET(A$1,,,SUMPRODUCT(MAX(ROW(E$2:E5524)*(E5524=E$2:E5524)))))-COUNTBLANK(OFFSET(A$1,,,SUMPRODUCT(MAX(ROW(E$1:E5523)*(E2=E$1:E5523))))))</f>
        <v> </v>
      </c>
      <c r="K5524" s="26" t="str">
        <f>IF(OR(E5524="",E5524="!!!",F5524="NEW"),"",INDEX(J$1:J5523,SUMPRODUCT(MAX(ROW(E$1:E5523)*(E5524=E$1:E5523)))))</f>
        <v> </v>
      </c>
      <c r="L5524" s="27"/>
    </row>
    <row r="5525" spans="1:12">
      <c r="A5525" s="20" t="s">
        <v>1070</v>
      </c>
      <c r="E5525" s="22">
        <f>IF(D5525="?OLD","!!!","")</f>
        <v/>
      </c>
      <c r="F5525" s="23" t="str">
        <f>IF(OR(E5525="",E5525="!!!"),"",IF(NOT(ISNA(VLOOKUP(E5525,E$1:E5524,1,FALSE()))),"OLD",IF(AND(E5525&lt;&gt;"",E5525&lt;&gt;"!!!"),"NEW","")))</f>
        <v> </v>
      </c>
      <c r="G5525" s="24" t="str">
        <f>IF(OR(E5525="",E5525="!!!"),"",IF(OR(J5525=0,AND(J5525=1,K5525=1),AND(J5525=1,I5525="SBJ"),AND(J5525=1,I5525=0)),"?IN_FOCUS",IF(J5525&lt;=2,"?ACTIVATED",IF(J5525&lt;&gt;"","?FAMILIAR",IF(F5525="NEW",IF(ISNA(VLOOKUP(E5525,#REF!,1,FALSE())),"?TYPE_IDENTIFIABLE","?REFERENTIAL"),"_")))))</f>
        <v> </v>
      </c>
      <c r="H5525" s="25" t="str">
        <f>IF(J5525&lt;&gt;1,"",IF(I5525="SBJ","CB","?"))</f>
        <v> </v>
      </c>
      <c r="I5525" s="26" t="str">
        <f>IF(OR(E5525="",E5525="!!!",F5525="NEW"),"",INDEX(B5524:B$2,-1+SUMPRODUCT(MAX(ROW(E5524:E$2)*(E5525=E5524:E$2)))))</f>
        <v> </v>
      </c>
      <c r="J5525" s="26" t="str">
        <f>IF(OR(E5525="",E5525="!!!",F5525="NEW"),"",COUNTBLANK(OFFSET(A$1,,,SUMPRODUCT(MAX(ROW(E$2:E5525)*(E5525=E$2:E5525)))))-COUNTBLANK(OFFSET(A$1,,,SUMPRODUCT(MAX(ROW(E$1:E5524)*(E2=E$1:E5524))))))</f>
        <v> </v>
      </c>
      <c r="K5525" s="26" t="str">
        <f>IF(OR(E5525="",E5525="!!!",F5525="NEW"),"",INDEX(J$1:J5524,SUMPRODUCT(MAX(ROW(E$1:E5524)*(E5525=E$1:E5524)))))</f>
        <v> </v>
      </c>
      <c r="L5525" s="27"/>
    </row>
    <row r="5526" spans="1:12">
      <c r="A5526" s="20" t="s">
        <v>1118</v>
      </c>
      <c r="E5526" s="22">
        <f>IF(D5526="?OLD","!!!","")</f>
        <v/>
      </c>
      <c r="F5526" s="23" t="str">
        <f>IF(OR(E5526="",E5526="!!!"),"",IF(NOT(ISNA(VLOOKUP(E5526,E$1:E5525,1,FALSE()))),"OLD",IF(AND(E5526&lt;&gt;"",E5526&lt;&gt;"!!!"),"NEW","")))</f>
        <v> </v>
      </c>
      <c r="G5526" s="24" t="str">
        <f>IF(OR(E5526="",E5526="!!!"),"",IF(OR(J5526=0,AND(J5526=1,K5526=1),AND(J5526=1,I5526="SBJ"),AND(J5526=1,I5526=0)),"?IN_FOCUS",IF(J5526&lt;=2,"?ACTIVATED",IF(J5526&lt;&gt;"","?FAMILIAR",IF(F5526="NEW",IF(ISNA(VLOOKUP(E5526,#REF!,1,FALSE())),"?TYPE_IDENTIFIABLE","?REFERENTIAL"),"_")))))</f>
        <v> </v>
      </c>
      <c r="H5526" s="25" t="str">
        <f>IF(J5526&lt;&gt;1,"",IF(I5526="SBJ","CB","?"))</f>
        <v> </v>
      </c>
      <c r="I5526" s="26" t="str">
        <f>IF(OR(E5526="",E5526="!!!",F5526="NEW"),"",INDEX(B5525:B$2,-1+SUMPRODUCT(MAX(ROW(E5525:E$2)*(E5526=E5525:E$2)))))</f>
        <v> </v>
      </c>
      <c r="J5526" s="26" t="str">
        <f>IF(OR(E5526="",E5526="!!!",F5526="NEW"),"",COUNTBLANK(OFFSET(A$1,,,SUMPRODUCT(MAX(ROW(E$2:E5526)*(E5526=E$2:E5526)))))-COUNTBLANK(OFFSET(A$1,,,SUMPRODUCT(MAX(ROW(E$1:E5525)*(E2=E$1:E5525))))))</f>
        <v> </v>
      </c>
      <c r="K5526" s="26" t="str">
        <f>IF(OR(E5526="",E5526="!!!",F5526="NEW"),"",INDEX(J$1:J5525,SUMPRODUCT(MAX(ROW(E$1:E5525)*(E5526=E$1:E5525)))))</f>
        <v> </v>
      </c>
      <c r="L5526" s="27"/>
    </row>
    <row r="5527" spans="1:12">
      <c r="A5527" s="20" t="s">
        <v>1151</v>
      </c>
      <c r="B5527" s="21" t="s">
        <v>1079</v>
      </c>
      <c r="C5527" s="21" t="s">
        <v>1076</v>
      </c>
      <c r="D5527" s="21" t="s">
        <v>1060</v>
      </c>
      <c r="E5527" s="22">
        <f>IF(D5527="?OLD","!!!","")</f>
        <v/>
      </c>
      <c r="F5527" s="23" t="str">
        <f>IF(OR(E5527="",E5527="!!!"),"",IF(NOT(ISNA(VLOOKUP(E5527,E$1:E5526,1,FALSE()))),"OLD",IF(AND(E5527&lt;&gt;"",E5527&lt;&gt;"!!!"),"NEW","")))</f>
        <v> </v>
      </c>
      <c r="G5527" s="24" t="str">
        <f>IF(OR(E5527="",E5527="!!!"),"",IF(OR(J5527=0,AND(J5527=1,K5527=1),AND(J5527=1,I5527="SBJ"),AND(J5527=1,I5527=0)),"?IN_FOCUS",IF(J5527&lt;=2,"?ACTIVATED",IF(J5527&lt;&gt;"","?FAMILIAR",IF(F5527="NEW",IF(ISNA(VLOOKUP(E5527,#REF!,1,FALSE())),"?TYPE_IDENTIFIABLE","?REFERENTIAL"),"_")))))</f>
        <v> </v>
      </c>
      <c r="H5527" s="25" t="str">
        <f>IF(J5527&lt;&gt;1,"",IF(I5527="SBJ","CB","?"))</f>
        <v> </v>
      </c>
      <c r="I5527" s="26" t="str">
        <f>IF(OR(E5527="",E5527="!!!",F5527="NEW"),"",INDEX(B5526:B$2,-1+SUMPRODUCT(MAX(ROW(E5526:E$2)*(E5527=E5526:E$2)))))</f>
        <v> </v>
      </c>
      <c r="J5527" s="26" t="str">
        <f>IF(OR(E5527="",E5527="!!!",F5527="NEW"),"",COUNTBLANK(OFFSET(A$1,,,SUMPRODUCT(MAX(ROW(E$2:E5527)*(E5527=E$2:E5527)))))-COUNTBLANK(OFFSET(A$1,,,SUMPRODUCT(MAX(ROW(E$1:E5526)*(E2=E$1:E5526))))))</f>
        <v> </v>
      </c>
      <c r="K5527" s="26" t="str">
        <f>IF(OR(E5527="",E5527="!!!",F5527="NEW"),"",INDEX(J$1:J5526,SUMPRODUCT(MAX(ROW(E$1:E5526)*(E5527=E$1:E5526)))))</f>
        <v> </v>
      </c>
      <c r="L5527" s="27"/>
    </row>
    <row r="5528" spans="1:12">
      <c r="A5528" s="20" t="s">
        <v>123</v>
      </c>
      <c r="E5528" s="22">
        <f>IF(D5528="?OLD","!!!","")</f>
        <v/>
      </c>
      <c r="F5528" s="23" t="str">
        <f>IF(OR(E5528="",E5528="!!!"),"",IF(NOT(ISNA(VLOOKUP(E5528,E$1:E5527,1,FALSE()))),"OLD",IF(AND(E5528&lt;&gt;"",E5528&lt;&gt;"!!!"),"NEW","")))</f>
        <v> </v>
      </c>
      <c r="G5528" s="24" t="str">
        <f>IF(OR(E5528="",E5528="!!!"),"",IF(OR(J5528=0,AND(J5528=1,K5528=1),AND(J5528=1,I5528="SBJ"),AND(J5528=1,I5528=0)),"?IN_FOCUS",IF(J5528&lt;=2,"?ACTIVATED",IF(J5528&lt;&gt;"","?FAMILIAR",IF(F5528="NEW",IF(ISNA(VLOOKUP(E5528,#REF!,1,FALSE())),"?TYPE_IDENTIFIABLE","?REFERENTIAL"),"_")))))</f>
        <v> </v>
      </c>
      <c r="H5528" s="25" t="str">
        <f>IF(J5528&lt;&gt;1,"",IF(I5528="SBJ","CB","?"))</f>
        <v> </v>
      </c>
      <c r="I5528" s="26" t="str">
        <f>IF(OR(E5528="",E5528="!!!",F5528="NEW"),"",INDEX(B5527:B$2,-1+SUMPRODUCT(MAX(ROW(E5527:E$2)*(E5528=E5527:E$2)))))</f>
        <v> </v>
      </c>
      <c r="J5528" s="26" t="str">
        <f>IF(OR(E5528="",E5528="!!!",F5528="NEW"),"",COUNTBLANK(OFFSET(A$1,,,SUMPRODUCT(MAX(ROW(E$2:E5528)*(E5528=E$2:E5528)))))-COUNTBLANK(OFFSET(A$1,,,SUMPRODUCT(MAX(ROW(E$1:E5527)*(E2=E$1:E5527))))))</f>
        <v> </v>
      </c>
      <c r="K5528" s="26" t="str">
        <f>IF(OR(E5528="",E5528="!!!",F5528="NEW"),"",INDEX(J$1:J5527,SUMPRODUCT(MAX(ROW(E$1:E5527)*(E5528=E$1:E5527)))))</f>
        <v> </v>
      </c>
      <c r="L5528" s="27"/>
    </row>
    <row r="5529" spans="1:12">
      <c r="A5529" s="20" t="s">
        <v>1074</v>
      </c>
      <c r="B5529" s="21" t="s">
        <v>1132</v>
      </c>
      <c r="C5529" s="21" t="s">
        <v>1076</v>
      </c>
      <c r="D5529" s="21" t="s">
        <v>1060</v>
      </c>
      <c r="E5529" s="22">
        <f>IF(D5529="?OLD","!!!","")</f>
        <v/>
      </c>
      <c r="F5529" s="23" t="str">
        <f>IF(OR(E5529="",E5529="!!!"),"",IF(NOT(ISNA(VLOOKUP(E5529,E$1:E5528,1,FALSE()))),"OLD",IF(AND(E5529&lt;&gt;"",E5529&lt;&gt;"!!!"),"NEW","")))</f>
        <v> </v>
      </c>
      <c r="G5529" s="24" t="str">
        <f>IF(OR(E5529="",E5529="!!!"),"",IF(OR(J5529=0,AND(J5529=1,K5529=1),AND(J5529=1,I5529="SBJ"),AND(J5529=1,I5529=0)),"?IN_FOCUS",IF(J5529&lt;=2,"?ACTIVATED",IF(J5529&lt;&gt;"","?FAMILIAR",IF(F5529="NEW",IF(ISNA(VLOOKUP(E5529,#REF!,1,FALSE())),"?TYPE_IDENTIFIABLE","?REFERENTIAL"),"_")))))</f>
        <v> </v>
      </c>
      <c r="H5529" s="25" t="str">
        <f>IF(J5529&lt;&gt;1,"",IF(I5529="SBJ","CB","?"))</f>
        <v> </v>
      </c>
      <c r="I5529" s="26" t="str">
        <f>IF(OR(E5529="",E5529="!!!",F5529="NEW"),"",INDEX(B5528:B$2,-1+SUMPRODUCT(MAX(ROW(E5528:E$2)*(E5529=E5528:E$2)))))</f>
        <v> </v>
      </c>
      <c r="J5529" s="26" t="str">
        <f>IF(OR(E5529="",E5529="!!!",F5529="NEW"),"",COUNTBLANK(OFFSET(A$1,,,SUMPRODUCT(MAX(ROW(E$2:E5529)*(E5529=E$2:E5529)))))-COUNTBLANK(OFFSET(A$1,,,SUMPRODUCT(MAX(ROW(E$1:E5528)*(E2=E$1:E5528))))))</f>
        <v> </v>
      </c>
      <c r="K5529" s="26" t="str">
        <f>IF(OR(E5529="",E5529="!!!",F5529="NEW"),"",INDEX(J$1:J5528,SUMPRODUCT(MAX(ROW(E$1:E5528)*(E5529=E$1:E5528)))))</f>
        <v> </v>
      </c>
      <c r="L5529" s="27"/>
    </row>
    <row r="5530" spans="1:12">
      <c r="A5530" s="20" t="s">
        <v>1215</v>
      </c>
      <c r="E5530" s="22">
        <f>IF(D5530="?OLD","!!!","")</f>
        <v/>
      </c>
      <c r="F5530" s="23" t="str">
        <f>IF(OR(E5530="",E5530="!!!"),"",IF(NOT(ISNA(VLOOKUP(E5530,E$1:E5529,1,FALSE()))),"OLD",IF(AND(E5530&lt;&gt;"",E5530&lt;&gt;"!!!"),"NEW","")))</f>
        <v> </v>
      </c>
      <c r="G5530" s="24" t="str">
        <f>IF(OR(E5530="",E5530="!!!"),"",IF(OR(J5530=0,AND(J5530=1,K5530=1),AND(J5530=1,I5530="SBJ"),AND(J5530=1,I5530=0)),"?IN_FOCUS",IF(J5530&lt;=2,"?ACTIVATED",IF(J5530&lt;&gt;"","?FAMILIAR",IF(F5530="NEW",IF(ISNA(VLOOKUP(E5530,#REF!,1,FALSE())),"?TYPE_IDENTIFIABLE","?REFERENTIAL"),"_")))))</f>
        <v> </v>
      </c>
      <c r="H5530" s="25" t="str">
        <f>IF(J5530&lt;&gt;1,"",IF(I5530="SBJ","CB","?"))</f>
        <v> </v>
      </c>
      <c r="I5530" s="26" t="str">
        <f>IF(OR(E5530="",E5530="!!!",F5530="NEW"),"",INDEX(B5529:B$2,-1+SUMPRODUCT(MAX(ROW(E5529:E$2)*(E5530=E5529:E$2)))))</f>
        <v> </v>
      </c>
      <c r="J5530" s="26" t="str">
        <f>IF(OR(E5530="",E5530="!!!",F5530="NEW"),"",COUNTBLANK(OFFSET(A$1,,,SUMPRODUCT(MAX(ROW(E$2:E5530)*(E5530=E$2:E5530)))))-COUNTBLANK(OFFSET(A$1,,,SUMPRODUCT(MAX(ROW(E$1:E5529)*(E2=E$1:E5529))))))</f>
        <v> </v>
      </c>
      <c r="K5530" s="26" t="str">
        <f>IF(OR(E5530="",E5530="!!!",F5530="NEW"),"",INDEX(J$1:J5529,SUMPRODUCT(MAX(ROW(E$1:E5529)*(E5530=E$1:E5529)))))</f>
        <v> </v>
      </c>
      <c r="L5530" s="27"/>
    </row>
    <row r="5531" spans="1:12">
      <c r="A5531" s="20" t="s">
        <v>1315</v>
      </c>
      <c r="E5531" s="22">
        <f>IF(D5531="?OLD","!!!","")</f>
        <v/>
      </c>
      <c r="F5531" s="23" t="str">
        <f>IF(OR(E5531="",E5531="!!!"),"",IF(NOT(ISNA(VLOOKUP(E5531,E$1:E5530,1,FALSE()))),"OLD",IF(AND(E5531&lt;&gt;"",E5531&lt;&gt;"!!!"),"NEW","")))</f>
        <v> </v>
      </c>
      <c r="G5531" s="24" t="str">
        <f>IF(OR(E5531="",E5531="!!!"),"",IF(OR(J5531=0,AND(J5531=1,K5531=1),AND(J5531=1,I5531="SBJ"),AND(J5531=1,I5531=0)),"?IN_FOCUS",IF(J5531&lt;=2,"?ACTIVATED",IF(J5531&lt;&gt;"","?FAMILIAR",IF(F5531="NEW",IF(ISNA(VLOOKUP(E5531,#REF!,1,FALSE())),"?TYPE_IDENTIFIABLE","?REFERENTIAL"),"_")))))</f>
        <v> </v>
      </c>
      <c r="H5531" s="25" t="str">
        <f>IF(J5531&lt;&gt;1,"",IF(I5531="SBJ","CB","?"))</f>
        <v> </v>
      </c>
      <c r="I5531" s="26" t="str">
        <f>IF(OR(E5531="",E5531="!!!",F5531="NEW"),"",INDEX(B5530:B$2,-1+SUMPRODUCT(MAX(ROW(E5530:E$2)*(E5531=E5530:E$2)))))</f>
        <v> </v>
      </c>
      <c r="J5531" s="26" t="str">
        <f>IF(OR(E5531="",E5531="!!!",F5531="NEW"),"",COUNTBLANK(OFFSET(A$1,,,SUMPRODUCT(MAX(ROW(E$2:E5531)*(E5531=E$2:E5531)))))-COUNTBLANK(OFFSET(A$1,,,SUMPRODUCT(MAX(ROW(E$1:E5530)*(E2=E$1:E5530))))))</f>
        <v> </v>
      </c>
      <c r="K5531" s="26" t="str">
        <f>IF(OR(E5531="",E5531="!!!",F5531="NEW"),"",INDEX(J$1:J5530,SUMPRODUCT(MAX(ROW(E$1:E5530)*(E5531=E$1:E5530)))))</f>
        <v> </v>
      </c>
      <c r="L5531" s="27"/>
    </row>
    <row r="5532" spans="1:12">
      <c r="A5532" s="20" t="s">
        <v>1070</v>
      </c>
      <c r="E5532" s="22">
        <f>IF(D5532="?OLD","!!!","")</f>
        <v/>
      </c>
      <c r="F5532" s="23" t="str">
        <f>IF(OR(E5532="",E5532="!!!"),"",IF(NOT(ISNA(VLOOKUP(E5532,E$1:E5531,1,FALSE()))),"OLD",IF(AND(E5532&lt;&gt;"",E5532&lt;&gt;"!!!"),"NEW","")))</f>
        <v> </v>
      </c>
      <c r="G5532" s="24" t="str">
        <f>IF(OR(E5532="",E5532="!!!"),"",IF(OR(J5532=0,AND(J5532=1,K5532=1),AND(J5532=1,I5532="SBJ"),AND(J5532=1,I5532=0)),"?IN_FOCUS",IF(J5532&lt;=2,"?ACTIVATED",IF(J5532&lt;&gt;"","?FAMILIAR",IF(F5532="NEW",IF(ISNA(VLOOKUP(E5532,#REF!,1,FALSE())),"?TYPE_IDENTIFIABLE","?REFERENTIAL"),"_")))))</f>
        <v> </v>
      </c>
      <c r="H5532" s="25" t="str">
        <f>IF(J5532&lt;&gt;1,"",IF(I5532="SBJ","CB","?"))</f>
        <v> </v>
      </c>
      <c r="I5532" s="26" t="str">
        <f>IF(OR(E5532="",E5532="!!!",F5532="NEW"),"",INDEX(B5531:B$2,-1+SUMPRODUCT(MAX(ROW(E5531:E$2)*(E5532=E5531:E$2)))))</f>
        <v> </v>
      </c>
      <c r="J5532" s="26" t="str">
        <f>IF(OR(E5532="",E5532="!!!",F5532="NEW"),"",COUNTBLANK(OFFSET(A$1,,,SUMPRODUCT(MAX(ROW(E$2:E5532)*(E5532=E$2:E5532)))))-COUNTBLANK(OFFSET(A$1,,,SUMPRODUCT(MAX(ROW(E$1:E5531)*(E2=E$1:E5531))))))</f>
        <v> </v>
      </c>
      <c r="K5532" s="26" t="str">
        <f>IF(OR(E5532="",E5532="!!!",F5532="NEW"),"",INDEX(J$1:J5531,SUMPRODUCT(MAX(ROW(E$1:E5531)*(E5532=E$1:E5531)))))</f>
        <v> </v>
      </c>
      <c r="L5532" s="27"/>
    </row>
    <row r="5533" spans="1:12">
      <c r="A5533" s="20" t="s">
        <v>1082</v>
      </c>
      <c r="E5533" s="22">
        <f>IF(D5533="?OLD","!!!","")</f>
        <v/>
      </c>
      <c r="F5533" s="23" t="str">
        <f>IF(OR(E5533="",E5533="!!!"),"",IF(NOT(ISNA(VLOOKUP(E5533,E$1:E5532,1,FALSE()))),"OLD",IF(AND(E5533&lt;&gt;"",E5533&lt;&gt;"!!!"),"NEW","")))</f>
        <v> </v>
      </c>
      <c r="G5533" s="24" t="str">
        <f>IF(OR(E5533="",E5533="!!!"),"",IF(OR(J5533=0,AND(J5533=1,K5533=1),AND(J5533=1,I5533="SBJ"),AND(J5533=1,I5533=0)),"?IN_FOCUS",IF(J5533&lt;=2,"?ACTIVATED",IF(J5533&lt;&gt;"","?FAMILIAR",IF(F5533="NEW",IF(ISNA(VLOOKUP(E5533,#REF!,1,FALSE())),"?TYPE_IDENTIFIABLE","?REFERENTIAL"),"_")))))</f>
        <v> </v>
      </c>
      <c r="H5533" s="25" t="str">
        <f>IF(J5533&lt;&gt;1,"",IF(I5533="SBJ","CB","?"))</f>
        <v> </v>
      </c>
      <c r="I5533" s="26" t="str">
        <f>IF(OR(E5533="",E5533="!!!",F5533="NEW"),"",INDEX(B5532:B$2,-1+SUMPRODUCT(MAX(ROW(E5532:E$2)*(E5533=E5532:E$2)))))</f>
        <v> </v>
      </c>
      <c r="J5533" s="26" t="str">
        <f>IF(OR(E5533="",E5533="!!!",F5533="NEW"),"",COUNTBLANK(OFFSET(A$1,,,SUMPRODUCT(MAX(ROW(E$2:E5533)*(E5533=E$2:E5533)))))-COUNTBLANK(OFFSET(A$1,,,SUMPRODUCT(MAX(ROW(E$1:E5532)*(E2=E$1:E5532))))))</f>
        <v> </v>
      </c>
      <c r="K5533" s="26" t="str">
        <f>IF(OR(E5533="",E5533="!!!",F5533="NEW"),"",INDEX(J$1:J5532,SUMPRODUCT(MAX(ROW(E$1:E5532)*(E5533=E$1:E5532)))))</f>
        <v> </v>
      </c>
      <c r="L5533" s="27"/>
    </row>
    <row r="5534" spans="1:12">
      <c r="A5534" s="20" t="s">
        <v>1133</v>
      </c>
      <c r="E5534" s="22">
        <f>IF(D5534="?OLD","!!!","")</f>
        <v/>
      </c>
      <c r="F5534" s="23" t="str">
        <f>IF(OR(E5534="",E5534="!!!"),"",IF(NOT(ISNA(VLOOKUP(E5534,E$1:E5533,1,FALSE()))),"OLD",IF(AND(E5534&lt;&gt;"",E5534&lt;&gt;"!!!"),"NEW","")))</f>
        <v> </v>
      </c>
      <c r="G5534" s="24" t="str">
        <f>IF(OR(E5534="",E5534="!!!"),"",IF(OR(J5534=0,AND(J5534=1,K5534=1),AND(J5534=1,I5534="SBJ"),AND(J5534=1,I5534=0)),"?IN_FOCUS",IF(J5534&lt;=2,"?ACTIVATED",IF(J5534&lt;&gt;"","?FAMILIAR",IF(F5534="NEW",IF(ISNA(VLOOKUP(E5534,#REF!,1,FALSE())),"?TYPE_IDENTIFIABLE","?REFERENTIAL"),"_")))))</f>
        <v> </v>
      </c>
      <c r="H5534" s="25" t="str">
        <f>IF(J5534&lt;&gt;1,"",IF(I5534="SBJ","CB","?"))</f>
        <v> </v>
      </c>
      <c r="I5534" s="26" t="str">
        <f>IF(OR(E5534="",E5534="!!!",F5534="NEW"),"",INDEX(B5533:B$2,-1+SUMPRODUCT(MAX(ROW(E5533:E$2)*(E5534=E5533:E$2)))))</f>
        <v> </v>
      </c>
      <c r="J5534" s="26" t="str">
        <f>IF(OR(E5534="",E5534="!!!",F5534="NEW"),"",COUNTBLANK(OFFSET(A$1,,,SUMPRODUCT(MAX(ROW(E$2:E5534)*(E5534=E$2:E5534)))))-COUNTBLANK(OFFSET(A$1,,,SUMPRODUCT(MAX(ROW(E$1:E5533)*(E2=E$1:E5533))))))</f>
        <v> </v>
      </c>
      <c r="K5534" s="26" t="str">
        <f>IF(OR(E5534="",E5534="!!!",F5534="NEW"),"",INDEX(J$1:J5533,SUMPRODUCT(MAX(ROW(E$1:E5533)*(E5534=E$1:E5533)))))</f>
        <v> </v>
      </c>
      <c r="L5534" s="27"/>
    </row>
    <row r="5535" spans="1:12">
      <c r="A5535" s="20" t="s">
        <v>1175</v>
      </c>
      <c r="E5535" s="22">
        <f>IF(D5535="?OLD","!!!","")</f>
        <v/>
      </c>
      <c r="F5535" s="23" t="str">
        <f>IF(OR(E5535="",E5535="!!!"),"",IF(NOT(ISNA(VLOOKUP(E5535,E$1:E5534,1,FALSE()))),"OLD",IF(AND(E5535&lt;&gt;"",E5535&lt;&gt;"!!!"),"NEW","")))</f>
        <v> </v>
      </c>
      <c r="G5535" s="24" t="str">
        <f>IF(OR(E5535="",E5535="!!!"),"",IF(OR(J5535=0,AND(J5535=1,K5535=1),AND(J5535=1,I5535="SBJ"),AND(J5535=1,I5535=0)),"?IN_FOCUS",IF(J5535&lt;=2,"?ACTIVATED",IF(J5535&lt;&gt;"","?FAMILIAR",IF(F5535="NEW",IF(ISNA(VLOOKUP(E5535,#REF!,1,FALSE())),"?TYPE_IDENTIFIABLE","?REFERENTIAL"),"_")))))</f>
        <v> </v>
      </c>
      <c r="H5535" s="25" t="str">
        <f>IF(J5535&lt;&gt;1,"",IF(I5535="SBJ","CB","?"))</f>
        <v> </v>
      </c>
      <c r="I5535" s="26" t="str">
        <f>IF(OR(E5535="",E5535="!!!",F5535="NEW"),"",INDEX(B5534:B$2,-1+SUMPRODUCT(MAX(ROW(E5534:E$2)*(E5535=E5534:E$2)))))</f>
        <v> </v>
      </c>
      <c r="J5535" s="26" t="str">
        <f>IF(OR(E5535="",E5535="!!!",F5535="NEW"),"",COUNTBLANK(OFFSET(A$1,,,SUMPRODUCT(MAX(ROW(E$2:E5535)*(E5535=E$2:E5535)))))-COUNTBLANK(OFFSET(A$1,,,SUMPRODUCT(MAX(ROW(E$1:E5534)*(E2=E$1:E5534))))))</f>
        <v> </v>
      </c>
      <c r="K5535" s="26" t="str">
        <f>IF(OR(E5535="",E5535="!!!",F5535="NEW"),"",INDEX(J$1:J5534,SUMPRODUCT(MAX(ROW(E$1:E5534)*(E5535=E$1:E5534)))))</f>
        <v> </v>
      </c>
      <c r="L5535" s="27"/>
    </row>
    <row r="5536" spans="1:12">
      <c r="A5536" s="20" t="s">
        <v>576</v>
      </c>
      <c r="E5536" s="22">
        <f>IF(D5536="?OLD","!!!","")</f>
        <v/>
      </c>
      <c r="F5536" s="23" t="str">
        <f>IF(OR(E5536="",E5536="!!!"),"",IF(NOT(ISNA(VLOOKUP(E5536,E$1:E5535,1,FALSE()))),"OLD",IF(AND(E5536&lt;&gt;"",E5536&lt;&gt;"!!!"),"NEW","")))</f>
        <v> </v>
      </c>
      <c r="G5536" s="24" t="str">
        <f>IF(OR(E5536="",E5536="!!!"),"",IF(OR(J5536=0,AND(J5536=1,K5536=1),AND(J5536=1,I5536="SBJ"),AND(J5536=1,I5536=0)),"?IN_FOCUS",IF(J5536&lt;=2,"?ACTIVATED",IF(J5536&lt;&gt;"","?FAMILIAR",IF(F5536="NEW",IF(ISNA(VLOOKUP(E5536,#REF!,1,FALSE())),"?TYPE_IDENTIFIABLE","?REFERENTIAL"),"_")))))</f>
        <v> </v>
      </c>
      <c r="H5536" s="25" t="str">
        <f>IF(J5536&lt;&gt;1,"",IF(I5536="SBJ","CB","?"))</f>
        <v> </v>
      </c>
      <c r="I5536" s="26" t="str">
        <f>IF(OR(E5536="",E5536="!!!",F5536="NEW"),"",INDEX(B5535:B$2,-1+SUMPRODUCT(MAX(ROW(E5535:E$2)*(E5536=E5535:E$2)))))</f>
        <v> </v>
      </c>
      <c r="J5536" s="26" t="str">
        <f>IF(OR(E5536="",E5536="!!!",F5536="NEW"),"",COUNTBLANK(OFFSET(A$1,,,SUMPRODUCT(MAX(ROW(E$2:E5536)*(E5536=E$2:E5536)))))-COUNTBLANK(OFFSET(A$1,,,SUMPRODUCT(MAX(ROW(E$1:E5535)*(E2=E$1:E5535))))))</f>
        <v> </v>
      </c>
      <c r="K5536" s="26" t="str">
        <f>IF(OR(E5536="",E5536="!!!",F5536="NEW"),"",INDEX(J$1:J5535,SUMPRODUCT(MAX(ROW(E$1:E5535)*(E5536=E$1:E5535)))))</f>
        <v> </v>
      </c>
      <c r="L5536" s="27"/>
    </row>
    <row r="5537" spans="1:12">
      <c r="A5537" s="20" t="s">
        <v>1170</v>
      </c>
      <c r="B5537" s="21" t="s">
        <v>1179</v>
      </c>
      <c r="C5537" s="21" t="s">
        <v>1076</v>
      </c>
      <c r="D5537" s="21" t="s">
        <v>1060</v>
      </c>
      <c r="E5537" s="22">
        <f>IF(D5537="?OLD","!!!","")</f>
        <v/>
      </c>
      <c r="F5537" s="23" t="str">
        <f>IF(OR(E5537="",E5537="!!!"),"",IF(NOT(ISNA(VLOOKUP(E5537,E$1:E5536,1,FALSE()))),"OLD",IF(AND(E5537&lt;&gt;"",E5537&lt;&gt;"!!!"),"NEW","")))</f>
        <v> </v>
      </c>
      <c r="G5537" s="24" t="str">
        <f>IF(OR(E5537="",E5537="!!!"),"",IF(OR(J5537=0,AND(J5537=1,K5537=1),AND(J5537=1,I5537="SBJ"),AND(J5537=1,I5537=0)),"?IN_FOCUS",IF(J5537&lt;=2,"?ACTIVATED",IF(J5537&lt;&gt;"","?FAMILIAR",IF(F5537="NEW",IF(ISNA(VLOOKUP(E5537,#REF!,1,FALSE())),"?TYPE_IDENTIFIABLE","?REFERENTIAL"),"_")))))</f>
        <v> </v>
      </c>
      <c r="H5537" s="25" t="str">
        <f>IF(J5537&lt;&gt;1,"",IF(I5537="SBJ","CB","?"))</f>
        <v> </v>
      </c>
      <c r="I5537" s="26" t="str">
        <f>IF(OR(E5537="",E5537="!!!",F5537="NEW"),"",INDEX(B5536:B$2,-1+SUMPRODUCT(MAX(ROW(E5536:E$2)*(E5537=E5536:E$2)))))</f>
        <v> </v>
      </c>
      <c r="J5537" s="26" t="str">
        <f>IF(OR(E5537="",E5537="!!!",F5537="NEW"),"",COUNTBLANK(OFFSET(A$1,,,SUMPRODUCT(MAX(ROW(E$2:E5537)*(E5537=E$2:E5537)))))-COUNTBLANK(OFFSET(A$1,,,SUMPRODUCT(MAX(ROW(E$1:E5536)*(E2=E$1:E5536))))))</f>
        <v> </v>
      </c>
      <c r="K5537" s="26" t="str">
        <f>IF(OR(E5537="",E5537="!!!",F5537="NEW"),"",INDEX(J$1:J5536,SUMPRODUCT(MAX(ROW(E$1:E5536)*(E5537=E$1:E5536)))))</f>
        <v> </v>
      </c>
      <c r="L5537" s="27"/>
    </row>
    <row r="5538" spans="1:12">
      <c r="A5538" s="20" t="s">
        <v>2042</v>
      </c>
      <c r="E5538" s="22">
        <f>IF(D5538="?OLD","!!!","")</f>
        <v/>
      </c>
      <c r="F5538" s="23" t="str">
        <f>IF(OR(E5538="",E5538="!!!"),"",IF(NOT(ISNA(VLOOKUP(E5538,E$1:E5537,1,FALSE()))),"OLD",IF(AND(E5538&lt;&gt;"",E5538&lt;&gt;"!!!"),"NEW","")))</f>
        <v> </v>
      </c>
      <c r="G5538" s="24" t="str">
        <f>IF(OR(E5538="",E5538="!!!"),"",IF(OR(J5538=0,AND(J5538=1,K5538=1),AND(J5538=1,I5538="SBJ"),AND(J5538=1,I5538=0)),"?IN_FOCUS",IF(J5538&lt;=2,"?ACTIVATED",IF(J5538&lt;&gt;"","?FAMILIAR",IF(F5538="NEW",IF(ISNA(VLOOKUP(E5538,#REF!,1,FALSE())),"?TYPE_IDENTIFIABLE","?REFERENTIAL"),"_")))))</f>
        <v> </v>
      </c>
      <c r="H5538" s="25" t="str">
        <f>IF(J5538&lt;&gt;1,"",IF(I5538="SBJ","CB","?"))</f>
        <v> </v>
      </c>
      <c r="I5538" s="26" t="str">
        <f>IF(OR(E5538="",E5538="!!!",F5538="NEW"),"",INDEX(B5537:B$2,-1+SUMPRODUCT(MAX(ROW(E5537:E$2)*(E5538=E5537:E$2)))))</f>
        <v> </v>
      </c>
      <c r="J5538" s="26" t="str">
        <f>IF(OR(E5538="",E5538="!!!",F5538="NEW"),"",COUNTBLANK(OFFSET(A$1,,,SUMPRODUCT(MAX(ROW(E$2:E5538)*(E5538=E$2:E5538)))))-COUNTBLANK(OFFSET(A$1,,,SUMPRODUCT(MAX(ROW(E$1:E5537)*(E2=E$1:E5537))))))</f>
        <v> </v>
      </c>
      <c r="K5538" s="26" t="str">
        <f>IF(OR(E5538="",E5538="!!!",F5538="NEW"),"",INDEX(J$1:J5537,SUMPRODUCT(MAX(ROW(E$1:E5537)*(E5538=E$1:E5537)))))</f>
        <v> </v>
      </c>
      <c r="L5538" s="27"/>
    </row>
    <row r="5539" spans="1:12">
      <c r="A5539" s="20" t="s">
        <v>1088</v>
      </c>
      <c r="E5539" s="22">
        <f>IF(D5539="?OLD","!!!","")</f>
        <v/>
      </c>
      <c r="F5539" s="23" t="str">
        <f>IF(OR(E5539="",E5539="!!!"),"",IF(NOT(ISNA(VLOOKUP(E5539,E$1:E5538,1,FALSE()))),"OLD",IF(AND(E5539&lt;&gt;"",E5539&lt;&gt;"!!!"),"NEW","")))</f>
        <v> </v>
      </c>
      <c r="G5539" s="24" t="str">
        <f>IF(OR(E5539="",E5539="!!!"),"",IF(OR(J5539=0,AND(J5539=1,K5539=1),AND(J5539=1,I5539="SBJ"),AND(J5539=1,I5539=0)),"?IN_FOCUS",IF(J5539&lt;=2,"?ACTIVATED",IF(J5539&lt;&gt;"","?FAMILIAR",IF(F5539="NEW",IF(ISNA(VLOOKUP(E5539,#REF!,1,FALSE())),"?TYPE_IDENTIFIABLE","?REFERENTIAL"),"_")))))</f>
        <v> </v>
      </c>
      <c r="H5539" s="25" t="str">
        <f>IF(J5539&lt;&gt;1,"",IF(I5539="SBJ","CB","?"))</f>
        <v> </v>
      </c>
      <c r="I5539" s="26" t="str">
        <f>IF(OR(E5539="",E5539="!!!",F5539="NEW"),"",INDEX(B5538:B$2,-1+SUMPRODUCT(MAX(ROW(E5538:E$2)*(E5539=E5538:E$2)))))</f>
        <v> </v>
      </c>
      <c r="J5539" s="26" t="str">
        <f>IF(OR(E5539="",E5539="!!!",F5539="NEW"),"",COUNTBLANK(OFFSET(A$1,,,SUMPRODUCT(MAX(ROW(E$2:E5539)*(E5539=E$2:E5539)))))-COUNTBLANK(OFFSET(A$1,,,SUMPRODUCT(MAX(ROW(E$1:E5538)*(E2=E$1:E5538))))))</f>
        <v> </v>
      </c>
      <c r="K5539" s="26" t="str">
        <f>IF(OR(E5539="",E5539="!!!",F5539="NEW"),"",INDEX(J$1:J5538,SUMPRODUCT(MAX(ROW(E$1:E5538)*(E5539=E$1:E5538)))))</f>
        <v> </v>
      </c>
      <c r="L5539" s="27"/>
    </row>
    <row r="5540" spans="1:12">
      <c r="A5540" s="20" t="s">
        <v>2560</v>
      </c>
      <c r="E5540" s="22">
        <f>IF(D5540="?OLD","!!!","")</f>
        <v/>
      </c>
      <c r="F5540" s="23" t="str">
        <f>IF(OR(E5540="",E5540="!!!"),"",IF(NOT(ISNA(VLOOKUP(E5540,E$1:E5539,1,FALSE()))),"OLD",IF(AND(E5540&lt;&gt;"",E5540&lt;&gt;"!!!"),"NEW","")))</f>
        <v> </v>
      </c>
      <c r="G5540" s="24" t="str">
        <f>IF(OR(E5540="",E5540="!!!"),"",IF(OR(J5540=0,AND(J5540=1,K5540=1),AND(J5540=1,I5540="SBJ"),AND(J5540=1,I5540=0)),"?IN_FOCUS",IF(J5540&lt;=2,"?ACTIVATED",IF(J5540&lt;&gt;"","?FAMILIAR",IF(F5540="NEW",IF(ISNA(VLOOKUP(E5540,#REF!,1,FALSE())),"?TYPE_IDENTIFIABLE","?REFERENTIAL"),"_")))))</f>
        <v> </v>
      </c>
      <c r="H5540" s="25" t="str">
        <f>IF(J5540&lt;&gt;1,"",IF(I5540="SBJ","CB","?"))</f>
        <v> </v>
      </c>
      <c r="I5540" s="26" t="str">
        <f>IF(OR(E5540="",E5540="!!!",F5540="NEW"),"",INDEX(B5539:B$2,-1+SUMPRODUCT(MAX(ROW(E5539:E$2)*(E5540=E5539:E$2)))))</f>
        <v> </v>
      </c>
      <c r="J5540" s="26" t="str">
        <f>IF(OR(E5540="",E5540="!!!",F5540="NEW"),"",COUNTBLANK(OFFSET(A$1,,,SUMPRODUCT(MAX(ROW(E$2:E5540)*(E5540=E$2:E5540)))))-COUNTBLANK(OFFSET(A$1,,,SUMPRODUCT(MAX(ROW(E$1:E5539)*(E2=E$1:E5539))))))</f>
        <v> </v>
      </c>
      <c r="K5540" s="26" t="str">
        <f>IF(OR(E5540="",E5540="!!!",F5540="NEW"),"",INDEX(J$1:J5539,SUMPRODUCT(MAX(ROW(E$1:E5539)*(E5540=E$1:E5539)))))</f>
        <v> </v>
      </c>
      <c r="L5540" s="27"/>
    </row>
    <row r="5541" spans="1:12">
      <c r="A5541" s="20" t="s">
        <v>1260</v>
      </c>
      <c r="E5541" s="22">
        <f>IF(D5541="?OLD","!!!","")</f>
        <v/>
      </c>
      <c r="F5541" s="23" t="str">
        <f>IF(OR(E5541="",E5541="!!!"),"",IF(NOT(ISNA(VLOOKUP(E5541,E$1:E5540,1,FALSE()))),"OLD",IF(AND(E5541&lt;&gt;"",E5541&lt;&gt;"!!!"),"NEW","")))</f>
        <v> </v>
      </c>
      <c r="G5541" s="24" t="str">
        <f>IF(OR(E5541="",E5541="!!!"),"",IF(OR(J5541=0,AND(J5541=1,K5541=1),AND(J5541=1,I5541="SBJ"),AND(J5541=1,I5541=0)),"?IN_FOCUS",IF(J5541&lt;=2,"?ACTIVATED",IF(J5541&lt;&gt;"","?FAMILIAR",IF(F5541="NEW",IF(ISNA(VLOOKUP(E5541,#REF!,1,FALSE())),"?TYPE_IDENTIFIABLE","?REFERENTIAL"),"_")))))</f>
        <v> </v>
      </c>
      <c r="H5541" s="25" t="str">
        <f>IF(J5541&lt;&gt;1,"",IF(I5541="SBJ","CB","?"))</f>
        <v> </v>
      </c>
      <c r="I5541" s="26" t="str">
        <f>IF(OR(E5541="",E5541="!!!",F5541="NEW"),"",INDEX(B5540:B$2,-1+SUMPRODUCT(MAX(ROW(E5540:E$2)*(E5541=E5540:E$2)))))</f>
        <v> </v>
      </c>
      <c r="J5541" s="26" t="str">
        <f>IF(OR(E5541="",E5541="!!!",F5541="NEW"),"",COUNTBLANK(OFFSET(A$1,,,SUMPRODUCT(MAX(ROW(E$2:E5541)*(E5541=E$2:E5541)))))-COUNTBLANK(OFFSET(A$1,,,SUMPRODUCT(MAX(ROW(E$1:E5540)*(E2=E$1:E5540))))))</f>
        <v> </v>
      </c>
      <c r="K5541" s="26" t="str">
        <f>IF(OR(E5541="",E5541="!!!",F5541="NEW"),"",INDEX(J$1:J5540,SUMPRODUCT(MAX(ROW(E$1:E5540)*(E5541=E$1:E5540)))))</f>
        <v> </v>
      </c>
      <c r="L5541" s="27"/>
    </row>
    <row r="5542" spans="1:12">
      <c r="A5542" s="20" t="s">
        <v>1077</v>
      </c>
      <c r="E5542" s="22">
        <f>IF(D5542="?OLD","!!!","")</f>
        <v/>
      </c>
      <c r="F5542" s="23" t="str">
        <f>IF(OR(E5542="",E5542="!!!"),"",IF(NOT(ISNA(VLOOKUP(E5542,E$1:E5541,1,FALSE()))),"OLD",IF(AND(E5542&lt;&gt;"",E5542&lt;&gt;"!!!"),"NEW","")))</f>
        <v> </v>
      </c>
      <c r="G5542" s="24" t="str">
        <f>IF(OR(E5542="",E5542="!!!"),"",IF(OR(J5542=0,AND(J5542=1,K5542=1),AND(J5542=1,I5542="SBJ"),AND(J5542=1,I5542=0)),"?IN_FOCUS",IF(J5542&lt;=2,"?ACTIVATED",IF(J5542&lt;&gt;"","?FAMILIAR",IF(F5542="NEW",IF(ISNA(VLOOKUP(E5542,#REF!,1,FALSE())),"?TYPE_IDENTIFIABLE","?REFERENTIAL"),"_")))))</f>
        <v> </v>
      </c>
      <c r="H5542" s="25" t="str">
        <f>IF(J5542&lt;&gt;1,"",IF(I5542="SBJ","CB","?"))</f>
        <v> </v>
      </c>
      <c r="I5542" s="26" t="str">
        <f>IF(OR(E5542="",E5542="!!!",F5542="NEW"),"",INDEX(B5541:B$2,-1+SUMPRODUCT(MAX(ROW(E5541:E$2)*(E5542=E5541:E$2)))))</f>
        <v> </v>
      </c>
      <c r="J5542" s="26" t="str">
        <f>IF(OR(E5542="",E5542="!!!",F5542="NEW"),"",COUNTBLANK(OFFSET(A$1,,,SUMPRODUCT(MAX(ROW(E$2:E5542)*(E5542=E$2:E5542)))))-COUNTBLANK(OFFSET(A$1,,,SUMPRODUCT(MAX(ROW(E$1:E5541)*(E2=E$1:E5541))))))</f>
        <v> </v>
      </c>
      <c r="K5542" s="26" t="str">
        <f>IF(OR(E5542="",E5542="!!!",F5542="NEW"),"",INDEX(J$1:J5541,SUMPRODUCT(MAX(ROW(E$1:E5541)*(E5542=E$1:E5541)))))</f>
        <v> </v>
      </c>
      <c r="L5542" s="27"/>
    </row>
    <row r="5543" spans="1:12">
      <c r="A5543" s="20" t="s">
        <v>967</v>
      </c>
      <c r="E5543" s="22">
        <f>IF(D5543="?OLD","!!!","")</f>
        <v/>
      </c>
      <c r="F5543" s="23" t="str">
        <f>IF(OR(E5543="",E5543="!!!"),"",IF(NOT(ISNA(VLOOKUP(E5543,E$1:E5542,1,FALSE()))),"OLD",IF(AND(E5543&lt;&gt;"",E5543&lt;&gt;"!!!"),"NEW","")))</f>
        <v> </v>
      </c>
      <c r="G5543" s="24" t="str">
        <f>IF(OR(E5543="",E5543="!!!"),"",IF(OR(J5543=0,AND(J5543=1,K5543=1),AND(J5543=1,I5543="SBJ"),AND(J5543=1,I5543=0)),"?IN_FOCUS",IF(J5543&lt;=2,"?ACTIVATED",IF(J5543&lt;&gt;"","?FAMILIAR",IF(F5543="NEW",IF(ISNA(VLOOKUP(E5543,#REF!,1,FALSE())),"?TYPE_IDENTIFIABLE","?REFERENTIAL"),"_")))))</f>
        <v> </v>
      </c>
      <c r="H5543" s="25" t="str">
        <f>IF(J5543&lt;&gt;1,"",IF(I5543="SBJ","CB","?"))</f>
        <v> </v>
      </c>
      <c r="I5543" s="26" t="str">
        <f>IF(OR(E5543="",E5543="!!!",F5543="NEW"),"",INDEX(B5542:B$2,-1+SUMPRODUCT(MAX(ROW(E5542:E$2)*(E5543=E5542:E$2)))))</f>
        <v> </v>
      </c>
      <c r="J5543" s="26" t="str">
        <f>IF(OR(E5543="",E5543="!!!",F5543="NEW"),"",COUNTBLANK(OFFSET(A$1,,,SUMPRODUCT(MAX(ROW(E$2:E5543)*(E5543=E$2:E5543)))))-COUNTBLANK(OFFSET(A$1,,,SUMPRODUCT(MAX(ROW(E$1:E5542)*(E2=E$1:E5542))))))</f>
        <v> </v>
      </c>
      <c r="K5543" s="26" t="str">
        <f>IF(OR(E5543="",E5543="!!!",F5543="NEW"),"",INDEX(J$1:J5542,SUMPRODUCT(MAX(ROW(E$1:E5542)*(E5543=E$1:E5542)))))</f>
        <v> </v>
      </c>
      <c r="L5543" s="27"/>
    </row>
    <row r="5544" spans="1:12">
      <c r="A5544" s="20" t="s">
        <v>2137</v>
      </c>
      <c r="E5544" s="22">
        <f>IF(D5544="?OLD","!!!","")</f>
        <v/>
      </c>
      <c r="F5544" s="23" t="str">
        <f>IF(OR(E5544="",E5544="!!!"),"",IF(NOT(ISNA(VLOOKUP(E5544,E$1:E5543,1,FALSE()))),"OLD",IF(AND(E5544&lt;&gt;"",E5544&lt;&gt;"!!!"),"NEW","")))</f>
        <v> </v>
      </c>
      <c r="G5544" s="24" t="str">
        <f>IF(OR(E5544="",E5544="!!!"),"",IF(OR(J5544=0,AND(J5544=1,K5544=1),AND(J5544=1,I5544="SBJ"),AND(J5544=1,I5544=0)),"?IN_FOCUS",IF(J5544&lt;=2,"?ACTIVATED",IF(J5544&lt;&gt;"","?FAMILIAR",IF(F5544="NEW",IF(ISNA(VLOOKUP(E5544,#REF!,1,FALSE())),"?TYPE_IDENTIFIABLE","?REFERENTIAL"),"_")))))</f>
        <v> </v>
      </c>
      <c r="H5544" s="25" t="str">
        <f>IF(J5544&lt;&gt;1,"",IF(I5544="SBJ","CB","?"))</f>
        <v> </v>
      </c>
      <c r="I5544" s="26" t="str">
        <f>IF(OR(E5544="",E5544="!!!",F5544="NEW"),"",INDEX(B5543:B$2,-1+SUMPRODUCT(MAX(ROW(E5543:E$2)*(E5544=E5543:E$2)))))</f>
        <v> </v>
      </c>
      <c r="J5544" s="26" t="str">
        <f>IF(OR(E5544="",E5544="!!!",F5544="NEW"),"",COUNTBLANK(OFFSET(A$1,,,SUMPRODUCT(MAX(ROW(E$2:E5544)*(E5544=E$2:E5544)))))-COUNTBLANK(OFFSET(A$1,,,SUMPRODUCT(MAX(ROW(E$1:E5543)*(E2=E$1:E5543))))))</f>
        <v> </v>
      </c>
      <c r="K5544" s="26" t="str">
        <f>IF(OR(E5544="",E5544="!!!",F5544="NEW"),"",INDEX(J$1:J5543,SUMPRODUCT(MAX(ROW(E$1:E5543)*(E5544=E$1:E5543)))))</f>
        <v> </v>
      </c>
      <c r="L5544" s="27"/>
    </row>
    <row r="5545" spans="1:12">
      <c r="A5545" s="20" t="s">
        <v>1733</v>
      </c>
      <c r="B5545" s="21" t="s">
        <v>1121</v>
      </c>
      <c r="C5545" s="21" t="s">
        <v>1080</v>
      </c>
      <c r="E5545" s="22">
        <f>IF(D5545="?OLD","!!!","")</f>
        <v/>
      </c>
      <c r="F5545" s="23" t="str">
        <f>IF(OR(E5545="",E5545="!!!"),"",IF(NOT(ISNA(VLOOKUP(E5545,E$1:E5544,1,FALSE()))),"OLD",IF(AND(E5545&lt;&gt;"",E5545&lt;&gt;"!!!"),"NEW","")))</f>
        <v> </v>
      </c>
      <c r="G5545" s="24" t="str">
        <f>IF(OR(E5545="",E5545="!!!"),"",IF(OR(J5545=0,AND(J5545=1,K5545=1),AND(J5545=1,I5545="SBJ"),AND(J5545=1,I5545=0)),"?IN_FOCUS",IF(J5545&lt;=2,"?ACTIVATED",IF(J5545&lt;&gt;"","?FAMILIAR",IF(F5545="NEW",IF(ISNA(VLOOKUP(E5545,#REF!,1,FALSE())),"?TYPE_IDENTIFIABLE","?REFERENTIAL"),"_")))))</f>
        <v> </v>
      </c>
      <c r="H5545" s="25" t="str">
        <f>IF(J5545&lt;&gt;1,"",IF(I5545="SBJ","CB","?"))</f>
        <v> </v>
      </c>
      <c r="I5545" s="26" t="str">
        <f>IF(OR(E5545="",E5545="!!!",F5545="NEW"),"",INDEX(B5544:B$2,-1+SUMPRODUCT(MAX(ROW(E5544:E$2)*(E5545=E5544:E$2)))))</f>
        <v> </v>
      </c>
      <c r="J5545" s="26" t="str">
        <f>IF(OR(E5545="",E5545="!!!",F5545="NEW"),"",COUNTBLANK(OFFSET(A$1,,,SUMPRODUCT(MAX(ROW(E$2:E5545)*(E5545=E$2:E5545)))))-COUNTBLANK(OFFSET(A$1,,,SUMPRODUCT(MAX(ROW(E$1:E5544)*(E2=E$1:E5544))))))</f>
        <v> </v>
      </c>
      <c r="K5545" s="26" t="str">
        <f>IF(OR(E5545="",E5545="!!!",F5545="NEW"),"",INDEX(J$1:J5544,SUMPRODUCT(MAX(ROW(E$1:E5544)*(E5545=E$1:E5544)))))</f>
        <v> </v>
      </c>
      <c r="L5545" s="27"/>
    </row>
    <row r="5546" spans="1:12">
      <c r="A5546" s="20" t="s">
        <v>1157</v>
      </c>
      <c r="E5546" s="22">
        <f>IF(D5546="?OLD","!!!","")</f>
        <v/>
      </c>
      <c r="F5546" s="23" t="str">
        <f>IF(OR(E5546="",E5546="!!!"),"",IF(NOT(ISNA(VLOOKUP(E5546,E$1:E5545,1,FALSE()))),"OLD",IF(AND(E5546&lt;&gt;"",E5546&lt;&gt;"!!!"),"NEW","")))</f>
        <v> </v>
      </c>
      <c r="G5546" s="24" t="str">
        <f>IF(OR(E5546="",E5546="!!!"),"",IF(OR(J5546=0,AND(J5546=1,K5546=1),AND(J5546=1,I5546="SBJ"),AND(J5546=1,I5546=0)),"?IN_FOCUS",IF(J5546&lt;=2,"?ACTIVATED",IF(J5546&lt;&gt;"","?FAMILIAR",IF(F5546="NEW",IF(ISNA(VLOOKUP(E5546,#REF!,1,FALSE())),"?TYPE_IDENTIFIABLE","?REFERENTIAL"),"_")))))</f>
        <v> </v>
      </c>
      <c r="H5546" s="25" t="str">
        <f>IF(J5546&lt;&gt;1,"",IF(I5546="SBJ","CB","?"))</f>
        <v> </v>
      </c>
      <c r="I5546" s="26" t="str">
        <f>IF(OR(E5546="",E5546="!!!",F5546="NEW"),"",INDEX(B5545:B$2,-1+SUMPRODUCT(MAX(ROW(E5545:E$2)*(E5546=E5545:E$2)))))</f>
        <v> </v>
      </c>
      <c r="J5546" s="26" t="str">
        <f>IF(OR(E5546="",E5546="!!!",F5546="NEW"),"",COUNTBLANK(OFFSET(A$1,,,SUMPRODUCT(MAX(ROW(E$2:E5546)*(E5546=E$2:E5546)))))-COUNTBLANK(OFFSET(A$1,,,SUMPRODUCT(MAX(ROW(E$1:E5545)*(E2=E$1:E5545))))))</f>
        <v> </v>
      </c>
      <c r="K5546" s="26" t="str">
        <f>IF(OR(E5546="",E5546="!!!",F5546="NEW"),"",INDEX(J$1:J5545,SUMPRODUCT(MAX(ROW(E$1:E5545)*(E5546=E$1:E5545)))))</f>
        <v> </v>
      </c>
      <c r="L5546" s="27"/>
    </row>
    <row r="5547" spans="1:12">
      <c r="A5547" s="20" t="s">
        <v>1083</v>
      </c>
      <c r="B5547" s="21" t="s">
        <v>1124</v>
      </c>
      <c r="C5547" s="21" t="s">
        <v>1076</v>
      </c>
      <c r="D5547" s="21" t="s">
        <v>1060</v>
      </c>
      <c r="E5547" s="22">
        <f>IF(D5547="?OLD","!!!","")</f>
        <v/>
      </c>
      <c r="F5547" s="23" t="str">
        <f>IF(OR(E5547="",E5547="!!!"),"",IF(NOT(ISNA(VLOOKUP(E5547,E$1:E5546,1,FALSE()))),"OLD",IF(AND(E5547&lt;&gt;"",E5547&lt;&gt;"!!!"),"NEW","")))</f>
        <v> </v>
      </c>
      <c r="G5547" s="24" t="str">
        <f>IF(OR(E5547="",E5547="!!!"),"",IF(OR(J5547=0,AND(J5547=1,K5547=1),AND(J5547=1,I5547="SBJ"),AND(J5547=1,I5547=0)),"?IN_FOCUS",IF(J5547&lt;=2,"?ACTIVATED",IF(J5547&lt;&gt;"","?FAMILIAR",IF(F5547="NEW",IF(ISNA(VLOOKUP(E5547,#REF!,1,FALSE())),"?TYPE_IDENTIFIABLE","?REFERENTIAL"),"_")))))</f>
        <v> </v>
      </c>
      <c r="H5547" s="25" t="str">
        <f>IF(J5547&lt;&gt;1,"",IF(I5547="SBJ","CB","?"))</f>
        <v> </v>
      </c>
      <c r="I5547" s="26" t="str">
        <f>IF(OR(E5547="",E5547="!!!",F5547="NEW"),"",INDEX(B5546:B$2,-1+SUMPRODUCT(MAX(ROW(E5546:E$2)*(E5547=E5546:E$2)))))</f>
        <v> </v>
      </c>
      <c r="J5547" s="26" t="str">
        <f>IF(OR(E5547="",E5547="!!!",F5547="NEW"),"",COUNTBLANK(OFFSET(A$1,,,SUMPRODUCT(MAX(ROW(E$2:E5547)*(E5547=E$2:E5547)))))-COUNTBLANK(OFFSET(A$1,,,SUMPRODUCT(MAX(ROW(E$1:E5546)*(E2=E$1:E5546))))))</f>
        <v> </v>
      </c>
      <c r="K5547" s="26" t="str">
        <f>IF(OR(E5547="",E5547="!!!",F5547="NEW"),"",INDEX(J$1:J5546,SUMPRODUCT(MAX(ROW(E$1:E5546)*(E5547=E$1:E5546)))))</f>
        <v> </v>
      </c>
      <c r="L5547" s="27"/>
    </row>
    <row r="5548" spans="1:12">
      <c r="A5548" s="20" t="s">
        <v>1123</v>
      </c>
      <c r="B5548" s="21" t="s">
        <v>2082</v>
      </c>
      <c r="E5548" s="22">
        <f>IF(D5548="?OLD","!!!","")</f>
        <v/>
      </c>
      <c r="F5548" s="23" t="str">
        <f>IF(OR(E5548="",E5548="!!!"),"",IF(NOT(ISNA(VLOOKUP(E5548,E$1:E5547,1,FALSE()))),"OLD",IF(AND(E5548&lt;&gt;"",E5548&lt;&gt;"!!!"),"NEW","")))</f>
        <v> </v>
      </c>
      <c r="G5548" s="24" t="str">
        <f>IF(OR(E5548="",E5548="!!!"),"",IF(OR(J5548=0,AND(J5548=1,K5548=1),AND(J5548=1,I5548="SBJ"),AND(J5548=1,I5548=0)),"?IN_FOCUS",IF(J5548&lt;=2,"?ACTIVATED",IF(J5548&lt;&gt;"","?FAMILIAR",IF(F5548="NEW",IF(ISNA(VLOOKUP(E5548,#REF!,1,FALSE())),"?TYPE_IDENTIFIABLE","?REFERENTIAL"),"_")))))</f>
        <v> </v>
      </c>
      <c r="H5548" s="25" t="str">
        <f>IF(J5548&lt;&gt;1,"",IF(I5548="SBJ","CB","?"))</f>
        <v> </v>
      </c>
      <c r="I5548" s="26" t="str">
        <f>IF(OR(E5548="",E5548="!!!",F5548="NEW"),"",INDEX(B5547:B$2,-1+SUMPRODUCT(MAX(ROW(E5547:E$2)*(E5548=E5547:E$2)))))</f>
        <v> </v>
      </c>
      <c r="J5548" s="26" t="str">
        <f>IF(OR(E5548="",E5548="!!!",F5548="NEW"),"",COUNTBLANK(OFFSET(A$1,,,SUMPRODUCT(MAX(ROW(E$2:E5548)*(E5548=E$2:E5548)))))-COUNTBLANK(OFFSET(A$1,,,SUMPRODUCT(MAX(ROW(E$1:E5547)*(E2=E$1:E5547))))))</f>
        <v> </v>
      </c>
      <c r="K5548" s="26" t="str">
        <f>IF(OR(E5548="",E5548="!!!",F5548="NEW"),"",INDEX(J$1:J5547,SUMPRODUCT(MAX(ROW(E$1:E5547)*(E5548=E$1:E5547)))))</f>
        <v> </v>
      </c>
      <c r="L5548" s="27"/>
    </row>
    <row r="5549" spans="1:12">
      <c r="A5549" s="20" t="s">
        <v>1340</v>
      </c>
      <c r="E5549" s="22">
        <f>IF(D5549="?OLD","!!!","")</f>
        <v/>
      </c>
      <c r="F5549" s="23" t="str">
        <f>IF(OR(E5549="",E5549="!!!"),"",IF(NOT(ISNA(VLOOKUP(E5549,E$1:E5548,1,FALSE()))),"OLD",IF(AND(E5549&lt;&gt;"",E5549&lt;&gt;"!!!"),"NEW","")))</f>
        <v> </v>
      </c>
      <c r="G5549" s="24" t="str">
        <f>IF(OR(E5549="",E5549="!!!"),"",IF(OR(J5549=0,AND(J5549=1,K5549=1),AND(J5549=1,I5549="SBJ"),AND(J5549=1,I5549=0)),"?IN_FOCUS",IF(J5549&lt;=2,"?ACTIVATED",IF(J5549&lt;&gt;"","?FAMILIAR",IF(F5549="NEW",IF(ISNA(VLOOKUP(E5549,#REF!,1,FALSE())),"?TYPE_IDENTIFIABLE","?REFERENTIAL"),"_")))))</f>
        <v> </v>
      </c>
      <c r="H5549" s="25" t="str">
        <f>IF(J5549&lt;&gt;1,"",IF(I5549="SBJ","CB","?"))</f>
        <v> </v>
      </c>
      <c r="I5549" s="26" t="str">
        <f>IF(OR(E5549="",E5549="!!!",F5549="NEW"),"",INDEX(B5548:B$2,-1+SUMPRODUCT(MAX(ROW(E5548:E$2)*(E5549=E5548:E$2)))))</f>
        <v> </v>
      </c>
      <c r="J5549" s="26" t="str">
        <f>IF(OR(E5549="",E5549="!!!",F5549="NEW"),"",COUNTBLANK(OFFSET(A$1,,,SUMPRODUCT(MAX(ROW(E$2:E5549)*(E5549=E$2:E5549)))))-COUNTBLANK(OFFSET(A$1,,,SUMPRODUCT(MAX(ROW(E$1:E5548)*(E2=E$1:E5548))))))</f>
        <v> </v>
      </c>
      <c r="K5549" s="26" t="str">
        <f>IF(OR(E5549="",E5549="!!!",F5549="NEW"),"",INDEX(J$1:J5548,SUMPRODUCT(MAX(ROW(E$1:E5548)*(E5549=E$1:E5548)))))</f>
        <v> </v>
      </c>
      <c r="L5549" s="27"/>
    </row>
    <row r="5550" spans="1:12">
      <c r="A5550" s="20" t="s">
        <v>1961</v>
      </c>
      <c r="E5550" s="22">
        <f>IF(D5550="?OLD","!!!","")</f>
        <v/>
      </c>
      <c r="F5550" s="23" t="str">
        <f>IF(OR(E5550="",E5550="!!!"),"",IF(NOT(ISNA(VLOOKUP(E5550,E$1:E5549,1,FALSE()))),"OLD",IF(AND(E5550&lt;&gt;"",E5550&lt;&gt;"!!!"),"NEW","")))</f>
        <v> </v>
      </c>
      <c r="G5550" s="24" t="str">
        <f>IF(OR(E5550="",E5550="!!!"),"",IF(OR(J5550=0,AND(J5550=1,K5550=1),AND(J5550=1,I5550="SBJ"),AND(J5550=1,I5550=0)),"?IN_FOCUS",IF(J5550&lt;=2,"?ACTIVATED",IF(J5550&lt;&gt;"","?FAMILIAR",IF(F5550="NEW",IF(ISNA(VLOOKUP(E5550,#REF!,1,FALSE())),"?TYPE_IDENTIFIABLE","?REFERENTIAL"),"_")))))</f>
        <v> </v>
      </c>
      <c r="H5550" s="25" t="str">
        <f>IF(J5550&lt;&gt;1,"",IF(I5550="SBJ","CB","?"))</f>
        <v> </v>
      </c>
      <c r="I5550" s="26" t="str">
        <f>IF(OR(E5550="",E5550="!!!",F5550="NEW"),"",INDEX(B5549:B$2,-1+SUMPRODUCT(MAX(ROW(E5549:E$2)*(E5550=E5549:E$2)))))</f>
        <v> </v>
      </c>
      <c r="J5550" s="26" t="str">
        <f>IF(OR(E5550="",E5550="!!!",F5550="NEW"),"",COUNTBLANK(OFFSET(A$1,,,SUMPRODUCT(MAX(ROW(E$2:E5550)*(E5550=E$2:E5550)))))-COUNTBLANK(OFFSET(A$1,,,SUMPRODUCT(MAX(ROW(E$1:E5549)*(E2=E$1:E5549))))))</f>
        <v> </v>
      </c>
      <c r="K5550" s="26" t="str">
        <f>IF(OR(E5550="",E5550="!!!",F5550="NEW"),"",INDEX(J$1:J5549,SUMPRODUCT(MAX(ROW(E$1:E5549)*(E5550=E$1:E5549)))))</f>
        <v> </v>
      </c>
      <c r="L5550" s="27"/>
    </row>
    <row r="5551" spans="1:12">
      <c r="A5551" s="20" t="s">
        <v>2561</v>
      </c>
      <c r="B5551" s="21" t="s">
        <v>1293</v>
      </c>
      <c r="C5551" s="21" t="s">
        <v>1149</v>
      </c>
      <c r="E5551" s="22">
        <f>IF(D5551="?OLD","!!!","")</f>
        <v/>
      </c>
      <c r="F5551" s="23" t="str">
        <f>IF(OR(E5551="",E5551="!!!"),"",IF(NOT(ISNA(VLOOKUP(E5551,E$1:E5550,1,FALSE()))),"OLD",IF(AND(E5551&lt;&gt;"",E5551&lt;&gt;"!!!"),"NEW","")))</f>
        <v> </v>
      </c>
      <c r="G5551" s="24" t="str">
        <f>IF(OR(E5551="",E5551="!!!"),"",IF(OR(J5551=0,AND(J5551=1,K5551=1),AND(J5551=1,I5551="SBJ"),AND(J5551=1,I5551=0)),"?IN_FOCUS",IF(J5551&lt;=2,"?ACTIVATED",IF(J5551&lt;&gt;"","?FAMILIAR",IF(F5551="NEW",IF(ISNA(VLOOKUP(E5551,#REF!,1,FALSE())),"?TYPE_IDENTIFIABLE","?REFERENTIAL"),"_")))))</f>
        <v> </v>
      </c>
      <c r="H5551" s="25" t="str">
        <f>IF(J5551&lt;&gt;1,"",IF(I5551="SBJ","CB","?"))</f>
        <v> </v>
      </c>
      <c r="I5551" s="26" t="str">
        <f>IF(OR(E5551="",E5551="!!!",F5551="NEW"),"",INDEX(B5550:B$2,-1+SUMPRODUCT(MAX(ROW(E5550:E$2)*(E5551=E5550:E$2)))))</f>
        <v> </v>
      </c>
      <c r="J5551" s="26" t="str">
        <f>IF(OR(E5551="",E5551="!!!",F5551="NEW"),"",COUNTBLANK(OFFSET(A$1,,,SUMPRODUCT(MAX(ROW(E$2:E5551)*(E5551=E$2:E5551)))))-COUNTBLANK(OFFSET(A$1,,,SUMPRODUCT(MAX(ROW(E$1:E5550)*(E2=E$1:E5550))))))</f>
        <v> </v>
      </c>
      <c r="K5551" s="26" t="str">
        <f>IF(OR(E5551="",E5551="!!!",F5551="NEW"),"",INDEX(J$1:J5550,SUMPRODUCT(MAX(ROW(E$1:E5550)*(E5551=E$1:E5550)))))</f>
        <v> </v>
      </c>
      <c r="L5551" s="27"/>
    </row>
    <row r="5552" spans="1:12">
      <c r="A5552" s="20" t="s">
        <v>607</v>
      </c>
      <c r="E5552" s="22">
        <f>IF(D5552="?OLD","!!!","")</f>
        <v/>
      </c>
      <c r="F5552" s="23" t="str">
        <f>IF(OR(E5552="",E5552="!!!"),"",IF(NOT(ISNA(VLOOKUP(E5552,E$1:E5551,1,FALSE()))),"OLD",IF(AND(E5552&lt;&gt;"",E5552&lt;&gt;"!!!"),"NEW","")))</f>
        <v> </v>
      </c>
      <c r="G5552" s="24" t="str">
        <f>IF(OR(E5552="",E5552="!!!"),"",IF(OR(J5552=0,AND(J5552=1,K5552=1),AND(J5552=1,I5552="SBJ"),AND(J5552=1,I5552=0)),"?IN_FOCUS",IF(J5552&lt;=2,"?ACTIVATED",IF(J5552&lt;&gt;"","?FAMILIAR",IF(F5552="NEW",IF(ISNA(VLOOKUP(E5552,#REF!,1,FALSE())),"?TYPE_IDENTIFIABLE","?REFERENTIAL"),"_")))))</f>
        <v> </v>
      </c>
      <c r="H5552" s="25" t="str">
        <f>IF(J5552&lt;&gt;1,"",IF(I5552="SBJ","CB","?"))</f>
        <v> </v>
      </c>
      <c r="I5552" s="26" t="str">
        <f>IF(OR(E5552="",E5552="!!!",F5552="NEW"),"",INDEX(B5551:B$2,-1+SUMPRODUCT(MAX(ROW(E5551:E$2)*(E5552=E5551:E$2)))))</f>
        <v> </v>
      </c>
      <c r="J5552" s="26" t="str">
        <f>IF(OR(E5552="",E5552="!!!",F5552="NEW"),"",COUNTBLANK(OFFSET(A$1,,,SUMPRODUCT(MAX(ROW(E$2:E5552)*(E5552=E$2:E5552)))))-COUNTBLANK(OFFSET(A$1,,,SUMPRODUCT(MAX(ROW(E$1:E5551)*(E2=E$1:E5551))))))</f>
        <v> </v>
      </c>
      <c r="K5552" s="26" t="str">
        <f>IF(OR(E5552="",E5552="!!!",F5552="NEW"),"",INDEX(J$1:J5551,SUMPRODUCT(MAX(ROW(E$1:E5551)*(E5552=E$1:E5551)))))</f>
        <v> </v>
      </c>
      <c r="L5552" s="27"/>
    </row>
    <row r="5553" spans="1:12">
      <c r="A5553" s="20" t="s">
        <v>2562</v>
      </c>
      <c r="B5553" s="21" t="s">
        <v>1124</v>
      </c>
      <c r="C5553" s="21" t="s">
        <v>1076</v>
      </c>
      <c r="D5553" s="21" t="s">
        <v>1060</v>
      </c>
      <c r="E5553" s="22">
        <f>IF(D5553="?OLD","!!!","")</f>
        <v/>
      </c>
      <c r="F5553" s="23" t="str">
        <f>IF(OR(E5553="",E5553="!!!"),"",IF(NOT(ISNA(VLOOKUP(E5553,E$1:E5552,1,FALSE()))),"OLD",IF(AND(E5553&lt;&gt;"",E5553&lt;&gt;"!!!"),"NEW","")))</f>
        <v> </v>
      </c>
      <c r="G5553" s="24" t="str">
        <f>IF(OR(E5553="",E5553="!!!"),"",IF(OR(J5553=0,AND(J5553=1,K5553=1),AND(J5553=1,I5553="SBJ"),AND(J5553=1,I5553=0)),"?IN_FOCUS",IF(J5553&lt;=2,"?ACTIVATED",IF(J5553&lt;&gt;"","?FAMILIAR",IF(F5553="NEW",IF(ISNA(VLOOKUP(E5553,#REF!,1,FALSE())),"?TYPE_IDENTIFIABLE","?REFERENTIAL"),"_")))))</f>
        <v> </v>
      </c>
      <c r="H5553" s="25" t="str">
        <f>IF(J5553&lt;&gt;1,"",IF(I5553="SBJ","CB","?"))</f>
        <v> </v>
      </c>
      <c r="I5553" s="26" t="str">
        <f>IF(OR(E5553="",E5553="!!!",F5553="NEW"),"",INDEX(B5552:B$2,-1+SUMPRODUCT(MAX(ROW(E5552:E$2)*(E5553=E5552:E$2)))))</f>
        <v> </v>
      </c>
      <c r="J5553" s="26" t="str">
        <f>IF(OR(E5553="",E5553="!!!",F5553="NEW"),"",COUNTBLANK(OFFSET(A$1,,,SUMPRODUCT(MAX(ROW(E$2:E5553)*(E5553=E$2:E5553)))))-COUNTBLANK(OFFSET(A$1,,,SUMPRODUCT(MAX(ROW(E$1:E5552)*(E2=E$1:E5552))))))</f>
        <v> </v>
      </c>
      <c r="K5553" s="26" t="str">
        <f>IF(OR(E5553="",E5553="!!!",F5553="NEW"),"",INDEX(J$1:J5552,SUMPRODUCT(MAX(ROW(E$1:E5552)*(E5553=E$1:E5552)))))</f>
        <v> </v>
      </c>
      <c r="L5553" s="27"/>
    </row>
    <row r="5554" spans="1:12">
      <c r="A5554" s="20" t="s">
        <v>1695</v>
      </c>
      <c r="E5554" s="22">
        <f>IF(D5554="?OLD","!!!","")</f>
        <v/>
      </c>
      <c r="F5554" s="23" t="str">
        <f>IF(OR(E5554="",E5554="!!!"),"",IF(NOT(ISNA(VLOOKUP(E5554,E$1:E5553,1,FALSE()))),"OLD",IF(AND(E5554&lt;&gt;"",E5554&lt;&gt;"!!!"),"NEW","")))</f>
        <v> </v>
      </c>
      <c r="G5554" s="24" t="str">
        <f>IF(OR(E5554="",E5554="!!!"),"",IF(OR(J5554=0,AND(J5554=1,K5554=1),AND(J5554=1,I5554="SBJ"),AND(J5554=1,I5554=0)),"?IN_FOCUS",IF(J5554&lt;=2,"?ACTIVATED",IF(J5554&lt;&gt;"","?FAMILIAR",IF(F5554="NEW",IF(ISNA(VLOOKUP(E5554,#REF!,1,FALSE())),"?TYPE_IDENTIFIABLE","?REFERENTIAL"),"_")))))</f>
        <v> </v>
      </c>
      <c r="H5554" s="25" t="str">
        <f>IF(J5554&lt;&gt;1,"",IF(I5554="SBJ","CB","?"))</f>
        <v> </v>
      </c>
      <c r="I5554" s="26" t="str">
        <f>IF(OR(E5554="",E5554="!!!",F5554="NEW"),"",INDEX(B5553:B$2,-1+SUMPRODUCT(MAX(ROW(E5553:E$2)*(E5554=E5553:E$2)))))</f>
        <v> </v>
      </c>
      <c r="J5554" s="26" t="str">
        <f>IF(OR(E5554="",E5554="!!!",F5554="NEW"),"",COUNTBLANK(OFFSET(A$1,,,SUMPRODUCT(MAX(ROW(E$2:E5554)*(E5554=E$2:E5554)))))-COUNTBLANK(OFFSET(A$1,,,SUMPRODUCT(MAX(ROW(E$1:E5553)*(E2=E$1:E5553))))))</f>
        <v> </v>
      </c>
      <c r="K5554" s="26" t="str">
        <f>IF(OR(E5554="",E5554="!!!",F5554="NEW"),"",INDEX(J$1:J5553,SUMPRODUCT(MAX(ROW(E$1:E5553)*(E5554=E$1:E5553)))))</f>
        <v> </v>
      </c>
      <c r="L5554" s="27"/>
    </row>
    <row r="5555" spans="1:12">
      <c r="A5555" s="20" t="s">
        <v>1090</v>
      </c>
      <c r="B5555" s="21" t="s">
        <v>1802</v>
      </c>
      <c r="C5555" s="21" t="s">
        <v>1092</v>
      </c>
      <c r="D5555" s="21" t="s">
        <v>1060</v>
      </c>
      <c r="E5555" s="22">
        <f>IF(D5555="?OLD","!!!","")</f>
        <v/>
      </c>
      <c r="F5555" s="23" t="str">
        <f>IF(OR(E5555="",E5555="!!!"),"",IF(NOT(ISNA(VLOOKUP(E5555,E$1:E5554,1,FALSE()))),"OLD",IF(AND(E5555&lt;&gt;"",E5555&lt;&gt;"!!!"),"NEW","")))</f>
        <v> </v>
      </c>
      <c r="G5555" s="24" t="str">
        <f>IF(OR(E5555="",E5555="!!!"),"",IF(OR(J5555=0,AND(J5555=1,K5555=1),AND(J5555=1,I5555="SBJ"),AND(J5555=1,I5555=0)),"?IN_FOCUS",IF(J5555&lt;=2,"?ACTIVATED",IF(J5555&lt;&gt;"","?FAMILIAR",IF(F5555="NEW",IF(ISNA(VLOOKUP(E5555,#REF!,1,FALSE())),"?TYPE_IDENTIFIABLE","?REFERENTIAL"),"_")))))</f>
        <v> </v>
      </c>
      <c r="H5555" s="25" t="str">
        <f>IF(J5555&lt;&gt;1,"",IF(I5555="SBJ","CB","?"))</f>
        <v> </v>
      </c>
      <c r="I5555" s="26" t="str">
        <f>IF(OR(E5555="",E5555="!!!",F5555="NEW"),"",INDEX(B5554:B$2,-1+SUMPRODUCT(MAX(ROW(E5554:E$2)*(E5555=E5554:E$2)))))</f>
        <v> </v>
      </c>
      <c r="J5555" s="26" t="str">
        <f>IF(OR(E5555="",E5555="!!!",F5555="NEW"),"",COUNTBLANK(OFFSET(A$1,,,SUMPRODUCT(MAX(ROW(E$2:E5555)*(E5555=E$2:E5555)))))-COUNTBLANK(OFFSET(A$1,,,SUMPRODUCT(MAX(ROW(E$1:E5554)*(E2=E$1:E5554))))))</f>
        <v> </v>
      </c>
      <c r="K5555" s="26" t="str">
        <f>IF(OR(E5555="",E5555="!!!",F5555="NEW"),"",INDEX(J$1:J5554,SUMPRODUCT(MAX(ROW(E$1:E5554)*(E5555=E$1:E5554)))))</f>
        <v> </v>
      </c>
      <c r="L5555" s="27"/>
    </row>
    <row r="5556" spans="1:12">
      <c r="A5556" s="20" t="s">
        <v>78</v>
      </c>
      <c r="E5556" s="22">
        <f>IF(D5556="?OLD","!!!","")</f>
        <v/>
      </c>
      <c r="F5556" s="23" t="str">
        <f>IF(OR(E5556="",E5556="!!!"),"",IF(NOT(ISNA(VLOOKUP(E5556,E$1:E5555,1,FALSE()))),"OLD",IF(AND(E5556&lt;&gt;"",E5556&lt;&gt;"!!!"),"NEW","")))</f>
        <v> </v>
      </c>
      <c r="G5556" s="24" t="str">
        <f>IF(OR(E5556="",E5556="!!!"),"",IF(OR(J5556=0,AND(J5556=1,K5556=1),AND(J5556=1,I5556="SBJ"),AND(J5556=1,I5556=0)),"?IN_FOCUS",IF(J5556&lt;=2,"?ACTIVATED",IF(J5556&lt;&gt;"","?FAMILIAR",IF(F5556="NEW",IF(ISNA(VLOOKUP(E5556,#REF!,1,FALSE())),"?TYPE_IDENTIFIABLE","?REFERENTIAL"),"_")))))</f>
        <v> </v>
      </c>
      <c r="H5556" s="25" t="str">
        <f>IF(J5556&lt;&gt;1,"",IF(I5556="SBJ","CB","?"))</f>
        <v> </v>
      </c>
      <c r="I5556" s="26" t="str">
        <f>IF(OR(E5556="",E5556="!!!",F5556="NEW"),"",INDEX(B5555:B$2,-1+SUMPRODUCT(MAX(ROW(E5555:E$2)*(E5556=E5555:E$2)))))</f>
        <v> </v>
      </c>
      <c r="J5556" s="26" t="str">
        <f>IF(OR(E5556="",E5556="!!!",F5556="NEW"),"",COUNTBLANK(OFFSET(A$1,,,SUMPRODUCT(MAX(ROW(E$2:E5556)*(E5556=E$2:E5556)))))-COUNTBLANK(OFFSET(A$1,,,SUMPRODUCT(MAX(ROW(E$1:E5555)*(E2=E$1:E5555))))))</f>
        <v> </v>
      </c>
      <c r="K5556" s="26" t="str">
        <f>IF(OR(E5556="",E5556="!!!",F5556="NEW"),"",INDEX(J$1:J5555,SUMPRODUCT(MAX(ROW(E$1:E5555)*(E5556=E$1:E5555)))))</f>
        <v> </v>
      </c>
      <c r="L5556" s="27"/>
    </row>
    <row r="5557" spans="1:12">
      <c r="A5557" s="20" t="s">
        <v>2563</v>
      </c>
      <c r="B5557" s="21" t="s">
        <v>1293</v>
      </c>
      <c r="C5557" s="21" t="s">
        <v>1059</v>
      </c>
      <c r="D5557" s="21" t="s">
        <v>1060</v>
      </c>
      <c r="E5557" s="22">
        <f>IF(D5557="?OLD","!!!","")</f>
        <v/>
      </c>
      <c r="F5557" s="23" t="str">
        <f>IF(OR(E5557="",E5557="!!!"),"",IF(NOT(ISNA(VLOOKUP(E5557,E$1:E5556,1,FALSE()))),"OLD",IF(AND(E5557&lt;&gt;"",E5557&lt;&gt;"!!!"),"NEW","")))</f>
        <v> </v>
      </c>
      <c r="G5557" s="24" t="str">
        <f>IF(OR(E5557="",E5557="!!!"),"",IF(OR(J5557=0,AND(J5557=1,K5557=1),AND(J5557=1,I5557="SBJ"),AND(J5557=1,I5557=0)),"?IN_FOCUS",IF(J5557&lt;=2,"?ACTIVATED",IF(J5557&lt;&gt;"","?FAMILIAR",IF(F5557="NEW",IF(ISNA(VLOOKUP(E5557,#REF!,1,FALSE())),"?TYPE_IDENTIFIABLE","?REFERENTIAL"),"_")))))</f>
        <v> </v>
      </c>
      <c r="H5557" s="25" t="str">
        <f>IF(J5557&lt;&gt;1,"",IF(I5557="SBJ","CB","?"))</f>
        <v> </v>
      </c>
      <c r="I5557" s="26" t="str">
        <f>IF(OR(E5557="",E5557="!!!",F5557="NEW"),"",INDEX(B5556:B$2,-1+SUMPRODUCT(MAX(ROW(E5556:E$2)*(E5557=E5556:E$2)))))</f>
        <v> </v>
      </c>
      <c r="J5557" s="26" t="str">
        <f>IF(OR(E5557="",E5557="!!!",F5557="NEW"),"",COUNTBLANK(OFFSET(A$1,,,SUMPRODUCT(MAX(ROW(E$2:E5557)*(E5557=E$2:E5557)))))-COUNTBLANK(OFFSET(A$1,,,SUMPRODUCT(MAX(ROW(E$1:E5556)*(E2=E$1:E5556))))))</f>
        <v> </v>
      </c>
      <c r="K5557" s="26" t="str">
        <f>IF(OR(E5557="",E5557="!!!",F5557="NEW"),"",INDEX(J$1:J5556,SUMPRODUCT(MAX(ROW(E$1:E5556)*(E5557=E$1:E5556)))))</f>
        <v> </v>
      </c>
      <c r="L5557" s="27"/>
    </row>
    <row r="5558" spans="1:12">
      <c r="A5558" s="20" t="s">
        <v>1448</v>
      </c>
      <c r="E5558" s="22">
        <f>IF(D5558="?OLD","!!!","")</f>
        <v/>
      </c>
      <c r="F5558" s="23" t="str">
        <f>IF(OR(E5558="",E5558="!!!"),"",IF(NOT(ISNA(VLOOKUP(E5558,E$1:E5557,1,FALSE()))),"OLD",IF(AND(E5558&lt;&gt;"",E5558&lt;&gt;"!!!"),"NEW","")))</f>
        <v> </v>
      </c>
      <c r="G5558" s="24" t="str">
        <f>IF(OR(E5558="",E5558="!!!"),"",IF(OR(J5558=0,AND(J5558=1,K5558=1),AND(J5558=1,I5558="SBJ"),AND(J5558=1,I5558=0)),"?IN_FOCUS",IF(J5558&lt;=2,"?ACTIVATED",IF(J5558&lt;&gt;"","?FAMILIAR",IF(F5558="NEW",IF(ISNA(VLOOKUP(E5558,#REF!,1,FALSE())),"?TYPE_IDENTIFIABLE","?REFERENTIAL"),"_")))))</f>
        <v> </v>
      </c>
      <c r="H5558" s="25" t="str">
        <f>IF(J5558&lt;&gt;1,"",IF(I5558="SBJ","CB","?"))</f>
        <v> </v>
      </c>
      <c r="I5558" s="26" t="str">
        <f>IF(OR(E5558="",E5558="!!!",F5558="NEW"),"",INDEX(B5557:B$2,-1+SUMPRODUCT(MAX(ROW(E5557:E$2)*(E5558=E5557:E$2)))))</f>
        <v> </v>
      </c>
      <c r="J5558" s="26" t="str">
        <f>IF(OR(E5558="",E5558="!!!",F5558="NEW"),"",COUNTBLANK(OFFSET(A$1,,,SUMPRODUCT(MAX(ROW(E$2:E5558)*(E5558=E$2:E5558)))))-COUNTBLANK(OFFSET(A$1,,,SUMPRODUCT(MAX(ROW(E$1:E5557)*(E2=E$1:E5557))))))</f>
        <v> </v>
      </c>
      <c r="K5558" s="26" t="str">
        <f>IF(OR(E5558="",E5558="!!!",F5558="NEW"),"",INDEX(J$1:J5557,SUMPRODUCT(MAX(ROW(E$1:E5557)*(E5558=E$1:E5557)))))</f>
        <v> </v>
      </c>
      <c r="L5558" s="27"/>
    </row>
    <row r="5559" spans="1:12">
      <c r="A5559" s="20" t="s">
        <v>1101</v>
      </c>
      <c r="E5559" s="22">
        <f>IF(D5559="?OLD","!!!","")</f>
        <v/>
      </c>
      <c r="F5559" s="23" t="str">
        <f>IF(OR(E5559="",E5559="!!!"),"",IF(NOT(ISNA(VLOOKUP(E5559,E$1:E5558,1,FALSE()))),"OLD",IF(AND(E5559&lt;&gt;"",E5559&lt;&gt;"!!!"),"NEW","")))</f>
        <v> </v>
      </c>
      <c r="G5559" s="24" t="str">
        <f>IF(OR(E5559="",E5559="!!!"),"",IF(OR(J5559=0,AND(J5559=1,K5559=1),AND(J5559=1,I5559="SBJ"),AND(J5559=1,I5559=0)),"?IN_FOCUS",IF(J5559&lt;=2,"?ACTIVATED",IF(J5559&lt;&gt;"","?FAMILIAR",IF(F5559="NEW",IF(ISNA(VLOOKUP(E5559,#REF!,1,FALSE())),"?TYPE_IDENTIFIABLE","?REFERENTIAL"),"_")))))</f>
        <v> </v>
      </c>
      <c r="H5559" s="25" t="str">
        <f>IF(J5559&lt;&gt;1,"",IF(I5559="SBJ","CB","?"))</f>
        <v> </v>
      </c>
      <c r="I5559" s="26" t="str">
        <f>IF(OR(E5559="",E5559="!!!",F5559="NEW"),"",INDEX(B5558:B$2,-1+SUMPRODUCT(MAX(ROW(E5558:E$2)*(E5559=E5558:E$2)))))</f>
        <v> </v>
      </c>
      <c r="J5559" s="26" t="str">
        <f>IF(OR(E5559="",E5559="!!!",F5559="NEW"),"",COUNTBLANK(OFFSET(A$1,,,SUMPRODUCT(MAX(ROW(E$2:E5559)*(E5559=E$2:E5559)))))-COUNTBLANK(OFFSET(A$1,,,SUMPRODUCT(MAX(ROW(E$1:E5558)*(E2=E$1:E5558))))))</f>
        <v> </v>
      </c>
      <c r="K5559" s="26" t="str">
        <f>IF(OR(E5559="",E5559="!!!",F5559="NEW"),"",INDEX(J$1:J5558,SUMPRODUCT(MAX(ROW(E$1:E5558)*(E5559=E$1:E5558)))))</f>
        <v> </v>
      </c>
      <c r="L5559" s="27"/>
    </row>
    <row r="5560" spans="1:12">
      <c r="A5560" s="20" t="s">
        <v>1328</v>
      </c>
      <c r="E5560" s="22">
        <f>IF(D5560="?OLD","!!!","")</f>
        <v/>
      </c>
      <c r="F5560" s="23" t="str">
        <f>IF(OR(E5560="",E5560="!!!"),"",IF(NOT(ISNA(VLOOKUP(E5560,E$1:E5559,1,FALSE()))),"OLD",IF(AND(E5560&lt;&gt;"",E5560&lt;&gt;"!!!"),"NEW","")))</f>
        <v> </v>
      </c>
      <c r="G5560" s="24" t="str">
        <f>IF(OR(E5560="",E5560="!!!"),"",IF(OR(J5560=0,AND(J5560=1,K5560=1),AND(J5560=1,I5560="SBJ"),AND(J5560=1,I5560=0)),"?IN_FOCUS",IF(J5560&lt;=2,"?ACTIVATED",IF(J5560&lt;&gt;"","?FAMILIAR",IF(F5560="NEW",IF(ISNA(VLOOKUP(E5560,#REF!,1,FALSE())),"?TYPE_IDENTIFIABLE","?REFERENTIAL"),"_")))))</f>
        <v> </v>
      </c>
      <c r="H5560" s="25" t="str">
        <f>IF(J5560&lt;&gt;1,"",IF(I5560="SBJ","CB","?"))</f>
        <v> </v>
      </c>
      <c r="I5560" s="26" t="str">
        <f>IF(OR(E5560="",E5560="!!!",F5560="NEW"),"",INDEX(B5559:B$2,-1+SUMPRODUCT(MAX(ROW(E5559:E$2)*(E5560=E5559:E$2)))))</f>
        <v> </v>
      </c>
      <c r="J5560" s="26" t="str">
        <f>IF(OR(E5560="",E5560="!!!",F5560="NEW"),"",COUNTBLANK(OFFSET(A$1,,,SUMPRODUCT(MAX(ROW(E$2:E5560)*(E5560=E$2:E5560)))))-COUNTBLANK(OFFSET(A$1,,,SUMPRODUCT(MAX(ROW(E$1:E5559)*(E2=E$1:E5559))))))</f>
        <v> </v>
      </c>
      <c r="K5560" s="26" t="str">
        <f>IF(OR(E5560="",E5560="!!!",F5560="NEW"),"",INDEX(J$1:J5559,SUMPRODUCT(MAX(ROW(E$1:E5559)*(E5560=E$1:E5559)))))</f>
        <v> </v>
      </c>
      <c r="L5560" s="27"/>
    </row>
    <row r="5561" spans="1:12">
      <c r="A5561" s="20" t="s">
        <v>2230</v>
      </c>
      <c r="E5561" s="22">
        <f>IF(D5561="?OLD","!!!","")</f>
        <v/>
      </c>
      <c r="F5561" s="23" t="str">
        <f>IF(OR(E5561="",E5561="!!!"),"",IF(NOT(ISNA(VLOOKUP(E5561,E$1:E5560,1,FALSE()))),"OLD",IF(AND(E5561&lt;&gt;"",E5561&lt;&gt;"!!!"),"NEW","")))</f>
        <v> </v>
      </c>
      <c r="G5561" s="24" t="str">
        <f>IF(OR(E5561="",E5561="!!!"),"",IF(OR(J5561=0,AND(J5561=1,K5561=1),AND(J5561=1,I5561="SBJ"),AND(J5561=1,I5561=0)),"?IN_FOCUS",IF(J5561&lt;=2,"?ACTIVATED",IF(J5561&lt;&gt;"","?FAMILIAR",IF(F5561="NEW",IF(ISNA(VLOOKUP(E5561,#REF!,1,FALSE())),"?TYPE_IDENTIFIABLE","?REFERENTIAL"),"_")))))</f>
        <v> </v>
      </c>
      <c r="H5561" s="25" t="str">
        <f>IF(J5561&lt;&gt;1,"",IF(I5561="SBJ","CB","?"))</f>
        <v> </v>
      </c>
      <c r="I5561" s="26" t="str">
        <f>IF(OR(E5561="",E5561="!!!",F5561="NEW"),"",INDEX(B5560:B$2,-1+SUMPRODUCT(MAX(ROW(E5560:E$2)*(E5561=E5560:E$2)))))</f>
        <v> </v>
      </c>
      <c r="J5561" s="26" t="str">
        <f>IF(OR(E5561="",E5561="!!!",F5561="NEW"),"",COUNTBLANK(OFFSET(A$1,,,SUMPRODUCT(MAX(ROW(E$2:E5561)*(E5561=E$2:E5561)))))-COUNTBLANK(OFFSET(A$1,,,SUMPRODUCT(MAX(ROW(E$1:E5560)*(E2=E$1:E5560))))))</f>
        <v> </v>
      </c>
      <c r="K5561" s="26" t="str">
        <f>IF(OR(E5561="",E5561="!!!",F5561="NEW"),"",INDEX(J$1:J5560,SUMPRODUCT(MAX(ROW(E$1:E5560)*(E5561=E$1:E5560)))))</f>
        <v> </v>
      </c>
      <c r="L5561" s="27"/>
    </row>
    <row r="5562" spans="1:12">
      <c r="A5562" s="20" t="s">
        <v>2564</v>
      </c>
      <c r="B5562" s="21" t="s">
        <v>1802</v>
      </c>
      <c r="C5562" s="21" t="s">
        <v>1140</v>
      </c>
      <c r="D5562" s="21" t="s">
        <v>1060</v>
      </c>
      <c r="E5562" s="22">
        <f>IF(D5562="?OLD","!!!","")</f>
        <v/>
      </c>
      <c r="F5562" s="23" t="str">
        <f>IF(OR(E5562="",E5562="!!!"),"",IF(NOT(ISNA(VLOOKUP(E5562,E$1:E5561,1,FALSE()))),"OLD",IF(AND(E5562&lt;&gt;"",E5562&lt;&gt;"!!!"),"NEW","")))</f>
        <v> </v>
      </c>
      <c r="G5562" s="24" t="str">
        <f>IF(OR(E5562="",E5562="!!!"),"",IF(OR(J5562=0,AND(J5562=1,K5562=1),AND(J5562=1,I5562="SBJ"),AND(J5562=1,I5562=0)),"?IN_FOCUS",IF(J5562&lt;=2,"?ACTIVATED",IF(J5562&lt;&gt;"","?FAMILIAR",IF(F5562="NEW",IF(ISNA(VLOOKUP(E5562,#REF!,1,FALSE())),"?TYPE_IDENTIFIABLE","?REFERENTIAL"),"_")))))</f>
        <v> </v>
      </c>
      <c r="H5562" s="25" t="str">
        <f>IF(J5562&lt;&gt;1,"",IF(I5562="SBJ","CB","?"))</f>
        <v> </v>
      </c>
      <c r="I5562" s="26" t="str">
        <f>IF(OR(E5562="",E5562="!!!",F5562="NEW"),"",INDEX(B5561:B$2,-1+SUMPRODUCT(MAX(ROW(E5561:E$2)*(E5562=E5561:E$2)))))</f>
        <v> </v>
      </c>
      <c r="J5562" s="26" t="str">
        <f>IF(OR(E5562="",E5562="!!!",F5562="NEW"),"",COUNTBLANK(OFFSET(A$1,,,SUMPRODUCT(MAX(ROW(E$2:E5562)*(E5562=E$2:E5562)))))-COUNTBLANK(OFFSET(A$1,,,SUMPRODUCT(MAX(ROW(E$1:E5561)*(E2=E$1:E5561))))))</f>
        <v> </v>
      </c>
      <c r="K5562" s="26" t="str">
        <f>IF(OR(E5562="",E5562="!!!",F5562="NEW"),"",INDEX(J$1:J5561,SUMPRODUCT(MAX(ROW(E$1:E5561)*(E5562=E$1:E5561)))))</f>
        <v> </v>
      </c>
      <c r="L5562" s="27"/>
    </row>
    <row r="5563" spans="1:12">
      <c r="A5563" s="20" t="s">
        <v>1061</v>
      </c>
      <c r="E5563" s="22">
        <f>IF(D5563="?OLD","!!!","")</f>
        <v/>
      </c>
      <c r="F5563" s="23" t="str">
        <f>IF(OR(E5563="",E5563="!!!"),"",IF(NOT(ISNA(VLOOKUP(E5563,E$1:E5562,1,FALSE()))),"OLD",IF(AND(E5563&lt;&gt;"",E5563&lt;&gt;"!!!"),"NEW","")))</f>
        <v> </v>
      </c>
      <c r="G5563" s="24" t="str">
        <f>IF(OR(E5563="",E5563="!!!"),"",IF(OR(J5563=0,AND(J5563=1,K5563=1),AND(J5563=1,I5563="SBJ"),AND(J5563=1,I5563=0)),"?IN_FOCUS",IF(J5563&lt;=2,"?ACTIVATED",IF(J5563&lt;&gt;"","?FAMILIAR",IF(F5563="NEW",IF(ISNA(VLOOKUP(E5563,#REF!,1,FALSE())),"?TYPE_IDENTIFIABLE","?REFERENTIAL"),"_")))))</f>
        <v> </v>
      </c>
      <c r="H5563" s="25" t="str">
        <f>IF(J5563&lt;&gt;1,"",IF(I5563="SBJ","CB","?"))</f>
        <v> </v>
      </c>
      <c r="I5563" s="26" t="str">
        <f>IF(OR(E5563="",E5563="!!!",F5563="NEW"),"",INDEX(B5562:B$2,-1+SUMPRODUCT(MAX(ROW(E5562:E$2)*(E5563=E5562:E$2)))))</f>
        <v> </v>
      </c>
      <c r="J5563" s="26" t="str">
        <f>IF(OR(E5563="",E5563="!!!",F5563="NEW"),"",COUNTBLANK(OFFSET(A$1,,,SUMPRODUCT(MAX(ROW(E$2:E5563)*(E5563=E$2:E5563)))))-COUNTBLANK(OFFSET(A$1,,,SUMPRODUCT(MAX(ROW(E$1:E5562)*(E2=E$1:E5562))))))</f>
        <v> </v>
      </c>
      <c r="K5563" s="26" t="str">
        <f>IF(OR(E5563="",E5563="!!!",F5563="NEW"),"",INDEX(J$1:J5562,SUMPRODUCT(MAX(ROW(E$1:E5562)*(E5563=E$1:E5562)))))</f>
        <v> </v>
      </c>
      <c r="L5563" s="27"/>
    </row>
    <row r="5564" spans="1:12">
      <c r="A5564" s="20" t="s">
        <v>2368</v>
      </c>
      <c r="E5564" s="22">
        <f>IF(D5564="?OLD","!!!","")</f>
        <v/>
      </c>
      <c r="F5564" s="23" t="str">
        <f>IF(OR(E5564="",E5564="!!!"),"",IF(NOT(ISNA(VLOOKUP(E5564,E$1:E5563,1,FALSE()))),"OLD",IF(AND(E5564&lt;&gt;"",E5564&lt;&gt;"!!!"),"NEW","")))</f>
        <v> </v>
      </c>
      <c r="G5564" s="24" t="str">
        <f>IF(OR(E5564="",E5564="!!!"),"",IF(OR(J5564=0,AND(J5564=1,K5564=1),AND(J5564=1,I5564="SBJ"),AND(J5564=1,I5564=0)),"?IN_FOCUS",IF(J5564&lt;=2,"?ACTIVATED",IF(J5564&lt;&gt;"","?FAMILIAR",IF(F5564="NEW",IF(ISNA(VLOOKUP(E5564,#REF!,1,FALSE())),"?TYPE_IDENTIFIABLE","?REFERENTIAL"),"_")))))</f>
        <v> </v>
      </c>
      <c r="H5564" s="25" t="str">
        <f>IF(J5564&lt;&gt;1,"",IF(I5564="SBJ","CB","?"))</f>
        <v> </v>
      </c>
      <c r="I5564" s="26" t="str">
        <f>IF(OR(E5564="",E5564="!!!",F5564="NEW"),"",INDEX(B5563:B$2,-1+SUMPRODUCT(MAX(ROW(E5563:E$2)*(E5564=E5563:E$2)))))</f>
        <v> </v>
      </c>
      <c r="J5564" s="26" t="str">
        <f>IF(OR(E5564="",E5564="!!!",F5564="NEW"),"",COUNTBLANK(OFFSET(A$1,,,SUMPRODUCT(MAX(ROW(E$2:E5564)*(E5564=E$2:E5564)))))-COUNTBLANK(OFFSET(A$1,,,SUMPRODUCT(MAX(ROW(E$1:E5563)*(E2=E$1:E5563))))))</f>
        <v> </v>
      </c>
      <c r="K5564" s="26" t="str">
        <f>IF(OR(E5564="",E5564="!!!",F5564="NEW"),"",INDEX(J$1:J5563,SUMPRODUCT(MAX(ROW(E$1:E5563)*(E5564=E$1:E5563)))))</f>
        <v> </v>
      </c>
      <c r="L5564" s="27"/>
    </row>
    <row r="5565" spans="1:12">
      <c r="A5565" s="20" t="s">
        <v>16</v>
      </c>
      <c r="E5565" s="22">
        <f>IF(D5565="?OLD","!!!","")</f>
        <v/>
      </c>
      <c r="F5565" s="23" t="str">
        <f>IF(OR(E5565="",E5565="!!!"),"",IF(NOT(ISNA(VLOOKUP(E5565,E$1:E5564,1,FALSE()))),"OLD",IF(AND(E5565&lt;&gt;"",E5565&lt;&gt;"!!!"),"NEW","")))</f>
        <v> </v>
      </c>
      <c r="G5565" s="24" t="str">
        <f>IF(OR(E5565="",E5565="!!!"),"",IF(OR(J5565=0,AND(J5565=1,K5565=1),AND(J5565=1,I5565="SBJ"),AND(J5565=1,I5565=0)),"?IN_FOCUS",IF(J5565&lt;=2,"?ACTIVATED",IF(J5565&lt;&gt;"","?FAMILIAR",IF(F5565="NEW",IF(ISNA(VLOOKUP(E5565,#REF!,1,FALSE())),"?TYPE_IDENTIFIABLE","?REFERENTIAL"),"_")))))</f>
        <v> </v>
      </c>
      <c r="H5565" s="25" t="str">
        <f>IF(J5565&lt;&gt;1,"",IF(I5565="SBJ","CB","?"))</f>
        <v> </v>
      </c>
      <c r="I5565" s="26" t="str">
        <f>IF(OR(E5565="",E5565="!!!",F5565="NEW"),"",INDEX(B5564:B$2,-1+SUMPRODUCT(MAX(ROW(E5564:E$2)*(E5565=E5564:E$2)))))</f>
        <v> </v>
      </c>
      <c r="J5565" s="26" t="str">
        <f>IF(OR(E5565="",E5565="!!!",F5565="NEW"),"",COUNTBLANK(OFFSET(A$1,,,SUMPRODUCT(MAX(ROW(E$2:E5565)*(E5565=E$2:E5565)))))-COUNTBLANK(OFFSET(A$1,,,SUMPRODUCT(MAX(ROW(E$1:E5564)*(E2=E$1:E5564))))))</f>
        <v> </v>
      </c>
      <c r="K5565" s="26" t="str">
        <f>IF(OR(E5565="",E5565="!!!",F5565="NEW"),"",INDEX(J$1:J5564,SUMPRODUCT(MAX(ROW(E$1:E5564)*(E5565=E$1:E5564)))))</f>
        <v> </v>
      </c>
      <c r="L5565" s="27"/>
    </row>
    <row r="5566" spans="1:12">
      <c r="A5566" s="20" t="s">
        <v>2565</v>
      </c>
      <c r="E5566" s="22">
        <f>IF(D5566="?OLD","!!!","")</f>
        <v/>
      </c>
      <c r="F5566" s="23" t="str">
        <f>IF(OR(E5566="",E5566="!!!"),"",IF(NOT(ISNA(VLOOKUP(E5566,E$1:E5565,1,FALSE()))),"OLD",IF(AND(E5566&lt;&gt;"",E5566&lt;&gt;"!!!"),"NEW","")))</f>
        <v> </v>
      </c>
      <c r="G5566" s="24" t="str">
        <f>IF(OR(E5566="",E5566="!!!"),"",IF(OR(J5566=0,AND(J5566=1,K5566=1),AND(J5566=1,I5566="SBJ"),AND(J5566=1,I5566=0)),"?IN_FOCUS",IF(J5566&lt;=2,"?ACTIVATED",IF(J5566&lt;&gt;"","?FAMILIAR",IF(F5566="NEW",IF(ISNA(VLOOKUP(E5566,#REF!,1,FALSE())),"?TYPE_IDENTIFIABLE","?REFERENTIAL"),"_")))))</f>
        <v> </v>
      </c>
      <c r="H5566" s="25" t="str">
        <f>IF(J5566&lt;&gt;1,"",IF(I5566="SBJ","CB","?"))</f>
        <v> </v>
      </c>
      <c r="I5566" s="26" t="str">
        <f>IF(OR(E5566="",E5566="!!!",F5566="NEW"),"",INDEX(B5565:B$2,-1+SUMPRODUCT(MAX(ROW(E5565:E$2)*(E5566=E5565:E$2)))))</f>
        <v> </v>
      </c>
      <c r="J5566" s="26" t="str">
        <f>IF(OR(E5566="",E5566="!!!",F5566="NEW"),"",COUNTBLANK(OFFSET(A$1,,,SUMPRODUCT(MAX(ROW(E$2:E5566)*(E5566=E$2:E5566)))))-COUNTBLANK(OFFSET(A$1,,,SUMPRODUCT(MAX(ROW(E$1:E5565)*(E2=E$1:E5565))))))</f>
        <v> </v>
      </c>
      <c r="K5566" s="26" t="str">
        <f>IF(OR(E5566="",E5566="!!!",F5566="NEW"),"",INDEX(J$1:J5565,SUMPRODUCT(MAX(ROW(E$1:E5565)*(E5566=E$1:E5565)))))</f>
        <v> </v>
      </c>
      <c r="L5566" s="27"/>
    </row>
    <row r="5567" spans="1:12">
      <c r="A5567" s="20" t="s">
        <v>2351</v>
      </c>
      <c r="B5567" s="21" t="s">
        <v>1292</v>
      </c>
      <c r="C5567" s="21" t="s">
        <v>1149</v>
      </c>
      <c r="E5567" s="22">
        <f>IF(D5567="?OLD","!!!","")</f>
        <v/>
      </c>
      <c r="F5567" s="23" t="str">
        <f>IF(OR(E5567="",E5567="!!!"),"",IF(NOT(ISNA(VLOOKUP(E5567,E$1:E5566,1,FALSE()))),"OLD",IF(AND(E5567&lt;&gt;"",E5567&lt;&gt;"!!!"),"NEW","")))</f>
        <v> </v>
      </c>
      <c r="G5567" s="24" t="str">
        <f>IF(OR(E5567="",E5567="!!!"),"",IF(OR(J5567=0,AND(J5567=1,K5567=1),AND(J5567=1,I5567="SBJ"),AND(J5567=1,I5567=0)),"?IN_FOCUS",IF(J5567&lt;=2,"?ACTIVATED",IF(J5567&lt;&gt;"","?FAMILIAR",IF(F5567="NEW",IF(ISNA(VLOOKUP(E5567,#REF!,1,FALSE())),"?TYPE_IDENTIFIABLE","?REFERENTIAL"),"_")))))</f>
        <v> </v>
      </c>
      <c r="H5567" s="25" t="str">
        <f>IF(J5567&lt;&gt;1,"",IF(I5567="SBJ","CB","?"))</f>
        <v> </v>
      </c>
      <c r="I5567" s="26" t="str">
        <f>IF(OR(E5567="",E5567="!!!",F5567="NEW"),"",INDEX(B5566:B$2,-1+SUMPRODUCT(MAX(ROW(E5566:E$2)*(E5567=E5566:E$2)))))</f>
        <v> </v>
      </c>
      <c r="J5567" s="26" t="str">
        <f>IF(OR(E5567="",E5567="!!!",F5567="NEW"),"",COUNTBLANK(OFFSET(A$1,,,SUMPRODUCT(MAX(ROW(E$2:E5567)*(E5567=E$2:E5567)))))-COUNTBLANK(OFFSET(A$1,,,SUMPRODUCT(MAX(ROW(E$1:E5566)*(E2=E$1:E5566))))))</f>
        <v> </v>
      </c>
      <c r="K5567" s="26" t="str">
        <f>IF(OR(E5567="",E5567="!!!",F5567="NEW"),"",INDEX(J$1:J5566,SUMPRODUCT(MAX(ROW(E$1:E5566)*(E5567=E$1:E5566)))))</f>
        <v> </v>
      </c>
      <c r="L5567" s="27"/>
    </row>
    <row r="5568" spans="1:12">
      <c r="A5568" s="20" t="s">
        <v>1115</v>
      </c>
      <c r="B5568" s="21" t="s">
        <v>2566</v>
      </c>
      <c r="E5568" s="22">
        <f>IF(D5568="?OLD","!!!","")</f>
        <v/>
      </c>
      <c r="F5568" s="23" t="str">
        <f>IF(OR(E5568="",E5568="!!!"),"",IF(NOT(ISNA(VLOOKUP(E5568,E$1:E5567,1,FALSE()))),"OLD",IF(AND(E5568&lt;&gt;"",E5568&lt;&gt;"!!!"),"NEW","")))</f>
        <v> </v>
      </c>
      <c r="G5568" s="24" t="str">
        <f>IF(OR(E5568="",E5568="!!!"),"",IF(OR(J5568=0,AND(J5568=1,K5568=1),AND(J5568=1,I5568="SBJ"),AND(J5568=1,I5568=0)),"?IN_FOCUS",IF(J5568&lt;=2,"?ACTIVATED",IF(J5568&lt;&gt;"","?FAMILIAR",IF(F5568="NEW",IF(ISNA(VLOOKUP(E5568,#REF!,1,FALSE())),"?TYPE_IDENTIFIABLE","?REFERENTIAL"),"_")))))</f>
        <v> </v>
      </c>
      <c r="H5568" s="25" t="str">
        <f>IF(J5568&lt;&gt;1,"",IF(I5568="SBJ","CB","?"))</f>
        <v> </v>
      </c>
      <c r="I5568" s="26" t="str">
        <f>IF(OR(E5568="",E5568="!!!",F5568="NEW"),"",INDEX(B5567:B$2,-1+SUMPRODUCT(MAX(ROW(E5567:E$2)*(E5568=E5567:E$2)))))</f>
        <v> </v>
      </c>
      <c r="J5568" s="26" t="str">
        <f>IF(OR(E5568="",E5568="!!!",F5568="NEW"),"",COUNTBLANK(OFFSET(A$1,,,SUMPRODUCT(MAX(ROW(E$2:E5568)*(E5568=E$2:E5568)))))-COUNTBLANK(OFFSET(A$1,,,SUMPRODUCT(MAX(ROW(E$1:E5567)*(E2=E$1:E5567))))))</f>
        <v> </v>
      </c>
      <c r="K5568" s="26" t="str">
        <f>IF(OR(E5568="",E5568="!!!",F5568="NEW"),"",INDEX(J$1:J5567,SUMPRODUCT(MAX(ROW(E$1:E5567)*(E5568=E$1:E5567)))))</f>
        <v> </v>
      </c>
      <c r="L5568" s="27"/>
    </row>
    <row r="5569" spans="1:12">
      <c r="A5569" s="20" t="s">
        <v>1619</v>
      </c>
      <c r="E5569" s="22">
        <f>IF(D5569="?OLD","!!!","")</f>
        <v/>
      </c>
      <c r="F5569" s="23" t="str">
        <f>IF(OR(E5569="",E5569="!!!"),"",IF(NOT(ISNA(VLOOKUP(E5569,E$1:E5568,1,FALSE()))),"OLD",IF(AND(E5569&lt;&gt;"",E5569&lt;&gt;"!!!"),"NEW","")))</f>
        <v> </v>
      </c>
      <c r="G5569" s="24" t="str">
        <f>IF(OR(E5569="",E5569="!!!"),"",IF(OR(J5569=0,AND(J5569=1,K5569=1),AND(J5569=1,I5569="SBJ"),AND(J5569=1,I5569=0)),"?IN_FOCUS",IF(J5569&lt;=2,"?ACTIVATED",IF(J5569&lt;&gt;"","?FAMILIAR",IF(F5569="NEW",IF(ISNA(VLOOKUP(E5569,#REF!,1,FALSE())),"?TYPE_IDENTIFIABLE","?REFERENTIAL"),"_")))))</f>
        <v> </v>
      </c>
      <c r="H5569" s="25" t="str">
        <f>IF(J5569&lt;&gt;1,"",IF(I5569="SBJ","CB","?"))</f>
        <v> </v>
      </c>
      <c r="I5569" s="26" t="str">
        <f>IF(OR(E5569="",E5569="!!!",F5569="NEW"),"",INDEX(B5568:B$2,-1+SUMPRODUCT(MAX(ROW(E5568:E$2)*(E5569=E5568:E$2)))))</f>
        <v> </v>
      </c>
      <c r="J5569" s="26" t="str">
        <f>IF(OR(E5569="",E5569="!!!",F5569="NEW"),"",COUNTBLANK(OFFSET(A$1,,,SUMPRODUCT(MAX(ROW(E$2:E5569)*(E5569=E$2:E5569)))))-COUNTBLANK(OFFSET(A$1,,,SUMPRODUCT(MAX(ROW(E$1:E5568)*(E2=E$1:E5568))))))</f>
        <v> </v>
      </c>
      <c r="K5569" s="26" t="str">
        <f>IF(OR(E5569="",E5569="!!!",F5569="NEW"),"",INDEX(J$1:J5568,SUMPRODUCT(MAX(ROW(E$1:E5568)*(E5569=E$1:E5568)))))</f>
        <v> </v>
      </c>
      <c r="L5569" s="27"/>
    </row>
    <row r="5570" spans="1:12">
      <c r="A5570" s="20" t="s">
        <v>1858</v>
      </c>
      <c r="E5570" s="22">
        <f>IF(D5570="?OLD","!!!","")</f>
        <v/>
      </c>
      <c r="F5570" s="23" t="str">
        <f>IF(OR(E5570="",E5570="!!!"),"",IF(NOT(ISNA(VLOOKUP(E5570,E$1:E5569,1,FALSE()))),"OLD",IF(AND(E5570&lt;&gt;"",E5570&lt;&gt;"!!!"),"NEW","")))</f>
        <v> </v>
      </c>
      <c r="G5570" s="24" t="str">
        <f>IF(OR(E5570="",E5570="!!!"),"",IF(OR(J5570=0,AND(J5570=1,K5570=1),AND(J5570=1,I5570="SBJ"),AND(J5570=1,I5570=0)),"?IN_FOCUS",IF(J5570&lt;=2,"?ACTIVATED",IF(J5570&lt;&gt;"","?FAMILIAR",IF(F5570="NEW",IF(ISNA(VLOOKUP(E5570,#REF!,1,FALSE())),"?TYPE_IDENTIFIABLE","?REFERENTIAL"),"_")))))</f>
        <v> </v>
      </c>
      <c r="H5570" s="25" t="str">
        <f>IF(J5570&lt;&gt;1,"",IF(I5570="SBJ","CB","?"))</f>
        <v> </v>
      </c>
      <c r="I5570" s="26" t="str">
        <f>IF(OR(E5570="",E5570="!!!",F5570="NEW"),"",INDEX(B5569:B$2,-1+SUMPRODUCT(MAX(ROW(E5569:E$2)*(E5570=E5569:E$2)))))</f>
        <v> </v>
      </c>
      <c r="J5570" s="26" t="str">
        <f>IF(OR(E5570="",E5570="!!!",F5570="NEW"),"",COUNTBLANK(OFFSET(A$1,,,SUMPRODUCT(MAX(ROW(E$2:E5570)*(E5570=E$2:E5570)))))-COUNTBLANK(OFFSET(A$1,,,SUMPRODUCT(MAX(ROW(E$1:E5569)*(E2=E$1:E5569))))))</f>
        <v> </v>
      </c>
      <c r="K5570" s="26" t="str">
        <f>IF(OR(E5570="",E5570="!!!",F5570="NEW"),"",INDEX(J$1:J5569,SUMPRODUCT(MAX(ROW(E$1:E5569)*(E5570=E$1:E5569)))))</f>
        <v> </v>
      </c>
      <c r="L5570" s="27"/>
    </row>
    <row r="5571" spans="1:12">
      <c r="A5571" s="20" t="s">
        <v>1100</v>
      </c>
      <c r="E5571" s="22">
        <f>IF(D5571="?OLD","!!!","")</f>
        <v/>
      </c>
      <c r="F5571" s="23" t="str">
        <f>IF(OR(E5571="",E5571="!!!"),"",IF(NOT(ISNA(VLOOKUP(E5571,E$1:E5570,1,FALSE()))),"OLD",IF(AND(E5571&lt;&gt;"",E5571&lt;&gt;"!!!"),"NEW","")))</f>
        <v> </v>
      </c>
      <c r="G5571" s="24" t="str">
        <f>IF(OR(E5571="",E5571="!!!"),"",IF(OR(J5571=0,AND(J5571=1,K5571=1),AND(J5571=1,I5571="SBJ"),AND(J5571=1,I5571=0)),"?IN_FOCUS",IF(J5571&lt;=2,"?ACTIVATED",IF(J5571&lt;&gt;"","?FAMILIAR",IF(F5571="NEW",IF(ISNA(VLOOKUP(E5571,#REF!,1,FALSE())),"?TYPE_IDENTIFIABLE","?REFERENTIAL"),"_")))))</f>
        <v> </v>
      </c>
      <c r="H5571" s="25" t="str">
        <f>IF(J5571&lt;&gt;1,"",IF(I5571="SBJ","CB","?"))</f>
        <v> </v>
      </c>
      <c r="I5571" s="26" t="str">
        <f>IF(OR(E5571="",E5571="!!!",F5571="NEW"),"",INDEX(B5570:B$2,-1+SUMPRODUCT(MAX(ROW(E5570:E$2)*(E5571=E5570:E$2)))))</f>
        <v> </v>
      </c>
      <c r="J5571" s="26" t="str">
        <f>IF(OR(E5571="",E5571="!!!",F5571="NEW"),"",COUNTBLANK(OFFSET(A$1,,,SUMPRODUCT(MAX(ROW(E$2:E5571)*(E5571=E$2:E5571)))))-COUNTBLANK(OFFSET(A$1,,,SUMPRODUCT(MAX(ROW(E$1:E5570)*(E2=E$1:E5570))))))</f>
        <v> </v>
      </c>
      <c r="K5571" s="26" t="str">
        <f>IF(OR(E5571="",E5571="!!!",F5571="NEW"),"",INDEX(J$1:J5570,SUMPRODUCT(MAX(ROW(E$1:E5570)*(E5571=E$1:E5570)))))</f>
        <v> </v>
      </c>
      <c r="L5571" s="27"/>
    </row>
    <row r="5572" spans="1:12">
      <c r="A5572" s="20" t="s">
        <v>1074</v>
      </c>
      <c r="B5572" s="21" t="s">
        <v>2567</v>
      </c>
      <c r="C5572" s="21" t="s">
        <v>1076</v>
      </c>
      <c r="D5572" s="21" t="s">
        <v>1060</v>
      </c>
      <c r="E5572" s="22">
        <f>IF(D5572="?OLD","!!!","")</f>
        <v/>
      </c>
      <c r="F5572" s="23" t="str">
        <f>IF(OR(E5572="",E5572="!!!"),"",IF(NOT(ISNA(VLOOKUP(E5572,E$1:E5571,1,FALSE()))),"OLD",IF(AND(E5572&lt;&gt;"",E5572&lt;&gt;"!!!"),"NEW","")))</f>
        <v> </v>
      </c>
      <c r="G5572" s="24" t="str">
        <f>IF(OR(E5572="",E5572="!!!"),"",IF(OR(J5572=0,AND(J5572=1,K5572=1),AND(J5572=1,I5572="SBJ"),AND(J5572=1,I5572=0)),"?IN_FOCUS",IF(J5572&lt;=2,"?ACTIVATED",IF(J5572&lt;&gt;"","?FAMILIAR",IF(F5572="NEW",IF(ISNA(VLOOKUP(E5572,#REF!,1,FALSE())),"?TYPE_IDENTIFIABLE","?REFERENTIAL"),"_")))))</f>
        <v> </v>
      </c>
      <c r="H5572" s="25" t="str">
        <f>IF(J5572&lt;&gt;1,"",IF(I5572="SBJ","CB","?"))</f>
        <v> </v>
      </c>
      <c r="I5572" s="26" t="str">
        <f>IF(OR(E5572="",E5572="!!!",F5572="NEW"),"",INDEX(B5571:B$2,-1+SUMPRODUCT(MAX(ROW(E5571:E$2)*(E5572=E5571:E$2)))))</f>
        <v> </v>
      </c>
      <c r="J5572" s="26" t="str">
        <f>IF(OR(E5572="",E5572="!!!",F5572="NEW"),"",COUNTBLANK(OFFSET(A$1,,,SUMPRODUCT(MAX(ROW(E$2:E5572)*(E5572=E$2:E5572)))))-COUNTBLANK(OFFSET(A$1,,,SUMPRODUCT(MAX(ROW(E$1:E5571)*(E2=E$1:E5571))))))</f>
        <v> </v>
      </c>
      <c r="K5572" s="26" t="str">
        <f>IF(OR(E5572="",E5572="!!!",F5572="NEW"),"",INDEX(J$1:J5571,SUMPRODUCT(MAX(ROW(E$1:E5571)*(E5572=E$1:E5571)))))</f>
        <v> </v>
      </c>
      <c r="L5572" s="27"/>
    </row>
    <row r="5573" spans="1:12">
      <c r="A5573" s="20" t="s">
        <v>2568</v>
      </c>
      <c r="E5573" s="22">
        <f>IF(D5573="?OLD","!!!","")</f>
        <v/>
      </c>
      <c r="F5573" s="23" t="str">
        <f>IF(OR(E5573="",E5573="!!!"),"",IF(NOT(ISNA(VLOOKUP(E5573,E$1:E5572,1,FALSE()))),"OLD",IF(AND(E5573&lt;&gt;"",E5573&lt;&gt;"!!!"),"NEW","")))</f>
        <v> </v>
      </c>
      <c r="G5573" s="24" t="str">
        <f>IF(OR(E5573="",E5573="!!!"),"",IF(OR(J5573=0,AND(J5573=1,K5573=1),AND(J5573=1,I5573="SBJ"),AND(J5573=1,I5573=0)),"?IN_FOCUS",IF(J5573&lt;=2,"?ACTIVATED",IF(J5573&lt;&gt;"","?FAMILIAR",IF(F5573="NEW",IF(ISNA(VLOOKUP(E5573,#REF!,1,FALSE())),"?TYPE_IDENTIFIABLE","?REFERENTIAL"),"_")))))</f>
        <v> </v>
      </c>
      <c r="H5573" s="25" t="str">
        <f>IF(J5573&lt;&gt;1,"",IF(I5573="SBJ","CB","?"))</f>
        <v> </v>
      </c>
      <c r="I5573" s="26" t="str">
        <f>IF(OR(E5573="",E5573="!!!",F5573="NEW"),"",INDEX(B5572:B$2,-1+SUMPRODUCT(MAX(ROW(E5572:E$2)*(E5573=E5572:E$2)))))</f>
        <v> </v>
      </c>
      <c r="J5573" s="26" t="str">
        <f>IF(OR(E5573="",E5573="!!!",F5573="NEW"),"",COUNTBLANK(OFFSET(A$1,,,SUMPRODUCT(MAX(ROW(E$2:E5573)*(E5573=E$2:E5573)))))-COUNTBLANK(OFFSET(A$1,,,SUMPRODUCT(MAX(ROW(E$1:E5572)*(E2=E$1:E5572))))))</f>
        <v> </v>
      </c>
      <c r="K5573" s="26" t="str">
        <f>IF(OR(E5573="",E5573="!!!",F5573="NEW"),"",INDEX(J$1:J5572,SUMPRODUCT(MAX(ROW(E$1:E5572)*(E5573=E$1:E5572)))))</f>
        <v> </v>
      </c>
      <c r="L5573" s="27"/>
    </row>
    <row r="5574" spans="1:12">
      <c r="A5574" s="20" t="s">
        <v>1376</v>
      </c>
      <c r="E5574" s="22">
        <f>IF(D5574="?OLD","!!!","")</f>
        <v/>
      </c>
      <c r="F5574" s="23" t="str">
        <f>IF(OR(E5574="",E5574="!!!"),"",IF(NOT(ISNA(VLOOKUP(E5574,E$1:E5573,1,FALSE()))),"OLD",IF(AND(E5574&lt;&gt;"",E5574&lt;&gt;"!!!"),"NEW","")))</f>
        <v> </v>
      </c>
      <c r="G5574" s="24" t="str">
        <f>IF(OR(E5574="",E5574="!!!"),"",IF(OR(J5574=0,AND(J5574=1,K5574=1),AND(J5574=1,I5574="SBJ"),AND(J5574=1,I5574=0)),"?IN_FOCUS",IF(J5574&lt;=2,"?ACTIVATED",IF(J5574&lt;&gt;"","?FAMILIAR",IF(F5574="NEW",IF(ISNA(VLOOKUP(E5574,#REF!,1,FALSE())),"?TYPE_IDENTIFIABLE","?REFERENTIAL"),"_")))))</f>
        <v> </v>
      </c>
      <c r="H5574" s="25" t="str">
        <f>IF(J5574&lt;&gt;1,"",IF(I5574="SBJ","CB","?"))</f>
        <v> </v>
      </c>
      <c r="I5574" s="26" t="str">
        <f>IF(OR(E5574="",E5574="!!!",F5574="NEW"),"",INDEX(B5573:B$2,-1+SUMPRODUCT(MAX(ROW(E5573:E$2)*(E5574=E5573:E$2)))))</f>
        <v> </v>
      </c>
      <c r="J5574" s="26" t="str">
        <f>IF(OR(E5574="",E5574="!!!",F5574="NEW"),"",COUNTBLANK(OFFSET(A$1,,,SUMPRODUCT(MAX(ROW(E$2:E5574)*(E5574=E$2:E5574)))))-COUNTBLANK(OFFSET(A$1,,,SUMPRODUCT(MAX(ROW(E$1:E5573)*(E2=E$1:E5573))))))</f>
        <v> </v>
      </c>
      <c r="K5574" s="26" t="str">
        <f>IF(OR(E5574="",E5574="!!!",F5574="NEW"),"",INDEX(J$1:J5573,SUMPRODUCT(MAX(ROW(E$1:E5573)*(E5574=E$1:E5573)))))</f>
        <v> </v>
      </c>
      <c r="L5574" s="27"/>
    </row>
    <row r="5575" spans="1:12">
      <c r="A5575" s="20" t="s">
        <v>1101</v>
      </c>
      <c r="E5575" s="22">
        <f>IF(D5575="?OLD","!!!","")</f>
        <v/>
      </c>
      <c r="F5575" s="23" t="str">
        <f>IF(OR(E5575="",E5575="!!!"),"",IF(NOT(ISNA(VLOOKUP(E5575,E$1:E5574,1,FALSE()))),"OLD",IF(AND(E5575&lt;&gt;"",E5575&lt;&gt;"!!!"),"NEW","")))</f>
        <v> </v>
      </c>
      <c r="G5575" s="24" t="str">
        <f>IF(OR(E5575="",E5575="!!!"),"",IF(OR(J5575=0,AND(J5575=1,K5575=1),AND(J5575=1,I5575="SBJ"),AND(J5575=1,I5575=0)),"?IN_FOCUS",IF(J5575&lt;=2,"?ACTIVATED",IF(J5575&lt;&gt;"","?FAMILIAR",IF(F5575="NEW",IF(ISNA(VLOOKUP(E5575,#REF!,1,FALSE())),"?TYPE_IDENTIFIABLE","?REFERENTIAL"),"_")))))</f>
        <v> </v>
      </c>
      <c r="H5575" s="25" t="str">
        <f>IF(J5575&lt;&gt;1,"",IF(I5575="SBJ","CB","?"))</f>
        <v> </v>
      </c>
      <c r="I5575" s="26" t="str">
        <f>IF(OR(E5575="",E5575="!!!",F5575="NEW"),"",INDEX(B5574:B$2,-1+SUMPRODUCT(MAX(ROW(E5574:E$2)*(E5575=E5574:E$2)))))</f>
        <v> </v>
      </c>
      <c r="J5575" s="26" t="str">
        <f>IF(OR(E5575="",E5575="!!!",F5575="NEW"),"",COUNTBLANK(OFFSET(A$1,,,SUMPRODUCT(MAX(ROW(E$2:E5575)*(E5575=E$2:E5575)))))-COUNTBLANK(OFFSET(A$1,,,SUMPRODUCT(MAX(ROW(E$1:E5574)*(E2=E$1:E5574))))))</f>
        <v> </v>
      </c>
      <c r="K5575" s="26" t="str">
        <f>IF(OR(E5575="",E5575="!!!",F5575="NEW"),"",INDEX(J$1:J5574,SUMPRODUCT(MAX(ROW(E$1:E5574)*(E5575=E$1:E5574)))))</f>
        <v> </v>
      </c>
      <c r="L5575" s="27"/>
    </row>
    <row r="5576" spans="1:12">
      <c r="A5576" s="20" t="s">
        <v>2569</v>
      </c>
      <c r="E5576" s="22">
        <f>IF(D5576="?OLD","!!!","")</f>
        <v/>
      </c>
      <c r="F5576" s="23" t="str">
        <f>IF(OR(E5576="",E5576="!!!"),"",IF(NOT(ISNA(VLOOKUP(E5576,E$1:E5575,1,FALSE()))),"OLD",IF(AND(E5576&lt;&gt;"",E5576&lt;&gt;"!!!"),"NEW","")))</f>
        <v> </v>
      </c>
      <c r="G5576" s="24" t="str">
        <f>IF(OR(E5576="",E5576="!!!"),"",IF(OR(J5576=0,AND(J5576=1,K5576=1),AND(J5576=1,I5576="SBJ"),AND(J5576=1,I5576=0)),"?IN_FOCUS",IF(J5576&lt;=2,"?ACTIVATED",IF(J5576&lt;&gt;"","?FAMILIAR",IF(F5576="NEW",IF(ISNA(VLOOKUP(E5576,#REF!,1,FALSE())),"?TYPE_IDENTIFIABLE","?REFERENTIAL"),"_")))))</f>
        <v> </v>
      </c>
      <c r="H5576" s="25" t="str">
        <f>IF(J5576&lt;&gt;1,"",IF(I5576="SBJ","CB","?"))</f>
        <v> </v>
      </c>
      <c r="I5576" s="26" t="str">
        <f>IF(OR(E5576="",E5576="!!!",F5576="NEW"),"",INDEX(B5575:B$2,-1+SUMPRODUCT(MAX(ROW(E5575:E$2)*(E5576=E5575:E$2)))))</f>
        <v> </v>
      </c>
      <c r="J5576" s="26" t="str">
        <f>IF(OR(E5576="",E5576="!!!",F5576="NEW"),"",COUNTBLANK(OFFSET(A$1,,,SUMPRODUCT(MAX(ROW(E$2:E5576)*(E5576=E$2:E5576)))))-COUNTBLANK(OFFSET(A$1,,,SUMPRODUCT(MAX(ROW(E$1:E5575)*(E2=E$1:E5575))))))</f>
        <v> </v>
      </c>
      <c r="K5576" s="26" t="str">
        <f>IF(OR(E5576="",E5576="!!!",F5576="NEW"),"",INDEX(J$1:J5575,SUMPRODUCT(MAX(ROW(E$1:E5575)*(E5576=E$1:E5575)))))</f>
        <v> </v>
      </c>
      <c r="L5576" s="27"/>
    </row>
    <row r="5577" spans="1:12">
      <c r="A5577" s="20" t="s">
        <v>1326</v>
      </c>
      <c r="B5577" s="21" t="s">
        <v>2570</v>
      </c>
      <c r="C5577" s="21" t="s">
        <v>1140</v>
      </c>
      <c r="D5577" s="21" t="s">
        <v>1060</v>
      </c>
      <c r="E5577" s="22">
        <f>IF(D5577="?OLD","!!!","")</f>
        <v/>
      </c>
      <c r="F5577" s="23" t="str">
        <f>IF(OR(E5577="",E5577="!!!"),"",IF(NOT(ISNA(VLOOKUP(E5577,E$1:E5576,1,FALSE()))),"OLD",IF(AND(E5577&lt;&gt;"",E5577&lt;&gt;"!!!"),"NEW","")))</f>
        <v> </v>
      </c>
      <c r="G5577" s="24" t="str">
        <f>IF(OR(E5577="",E5577="!!!"),"",IF(OR(J5577=0,AND(J5577=1,K5577=1),AND(J5577=1,I5577="SBJ"),AND(J5577=1,I5577=0)),"?IN_FOCUS",IF(J5577&lt;=2,"?ACTIVATED",IF(J5577&lt;&gt;"","?FAMILIAR",IF(F5577="NEW",IF(ISNA(VLOOKUP(E5577,#REF!,1,FALSE())),"?TYPE_IDENTIFIABLE","?REFERENTIAL"),"_")))))</f>
        <v> </v>
      </c>
      <c r="H5577" s="25" t="str">
        <f>IF(J5577&lt;&gt;1,"",IF(I5577="SBJ","CB","?"))</f>
        <v> </v>
      </c>
      <c r="I5577" s="26" t="str">
        <f>IF(OR(E5577="",E5577="!!!",F5577="NEW"),"",INDEX(B5576:B$2,-1+SUMPRODUCT(MAX(ROW(E5576:E$2)*(E5577=E5576:E$2)))))</f>
        <v> </v>
      </c>
      <c r="J5577" s="26" t="str">
        <f>IF(OR(E5577="",E5577="!!!",F5577="NEW"),"",COUNTBLANK(OFFSET(A$1,,,SUMPRODUCT(MAX(ROW(E$2:E5577)*(E5577=E$2:E5577)))))-COUNTBLANK(OFFSET(A$1,,,SUMPRODUCT(MAX(ROW(E$1:E5576)*(E2=E$1:E5576))))))</f>
        <v> </v>
      </c>
      <c r="K5577" s="26" t="str">
        <f>IF(OR(E5577="",E5577="!!!",F5577="NEW"),"",INDEX(J$1:J5576,SUMPRODUCT(MAX(ROW(E$1:E5576)*(E5577=E$1:E5576)))))</f>
        <v> </v>
      </c>
      <c r="L5577" s="27"/>
    </row>
    <row r="5578" spans="1:12">
      <c r="A5578" s="20" t="s">
        <v>1061</v>
      </c>
      <c r="E5578" s="22">
        <f>IF(D5578="?OLD","!!!","")</f>
        <v/>
      </c>
      <c r="F5578" s="23" t="str">
        <f>IF(OR(E5578="",E5578="!!!"),"",IF(NOT(ISNA(VLOOKUP(E5578,E$1:E5577,1,FALSE()))),"OLD",IF(AND(E5578&lt;&gt;"",E5578&lt;&gt;"!!!"),"NEW","")))</f>
        <v> </v>
      </c>
      <c r="G5578" s="24" t="str">
        <f>IF(OR(E5578="",E5578="!!!"),"",IF(OR(J5578=0,AND(J5578=1,K5578=1),AND(J5578=1,I5578="SBJ"),AND(J5578=1,I5578=0)),"?IN_FOCUS",IF(J5578&lt;=2,"?ACTIVATED",IF(J5578&lt;&gt;"","?FAMILIAR",IF(F5578="NEW",IF(ISNA(VLOOKUP(E5578,#REF!,1,FALSE())),"?TYPE_IDENTIFIABLE","?REFERENTIAL"),"_")))))</f>
        <v> </v>
      </c>
      <c r="H5578" s="25" t="str">
        <f>IF(J5578&lt;&gt;1,"",IF(I5578="SBJ","CB","?"))</f>
        <v> </v>
      </c>
      <c r="I5578" s="26" t="str">
        <f>IF(OR(E5578="",E5578="!!!",F5578="NEW"),"",INDEX(B5577:B$2,-1+SUMPRODUCT(MAX(ROW(E5577:E$2)*(E5578=E5577:E$2)))))</f>
        <v> </v>
      </c>
      <c r="J5578" s="26" t="str">
        <f>IF(OR(E5578="",E5578="!!!",F5578="NEW"),"",COUNTBLANK(OFFSET(A$1,,,SUMPRODUCT(MAX(ROW(E$2:E5578)*(E5578=E$2:E5578)))))-COUNTBLANK(OFFSET(A$1,,,SUMPRODUCT(MAX(ROW(E$1:E5577)*(E2=E$1:E5577))))))</f>
        <v> </v>
      </c>
      <c r="K5578" s="26" t="str">
        <f>IF(OR(E5578="",E5578="!!!",F5578="NEW"),"",INDEX(J$1:J5577,SUMPRODUCT(MAX(ROW(E$1:E5577)*(E5578=E$1:E5577)))))</f>
        <v> </v>
      </c>
      <c r="L5578" s="27"/>
    </row>
    <row r="5579" spans="1:12">
      <c r="A5579" s="20" t="s">
        <v>1101</v>
      </c>
      <c r="E5579" s="22">
        <f>IF(D5579="?OLD","!!!","")</f>
        <v/>
      </c>
      <c r="F5579" s="23" t="str">
        <f>IF(OR(E5579="",E5579="!!!"),"",IF(NOT(ISNA(VLOOKUP(E5579,E$1:E5578,1,FALSE()))),"OLD",IF(AND(E5579&lt;&gt;"",E5579&lt;&gt;"!!!"),"NEW","")))</f>
        <v> </v>
      </c>
      <c r="G5579" s="24" t="str">
        <f>IF(OR(E5579="",E5579="!!!"),"",IF(OR(J5579=0,AND(J5579=1,K5579=1),AND(J5579=1,I5579="SBJ"),AND(J5579=1,I5579=0)),"?IN_FOCUS",IF(J5579&lt;=2,"?ACTIVATED",IF(J5579&lt;&gt;"","?FAMILIAR",IF(F5579="NEW",IF(ISNA(VLOOKUP(E5579,#REF!,1,FALSE())),"?TYPE_IDENTIFIABLE","?REFERENTIAL"),"_")))))</f>
        <v> </v>
      </c>
      <c r="H5579" s="25" t="str">
        <f>IF(J5579&lt;&gt;1,"",IF(I5579="SBJ","CB","?"))</f>
        <v> </v>
      </c>
      <c r="I5579" s="26" t="str">
        <f>IF(OR(E5579="",E5579="!!!",F5579="NEW"),"",INDEX(B5578:B$2,-1+SUMPRODUCT(MAX(ROW(E5578:E$2)*(E5579=E5578:E$2)))))</f>
        <v> </v>
      </c>
      <c r="J5579" s="26" t="str">
        <f>IF(OR(E5579="",E5579="!!!",F5579="NEW"),"",COUNTBLANK(OFFSET(A$1,,,SUMPRODUCT(MAX(ROW(E$2:E5579)*(E5579=E$2:E5579)))))-COUNTBLANK(OFFSET(A$1,,,SUMPRODUCT(MAX(ROW(E$1:E5578)*(E2=E$1:E5578))))))</f>
        <v> </v>
      </c>
      <c r="K5579" s="26" t="str">
        <f>IF(OR(E5579="",E5579="!!!",F5579="NEW"),"",INDEX(J$1:J5578,SUMPRODUCT(MAX(ROW(E$1:E5578)*(E5579=E$1:E5578)))))</f>
        <v> </v>
      </c>
      <c r="L5579" s="27"/>
    </row>
    <row r="5580" spans="1:12">
      <c r="A5580" s="20" t="s">
        <v>1213</v>
      </c>
      <c r="B5580" s="21" t="s">
        <v>2571</v>
      </c>
      <c r="C5580" s="21" t="s">
        <v>1140</v>
      </c>
      <c r="D5580" s="21" t="s">
        <v>1060</v>
      </c>
      <c r="E5580" s="22">
        <f>IF(D5580="?OLD","!!!","")</f>
        <v/>
      </c>
      <c r="F5580" s="23" t="str">
        <f>IF(OR(E5580="",E5580="!!!"),"",IF(NOT(ISNA(VLOOKUP(E5580,E$1:E5579,1,FALSE()))),"OLD",IF(AND(E5580&lt;&gt;"",E5580&lt;&gt;"!!!"),"NEW","")))</f>
        <v> </v>
      </c>
      <c r="G5580" s="24" t="str">
        <f>IF(OR(E5580="",E5580="!!!"),"",IF(OR(J5580=0,AND(J5580=1,K5580=1),AND(J5580=1,I5580="SBJ"),AND(J5580=1,I5580=0)),"?IN_FOCUS",IF(J5580&lt;=2,"?ACTIVATED",IF(J5580&lt;&gt;"","?FAMILIAR",IF(F5580="NEW",IF(ISNA(VLOOKUP(E5580,#REF!,1,FALSE())),"?TYPE_IDENTIFIABLE","?REFERENTIAL"),"_")))))</f>
        <v> </v>
      </c>
      <c r="H5580" s="25" t="str">
        <f>IF(J5580&lt;&gt;1,"",IF(I5580="SBJ","CB","?"))</f>
        <v> </v>
      </c>
      <c r="I5580" s="26" t="str">
        <f>IF(OR(E5580="",E5580="!!!",F5580="NEW"),"",INDEX(B5579:B$2,-1+SUMPRODUCT(MAX(ROW(E5579:E$2)*(E5580=E5579:E$2)))))</f>
        <v> </v>
      </c>
      <c r="J5580" s="26" t="str">
        <f>IF(OR(E5580="",E5580="!!!",F5580="NEW"),"",COUNTBLANK(OFFSET(A$1,,,SUMPRODUCT(MAX(ROW(E$2:E5580)*(E5580=E$2:E5580)))))-COUNTBLANK(OFFSET(A$1,,,SUMPRODUCT(MAX(ROW(E$1:E5579)*(E2=E$1:E5579))))))</f>
        <v> </v>
      </c>
      <c r="K5580" s="26" t="str">
        <f>IF(OR(E5580="",E5580="!!!",F5580="NEW"),"",INDEX(J$1:J5579,SUMPRODUCT(MAX(ROW(E$1:E5579)*(E5580=E$1:E5579)))))</f>
        <v> </v>
      </c>
      <c r="L5580" s="27"/>
    </row>
    <row r="5581" spans="1:12">
      <c r="A5581" s="20" t="s">
        <v>923</v>
      </c>
      <c r="E5581" s="22">
        <f>IF(D5581="?OLD","!!!","")</f>
        <v/>
      </c>
      <c r="F5581" s="23" t="str">
        <f>IF(OR(E5581="",E5581="!!!"),"",IF(NOT(ISNA(VLOOKUP(E5581,E$1:E5580,1,FALSE()))),"OLD",IF(AND(E5581&lt;&gt;"",E5581&lt;&gt;"!!!"),"NEW","")))</f>
        <v> </v>
      </c>
      <c r="G5581" s="24" t="str">
        <f>IF(OR(E5581="",E5581="!!!"),"",IF(OR(J5581=0,AND(J5581=1,K5581=1),AND(J5581=1,I5581="SBJ"),AND(J5581=1,I5581=0)),"?IN_FOCUS",IF(J5581&lt;=2,"?ACTIVATED",IF(J5581&lt;&gt;"","?FAMILIAR",IF(F5581="NEW",IF(ISNA(VLOOKUP(E5581,#REF!,1,FALSE())),"?TYPE_IDENTIFIABLE","?REFERENTIAL"),"_")))))</f>
        <v> </v>
      </c>
      <c r="H5581" s="25" t="str">
        <f>IF(J5581&lt;&gt;1,"",IF(I5581="SBJ","CB","?"))</f>
        <v> </v>
      </c>
      <c r="I5581" s="26" t="str">
        <f>IF(OR(E5581="",E5581="!!!",F5581="NEW"),"",INDEX(B5580:B$2,-1+SUMPRODUCT(MAX(ROW(E5580:E$2)*(E5581=E5580:E$2)))))</f>
        <v> </v>
      </c>
      <c r="J5581" s="26" t="str">
        <f>IF(OR(E5581="",E5581="!!!",F5581="NEW"),"",COUNTBLANK(OFFSET(A$1,,,SUMPRODUCT(MAX(ROW(E$2:E5581)*(E5581=E$2:E5581)))))-COUNTBLANK(OFFSET(A$1,,,SUMPRODUCT(MAX(ROW(E$1:E5580)*(E2=E$1:E5580))))))</f>
        <v> </v>
      </c>
      <c r="K5581" s="26" t="str">
        <f>IF(OR(E5581="",E5581="!!!",F5581="NEW"),"",INDEX(J$1:J5580,SUMPRODUCT(MAX(ROW(E$1:E5580)*(E5581=E$1:E5580)))))</f>
        <v> </v>
      </c>
      <c r="L5581" s="27"/>
    </row>
    <row r="5582" spans="1:12">
      <c r="A5582"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2025-07-10T18:06:14Z</dcterms:created>
  <dcterms:modified xsi:type="dcterms:W3CDTF">2025-07-10T18:06:14Z</dcterms:modified>
</cp:coreProperties>
</file>