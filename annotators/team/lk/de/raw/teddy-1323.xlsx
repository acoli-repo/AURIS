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<sst xmlns="http://schemas.openxmlformats.org/spreadsheetml/2006/main" count="12131" uniqueCount="2587">
  <si>
    <t>ID</t>
  </si>
  <si>
    <t>PRED_ID</t>
  </si>
  <si>
    <t>MARKER_AUTO</t>
  </si>
  <si>
    <t>PREDICATE</t>
  </si>
  <si>
    <t>TEXT</t>
  </si>
  <si>
    <t>SENTENCE</t>
  </si>
  <si>
    <t>MARKER</t>
  </si>
  <si>
    <t>TARGET</t>
  </si>
  <si>
    <t>RELATION</t>
  </si>
  <si>
    <t>COMMENT</t>
  </si>
  <si>
    <t>1</t>
  </si>
  <si>
    <t>3</t>
  </si>
  <si>
    <t>_</t>
  </si>
  <si>
    <t>fühlen</t>
  </si>
  <si>
    <t>&amp;quot; Ich fühlt ' Begräbnis im in dem Gehirn und Trauergäste her und hin die trampelten und trampelten in meinem Kopfe schwer , bis ich fühlte , dass ich wieder zu Sinnen kam .</t>
  </si>
  <si>
    <t>file://conllu/de/teddy-1323.conllu#s1_0</t>
  </si>
  <si>
    <t>2</t>
  </si>
  <si>
    <t>7</t>
  </si>
  <si>
    <t>ertönen</t>
  </si>
  <si>
    <t>Und sobald sie alle saßen , ertönt eine Andacht , trommelgleich , sie hörte nicht auf zu schlagen , schlagen , und schlug das Hirn mir weich .</t>
  </si>
  <si>
    <t>file://conllu/de/teddy-1323.conllu#s2_0</t>
  </si>
  <si>
    <t>hören</t>
  </si>
  <si>
    <t>Ich hörte sie heben eine Kiste und über meine Seele knarzen wieder mit den gleichen Bleistiefeln , dann begann der Raum zu klingen , als wäre der Himmel eine Glocke und die Existenz ein Ohr , und ich und die Stille eine sonderbare Rasse , ruiniert , einsam , hier .</t>
  </si>
  <si>
    <t>file://conllu/de/teddy-1323.conllu#s3_0</t>
  </si>
  <si>
    <t>4</t>
  </si>
  <si>
    <t>brechen</t>
  </si>
  <si>
    <t>Genau dann bricht eine Planke in der Vernunft und ich fiel immer tiefer und treffe bei jedem Fall auf eine andere Welt und hörte damit auf , zu wissen . &amp;quot;</t>
  </si>
  <si>
    <t>file://conllu/de/teddy-1323.conllu#s4_0</t>
  </si>
  <si>
    <t>5</t>
  </si>
  <si>
    <t>kennen</t>
  </si>
  <si>
    <t>Wir kennen Depressionen durch Metaphern .</t>
  </si>
  <si>
    <t>file://conllu/de/teddy-1323.conllu#s5_0</t>
  </si>
  <si>
    <t>6</t>
  </si>
  <si>
    <t>Durch?</t>
  </si>
  <si>
    <t>vermitteln</t>
  </si>
  <si>
    <t>Emily Dickinson konnte es durch Sprache vermitteln , Goya mittels eines Bildes .</t>
  </si>
  <si>
    <t>file://conllu/de/teddy-1323.conllu#s6_0</t>
  </si>
  <si>
    <t>sein</t>
  </si>
  <si>
    <t>Die Intention von Kunst ist zur zu der Hälfte , solche ikonischen Zustände zu beschreiben .</t>
  </si>
  <si>
    <t>file://conllu/de/teddy-1323.conllu#s7_0</t>
  </si>
  <si>
    <t>8</t>
  </si>
  <si>
    <t>halten</t>
  </si>
  <si>
    <t>Ich selbst hielt mich immer für taff , für einen der Menschen , der überleben würde , wenn er in ein Konzentrationslager geschickt würde .</t>
  </si>
  <si>
    <t>file://conllu/de/teddy-1323.conllu#s8_0</t>
  </si>
  <si>
    <t>9</t>
  </si>
  <si>
    <t>erleiden</t>
  </si>
  <si>
    <t>1991 erlitt ich zahlreiche Verluste .</t>
  </si>
  <si>
    <t>file://conllu/de/teddy-1323.conllu#s9_0</t>
  </si>
  <si>
    <t>10</t>
  </si>
  <si>
    <t>sterben</t>
  </si>
  <si>
    <t>Meine Mutter starb , meine Beziehung endete , ich zog , nach einigen Jahren im in dem Ausland , in die USA zurück , und ich überstand all diese Erfahrungen unversehrt .</t>
  </si>
  <si>
    <t>file://conllu/de/teddy-1323.conllu#s10_0</t>
  </si>
  <si>
    <t>11</t>
  </si>
  <si>
    <t>verlieren</t>
  </si>
  <si>
    <t>Aber 1994 , drei Jahre später , verlor ich das Interesse an fast allen Dingen .</t>
  </si>
  <si>
    <t>file://conllu/de/teddy-1323.conllu#s11_0</t>
  </si>
  <si>
    <t>12</t>
  </si>
  <si>
    <t>Warum?</t>
  </si>
  <si>
    <t>machen</t>
  </si>
  <si>
    <t>Ich wollte nichts mehr von den Dingen machen , die ich zuvor tun wollte , und ich wusste nicht warum .</t>
  </si>
  <si>
    <t>file://conllu/de/teddy-1323.conllu#s12_0</t>
  </si>
  <si>
    <t>13</t>
  </si>
  <si>
    <t>sein (sein Glück)</t>
  </si>
  <si>
    <t>Das Gegenteil von Depressionen ist nicht Glück , sondern Vitalität , und gerade die Vitalität schien in diesem Moment aus mir heraus zu sickern .</t>
  </si>
  <si>
    <t>file://conllu/de/teddy-1323.conllu#s13_0</t>
  </si>
  <si>
    <t>14</t>
  </si>
  <si>
    <t>scheinen</t>
  </si>
  <si>
    <t>Alles , was zu tun war , schien zu viel Arbeit .</t>
  </si>
  <si>
    <t>file://conllu/de/teddy-1323.conllu#s14_0</t>
  </si>
  <si>
    <t>15</t>
  </si>
  <si>
    <t>Wenn ich nach Hause kam und das rote Licht meines Anrufbeantworters blinken sah , war ich nicht begeistert von meinen Freunden zu hören , sondern dachte : &amp;quot; Das sind viele Leute , die ich zurückrufen muss . &amp;quot;</t>
  </si>
  <si>
    <t>file://conllu/de/teddy-1323.conllu#s15_0</t>
  </si>
  <si>
    <t>16</t>
  </si>
  <si>
    <t>denken (denken entscheiden)</t>
  </si>
  <si>
    <t>Oder ich entschied zu Mittag zu essen , und dann dachte ich , dass ich dafür das Essen rausholen und es auf einen Teller tun muss , es schneiden und kauen und schlucken muss , und das fühlte sich für mich wie ein Kreuzweg an .</t>
  </si>
  <si>
    <t>file://conllu/de/teddy-1323.conllu#s16_0</t>
  </si>
  <si>
    <t>17</t>
  </si>
  <si>
    <t>übersehen</t>
  </si>
  <si>
    <t>Wenn über Depressionen diskutiert wird , wird oft übersehen , dass man weiß , dass es lächerlich ist .</t>
  </si>
  <si>
    <t>file://conllu/de/teddy-1323.conllu#s17_0</t>
  </si>
  <si>
    <t>18</t>
  </si>
  <si>
    <t>wissen</t>
  </si>
  <si>
    <t>Man weiß , dass es lächerlich ist , während man es erlebt .</t>
  </si>
  <si>
    <t>file://conllu/de/teddy-1323.conllu#s18_0</t>
  </si>
  <si>
    <t>19</t>
  </si>
  <si>
    <t>Man weiß , dass die meisten Menschen es schaffen , ihre Nachrichten abzuhören , Mittag zu essen , sich selbst dazu zu bringen , zu duschen und aus dem Haus zu gehen , und das es keine große Sache ist , aber dennoch ist man in ihren Fängen und unfähig , einen Weg drum herum zu finden .</t>
  </si>
  <si>
    <t>file://conllu/de/teddy-1323.conllu#s19_0</t>
  </si>
  <si>
    <t>20</t>
  </si>
  <si>
    <t>beginnen</t>
  </si>
  <si>
    <t>Ich begann immer weniger zu tun , immer weniger zu denken und weniger zu fühlen .</t>
  </si>
  <si>
    <t>file://conllu/de/teddy-1323.conllu#s20_0</t>
  </si>
  <si>
    <t>21</t>
  </si>
  <si>
    <t>sein (sein Art)</t>
  </si>
  <si>
    <t>Es war eine Art Nichtigkeit .</t>
  </si>
  <si>
    <t>file://conllu/de/teddy-1323.conllu#s21_0</t>
  </si>
  <si>
    <t>22</t>
  </si>
  <si>
    <t>setzen</t>
  </si>
  <si>
    <t>Und dann setzte die Angst ein .</t>
  </si>
  <si>
    <t>file://conllu/de/teddy-1323.conllu#s22_0</t>
  </si>
  <si>
    <t>23</t>
  </si>
  <si>
    <t>sagen</t>
  </si>
  <si>
    <t>Wenn man mir gesagt hätte , dass ich in den nächsten Monaten depressiv sein würde , hätte ich gesagt : &amp;quot; Solange es im in dem November vorbei ist , schaffe ich das . &amp;quot;</t>
  </si>
  <si>
    <t>file://conllu/de/teddy-1323.conllu#s23_0</t>
  </si>
  <si>
    <t>24</t>
  </si>
  <si>
    <t>haben</t>
  </si>
  <si>
    <t>Aber wenn man mir gesagt hätte : &amp;quot; Sie haben den nächsten Monat akute Angstzustände &amp;quot; , würde ich eher mein Handgelenk aufschlitzen , als das durchzustehen .</t>
  </si>
  <si>
    <t>file://conllu/de/teddy-1323.conllu#s24_0</t>
  </si>
  <si>
    <t>25</t>
  </si>
  <si>
    <t>Ich hatte ständig dieses Gefühl , das man hat , wenn man läuft und rutscht oder stolpert und der Boden auf einen zukommt , aber anstatt dass es eine halbe Sekunde anhält , wie normalerweise , hielt es sechs Monate an .</t>
  </si>
  <si>
    <t>file://conllu/de/teddy-1323.conllu#s25_0</t>
  </si>
  <si>
    <t>26</t>
  </si>
  <si>
    <t>sein (sein Gefühl)</t>
  </si>
  <si>
    <t>Es ist ein Gefühl der ständigen Angst , ohne dass man überhaupt weiß , wovor man Angst hat .</t>
  </si>
  <si>
    <t>file://conllu/de/teddy-1323.conllu#s26_0</t>
  </si>
  <si>
    <t>27</t>
  </si>
  <si>
    <t>sein (sein beginnen)</t>
  </si>
  <si>
    <t>Und an diesem Punkt begann ich zu denken , dass es einfach zu schmerzhaft ist , am an dem Leben zu sein , und dass der einzige Grund , sich nicht umzubringen , darin bestand , anderen Menschen nicht weh zu tun .</t>
  </si>
  <si>
    <t>file://conllu/de/teddy-1323.conllu#s27_0</t>
  </si>
  <si>
    <t>28</t>
  </si>
  <si>
    <t>wachen</t>
  </si>
  <si>
    <t>Eines Tages wachte ich schließlich auf und dachte , ich hätte vielleicht einen Schlaganfall , weil ich komplett gelähmt im in dem Bett lag , das Telefon ansah und dachte : &amp;quot; Etwas stimmt nicht und ich sollte Hilfe holen . &amp;quot;</t>
  </si>
  <si>
    <t>file://conllu/de/teddy-1323.conllu#s28_0</t>
  </si>
  <si>
    <t>29</t>
  </si>
  <si>
    <t>ausstrecken</t>
  </si>
  <si>
    <t>Ich konnte meinen Arm nicht ausstrecken und das Telefon abheben und wählen .</t>
  </si>
  <si>
    <t>file://conllu/de/teddy-1323.conllu#s29_0</t>
  </si>
  <si>
    <t>30</t>
  </si>
  <si>
    <t>Nachdem?</t>
  </si>
  <si>
    <t>klingeln</t>
  </si>
  <si>
    <t>Nachdem ich volle 4 Stunden dagelegen und es angestarrt hatte , klingelte endlich das Telefon , und irgendwie schaffte ich es dranzugehen .</t>
  </si>
  <si>
    <t>file://conllu/de/teddy-1323.conllu#s30_0</t>
  </si>
  <si>
    <t>31</t>
  </si>
  <si>
    <t>sein (sein Vater)</t>
  </si>
  <si>
    <t>Es war mein Vater und ich sagte : &amp;quot; Ich habe ernsthafte Probleme .</t>
  </si>
  <si>
    <t>file://conllu/de/teddy-1323.conllu#s31_0</t>
  </si>
  <si>
    <t>32</t>
  </si>
  <si>
    <t>tun</t>
  </si>
  <si>
    <t>Wir müssen etwas tun . &amp;quot;</t>
  </si>
  <si>
    <t>file://conllu/de/teddy-1323.conllu#s32_0</t>
  </si>
  <si>
    <t>34</t>
  </si>
  <si>
    <t>Und ich begann auch mir diese furchtbare Frage zu stellen : Wenn ich nicht die starke Person bin , die ein Konzentrationslager überstanden hätte , wer bin ich dann ?</t>
  </si>
  <si>
    <t>file://conllu/de/teddy-1323.conllu#s34_0</t>
  </si>
  <si>
    <t>35</t>
  </si>
  <si>
    <t>Und wenn ich Medikamente nehmen muss , machen die Medikamente mich mehr zu mir selbst oder machen sie mich zu jemand anderem ?</t>
  </si>
  <si>
    <t>file://conllu/de/teddy-1323.conllu#s35_0</t>
  </si>
  <si>
    <t>36</t>
  </si>
  <si>
    <t>Was?</t>
  </si>
  <si>
    <t>Und was halte ich davon , wenn sie mich zu einem anderen machen ?</t>
  </si>
  <si>
    <t>file://conllu/de/teddy-1323.conllu#s36_0</t>
  </si>
  <si>
    <t>37</t>
  </si>
  <si>
    <t>geben</t>
  </si>
  <si>
    <t>Es gab zwei Vorteile für mich , als ich den Kampf aufnahm .</t>
  </si>
  <si>
    <t>file://conllu/de/teddy-1323.conllu#s37_0</t>
  </si>
  <si>
    <t>38</t>
  </si>
  <si>
    <t>Erstens wusste ich , objektiv gesprochen , dass ich ein schönes Leben hatte und wenn ich nur gesund würde , wäre dort etwas am an dem anderen Ende , das lebenswert war .</t>
  </si>
  <si>
    <t>file://conllu/de/teddy-1323.conllu#s38_0</t>
  </si>
  <si>
    <t>39</t>
  </si>
  <si>
    <t>Darüber hinaus hatte ich Zugang zu guter Behandlung .</t>
  </si>
  <si>
    <t>file://conllu/de/teddy-1323.conllu#s39_0</t>
  </si>
  <si>
    <t>40</t>
  </si>
  <si>
    <t>kämpfen</t>
  </si>
  <si>
    <t>Aber trotzdem kämpfte ich mich raus und wurde rückfällig , kämpfte mich raus und schließlich verstand ich , dass ich auf ewig in medizinischer und therapeutischer Behandlung bleiben müsste .</t>
  </si>
  <si>
    <t>file://conllu/de/teddy-1323.conllu#s40_0</t>
  </si>
  <si>
    <t>41</t>
  </si>
  <si>
    <t>überlegt</t>
  </si>
  <si>
    <t>Ich überlegte : &amp;quot; Ist es ein chemisches oder ein psychologisches Problem ?</t>
  </si>
  <si>
    <t>file://conllu/de/teddy-1323.conllu#s41_0</t>
  </si>
  <si>
    <t>42</t>
  </si>
  <si>
    <t>heilen</t>
  </si>
  <si>
    <t>Und muss es auf chemische oder auf philosophische Weise geheilt werden ? &amp;quot;</t>
  </si>
  <si>
    <t>file://conllu/de/teddy-1323.conllu#s42_0</t>
  </si>
  <si>
    <t>43</t>
  </si>
  <si>
    <t>Frage</t>
  </si>
  <si>
    <t>Ich konnte die Frage , welches davon es war , nicht beantworten .</t>
  </si>
  <si>
    <t>file://conllu/de/teddy-1323.conllu#s43_0</t>
  </si>
  <si>
    <t>44</t>
  </si>
  <si>
    <t>verstehen</t>
  </si>
  <si>
    <t>Und dann verstand ich schließlich , dass wir in keinem Bereich fortgeschritten genug sind , um die Dinge ganz zu erklären .</t>
  </si>
  <si>
    <t>file://conllu/de/teddy-1323.conllu#s44_0</t>
  </si>
  <si>
    <t>45</t>
  </si>
  <si>
    <t>Die chemische und psychologische Behandlung haben beide eine Funktion , und ich verstand auch , dass Depressionen etwas sind , das so tief in uns verwurzelt ist , dass man sie nicht von unserem Charakter und unserer Persönlichkeit trennen kann .</t>
  </si>
  <si>
    <t>file://conllu/de/teddy-1323.conllu#s45_0</t>
  </si>
  <si>
    <t>46</t>
  </si>
  <si>
    <t>derzeitigen</t>
  </si>
  <si>
    <t>Unsere derzeitigen Behandlungsmethoden für Depressionen sind fürchterlich .</t>
  </si>
  <si>
    <t>file://conllu/de/teddy-1323.conllu#s46_0</t>
  </si>
  <si>
    <t>47</t>
  </si>
  <si>
    <t>sein (sein effektiv)</t>
  </si>
  <si>
    <t>Sie sind nicht besonders effektiv .</t>
  </si>
  <si>
    <t>file://conllu/de/teddy-1323.conllu#s47_0</t>
  </si>
  <si>
    <t>48</t>
  </si>
  <si>
    <t>sein (sein teuer)</t>
  </si>
  <si>
    <t>Sie sind extrem teuer .</t>
  </si>
  <si>
    <t>file://conllu/de/teddy-1323.conllu#s48_0</t>
  </si>
  <si>
    <t>49</t>
  </si>
  <si>
    <t>Sie haben unzählige Nebenwirkungen .</t>
  </si>
  <si>
    <t>file://conllu/de/teddy-1323.conllu#s49_0</t>
  </si>
  <si>
    <t>50</t>
  </si>
  <si>
    <t>sein (sein Desaster)</t>
  </si>
  <si>
    <t>Sie sind ein Desaster .</t>
  </si>
  <si>
    <t>file://conllu/de/teddy-1323.conllu#s50_0</t>
  </si>
  <si>
    <t>51</t>
  </si>
  <si>
    <t>sein (sein dankbar)</t>
  </si>
  <si>
    <t>Aber ich bin so dankbar , dass ich zur zu der heutigen Zeit lebe und nicht vor 50 Jahren , als beinahe gar nichts getan werden konnte .</t>
  </si>
  <si>
    <t>file://conllu/de/teddy-1323.conllu#s51_0</t>
  </si>
  <si>
    <t>52</t>
  </si>
  <si>
    <t>hoffen</t>
  </si>
  <si>
    <t>Ich hoffe , dass in 50 Jahren die Menschen von meinen Therapien hören und entsetzt sein werden , dass irgendjemand so eine primitive Wissenschaft erduldete .</t>
  </si>
  <si>
    <t>file://conllu/de/teddy-1323.conllu#s52_0</t>
  </si>
  <si>
    <t>53</t>
  </si>
  <si>
    <t>sein (sein Manko)</t>
  </si>
  <si>
    <t>Depressionen sind das Manko der Liebe .</t>
  </si>
  <si>
    <t>file://conllu/de/teddy-1323.conllu#s53_0</t>
  </si>
  <si>
    <t>54</t>
  </si>
  <si>
    <t>sein (sein verheiratet)</t>
  </si>
  <si>
    <t>Wäre man mit jemandem verheiratet und würde denken : &amp;quot; Wenn meine Frau stirbt , finde ich eine andere &amp;quot; , wäre es nicht die Liebe , wie wir sie kennen .</t>
  </si>
  <si>
    <t>file://conllu/de/teddy-1323.conllu#s54_0</t>
  </si>
  <si>
    <t>55</t>
  </si>
  <si>
    <t>Es gibt keine Liebe , ohne das Vorgefühl von Verlust , und dieses Schreckgespenst der Verzweiflung kann der Antrieb für Vertrautheit sein .</t>
  </si>
  <si>
    <t>file://conllu/de/teddy-1323.conllu#s55_0</t>
  </si>
  <si>
    <t>56</t>
  </si>
  <si>
    <t>Es gibt drei Dinge , die Menschen gerne verwechseln : Depressionen , Trauer und Traurigkeit .</t>
  </si>
  <si>
    <t>file://conllu/de/teddy-1323.conllu#s56_0</t>
  </si>
  <si>
    <t>57</t>
  </si>
  <si>
    <t>sein (sein reaktiv)</t>
  </si>
  <si>
    <t>Trauer ist ausdrücklich reaktiv .</t>
  </si>
  <si>
    <t>file://conllu/de/teddy-1323.conllu#s57_0</t>
  </si>
  <si>
    <t>58</t>
  </si>
  <si>
    <t>33</t>
  </si>
  <si>
    <t>sein (sein Trauer)</t>
  </si>
  <si>
    <t>Wenn Sie einen Verlust erleiden und sich unglaublich unglücklich fühlen , und dann , 6 Monate später , sind Sie immer noch zutiefst traurig , aber Sie funktionieren ein bisschen besser , ist es wahrscheinlich Trauer , und es wird sich wahrscheinlich letztendlich in gewissem Maße von alleine lösen .</t>
  </si>
  <si>
    <t>file://conllu/de/teddy-1323.conllu#s58_0</t>
  </si>
  <si>
    <t>59</t>
  </si>
  <si>
    <t>sein (sein Depression)</t>
  </si>
  <si>
    <t>Wenn Sie einen katastrophalen Verlust erleiden und sich schrecklich fühlen , und nach 6 Monaten kaum funktionieren können , dann sind es vielleicht Depressionen , die von den katastrophalen Umständen ausgelöst wurden .</t>
  </si>
  <si>
    <t>file://conllu/de/teddy-1323.conllu#s59_0</t>
  </si>
  <si>
    <t>60</t>
  </si>
  <si>
    <t>erzählen</t>
  </si>
  <si>
    <t>Der Verlauf erzählt uns eine Menge .</t>
  </si>
  <si>
    <t>file://conllu/de/teddy-1323.conllu#s60_0</t>
  </si>
  <si>
    <t>61</t>
  </si>
  <si>
    <t>denken</t>
  </si>
  <si>
    <t>Die Menschen denken , Depressionen wären einfach Traurigkeit .</t>
  </si>
  <si>
    <t>file://conllu/de/teddy-1323.conllu#s61_0</t>
  </si>
  <si>
    <t>62</t>
  </si>
  <si>
    <t>sein (sein Traurigkeit)</t>
  </si>
  <si>
    <t>Es ist viel zu viel Traurigkeit , viel zu viel Trauer aus einem viel zu nichtigen Grund .</t>
  </si>
  <si>
    <t>file://conllu/de/teddy-1323.conllu#s62_0</t>
  </si>
  <si>
    <t>63</t>
  </si>
  <si>
    <t>Ich machte mich daran , Depressionen zu verstehen und Menschen zu interviewen , die das erlebt hatten .</t>
  </si>
  <si>
    <t>file://conllu/de/teddy-1323.conllu#s63_0</t>
  </si>
  <si>
    <t>64</t>
  </si>
  <si>
    <t>entdecken</t>
  </si>
  <si>
    <t>Ich entdeckte , dass es Menschen gibt , die , oberflächlich betrachtet , relativ leichte Depressionen haben , die aber davon dennoch völlig ausgeschaltet sind .</t>
  </si>
  <si>
    <t>file://conllu/de/teddy-1323.conllu#s64_0</t>
  </si>
  <si>
    <t>65</t>
  </si>
  <si>
    <t>Und es gibt andere Menschen , die , so wie es klingt , furchtbar schwere Depressionen haben , und dennoch zwischen ihren depressiven Episoden ein schönes Leben hatten .</t>
  </si>
  <si>
    <t>file://conllu/de/teddy-1323.conllu#s65_0</t>
  </si>
  <si>
    <t>66</t>
  </si>
  <si>
    <t>versuchen</t>
  </si>
  <si>
    <t>Ich versuchte also herauszufinden , warum manche Menschen widerstandsfähiger sind als andere .</t>
  </si>
  <si>
    <t>file://conllu/de/teddy-1323.conllu#s66_0</t>
  </si>
  <si>
    <t>67</t>
  </si>
  <si>
    <t>sein (sein Mechanismus)</t>
  </si>
  <si>
    <t>Was sind die Mechanismen , die es Menschen ermöglichen , zu überleben ?</t>
  </si>
  <si>
    <t>file://conllu/de/teddy-1323.conllu#s67_0</t>
  </si>
  <si>
    <t>68</t>
  </si>
  <si>
    <t>gehen</t>
  </si>
  <si>
    <t>Ich ging also los und interviewte einen an Depressionen erkrankten Menschen nach dem anderen .</t>
  </si>
  <si>
    <t>file://conllu/de/teddy-1323.conllu#s68_0</t>
  </si>
  <si>
    <t>69</t>
  </si>
  <si>
    <t>erinnern (erinnern hören beschreiben)</t>
  </si>
  <si>
    <t>Einer der ersten Menschen , die ich interviewte , beschrieb Depressionen als eine andere Art Tod , und es war gut , dass ich das so früh hörte , denn es erinnerte mich daran , dass diese Art Tod zum zu dem wirklichen Tod führen kann , und daran , dass es eine ernst zunehmende Sache ist .</t>
  </si>
  <si>
    <t>file://conllu/de/teddy-1323.conllu#s69_0</t>
  </si>
  <si>
    <t>70</t>
  </si>
  <si>
    <t>sein (sein Behinderung)</t>
  </si>
  <si>
    <t>Es ist die am an dem weitesten verbreitete Behinderung und täglich sterben Menschen daran .</t>
  </si>
  <si>
    <t>file://conllu/de/teddy-1323.conllu#s70_0</t>
  </si>
  <si>
    <t>71</t>
  </si>
  <si>
    <t>sein (sein Freundin)</t>
  </si>
  <si>
    <t>Einer der Menschen , mit dem ich sprach als ich das zu verstehen versuchte , war eine geliebte Freundin , die ich schon seit vielen Jahren kannte , und die eine psychotische Episode in ihrem ersten Jahr am an dem College gehabt hatte , und dann in eine entsetzliche Depression verfallen war .</t>
  </si>
  <si>
    <t>file://conllu/de/teddy-1323.conllu#s71_0</t>
  </si>
  <si>
    <t>72</t>
  </si>
  <si>
    <t>Sie hatte eine bipolare Störung oder manische Depression , wie es damals hieß .</t>
  </si>
  <si>
    <t>file://conllu/de/teddy-1323.conllu#s72_0</t>
  </si>
  <si>
    <t>73</t>
  </si>
  <si>
    <t>Über viele Jahre hinweg ging es ihr mit Lithium sehr gut und schließlich wurde das Lithium abgesetzt , um zu sehen , wie sie ohne klar käme .</t>
  </si>
  <si>
    <t>file://conllu/de/teddy-1323.conllu#s73_0</t>
  </si>
  <si>
    <t>74</t>
  </si>
  <si>
    <t>Sie hatte eine weitere Psychose , und verfiel dann in die schwerste Depression , die ich jemals sah .</t>
  </si>
  <si>
    <t>file://conllu/de/teddy-1323.conllu#s74_0</t>
  </si>
  <si>
    <t>75</t>
  </si>
  <si>
    <t>sitzen</t>
  </si>
  <si>
    <t>Sie saß Tag für Tag mehr oder weniger katatonisch und im in dem Grunde bewegungslos in der Wohnung ihrer Eltern .</t>
  </si>
  <si>
    <t>file://conllu/de/teddy-1323.conllu#s75_0</t>
  </si>
  <si>
    <t>76</t>
  </si>
  <si>
    <t>singen (singen sagen)</t>
  </si>
  <si>
    <t>Als ich sie Jahre später über diese Erfahrung befragte sie ist die Dichterin und Psychotherapeutin Maggie Robbins sagte sie : &amp;quot; Ich sang immer wieder ' Where Have All The Flowers Gone ' , um meinen Geist zu beschäftigen .</t>
  </si>
  <si>
    <t>file://conllu/de/teddy-1323.conllu#s76_0</t>
  </si>
  <si>
    <t>77</t>
  </si>
  <si>
    <t>verstehen (verstehen sagen singen)</t>
  </si>
  <si>
    <t>Ich sang , um die Dinge auszulöschen , die mein Verstand mir sagte , Dinge wie ' Du bist nichts .</t>
  </si>
  <si>
    <t>file://conllu/de/teddy-1323.conllu#s77_0</t>
  </si>
  <si>
    <t>78</t>
  </si>
  <si>
    <t>sein (sein niemand)</t>
  </si>
  <si>
    <t>Du bist ein Niemand .</t>
  </si>
  <si>
    <t>file://conllu/de/teddy-1323.conllu#s78_0</t>
  </si>
  <si>
    <t>79</t>
  </si>
  <si>
    <t>verdiensen</t>
  </si>
  <si>
    <t>Du verdienst es nicht mal zu leben . '</t>
  </si>
  <si>
    <t>file://conllu/de/teddy-1323.conllu#s79_0</t>
  </si>
  <si>
    <t>80</t>
  </si>
  <si>
    <t>fangen</t>
  </si>
  <si>
    <t>Und da fing ich wirklich an , daran zu denken , mich umzubringen . &amp;quot;</t>
  </si>
  <si>
    <t>file://conllu/de/teddy-1323.conllu#s80_0</t>
  </si>
  <si>
    <t>81</t>
  </si>
  <si>
    <t>merken</t>
  </si>
  <si>
    <t>Während der Depressionen merkt man nicht , dass man einen grauen Schleier angelegt hat und die Welt durch diesen Schleier von schlechter Laune sieht .</t>
  </si>
  <si>
    <t>file://conllu/de/teddy-1323.conllu#s81_0</t>
  </si>
  <si>
    <t>82</t>
  </si>
  <si>
    <t>sehen (sehen denken)</t>
  </si>
  <si>
    <t>Man denkt , dass der Schleier entfernt wurde , der Schleier des Glücks , und dass man jetzt erst richtig sieht .</t>
  </si>
  <si>
    <t>file://conllu/de/teddy-1323.conllu#s82_0</t>
  </si>
  <si>
    <t>83</t>
  </si>
  <si>
    <t>helfen</t>
  </si>
  <si>
    <t>Es ist einfacher Schizophrenen zu helfen , die etwas Fremdes in sich selbst wahrnehmen , das ausgetrieben werden muss .</t>
  </si>
  <si>
    <t>file://conllu/de/teddy-1323.conllu#s83_0</t>
  </si>
  <si>
    <t>84</t>
  </si>
  <si>
    <t>sein (sein schwierig)</t>
  </si>
  <si>
    <t>Aber mit Depressiven ist es schwierig , denn wir denken , dass wir die Wahrheit sehen .</t>
  </si>
  <si>
    <t>file://conllu/de/teddy-1323.conllu#s84_0</t>
  </si>
  <si>
    <t>85</t>
  </si>
  <si>
    <t>lügen</t>
  </si>
  <si>
    <t>Aber die Wahrheit lügt .</t>
  </si>
  <si>
    <t>file://conllu/de/teddy-1323.conllu#s85_0</t>
  </si>
  <si>
    <t>86</t>
  </si>
  <si>
    <t>besitzen</t>
  </si>
  <si>
    <t>Ich war von diesem Satz besessen : &amp;quot; Aber die Wahrheit lügt . &amp;quot;</t>
  </si>
  <si>
    <t>file://conllu/de/teddy-1323.conllu#s86_0</t>
  </si>
  <si>
    <t>87</t>
  </si>
  <si>
    <t>stellen</t>
  </si>
  <si>
    <t>Aber ich stellte fest , als ich mit depressiven Menschen sprach , dass sie viele wahnhafte Wahrnehmungen haben .</t>
  </si>
  <si>
    <t>file://conllu/de/teddy-1323.conllu#s87_0</t>
  </si>
  <si>
    <t>88</t>
  </si>
  <si>
    <t>Menschen sagen etwa : &amp;quot; Niemand liebt mich . &amp;quot;</t>
  </si>
  <si>
    <t>file://conllu/de/teddy-1323.conllu#s88_0</t>
  </si>
  <si>
    <t>89</t>
  </si>
  <si>
    <t>Und man sagt : &amp;quot; Ich liebe dich , deine Frau liebt dich , deine Mutter liebt dich . &amp;quot;</t>
  </si>
  <si>
    <t>file://conllu/de/teddy-1323.conllu#s89_0</t>
  </si>
  <si>
    <t>90</t>
  </si>
  <si>
    <t>beantworten</t>
  </si>
  <si>
    <t>Man kann das ziemlich schnell beantworten , zumindest bei den meisten Menschen .</t>
  </si>
  <si>
    <t>file://conllu/de/teddy-1323.conllu#s90_0</t>
  </si>
  <si>
    <t>91</t>
  </si>
  <si>
    <t>Aber depressive Menschen werden auch sagen : &amp;quot; Egal , was wir machen , am an dem Ende werden wir alle sterben . &amp;quot;</t>
  </si>
  <si>
    <t>file://conllu/de/teddy-1323.conllu#s91_0</t>
  </si>
  <si>
    <t>92</t>
  </si>
  <si>
    <t>Oder sie werden sagen : &amp;quot; Es kann keine wahre Gemeinschaft zwischen zwei Menschen geben .</t>
  </si>
  <si>
    <t>file://conllu/de/teddy-1323.conllu#s92_0</t>
  </si>
  <si>
    <t>93</t>
  </si>
  <si>
    <t>sein (sein gefangen)</t>
  </si>
  <si>
    <t>Jeder von uns ist in seinem eigenen Körper gefangen . &amp;quot;</t>
  </si>
  <si>
    <t>file://conllu/de/teddy-1323.conllu#s93_0</t>
  </si>
  <si>
    <t>94</t>
  </si>
  <si>
    <t>Worauf man sagen muss : &amp;quot; Das ist wahr , aber ich denke wir sollten uns jetzt darauf konzentrieren , was es zum zu dem Frühstück geben soll . &amp;quot;</t>
  </si>
  <si>
    <t>file://conllu/de/teddy-1323.conllu#s94_0</t>
  </si>
  <si>
    <t>95</t>
  </si>
  <si>
    <t>bringen</t>
  </si>
  <si>
    <t>( Gelächter ) Die meiste Zeit bringen sie nicht die Krankheit , sondern Einsicht zum zu dem Ausdruck .</t>
  </si>
  <si>
    <t>file://conllu/de/teddy-1323.conllu#s95_0</t>
  </si>
  <si>
    <t>96</t>
  </si>
  <si>
    <t>Und man beginnt zu denken : Das wirklich Außergewöhnliche ist , dass die meisten von uns diese existenziellen Fragen kennen und sie uns nicht besonders beschäftigen .</t>
  </si>
  <si>
    <t>file://conllu/de/teddy-1323.conllu#s96_0</t>
  </si>
  <si>
    <t>97</t>
  </si>
  <si>
    <t>Es gab eine Studie , die ich besonders mochte , in der eine Gruppe depressiver und eine Gruppe nicht-depressiver Menschen gebeten wurden , eine Stunde lang ein Videospiel zu spielen , und am an dem Ende dieser Stunde wurden sie gefragt , wie viele kleine Monster sie meinten getötet zu haben .</t>
  </si>
  <si>
    <t>file://conllu/de/teddy-1323.conllu#s97_0</t>
  </si>
  <si>
    <t>98</t>
  </si>
  <si>
    <t>sein (sein meist)</t>
  </si>
  <si>
    <t>Die depressive Gruppe war meist , mit Abweichungen von ungefähr 10 Prozent , korrekt und die nicht-depressiven Menschen schätzten zwischen 15 und 20 Mal mehr kleine Monster ( Gelächter ) als sie tatsächlich getötet hatten .</t>
  </si>
  <si>
    <t>file://conllu/de/teddy-1323.conllu#s98_0</t>
  </si>
  <si>
    <t>99</t>
  </si>
  <si>
    <t>schreiben (schreiben beschließen sagen)</t>
  </si>
  <si>
    <t>Als ich beschloss , über meine Depressionen zu schreiben , sagten viele Menschen , dass es sehr schwierig sein müsse , sich öffentlich dazu zu bekennen , es die Leute wissen zu lassen .</t>
  </si>
  <si>
    <t>file://conllu/de/teddy-1323.conllu#s99_0</t>
  </si>
  <si>
    <t>100</t>
  </si>
  <si>
    <t>Sie sagten : &amp;quot; Reden die Leute anders mit Ihnen ? &amp;quot;</t>
  </si>
  <si>
    <t>file://conllu/de/teddy-1323.conllu#s100_0</t>
  </si>
  <si>
    <t>101</t>
  </si>
  <si>
    <t>Und ich sagte : &amp;quot; Ja , Menschen reden anders mit mir .</t>
  </si>
  <si>
    <t>file://conllu/de/teddy-1323.conllu#s101_0</t>
  </si>
  <si>
    <t>102</t>
  </si>
  <si>
    <t>reden</t>
  </si>
  <si>
    <t>Sie reden insofern anders mit mir , dass sie anfangen , mir von ihrer Erfahrung zu erzählen oder der Erfahrung ihrer Schwester , oder der Erfahrung eines Freundes .</t>
  </si>
  <si>
    <t>file://conllu/de/teddy-1323.conllu#s102_0</t>
  </si>
  <si>
    <t>103</t>
  </si>
  <si>
    <t>sein (sein anders)</t>
  </si>
  <si>
    <t>Die Dinge sind anders , denn jetzt weiß ich , dass Depressionen ein Familiengeheimnis sind , das jeder hat .</t>
  </si>
  <si>
    <t>file://conllu/de/teddy-1323.conllu#s103_0</t>
  </si>
  <si>
    <t>104</t>
  </si>
  <si>
    <t>Vor ein paar Jahren ging ich zu einer Konferenz und am an dem Freitag dieser 3-tägigen Konferenz nahm eine der Teilnehmerinnen mich zur zu der Seite und sie sagte zu mir : &amp;quot; Ich leide an Depressionen und ich schäme mich ein bisschen dafür , aber ich nehme diese Medikamente und ich möchte Sie fragen , was Sie darüber denken ? &amp;quot;</t>
  </si>
  <si>
    <t>file://conllu/de/teddy-1323.conllu#s104_0</t>
  </si>
  <si>
    <t>105</t>
  </si>
  <si>
    <t>bemühen</t>
  </si>
  <si>
    <t>Und ich bemühte mich , so weit ich konnte , ihr einen Rat zu geben .</t>
  </si>
  <si>
    <t>file://conllu/de/teddy-1323.conllu#s105_0</t>
  </si>
  <si>
    <t>106</t>
  </si>
  <si>
    <t>verstehen (verstehen sagen)</t>
  </si>
  <si>
    <t>Und dann sagte sie : &amp;quot; Wissen Sie , mein Mann würde das nie verstehen .</t>
  </si>
  <si>
    <t>file://conllu/de/teddy-1323.conllu#s106_0</t>
  </si>
  <si>
    <t>107</t>
  </si>
  <si>
    <t>sein (sein Typ)</t>
  </si>
  <si>
    <t>Er ist wirklich ein Typ , für den das keinen Sinn ergeben würde .</t>
  </si>
  <si>
    <t>file://conllu/de/teddy-1323.conllu#s107_0</t>
  </si>
  <si>
    <t>108</t>
  </si>
  <si>
    <t>bleiben</t>
  </si>
  <si>
    <t>Also , das sollte unter uns bleiben . &amp;quot;</t>
  </si>
  <si>
    <t>file://conllu/de/teddy-1323.conllu#s108_0</t>
  </si>
  <si>
    <t>109</t>
  </si>
  <si>
    <t>Und ich sagte : &amp;quot; Ja , das ist in Ordnung . &amp;quot;</t>
  </si>
  <si>
    <t>file://conllu/de/teddy-1323.conllu#s109_0</t>
  </si>
  <si>
    <t>111</t>
  </si>
  <si>
    <t>Aber ich habe mit Depressionen zu kämpfen und ich nehme einige Medikamente , und frage ich mich , was Sie denken . &amp;quot;</t>
  </si>
  <si>
    <t>file://conllu/de/teddy-1323.conllu#s111_0</t>
  </si>
  <si>
    <t>112</t>
  </si>
  <si>
    <t>verstecken</t>
  </si>
  <si>
    <t>Sie versteckten die gleichen Medikamente an zwei verschiedenen Orten im in dem selben Schlafzimmer .</t>
  </si>
  <si>
    <t>file://conllu/de/teddy-1323.conllu#s112_0</t>
  </si>
  <si>
    <t>113</t>
  </si>
  <si>
    <t>denken (denken sagen)</t>
  </si>
  <si>
    <t>Ich sagte , dass ich denke , dass die Kommunikation in der Ehe einige ihrer Probleme auslösen könnte .</t>
  </si>
  <si>
    <t>file://conllu/de/teddy-1323.conllu#s113_0</t>
  </si>
  <si>
    <t>114</t>
  </si>
  <si>
    <t>sein (sein bewußt)</t>
  </si>
  <si>
    <t>Aber mir wurde auch schlagartig bewusst , wie belastend so eine wechselseitige Heimlichkeit ist .</t>
  </si>
  <si>
    <t>file://conllu/de/teddy-1323.conllu#s114_0</t>
  </si>
  <si>
    <t>115</t>
  </si>
  <si>
    <t>sein (sein ermüdend)</t>
  </si>
  <si>
    <t>Depressionen sind so ermüdend .</t>
  </si>
  <si>
    <t>file://conllu/de/teddy-1323.conllu#s115_0</t>
  </si>
  <si>
    <t>116</t>
  </si>
  <si>
    <t>verbrauchen</t>
  </si>
  <si>
    <t>Sie verbrauchen so viel Zeit und Energie , und darüber zu schweigen verschlimmert die Depressionen noch .</t>
  </si>
  <si>
    <t>file://conllu/de/teddy-1323.conllu#s116_0</t>
  </si>
  <si>
    <t>117</t>
  </si>
  <si>
    <t>Und dann dachte ich über all die Arten nach , wie Menschen sich selbst verbessern .</t>
  </si>
  <si>
    <t>file://conllu/de/teddy-1323.conllu#s117_0</t>
  </si>
  <si>
    <t>118</t>
  </si>
  <si>
    <t>Ich begann als konservativer Mediziner .</t>
  </si>
  <si>
    <t>file://conllu/de/teddy-1323.conllu#s118_0</t>
  </si>
  <si>
    <t>119</t>
  </si>
  <si>
    <t>Ich dachte , dass es ein paar Therapie Arten gab , die funktionierten , und es war klar , welche das waren es gab Medikamente , es gab bestimmte Psychotherapien , es gab möglicherweise die Elektroschockbehandlung und dass alles andere Nonsens wäre .</t>
  </si>
  <si>
    <t>file://conllu/de/teddy-1323.conllu#s119_0</t>
  </si>
  <si>
    <t>120</t>
  </si>
  <si>
    <t>Aber dann entdeckte ich etwas .</t>
  </si>
  <si>
    <t>file://conllu/de/teddy-1323.conllu#s120_0</t>
  </si>
  <si>
    <t>121</t>
  </si>
  <si>
    <t>Wenn man einen Hirntumor hat und man sagt , dass es einem besser geht , wenn man jeden Morgen 20 Minuten auf dem Kopf steht , wird man sich besser fühlen , aber man hat immer noch einen Hirntumor , und man wird wahrscheinlich immer noch daran sterben .</t>
  </si>
  <si>
    <t>file://conllu/de/teddy-1323.conllu#s121_0</t>
  </si>
  <si>
    <t>122</t>
  </si>
  <si>
    <t>Aber wenn man Depressionen hat und zwanzig Minuten Kopfstand am an dem Tag dazu führen , dass man sich besser fühlt , dann funktioniert es , denn bei Depressionen sind die Gefühle erkrankt und wenn man sich besser fühlt , dann ist man praktisch nicht mehr depressiv .</t>
  </si>
  <si>
    <t>file://conllu/de/teddy-1323.conllu#s122_0</t>
  </si>
  <si>
    <t>123</t>
  </si>
  <si>
    <t>werden</t>
  </si>
  <si>
    <t>So wurde ich toleranter gegenüber der weiten Welt alternativer Behandlungen .</t>
  </si>
  <si>
    <t>file://conllu/de/teddy-1323.conllu#s123_0</t>
  </si>
  <si>
    <t>124</t>
  </si>
  <si>
    <t>erhalten</t>
  </si>
  <si>
    <t>Und ich erhalte Briefe , hunderte von Briefen , von Menschen , die mir schreiben , was ihnen geholfen hat .</t>
  </si>
  <si>
    <t>file://conllu/de/teddy-1323.conllu#s124_0</t>
  </si>
  <si>
    <t>125</t>
  </si>
  <si>
    <t>fragen</t>
  </si>
  <si>
    <t>Jemand fragte mich heute hinter der Bühne nach Meditation .</t>
  </si>
  <si>
    <t>file://conllu/de/teddy-1323.conllu#s125_0</t>
  </si>
  <si>
    <t>126</t>
  </si>
  <si>
    <t>sagen (sagen schreiben)</t>
  </si>
  <si>
    <t>Mein Favorit unter den erhaltenen Briefen war einer , der von einer Frau kam , die schrieb und sagte , sie hätte es mit einer Therapie versucht , sie hätte Medikamente versucht , sie hatte so ziemlich alles ausprobiert .</t>
  </si>
  <si>
    <t>file://conllu/de/teddy-1323.conllu#s126_0</t>
  </si>
  <si>
    <t>127</t>
  </si>
  <si>
    <t>erzählen (erzählen finden)</t>
  </si>
  <si>
    <t>Sie hatte eine Lösung gefunden und hoffte , ich würde es der Welt erzählen , nämlich kleine Dinge aus Garn zu machen .</t>
  </si>
  <si>
    <t>file://conllu/de/teddy-1323.conllu#s127_0</t>
  </si>
  <si>
    <t>128</t>
  </si>
  <si>
    <t>schicken</t>
  </si>
  <si>
    <t>Sie schickte mir ein paar davon .</t>
  </si>
  <si>
    <t>file://conllu/de/teddy-1323.conllu#s128_0</t>
  </si>
  <si>
    <t>129</t>
  </si>
  <si>
    <t>tragen</t>
  </si>
  <si>
    <t>Und ich trage sie gerade nicht .</t>
  </si>
  <si>
    <t>file://conllu/de/teddy-1323.conllu#s129_0</t>
  </si>
  <si>
    <t>130</t>
  </si>
  <si>
    <t>schlagen</t>
  </si>
  <si>
    <t>Ich schlug ihr vor , dass sie auch Zwangsstörungen im in dem DSM nachschlagen sollte .</t>
  </si>
  <si>
    <t>file://conllu/de/teddy-1323.conllu#s130_0</t>
  </si>
  <si>
    <t>131</t>
  </si>
  <si>
    <t>schauen</t>
  </si>
  <si>
    <t>Dennoch schaute ich mir alternative Behandlungen an , und sah andere Behandlungen in neuem Licht .</t>
  </si>
  <si>
    <t>file://conllu/de/teddy-1323.conllu#s131_0</t>
  </si>
  <si>
    <t>132</t>
  </si>
  <si>
    <t>unterziehen</t>
  </si>
  <si>
    <t>Ich unterzog mich einem Stammes Exorzismus im in dem Senegal , der ziemlich viel Schafsbockblut erforderte .</t>
  </si>
  <si>
    <t>file://conllu/de/teddy-1323.conllu#s132_0</t>
  </si>
  <si>
    <t>133</t>
  </si>
  <si>
    <t>Ich werde jetzt nicht ins in das Detail gehen , aber ein paar Jahre darauf war ich in Ruanda und arbeitete dort an einem anderen Projekt , und ich beschrieb meine Erfahrung jemandem und er sagte : &amp;quot; Weißt du , das ist Westafrika , und wir sind in Ostafrika , und unsere Rituale sind irgendwie sehr verschieden , aber wir haben einige Rituale , die mit dem von dir beschriebenen , etwas gemeinsam haben . &amp;quot;</t>
  </si>
  <si>
    <t>file://conllu/de/teddy-1323.conllu#s133_0</t>
  </si>
  <si>
    <t>134</t>
  </si>
  <si>
    <t>Und ich sagte : &amp;quot; Oh . &amp;quot;</t>
  </si>
  <si>
    <t>file://conllu/de/teddy-1323.conllu#s134_0</t>
  </si>
  <si>
    <t>135</t>
  </si>
  <si>
    <t>Und er sagte : &amp;quot; Ja , aber wir hatten viel Ärger mit Psychotherapeuten aus dem Westen , besonders mit denjenigen , die direkt nach dem Genozid kamen . &amp;quot;</t>
  </si>
  <si>
    <t>file://conllu/de/teddy-1323.conllu#s135_0</t>
  </si>
  <si>
    <t>136</t>
  </si>
  <si>
    <t>Ich fragte : &amp;quot; Welche Probleme gab es ? &amp;quot;</t>
  </si>
  <si>
    <t>file://conllu/de/teddy-1323.conllu#s136_0</t>
  </si>
  <si>
    <t>137</t>
  </si>
  <si>
    <t>erklären</t>
  </si>
  <si>
    <t>Er erklärte : &amp;quot; Nun ja , sie taten etwas sehr Bizarres .</t>
  </si>
  <si>
    <t>file://conllu/de/teddy-1323.conllu#s137_0</t>
  </si>
  <si>
    <t>138</t>
  </si>
  <si>
    <t>sprechen</t>
  </si>
  <si>
    <t>Sie sprachen nicht im in dem Sonnenschein mit den Leuten , wo man beginnt , sich besser zu fühlen .</t>
  </si>
  <si>
    <t>file://conllu/de/teddy-1323.conllu#s138_0</t>
  </si>
  <si>
    <t>139</t>
  </si>
  <si>
    <t>beziehen</t>
  </si>
  <si>
    <t>Sie bezogen weder Trommeln noch Musik ein , um das Blut in Wallung zu bringen .</t>
  </si>
  <si>
    <t>file://conllu/de/teddy-1323.conllu#s139_0</t>
  </si>
  <si>
    <t>140</t>
  </si>
  <si>
    <t>involvieren</t>
  </si>
  <si>
    <t>Sie involvierten nicht die gesamte Gemeinschaft .</t>
  </si>
  <si>
    <t>file://conllu/de/teddy-1323.conllu#s140_0</t>
  </si>
  <si>
    <t>141</t>
  </si>
  <si>
    <t>externalisieren</t>
  </si>
  <si>
    <t>Sie externalisieren die Depressionen nicht als einen eindringenden Geist .</t>
  </si>
  <si>
    <t>file://conllu/de/teddy-1323.conllu#s141_0</t>
  </si>
  <si>
    <t>142</t>
  </si>
  <si>
    <t>führen</t>
  </si>
  <si>
    <t>Stattdessen führten sie die Menschen einzeln in schäbige , kleine Räume und ließen sie eine Stunde lang über schlimme Dinge reden , die ihnen passiert waren . &amp;quot;</t>
  </si>
  <si>
    <t>file://conllu/de/teddy-1323.conllu#s142_0</t>
  </si>
  <si>
    <t>143</t>
  </si>
  <si>
    <t>( Gelächter ) ( Applaus ) Er sagte : &amp;quot; Wir mussten sie bitten , das Land zu verlassen . &amp;quot;</t>
  </si>
  <si>
    <t>file://conllu/de/teddy-1323.conllu#s143_0</t>
  </si>
  <si>
    <t>144</t>
  </si>
  <si>
    <t>lassen</t>
  </si>
  <si>
    <t>Um Ihnen das andere Ende der alternativen Behandlungen zu veranschaulichen , lassen Sie mich Ihnen von Frank Russakoff erzählen .</t>
  </si>
  <si>
    <t>file://conllu/de/teddy-1323.conllu#s144_0</t>
  </si>
  <si>
    <t>145</t>
  </si>
  <si>
    <t>Frank Russakoff hatte die schlimmsten Depressionen , die ich wohl je bei einem Mann gesehen habe .</t>
  </si>
  <si>
    <t>file://conllu/de/teddy-1323.conllu#s145_0</t>
  </si>
  <si>
    <t>146</t>
  </si>
  <si>
    <t>sein (sein depressiv)</t>
  </si>
  <si>
    <t>Er war ständig depressiv .</t>
  </si>
  <si>
    <t>file://conllu/de/teddy-1323.conllu#s146_0</t>
  </si>
  <si>
    <t>147</t>
  </si>
  <si>
    <t>Als ich ihn traf war er an einem Punkt , wo er jeden Monat eine Elektroschock Behandlung bekam .</t>
  </si>
  <si>
    <t>file://conllu/de/teddy-1323.conllu#s147_0</t>
  </si>
  <si>
    <t>148</t>
  </si>
  <si>
    <t>Dann fühlte er sich eine Woche lang etwas desorientiert und dann eine Woche lang okay .</t>
  </si>
  <si>
    <t>file://conllu/de/teddy-1323.conllu#s148_0</t>
  </si>
  <si>
    <t>149</t>
  </si>
  <si>
    <t>Dann ging es eine Woche lang abwärts .</t>
  </si>
  <si>
    <t>file://conllu/de/teddy-1323.conllu#s149_0</t>
  </si>
  <si>
    <t>150</t>
  </si>
  <si>
    <t>bekommen</t>
  </si>
  <si>
    <t>Und dann bekam er eine weitere Elektroschock Behandlung .</t>
  </si>
  <si>
    <t>file://conllu/de/teddy-1323.conllu#s150_0</t>
  </si>
  <si>
    <t>151</t>
  </si>
  <si>
    <t>Als ich ihn traf , sagte er zu mir : &amp;quot; Es ist unerträglich , meine Wochen so zu durchleben .</t>
  </si>
  <si>
    <t>file://conllu/de/teddy-1323.conllu#s151_0</t>
  </si>
  <si>
    <t>152</t>
  </si>
  <si>
    <t>Ich kann so nicht weiter machen , und ich habe entschieden , dass ich es beende , wenn es mir nicht besser geht .</t>
  </si>
  <si>
    <t>file://conllu/de/teddy-1323.conllu#s152_0</t>
  </si>
  <si>
    <t>153</t>
  </si>
  <si>
    <t>Aber , &amp;quot; sagte er mir , &amp;quot; ich habe von einem Plan bei Mass General gehört , ein Verfahren namens Zingulotomie , eine Hirnchirurgie , und ich probiere das aus . &amp;quot;</t>
  </si>
  <si>
    <t>file://conllu/de/teddy-1323.conllu#s153_0</t>
  </si>
  <si>
    <t>154</t>
  </si>
  <si>
    <t>wundern (wundern erinnern)</t>
  </si>
  <si>
    <t>Und ich erinnere mich , mich an diesem Punkt gewundert zu haben , dass jemand , der wirklich so viele schlechte Erfahrungen gehabt hatte mit so vielen verschiedenen Behandlungen , sich genug Optimismus bewahrt hatte , um noch eine Behandlung mitzumachen .</t>
  </si>
  <si>
    <t>file://conllu/de/teddy-1323.conllu#s154_0</t>
  </si>
  <si>
    <t>155</t>
  </si>
  <si>
    <t>durchführen</t>
  </si>
  <si>
    <t>Die Zingulotomie wurde durchgeführt und es war ein Erfolg auf der ganzen Linie .</t>
  </si>
  <si>
    <t>file://conllu/de/teddy-1323.conllu#s155_0</t>
  </si>
  <si>
    <t>156</t>
  </si>
  <si>
    <t>sein (sein werden)</t>
  </si>
  <si>
    <t>Wir sind Freunde geworden .</t>
  </si>
  <si>
    <t>file://conllu/de/teddy-1323.conllu#s156_0</t>
  </si>
  <si>
    <t>157</t>
  </si>
  <si>
    <t>Er hat eine wunderbare Frau und zwei hübsche Kinder .</t>
  </si>
  <si>
    <t>file://conllu/de/teddy-1323.conllu#s157_0</t>
  </si>
  <si>
    <t>158</t>
  </si>
  <si>
    <t>Er schrieb mir an Weihnachten nach der Operation einen Brief und sagte : &amp;quot; Mein Vater schickte mir dieses Jahr zwei Geschenke .</t>
  </si>
  <si>
    <t>file://conllu/de/teddy-1323.conllu#s158_0</t>
  </si>
  <si>
    <t>159</t>
  </si>
  <si>
    <t>brauch</t>
  </si>
  <si>
    <t>Erstens einen motorisierten CD Ständer von ' The Sharper Image ' , den ich nicht wirklich brauche , aber ich weiß , dass er ihn mir geschenkt hat , um die Tatsache zu feiern , dass ich eigenständig lebte und eine Arbeit habe , die ich anscheinend liebe .</t>
  </si>
  <si>
    <t>file://conllu/de/teddy-1323.conllu#s159_0</t>
  </si>
  <si>
    <t>160</t>
  </si>
  <si>
    <t>sein (sein Foto)</t>
  </si>
  <si>
    <t>Und das andere Geschenk war ein Foto von meiner Großmutter , die Selbstmord beging .</t>
  </si>
  <si>
    <t>file://conllu/de/teddy-1323.conllu#s160_0</t>
  </si>
  <si>
    <t>161</t>
  </si>
  <si>
    <t>Als ich es auspackte , begann ich zu weinen , und meine Mutter kam rüber und sagte : ' Weinst du wegen Verwandten , die du nie kanntest ? '</t>
  </si>
  <si>
    <t>file://conllu/de/teddy-1323.conllu#s161_0</t>
  </si>
  <si>
    <t>162</t>
  </si>
  <si>
    <t>Und ich sagte : ' Sie hatte die gleiche Krankheit wie ich . '</t>
  </si>
  <si>
    <t>file://conllu/de/teddy-1323.conllu#s162_0</t>
  </si>
  <si>
    <t>163</t>
  </si>
  <si>
    <t>schreib</t>
  </si>
  <si>
    <t>Während ich dir das schreibe , weine ich nicht .</t>
  </si>
  <si>
    <t>file://conllu/de/teddy-1323.conllu#s163_0</t>
  </si>
  <si>
    <t>164</t>
  </si>
  <si>
    <t>sein (sein traurig)</t>
  </si>
  <si>
    <t>Ich bin nicht besonders traurig , sondern eher überwältigt .</t>
  </si>
  <si>
    <t>file://conllu/de/teddy-1323.conllu#s164_0</t>
  </si>
  <si>
    <t>165</t>
  </si>
  <si>
    <t>wahrscheinlich</t>
  </si>
  <si>
    <t>Wahrscheinlich , weil ich mich hätte umbringen können , aber meine Eltern halfen mir weiterzumachen , genauso wie die Ärzte , und ich ließ mich operieren .</t>
  </si>
  <si>
    <t>file://conllu/de/teddy-1323.conllu#s165_0</t>
  </si>
  <si>
    <t>166</t>
  </si>
  <si>
    <t>Ich bin am an dem Leben und dankbar .</t>
  </si>
  <si>
    <t>file://conllu/de/teddy-1323.conllu#s166_0</t>
  </si>
  <si>
    <t>167</t>
  </si>
  <si>
    <t>leben</t>
  </si>
  <si>
    <t>Wir leben zur zu der richtigen Zeit , auch wenn es sich nicht immer so anfühlt . &amp;quot;</t>
  </si>
  <si>
    <t>file://conllu/de/teddy-1323.conllu#s167_0</t>
  </si>
  <si>
    <t>168</t>
  </si>
  <si>
    <t>beeindrucken</t>
  </si>
  <si>
    <t>Mich beeindruckte die Tatsache , dass Depressionen gemeinhin als modernes , westliches Phänomen der Mittelklasse wahrgenommen wird .</t>
  </si>
  <si>
    <t>file://conllu/de/teddy-1323.conllu#s168_0</t>
  </si>
  <si>
    <t>169</t>
  </si>
  <si>
    <t>Ich schaute mir an , wie sie in vielfältigen Kontexten funktionierte , und eine Sache , die mich am an dem meisten interessierte , waren Depressionen unter den Mittellosen .</t>
  </si>
  <si>
    <t>file://conllu/de/teddy-1323.conllu#s169_0</t>
  </si>
  <si>
    <t>170</t>
  </si>
  <si>
    <t>Daher machte ich mich auf , um zu betrachten , was für arme Menschen mit Depressionen getan wurde .</t>
  </si>
  <si>
    <t>file://conllu/de/teddy-1323.conllu#s170_0</t>
  </si>
  <si>
    <t>171</t>
  </si>
  <si>
    <t>finden</t>
  </si>
  <si>
    <t>Und ich fand heraus , dass arme Menschen bei Depressionen meistens nicht behandelt werden .</t>
  </si>
  <si>
    <t>file://conllu/de/teddy-1323.conllu#s171_0</t>
  </si>
  <si>
    <t>172</t>
  </si>
  <si>
    <t>sein (sein Resultat)</t>
  </si>
  <si>
    <t>Depressionen sind das Resultat einer genetischen Anfälligkeit , die vermutlich gleichmäßig in der Bevölkerung verteilt ist , und von Auslösern , die wahrscheinlich bei verarmten Menschen viel extremer sind .</t>
  </si>
  <si>
    <t>file://conllu/de/teddy-1323.conllu#s172_0</t>
  </si>
  <si>
    <t>173</t>
  </si>
  <si>
    <t>zeigen</t>
  </si>
  <si>
    <t>Dennoch zeigt sich , dass man , wenn man ein wirklich schönes Leben hat , sich aber die ganze Zeit schlecht fühlt , denkt : &amp;quot; Warum fühle ich mich so ?</t>
  </si>
  <si>
    <t>file://conllu/de/teddy-1323.conllu#s173_0</t>
  </si>
  <si>
    <t>174</t>
  </si>
  <si>
    <t>Ich muss Depressionen haben . &amp;quot;</t>
  </si>
  <si>
    <t>file://conllu/de/teddy-1323.conllu#s174_0</t>
  </si>
  <si>
    <t>175</t>
  </si>
  <si>
    <t>suchen</t>
  </si>
  <si>
    <t>Und man sucht eine Behandlung dafür .</t>
  </si>
  <si>
    <t>file://conllu/de/teddy-1323.conllu#s175_0</t>
  </si>
  <si>
    <t>176</t>
  </si>
  <si>
    <t>stehen</t>
  </si>
  <si>
    <t>Aber wenn man ein total furchtbares Leben hat und sich andauernd schlecht fühlt , steht dieses Gefühl im in dem Einklang mit dem eigenen Leben , und man kommt nicht darauf , zu denken : &amp;quot; Vielleicht ist das behandelbar . &amp;quot;</t>
  </si>
  <si>
    <t>file://conllu/de/teddy-1323.conllu#s176_0</t>
  </si>
  <si>
    <t>177</t>
  </si>
  <si>
    <t>Mensch</t>
  </si>
  <si>
    <t>Daher haben wir in diesem Land eine Depressions Epidemie unter verarmten Menschen , die nicht aufgegriffen und behandelt wird und die nicht angesprochen wird , und das ist eine Tragödie großen Ausmaßes .</t>
  </si>
  <si>
    <t>file://conllu/de/teddy-1323.conllu#s177_0</t>
  </si>
  <si>
    <t>178</t>
  </si>
  <si>
    <t>Ich fand also ein Wissenschaftlerin , die ein Forschungsprojekt in den Slums außerhalb von Washington D.C. durchführte , wo sie Frauen aufnahm , die wegen anderer Gesundheitsprobleme gekommen waren und Depressionen bei ihnen diagnostizierte , und dann ein Versuchsprotokoll bereitstellte .</t>
  </si>
  <si>
    <t>file://conllu/de/teddy-1323.conllu#s178_0</t>
  </si>
  <si>
    <t>179</t>
  </si>
  <si>
    <t>kommen</t>
  </si>
  <si>
    <t>Eine von ihnen , Lolly , kam herein , und sie sagte folgendes , als sie hereinkam .</t>
  </si>
  <si>
    <t>file://conllu/de/teddy-1323.conllu#s179_0</t>
  </si>
  <si>
    <t>180</t>
  </si>
  <si>
    <t>Frau</t>
  </si>
  <si>
    <t>Übrigens eine Frau , die sieben Kinder hat .</t>
  </si>
  <si>
    <t>file://conllu/de/teddy-1323.conllu#s180_0</t>
  </si>
  <si>
    <t>181</t>
  </si>
  <si>
    <t>Sie sagte : &amp;quot; Ich hatte einen Job , aber ich musste ihn aufgeben , weil ich nicht aus dem Haus gehen konnte .</t>
  </si>
  <si>
    <t>file://conllu/de/teddy-1323.conllu#s181_0</t>
  </si>
  <si>
    <t>182</t>
  </si>
  <si>
    <t>Ich habe meinen Kindern nichts zu sagen .</t>
  </si>
  <si>
    <t>file://conllu/de/teddy-1323.conllu#s182_0</t>
  </si>
  <si>
    <t>183</t>
  </si>
  <si>
    <t>erwarten</t>
  </si>
  <si>
    <t>Morgens kann ich es nicht erwarten , dass sie verschwinden , und dann lege ich mich ins in das Bett und ziehe die Decke über meinen Kopf , und wenn sie um 3 Uhr nach Haus kommen , kommt das so schnell . &amp;quot;</t>
  </si>
  <si>
    <t>file://conllu/de/teddy-1323.conllu#s183_0</t>
  </si>
  <si>
    <t>184</t>
  </si>
  <si>
    <t>Sie sagte : &amp;quot; Ich habe viel Tylenol genommen , alles was mich mehr schlafen lässt .</t>
  </si>
  <si>
    <t>file://conllu/de/teddy-1323.conllu#s184_0</t>
  </si>
  <si>
    <t>185</t>
  </si>
  <si>
    <t>Mein Mann sagte mir ständig , dass ich dumm und hässlich bin .</t>
  </si>
  <si>
    <t>file://conllu/de/teddy-1323.conllu#s185_0</t>
  </si>
  <si>
    <t>186</t>
  </si>
  <si>
    <t>wünschen</t>
  </si>
  <si>
    <t>Ich wünschte , ich könnte den Schmerz stoppen . &amp;quot;</t>
  </si>
  <si>
    <t>file://conllu/de/teddy-1323.conllu#s186_0</t>
  </si>
  <si>
    <t>187</t>
  </si>
  <si>
    <t>aufnehmen</t>
  </si>
  <si>
    <t>Sie wurde in diese experimentelle Versuchsreihe aufgenommen und als ich sie sechs Monate später interviewte , hatte sie einen Job in der Kinderbetreuung für die US Marine aufgenommen , hatte ihren Mann , der sie immer beleidigt hatte , verlassen , und sie sagte zu mir : &amp;quot; Meine Kinder sind jetzt so viel glücklicher . &amp;quot;</t>
  </si>
  <si>
    <t>file://conllu/de/teddy-1323.conllu#s187_0</t>
  </si>
  <si>
    <t>188</t>
  </si>
  <si>
    <t>Sie sagte : &amp;quot; Es gibt einen Raum in meiner neuen Wohnung für die Jungs und einen Raum für die Mädchen , aber abends sind sie alle auf meinem Bett und wir machen die Hausaufgaben zusammen .</t>
  </si>
  <si>
    <t>file://conllu/de/teddy-1323.conllu#s188_0</t>
  </si>
  <si>
    <t>189</t>
  </si>
  <si>
    <t>Einer von ihnen will Priester und einer will Feuerwehrmann werden , und eines der Mädchen sagt , dass sie Anwältin werden wird .</t>
  </si>
  <si>
    <t>file://conllu/de/teddy-1323.conllu#s189_0</t>
  </si>
  <si>
    <t>190</t>
  </si>
  <si>
    <t>weinen</t>
  </si>
  <si>
    <t>Sie weinen nicht mehr , so wie früher und sie streiten sich nicht mehr wie zuvor .</t>
  </si>
  <si>
    <t>file://conllu/de/teddy-1323.conllu#s190_0</t>
  </si>
  <si>
    <t>191</t>
  </si>
  <si>
    <t>sein (sein Kind)</t>
  </si>
  <si>
    <t>Alles , was ich jetzt brauche , sind meine Kinder .</t>
  </si>
  <si>
    <t>file://conllu/de/teddy-1323.conllu#s191_0</t>
  </si>
  <si>
    <t>192</t>
  </si>
  <si>
    <t>verändern</t>
  </si>
  <si>
    <t>Dinge verändern sich , die Art , wie ich mich anziehe , wie ich mich fühle und wie ich handle .</t>
  </si>
  <si>
    <t>file://conllu/de/teddy-1323.conllu#s192_0</t>
  </si>
  <si>
    <t>193</t>
  </si>
  <si>
    <t>rausgehen</t>
  </si>
  <si>
    <t>Ich kann jetzt rausgehen , ohne mich zu fürchten , und ich glaube nicht , dass diese schlechten Gefühle zurückkommen werden , und wenn Dr.</t>
  </si>
  <si>
    <t>file://conllu/de/teddy-1323.conllu#s193_0</t>
  </si>
  <si>
    <t>194</t>
  </si>
  <si>
    <t>Miranda nicht gewesen wäre , wäre ich immer noch zu Hause mit der Decke über meinem Kopf , wenn ich überhaupt noch am an dem Leben wäre .</t>
  </si>
  <si>
    <t>file://conllu/de/teddy-1323.conllu#s194_0</t>
  </si>
  <si>
    <t>195</t>
  </si>
  <si>
    <t>bitten</t>
  </si>
  <si>
    <t>Ich bat Gott , mir einen Engel zu schicken und er erhörte meine Gebete . &amp;quot;</t>
  </si>
  <si>
    <t>file://conllu/de/teddy-1323.conllu#s195_0</t>
  </si>
  <si>
    <t>196</t>
  </si>
  <si>
    <t>bewegen</t>
  </si>
  <si>
    <t>Mich haben diese Erfahrungen wirklich bewegt , und ich entschied , dass ich darüber schreiben wollte , nicht nur in einem Buch , an dem ich arbeitete , sondern auch in einem Artikel , und so bekam ich vom von dem New York Times Magazine einen Auftrag , über Depressionen unter Mittellosen zu schreiben .</t>
  </si>
  <si>
    <t>file://conllu/de/teddy-1323.conllu#s196_0</t>
  </si>
  <si>
    <t>197</t>
  </si>
  <si>
    <t>reichen</t>
  </si>
  <si>
    <t>Ich reichte meine Geschichte ein und meine Redakteurin rief mich an &amp;quot; Das können wir wirklich nicht veröffentlichen . &amp;quot;</t>
  </si>
  <si>
    <t>file://conllu/de/teddy-1323.conllu#s197_0</t>
  </si>
  <si>
    <t>198</t>
  </si>
  <si>
    <t>Ich fragte : &amp;quot; Warum nicht ? &amp;quot;</t>
  </si>
  <si>
    <t>file://conllu/de/teddy-1323.conllu#s198_0</t>
  </si>
  <si>
    <t>199</t>
  </si>
  <si>
    <t>Und sie sagte : &amp;quot; Es ist einfach zu weit hergeholt .</t>
  </si>
  <si>
    <t>file://conllu/de/teddy-1323.conllu#s199_0</t>
  </si>
  <si>
    <t>200</t>
  </si>
  <si>
    <t>Diese Menschen stehen auf der untersten Gesellschaftsstufe und dann erhalten sie ein paar Monate Behandlung , und sind dann praktisch in der Lage Morgan Stanley zu leiten ?</t>
  </si>
  <si>
    <t>file://conllu/de/teddy-1323.conllu#s200_0</t>
  </si>
  <si>
    <t>201</t>
  </si>
  <si>
    <t>sein (sein unglaubwürdig)</t>
  </si>
  <si>
    <t>Das ist einfach zu unglaubwürdig . &amp;quot;</t>
  </si>
  <si>
    <t>file://conllu/de/teddy-1323.conllu#s201_0</t>
  </si>
  <si>
    <t>202</t>
  </si>
  <si>
    <t>Sie sagte : &amp;quot; Ich habe von so etwas noch nie gehört . &amp;quot;</t>
  </si>
  <si>
    <t>file://conllu/de/teddy-1323.conllu#s202_0</t>
  </si>
  <si>
    <t>203</t>
  </si>
  <si>
    <t>erwideren</t>
  </si>
  <si>
    <t>Ich erwiderte : &amp;quot; Die Tatsache , dass Sie noch nie davon gehört haben , ist ein Hinweis darauf , dass es Nachrichten sind . &amp;quot;</t>
  </si>
  <si>
    <t>file://conllu/de/teddy-1323.conllu#s203_0</t>
  </si>
  <si>
    <t>204</t>
  </si>
  <si>
    <t>sein (sein Nachrichtenmagazin)</t>
  </si>
  <si>
    <t>&amp;quot; Und Sie sind ein Nachrichtenmagazin . &amp;quot;</t>
  </si>
  <si>
    <t>file://conllu/de/teddy-1323.conllu#s204_0</t>
  </si>
  <si>
    <t>205</t>
  </si>
  <si>
    <t>stimmen</t>
  </si>
  <si>
    <t>Nach einem gewissen Maß an Verhandlungen , stimmten sie zu .</t>
  </si>
  <si>
    <t>file://conllu/de/teddy-1323.conllu#s205_0</t>
  </si>
  <si>
    <t>206</t>
  </si>
  <si>
    <t>Aber ich denke , dass vieles von dem , was sie sagten , auf merkwürdige Weise mit der Abneigung verbunden war , die Menschen immer noch haben , gegenüber der Idee von Behandlung , der Vorstellung , dass es ein ausbeuterischer Akt wäre , wenn wir losziehen würden und Menschen in notleidenden Gemeinden behandeln würden , denn wir würden sie ändern .</t>
  </si>
  <si>
    <t>file://conllu/de/teddy-1323.conllu#s206_0</t>
  </si>
  <si>
    <t>207</t>
  </si>
  <si>
    <t>Es gibt dieses falsche moralische Gebot , das es überall zu geben scheint , dass die Behandlung von Depressionen , die medizinische Behandlung und so weiter , ein Trick seien , und dass es nicht natürlich ist .</t>
  </si>
  <si>
    <t>file://conllu/de/teddy-1323.conllu#s207_0</t>
  </si>
  <si>
    <t>208</t>
  </si>
  <si>
    <t>Ich denke , dass das äußerst fehlgeleitet ist .</t>
  </si>
  <si>
    <t>file://conllu/de/teddy-1323.conllu#s208_0</t>
  </si>
  <si>
    <t>209</t>
  </si>
  <si>
    <t>sein (sein natürlich)</t>
  </si>
  <si>
    <t>Es wäre natürlich , dass den Menschen die Zähne ausfallen , aber es gibt niemanden , der sich gegen Zahnpasta ausspricht , zumindest nicht in meinen Kreisen .</t>
  </si>
  <si>
    <t>file://conllu/de/teddy-1323.conllu#s209_0</t>
  </si>
  <si>
    <t>210</t>
  </si>
  <si>
    <t>Und dann sagen Menschen : &amp;quot; Sind Depressionen nicht ein Teil dessen , was Menschen erleben sollen ?</t>
  </si>
  <si>
    <t>file://conllu/de/teddy-1323.conllu#s210_0</t>
  </si>
  <si>
    <t>211</t>
  </si>
  <si>
    <t>entwickeln</t>
  </si>
  <si>
    <t>Haben wir uns nicht dazu entwickelt , Depressionen zu haben ?</t>
  </si>
  <si>
    <t>file://conllu/de/teddy-1323.conllu#s211_0</t>
  </si>
  <si>
    <t>212</t>
  </si>
  <si>
    <t>sein (sein Persönlichkeit)</t>
  </si>
  <si>
    <t>Ist das nicht Teil unserer Persönlichkeit ? &amp;quot;</t>
  </si>
  <si>
    <t>file://conllu/de/teddy-1323.conllu#s212_0</t>
  </si>
  <si>
    <t>213</t>
  </si>
  <si>
    <t>Dazu würde ich sagen , Stimmung ist anpassungsfähig .</t>
  </si>
  <si>
    <t>file://conllu/de/teddy-1323.conllu#s213_0</t>
  </si>
  <si>
    <t>214</t>
  </si>
  <si>
    <t>sein (sein wertvoll)</t>
  </si>
  <si>
    <t>In der Lage zu sein , Traurigkeit und Furcht , Freunde und Vergnügen und all die anderen Stimmungen , die wir haben , zu fühlen , ist unglaublich wertvoll .</t>
  </si>
  <si>
    <t>file://conllu/de/teddy-1323.conllu#s214_0</t>
  </si>
  <si>
    <t>215</t>
  </si>
  <si>
    <t>sein (sein etwas)</t>
  </si>
  <si>
    <t>Und schwere Depressionen sind etwas , das auftritt , wenn dieses System zerbricht .</t>
  </si>
  <si>
    <t>file://conllu/de/teddy-1323.conllu#s215_0</t>
  </si>
  <si>
    <t>216</t>
  </si>
  <si>
    <t>sein (sein anpassen)</t>
  </si>
  <si>
    <t>Es ist schlecht angepasst .</t>
  </si>
  <si>
    <t>file://conllu/de/teddy-1323.conllu#s216_0</t>
  </si>
  <si>
    <t>217</t>
  </si>
  <si>
    <t>Menschen kommen zu mir und sagen : &amp;quot; Ich denke , wenn ich nur ein Jahr durchhalte , komme ich da irgendwie durch . &amp;quot;</t>
  </si>
  <si>
    <t>file://conllu/de/teddy-1323.conllu#s217_0</t>
  </si>
  <si>
    <t>218</t>
  </si>
  <si>
    <t>Und ich sage ihnen immer : &amp;quot; Sie können da durchkommen , aber Sie werden nie mehr 37 sein .</t>
  </si>
  <si>
    <t>file://conllu/de/teddy-1323.conllu#s218_0</t>
  </si>
  <si>
    <t>219</t>
  </si>
  <si>
    <t>sein (sein kurz)</t>
  </si>
  <si>
    <t>Das Leben ist kurz und das ist ein ganzes Jahr , das Sie aufgeben wollen .</t>
  </si>
  <si>
    <t>file://conllu/de/teddy-1323.conllu#s219_0</t>
  </si>
  <si>
    <t>220</t>
  </si>
  <si>
    <t>Überdenken</t>
  </si>
  <si>
    <t>Überdenken Sie das . &amp;quot;</t>
  </si>
  <si>
    <t>file://conllu/de/teddy-1323.conllu#s220_0</t>
  </si>
  <si>
    <t>221</t>
  </si>
  <si>
    <t>sein (sein Armut)</t>
  </si>
  <si>
    <t>Es ist eine sonderbare Armut der englischen Sprache , und auch vieler anderer Sprachen , dass wir dasselbe Wort , Depressionen , nutzen , um zu beschreiben , wie Kinder sich fühlen , wenn es an ihrem Geburtstag regnet , und um zu beschreiben , wie sich jemand fühlt , eine Minute , bevor er Selbstmord begeht .</t>
  </si>
  <si>
    <t>file://conllu/de/teddy-1323.conllu#s221_0</t>
  </si>
  <si>
    <t>222</t>
  </si>
  <si>
    <t>Ich wurde gefragt : &amp;quot; Ist es mit normaler Traurigkeit vergleichbar ? &amp;quot;</t>
  </si>
  <si>
    <t>file://conllu/de/teddy-1323.conllu#s222_0</t>
  </si>
  <si>
    <t>223</t>
  </si>
  <si>
    <t>Ich erklärte , dass es gewissermaßen mit normaler Traurigkeit vergleichbar ist .</t>
  </si>
  <si>
    <t>file://conllu/de/teddy-1323.conllu#s223_0</t>
  </si>
  <si>
    <t>224</t>
  </si>
  <si>
    <t>Es gibt ein bestimmtes Maß an Verbindung , aber es ist die gleiche Art von Verbindung zwischen einem Eisenzaun außerhalb des Hauses , der ein paar Rostflecken hat , die man abschleifen und überstreichen muss , und dem , was passiert , wenn man das Haus 100 Jahre verlässt und es durchrostet , bis es nur noch ein Haufen von orangefarbenem Staub ist .</t>
  </si>
  <si>
    <t>file://conllu/de/teddy-1323.conllu#s224_0</t>
  </si>
  <si>
    <t>225</t>
  </si>
  <si>
    <t>sein (sein Staubfleck)</t>
  </si>
  <si>
    <t>Es ist dieser orangefarbene Staubfleck , dieses orangefarbene Staubproblem , das wir angehen wollen .</t>
  </si>
  <si>
    <t>file://conllu/de/teddy-1323.conllu#s225_0</t>
  </si>
  <si>
    <t>226</t>
  </si>
  <si>
    <t>Die Menschen sagen jetzt also : &amp;quot; Du nimmst jetzt diese Happy Pills .</t>
  </si>
  <si>
    <t>file://conllu/de/teddy-1323.conllu#s226_0</t>
  </si>
  <si>
    <t>227</t>
  </si>
  <si>
    <t>glücklich</t>
  </si>
  <si>
    <t>Fühlst du dich glücklich ? &amp;quot;</t>
  </si>
  <si>
    <t>file://conllu/de/teddy-1323.conllu#s227_0</t>
  </si>
  <si>
    <t>228</t>
  </si>
  <si>
    <t>tuen</t>
  </si>
  <si>
    <t>Das tue ich nicht .</t>
  </si>
  <si>
    <t>file://conllu/de/teddy-1323.conllu#s228_0</t>
  </si>
  <si>
    <t>229</t>
  </si>
  <si>
    <t>Aber ich bin nicht traurig , dass ich zu Mittag essen muss , und ich bin nicht traurig über meinen Anrufbeantworter , und ich bin nicht traurig , wenn ich duschen muss .</t>
  </si>
  <si>
    <t>file://conllu/de/teddy-1323.conllu#s229_0</t>
  </si>
  <si>
    <t>230</t>
  </si>
  <si>
    <t>fühlen (fühlen fühlen)</t>
  </si>
  <si>
    <t>Ich fühle tatsächlich mehr , weil ich Traurigkeit ohne Nichtigkeit fühlen kann .</t>
  </si>
  <si>
    <t>file://conllu/de/teddy-1323.conllu#s230_0</t>
  </si>
  <si>
    <t>231</t>
  </si>
  <si>
    <t>Ich bin traurig über berufliche Enttäuschungen , über beschädigte Beziehungen , über Klimaerwärmung .</t>
  </si>
  <si>
    <t>file://conllu/de/teddy-1323.conllu#s231_0</t>
  </si>
  <si>
    <t>232</t>
  </si>
  <si>
    <t>Über diese Dinge bin ich jetzt traurig .</t>
  </si>
  <si>
    <t>file://conllu/de/teddy-1323.conllu#s232_0</t>
  </si>
  <si>
    <t>233</t>
  </si>
  <si>
    <t>Ich frage mich was ist das Fazit ?</t>
  </si>
  <si>
    <t>file://conllu/de/teddy-1323.conllu#s233_0</t>
  </si>
  <si>
    <t>234</t>
  </si>
  <si>
    <t>durchgestand</t>
  </si>
  <si>
    <t>Wie haben das die Menschen , die ein besseres Leben haben , sogar mit schwereren Depressionen durchgestanden ?</t>
  </si>
  <si>
    <t>file://conllu/de/teddy-1323.conllu#s234_0</t>
  </si>
  <si>
    <t>235</t>
  </si>
  <si>
    <t>Was ist der Mechanismus von Resilienz ?</t>
  </si>
  <si>
    <t>file://conllu/de/teddy-1323.conllu#s235_0</t>
  </si>
  <si>
    <t>236</t>
  </si>
  <si>
    <t>sagen (sagen finden)</t>
  </si>
  <si>
    <t>Mit der Zeit fand ich heraus , dass die Menschen , die ihre Erfahrungen leugnen , die sagen : &amp;quot; Ich war vor langer Zeit depressiv und ich will nie mehr darüber sprechen und ich werde nicht mehr daran denken , ich werde einfach mit meinem Leben weitermachen . &amp;quot; , ironischerweise die Menschen sind , die nahezu von dem , was sie haben , unterjocht werden .</t>
  </si>
  <si>
    <t>file://conllu/de/teddy-1323.conllu#s236_0</t>
  </si>
  <si>
    <t>237</t>
  </si>
  <si>
    <t>verstärken</t>
  </si>
  <si>
    <t>Depressionen auszusperren , verstärken sie nur .</t>
  </si>
  <si>
    <t>file://conllu/de/teddy-1323.conllu#s237_0</t>
  </si>
  <si>
    <t>238</t>
  </si>
  <si>
    <t>wachsen</t>
  </si>
  <si>
    <t>Wenn man sich vor ihnen versteckt , wachsen sie .</t>
  </si>
  <si>
    <t>file://conllu/de/teddy-1323.conllu#s238_0</t>
  </si>
  <si>
    <t>239</t>
  </si>
  <si>
    <t>sein (sein diejenigen)</t>
  </si>
  <si>
    <t>Und die Menschen , denen es besser geht , sind diejenigen , die die Tatsache tolerieren , dass sie dieses Problem haben .</t>
  </si>
  <si>
    <t>file://conllu/de/teddy-1323.conllu#s239_0</t>
  </si>
  <si>
    <t>240</t>
  </si>
  <si>
    <t>Diejenigen , die ihre Depressionen tolerieren können , sind diejenigen , die Resilienz erlangen .</t>
  </si>
  <si>
    <t>file://conllu/de/teddy-1323.conllu#s240_0</t>
  </si>
  <si>
    <t>241</t>
  </si>
  <si>
    <t>Daher sagte Frank Russakoff zu mir : &amp;quot; Wenn ich es nochmal durchleben müsste , würde ich es wahrscheinlich nicht so machen , aber auf sonderbare Weise bin ich dankbar , dass ich das erlebt habe .</t>
  </si>
  <si>
    <t>file://conllu/de/teddy-1323.conllu#s241_0</t>
  </si>
  <si>
    <t>242</t>
  </si>
  <si>
    <t>sein (sein froh)</t>
  </si>
  <si>
    <t>Ich bin froh , 40 Mal in der Klinik gewesen zu sein .</t>
  </si>
  <si>
    <t>file://conllu/de/teddy-1323.conllu#s242_0</t>
  </si>
  <si>
    <t>243</t>
  </si>
  <si>
    <t>lehren</t>
  </si>
  <si>
    <t>Es lehrte mich so viel über Liebe , und meine Beziehung zu meinen Eltern und meinen Ärzten war so wichtig für mich , und sie wird es immer sein . &amp;quot;</t>
  </si>
  <si>
    <t>file://conllu/de/teddy-1323.conllu#s243_0</t>
  </si>
  <si>
    <t>244</t>
  </si>
  <si>
    <t>Und Maggie Robbins sagte : &amp;quot; Ich half ehrenamtlich in einer AIDS Klinik , und ich redete und redete und redete , und die Menschen , mit denen ich zu tun hatte , waren nicht sehr empfänglich , und ich dachte : ' Das ist nicht sehr freundlich oder hilfreich von ihnen . '</t>
  </si>
  <si>
    <t>file://conllu/de/teddy-1323.conllu#s244_0</t>
  </si>
  <si>
    <t>245</t>
  </si>
  <si>
    <t>erkennen</t>
  </si>
  <si>
    <t>Und dann erkannte ich , dass sie nicht mehr machen würden als diese paar Minuten Small Talk .</t>
  </si>
  <si>
    <t>file://conllu/de/teddy-1323.conllu#s245_0</t>
  </si>
  <si>
    <t>246</t>
  </si>
  <si>
    <t>sein (sein Gelegenheit)</t>
  </si>
  <si>
    <t>Es wäre einfach eine Gelegenheit , wo ich kein AIDS hatte und nicht sterben würde , aber die Tatsache tolerieren konnte , dass sie es hatten und das sie sterben würden .</t>
  </si>
  <si>
    <t>file://conllu/de/teddy-1323.conllu#s246_0</t>
  </si>
  <si>
    <t>247</t>
  </si>
  <si>
    <t>sein (sein Kapital)</t>
  </si>
  <si>
    <t>Unsere Bedürfnisse sind unser größtes Kapital .</t>
  </si>
  <si>
    <t>file://conllu/de/teddy-1323.conllu#s247_0</t>
  </si>
  <si>
    <t>248</t>
  </si>
  <si>
    <t>Es zeigt sich , dass ich gelernt habe , alles zu geben , was ich brauche . &amp;quot;</t>
  </si>
  <si>
    <t>file://conllu/de/teddy-1323.conllu#s248_0</t>
  </si>
  <si>
    <t>249</t>
  </si>
  <si>
    <t>verhindern</t>
  </si>
  <si>
    <t>Die eigenen Depressionen zu schätzen , verhindert keinen Rückfall , aber es kann die Aussicht auf einen Rückfall und sogar den Rückfall selbst leicht erträglicher machen .</t>
  </si>
  <si>
    <t>file://conllu/de/teddy-1323.conllu#s249_0</t>
  </si>
  <si>
    <t>250</t>
  </si>
  <si>
    <t>Es geht nicht so sehr darum , einen tieferen Sinn zu finden und zu entscheiden , dass Ihre Depressionen eine wichtige Rolle spielen .</t>
  </si>
  <si>
    <t>file://conllu/de/teddy-1323.conllu#s250_0</t>
  </si>
  <si>
    <t>251</t>
  </si>
  <si>
    <t>Es geht darum , diese Bedeutung zu suchen , wenn sie erneut kommen , und zu denken : &amp;quot; Das wird die Hölle , aber dadurch werde ich etwas lernen . &amp;quot;</t>
  </si>
  <si>
    <t>file://conllu/de/teddy-1323.conllu#s251_0</t>
  </si>
  <si>
    <t>252</t>
  </si>
  <si>
    <t>lernen</t>
  </si>
  <si>
    <t>Ich habe während meiner eigenen Depressionen gelernt , wir stark eine Emotion sein kann , wie sie wahrhaftiger sein kann als Fakten , und ich merkte , dass diese Erfahrung mir erlaubte , positive Emotionen intensiver zu erleben .</t>
  </si>
  <si>
    <t>file://conllu/de/teddy-1323.conllu#s252_0</t>
  </si>
  <si>
    <t>253</t>
  </si>
  <si>
    <t>Das Gegenteil von Depressionen ist nicht Glück , sondern Vitalität , und heute ist mein Leben vital , sogar an den Tagen , an denen ich traurig bin .</t>
  </si>
  <si>
    <t>file://conllu/de/teddy-1323.conllu#s253_0</t>
  </si>
  <si>
    <t>254</t>
  </si>
  <si>
    <t>bemerken (bemerken fühlen)</t>
  </si>
  <si>
    <t>Ich fühlte dieses Begräbnis in meinem Gehirn und saß neben dem Koloss am an dem Rande der Welt , und ich bemerkte etwas in mir selbst , das ich eine Seele nennen müsste , was ich bis zu dem Tag vor 20 Jahren nie formuliert hatte , als die Hölle mir einen Überraschungsbesuch abstattete .</t>
  </si>
  <si>
    <t>file://conllu/de/teddy-1323.conllu#s254_0</t>
  </si>
  <si>
    <t>255</t>
  </si>
  <si>
    <t>Obwohl ich es hasste , depressiv zu sein und es hassen würde , wieder depressiv zu werden , habe ich einen Weg gefunden , meine Depressionen zu lieben .</t>
  </si>
  <si>
    <t>file://conllu/de/teddy-1323.conllu#s255_0</t>
  </si>
  <si>
    <t>256</t>
  </si>
  <si>
    <t>lieben</t>
  </si>
  <si>
    <t>Ich liebe sie , weil sie mich gezwungen hat , Freude zu finden und mich an sie zu klammern .</t>
  </si>
  <si>
    <t>file://conllu/de/teddy-1323.conllu#s256_0</t>
  </si>
  <si>
    <t>257</t>
  </si>
  <si>
    <t>klammern</t>
  </si>
  <si>
    <t>denn ich entscheide täglich , manchmal spielerisch , und manchmal entgegen der Vernunft des Augenblicks , mich an die Gründe zu leben zu klammern .</t>
  </si>
  <si>
    <t>file://conllu/de/teddy-1323.conllu#s257_0</t>
  </si>
  <si>
    <t>258</t>
  </si>
  <si>
    <t>Ich denke , das ist eine sehr privilegierte Begeisterung .</t>
  </si>
  <si>
    <t>file://conllu/de/teddy-1323.conllu#s258_0</t>
  </si>
  <si>
    <t>259</t>
  </si>
  <si>
    <t>Dank</t>
  </si>
  <si>
    <t>Vielen Dank .</t>
  </si>
  <si>
    <t>file://conllu/de/teddy-1323.conllu#s259_0</t>
  </si>
  <si>
    <t>260</t>
  </si>
  <si>
    <t>Applaus</t>
  </si>
  <si>
    <t>( Applaus )</t>
  </si>
  <si>
    <t>file://conllu/de/teddy-1323.conllu#s260_0</t>
  </si>
  <si>
    <t>WORD</t>
  </si>
  <si>
    <t>GR</t>
  </si>
  <si>
    <t>NP_TYPE</t>
  </si>
  <si>
    <t>REF_AUTO</t>
  </si>
  <si>
    <t>COREF</t>
  </si>
  <si>
    <t>REF</t>
  </si>
  <si>
    <t>IS</t>
  </si>
  <si>
    <t>CB</t>
  </si>
  <si>
    <t>GR_ANTE</t>
  </si>
  <si>
    <t>REF_DIST</t>
  </si>
  <si>
    <t>REF_DIST_ANTE</t>
  </si>
  <si>
    <t># text = \"Ich fühlt' Begräbnis im Gehirn und Trauergäste -- her und hin -- die trampelten und trampelten in meinem Kopfe schwer, bis ich fühlte, dass ich wieder zu Sinnen kam.</t>
  </si>
  <si>
    <t>&amp;quot;</t>
  </si>
  <si>
    <t>Ich</t>
  </si>
  <si>
    <t>SBJ</t>
  </si>
  <si>
    <t>pron.pper</t>
  </si>
  <si>
    <t>?OLD</t>
  </si>
  <si>
    <t>fühlt</t>
  </si>
  <si>
    <t>'</t>
  </si>
  <si>
    <t>Begräbnis</t>
  </si>
  <si>
    <t>OBJ</t>
  </si>
  <si>
    <t>indef-np.bare</t>
  </si>
  <si>
    <t>in</t>
  </si>
  <si>
    <t>dem</t>
  </si>
  <si>
    <t>Gehirn</t>
  </si>
  <si>
    <t>other_2</t>
  </si>
  <si>
    <t>def-np.the</t>
  </si>
  <si>
    <t>und</t>
  </si>
  <si>
    <t>Trauergäste</t>
  </si>
  <si>
    <t>other_3</t>
  </si>
  <si>
    <t>her</t>
  </si>
  <si>
    <t>hin</t>
  </si>
  <si>
    <t>die</t>
  </si>
  <si>
    <t>trampelten</t>
  </si>
  <si>
    <t>meinem</t>
  </si>
  <si>
    <t>pron.ppos</t>
  </si>
  <si>
    <t>Kopfe</t>
  </si>
  <si>
    <t>schwer</t>
  </si>
  <si>
    <t>,</t>
  </si>
  <si>
    <t>bis</t>
  </si>
  <si>
    <t>ich</t>
  </si>
  <si>
    <t>SBJ_3</t>
  </si>
  <si>
    <t>fühlte</t>
  </si>
  <si>
    <t>dass</t>
  </si>
  <si>
    <t>SBJ_4</t>
  </si>
  <si>
    <t>wieder</t>
  </si>
  <si>
    <t>zu</t>
  </si>
  <si>
    <t>other_5</t>
  </si>
  <si>
    <t>pron.pind</t>
  </si>
  <si>
    <t>Sinnen</t>
  </si>
  <si>
    <t>other_4</t>
  </si>
  <si>
    <t>kam</t>
  </si>
  <si>
    <t>.</t>
  </si>
  <si>
    <t># text = Und sobald sie alle saßen, ertönt eine Andacht, trommelgleich, sie hörte nicht auf zu schlagen, schlagen, und schlug das Hirn mir weich.</t>
  </si>
  <si>
    <t>Und</t>
  </si>
  <si>
    <t>sobald</t>
  </si>
  <si>
    <t>sie</t>
  </si>
  <si>
    <t>SBJ_2</t>
  </si>
  <si>
    <t>pron</t>
  </si>
  <si>
    <t>alle</t>
  </si>
  <si>
    <t>OBJ_2</t>
  </si>
  <si>
    <t>saßen</t>
  </si>
  <si>
    <t>ertönt</t>
  </si>
  <si>
    <t>eine</t>
  </si>
  <si>
    <t>Andacht</t>
  </si>
  <si>
    <t>indef-np.a</t>
  </si>
  <si>
    <t>trommelgleich</t>
  </si>
  <si>
    <t>hörte</t>
  </si>
  <si>
    <t>nicht</t>
  </si>
  <si>
    <t>auf</t>
  </si>
  <si>
    <t>schlug</t>
  </si>
  <si>
    <t>das</t>
  </si>
  <si>
    <t>Hirn</t>
  </si>
  <si>
    <t>mir</t>
  </si>
  <si>
    <t>weich</t>
  </si>
  <si>
    <t># text = Ich hörte sie heben eine Kiste und über meine Seele knarzen wieder mit den gleichen Bleistiefeln, dann begann der Raum zu klingen, als wäre der Himmel eine Glocke und die Existenz ein Ohr, und ich und die Stille eine sonderbare Rasse, ruiniert, einsam, hier.</t>
  </si>
  <si>
    <t>heben</t>
  </si>
  <si>
    <t>Kiste</t>
  </si>
  <si>
    <t>OBJ_3</t>
  </si>
  <si>
    <t>über</t>
  </si>
  <si>
    <t>meine</t>
  </si>
  <si>
    <t>Seele</t>
  </si>
  <si>
    <t>indef-np</t>
  </si>
  <si>
    <t>knarzen</t>
  </si>
  <si>
    <t>mit</t>
  </si>
  <si>
    <t>den</t>
  </si>
  <si>
    <t>gleichen</t>
  </si>
  <si>
    <t>Bleistiefeln</t>
  </si>
  <si>
    <t>dann</t>
  </si>
  <si>
    <t>begann</t>
  </si>
  <si>
    <t>der</t>
  </si>
  <si>
    <t>Raum</t>
  </si>
  <si>
    <t>klingen</t>
  </si>
  <si>
    <t>als</t>
  </si>
  <si>
    <t>wäre</t>
  </si>
  <si>
    <t>Himmel</t>
  </si>
  <si>
    <t>Glocke</t>
  </si>
  <si>
    <t>Existenz</t>
  </si>
  <si>
    <t>ein</t>
  </si>
  <si>
    <t>Ohr</t>
  </si>
  <si>
    <t>other</t>
  </si>
  <si>
    <t>Stille</t>
  </si>
  <si>
    <t>sonderbare</t>
  </si>
  <si>
    <t>Rasse</t>
  </si>
  <si>
    <t>ruiniert</t>
  </si>
  <si>
    <t>einsam</t>
  </si>
  <si>
    <t>hier</t>
  </si>
  <si>
    <t>--</t>
  </si>
  <si>
    <t># text = Genau dann bricht eine Planke in der Vernunft und ich fiel immer tiefer und treffe bei jedem Fall auf eine andere Welt und hörte damit auf, zu wissen."</t>
  </si>
  <si>
    <t>Genau</t>
  </si>
  <si>
    <t>bricht</t>
  </si>
  <si>
    <t>Planke</t>
  </si>
  <si>
    <t>Vernunft</t>
  </si>
  <si>
    <t>fiel</t>
  </si>
  <si>
    <t>immer</t>
  </si>
  <si>
    <t>tiefer</t>
  </si>
  <si>
    <t>treffe</t>
  </si>
  <si>
    <t>bei</t>
  </si>
  <si>
    <t>jedem</t>
  </si>
  <si>
    <t>Fall</t>
  </si>
  <si>
    <t>andere</t>
  </si>
  <si>
    <t>Welt</t>
  </si>
  <si>
    <t>damit</t>
  </si>
  <si>
    <t># text = Wir kennen Depressionen durch Metaphern.</t>
  </si>
  <si>
    <t>Wir</t>
  </si>
  <si>
    <t>Depressionen</t>
  </si>
  <si>
    <t>durch</t>
  </si>
  <si>
    <t>Metaphern</t>
  </si>
  <si>
    <t># text = Emily Dickinson konnte es durch Sprache vermitteln, Goya mittels eines Bildes.</t>
  </si>
  <si>
    <t>Emily</t>
  </si>
  <si>
    <t>ne</t>
  </si>
  <si>
    <t>Dickinson</t>
  </si>
  <si>
    <t>konnte</t>
  </si>
  <si>
    <t>es</t>
  </si>
  <si>
    <t>Sprache</t>
  </si>
  <si>
    <t>Goya</t>
  </si>
  <si>
    <t>mittels</t>
  </si>
  <si>
    <t>eines</t>
  </si>
  <si>
    <t>Bildes</t>
  </si>
  <si>
    <t># text = Die Intention von Kunst ist zur Hälfte, solche ikonischen Zustände zu beschreiben.</t>
  </si>
  <si>
    <t>Die</t>
  </si>
  <si>
    <t>Intention</t>
  </si>
  <si>
    <t>von</t>
  </si>
  <si>
    <t>Kunst</t>
  </si>
  <si>
    <t>ist</t>
  </si>
  <si>
    <t>Hälfte</t>
  </si>
  <si>
    <t>solche</t>
  </si>
  <si>
    <t>ikonischen</t>
  </si>
  <si>
    <t>Zustände</t>
  </si>
  <si>
    <t>pron.pds</t>
  </si>
  <si>
    <t>beschreiben</t>
  </si>
  <si>
    <t># text = Ich selbst hielt mich immer für taff, für einen der Menschen, der überleben würde, wenn er in ein Konzentrationslager geschickt würde.</t>
  </si>
  <si>
    <t>selbst</t>
  </si>
  <si>
    <t>hielt</t>
  </si>
  <si>
    <t>mich</t>
  </si>
  <si>
    <t>für</t>
  </si>
  <si>
    <t>taff</t>
  </si>
  <si>
    <t>einen</t>
  </si>
  <si>
    <t>Menschen</t>
  </si>
  <si>
    <t>überleben</t>
  </si>
  <si>
    <t>würde</t>
  </si>
  <si>
    <t>wenn</t>
  </si>
  <si>
    <t>er</t>
  </si>
  <si>
    <t>Konzentrationslager</t>
  </si>
  <si>
    <t>geschickt</t>
  </si>
  <si>
    <t># text = 1991 erlitt ich zahlreiche Verluste.</t>
  </si>
  <si>
    <t>1991</t>
  </si>
  <si>
    <t>erlitt</t>
  </si>
  <si>
    <t>zahlreiche</t>
  </si>
  <si>
    <t>Verluste</t>
  </si>
  <si>
    <t>indef-np.quant</t>
  </si>
  <si>
    <t># text = Meine Mutter starb, meine Beziehung endete, ich zog, nach einigen Jahren im Ausland, in die USA zurück, und ich überstand all diese Erfahrungen unversehrt.</t>
  </si>
  <si>
    <t>Meine</t>
  </si>
  <si>
    <t>Mutter</t>
  </si>
  <si>
    <t>starb</t>
  </si>
  <si>
    <t>Beziehung</t>
  </si>
  <si>
    <t>endete</t>
  </si>
  <si>
    <t>zog</t>
  </si>
  <si>
    <t>nach</t>
  </si>
  <si>
    <t>einigen</t>
  </si>
  <si>
    <t>Jahren</t>
  </si>
  <si>
    <t>Ausland</t>
  </si>
  <si>
    <t>USA</t>
  </si>
  <si>
    <t>zurück</t>
  </si>
  <si>
    <t>überstand</t>
  </si>
  <si>
    <t>all</t>
  </si>
  <si>
    <t>diese</t>
  </si>
  <si>
    <t>Erfahrungen</t>
  </si>
  <si>
    <t>def-np.dem</t>
  </si>
  <si>
    <t>unversehrt</t>
  </si>
  <si>
    <t># text = Aber 1994, drei Jahre später, verlor ich das Interesse an fast allen Dingen.</t>
  </si>
  <si>
    <t>Aber</t>
  </si>
  <si>
    <t>1994</t>
  </si>
  <si>
    <t>drei</t>
  </si>
  <si>
    <t>Jahre</t>
  </si>
  <si>
    <t>später</t>
  </si>
  <si>
    <t>verlor</t>
  </si>
  <si>
    <t>Interesse</t>
  </si>
  <si>
    <t>an</t>
  </si>
  <si>
    <t>fast</t>
  </si>
  <si>
    <t>allen</t>
  </si>
  <si>
    <t>Dingen</t>
  </si>
  <si>
    <t># text = Ich wollte nichts mehr von den Dingen machen, die ich zuvor tun wollte, und ich wusste nicht warum.</t>
  </si>
  <si>
    <t>wollte</t>
  </si>
  <si>
    <t>nichts</t>
  </si>
  <si>
    <t>mehr</t>
  </si>
  <si>
    <t>zuvor</t>
  </si>
  <si>
    <t>wusste</t>
  </si>
  <si>
    <t>warum</t>
  </si>
  <si>
    <t># text = Das Gegenteil von Depressionen ist nicht Glück, sondern Vitalität, und gerade die Vitalität schien in diesem Moment aus mir heraus zu sickern.</t>
  </si>
  <si>
    <t>Das</t>
  </si>
  <si>
    <t>Gegenteil</t>
  </si>
  <si>
    <t>Glück</t>
  </si>
  <si>
    <t>sondern</t>
  </si>
  <si>
    <t>Vitalität</t>
  </si>
  <si>
    <t>gerade</t>
  </si>
  <si>
    <t>schien</t>
  </si>
  <si>
    <t>diesem</t>
  </si>
  <si>
    <t>Moment</t>
  </si>
  <si>
    <t>aus</t>
  </si>
  <si>
    <t>heraus</t>
  </si>
  <si>
    <t>sickern</t>
  </si>
  <si>
    <t># text = Alles, was zu tun war, schien zu viel Arbeit.</t>
  </si>
  <si>
    <t>Alles</t>
  </si>
  <si>
    <t>was</t>
  </si>
  <si>
    <t>war</t>
  </si>
  <si>
    <t>viel</t>
  </si>
  <si>
    <t>Arbeit</t>
  </si>
  <si>
    <t># text = Wenn ich nach Hause kam und das rote Licht meines Anrufbeantworters blinken sah, war ich nicht begeistert von meinen Freunden zu hören, sondern dachte: "Das sind viele Leute, die ich zurückrufen muss."</t>
  </si>
  <si>
    <t>Wenn</t>
  </si>
  <si>
    <t>Hause</t>
  </si>
  <si>
    <t>rote</t>
  </si>
  <si>
    <t>Licht</t>
  </si>
  <si>
    <t>meines</t>
  </si>
  <si>
    <t>Anrufbeantworters</t>
  </si>
  <si>
    <t>blinken</t>
  </si>
  <si>
    <t>sah</t>
  </si>
  <si>
    <t>begeistert</t>
  </si>
  <si>
    <t>meinen</t>
  </si>
  <si>
    <t>Freunden</t>
  </si>
  <si>
    <t>dachte</t>
  </si>
  <si>
    <t>:</t>
  </si>
  <si>
    <t>sind</t>
  </si>
  <si>
    <t>viele</t>
  </si>
  <si>
    <t>Leute</t>
  </si>
  <si>
    <t>OBJ_4</t>
  </si>
  <si>
    <t>zurückrufen</t>
  </si>
  <si>
    <t>muss</t>
  </si>
  <si>
    <t># text = Oder ich entschied zu Mittag zu essen, und dann dachte ich, dass ich dafür das Essen rausholen und es auf einen Teller tun muss, es schneiden und kauen und schlucken muss, und das fühlte sich für mich wie ein Kreuzweg an.</t>
  </si>
  <si>
    <t>Oder</t>
  </si>
  <si>
    <t>entschied</t>
  </si>
  <si>
    <t>Mittag</t>
  </si>
  <si>
    <t>essen</t>
  </si>
  <si>
    <t>dafür</t>
  </si>
  <si>
    <t>Essen</t>
  </si>
  <si>
    <t>rausholen</t>
  </si>
  <si>
    <t>Teller</t>
  </si>
  <si>
    <t>schneiden</t>
  </si>
  <si>
    <t>kauen</t>
  </si>
  <si>
    <t>schlucken</t>
  </si>
  <si>
    <t>sich</t>
  </si>
  <si>
    <t>wie</t>
  </si>
  <si>
    <t>Kreuzweg</t>
  </si>
  <si>
    <t># text = Wenn über Depressionen diskutiert wird, wird oft übersehen, dass man weiß, dass es lächerlich ist.</t>
  </si>
  <si>
    <t>diskutiert</t>
  </si>
  <si>
    <t>wird</t>
  </si>
  <si>
    <t>oft</t>
  </si>
  <si>
    <t>man</t>
  </si>
  <si>
    <t>weiß</t>
  </si>
  <si>
    <t>lächerlich</t>
  </si>
  <si>
    <t># text = Man weiß, dass es lächerlich ist, während man es erlebt.</t>
  </si>
  <si>
    <t>Man</t>
  </si>
  <si>
    <t>während</t>
  </si>
  <si>
    <t>erlebt</t>
  </si>
  <si>
    <t># text = Man weiß, dass die meisten Menschen es schaffen, ihre Nachrichten abzuhören, Mittag zu essen, sich selbst dazu zu bringen, zu duschen und aus dem Haus zu gehen, und das es keine große Sache ist, aber dennoch ist man in ihren Fängen und unfähig, einen Weg drum herum zu finden.</t>
  </si>
  <si>
    <t>meisten</t>
  </si>
  <si>
    <t>schaffen</t>
  </si>
  <si>
    <t>ihre</t>
  </si>
  <si>
    <t>Nachrichten</t>
  </si>
  <si>
    <t>abzuhören</t>
  </si>
  <si>
    <t>dazu</t>
  </si>
  <si>
    <t>pron.padv</t>
  </si>
  <si>
    <t>duschen</t>
  </si>
  <si>
    <t>Haus</t>
  </si>
  <si>
    <t>keine</t>
  </si>
  <si>
    <t>große</t>
  </si>
  <si>
    <t>Sache</t>
  </si>
  <si>
    <t>aber</t>
  </si>
  <si>
    <t>dennoch</t>
  </si>
  <si>
    <t>ihren</t>
  </si>
  <si>
    <t>Fängen</t>
  </si>
  <si>
    <t>unfähig</t>
  </si>
  <si>
    <t>Weg</t>
  </si>
  <si>
    <t>drum</t>
  </si>
  <si>
    <t>herum</t>
  </si>
  <si>
    <t># text = Ich begann immer weniger zu tun, immer weniger zu denken und weniger zu fühlen.</t>
  </si>
  <si>
    <t>weniger</t>
  </si>
  <si>
    <t># text = Es war eine Art Nichtigkeit.</t>
  </si>
  <si>
    <t>Es</t>
  </si>
  <si>
    <t>Art</t>
  </si>
  <si>
    <t>Nichtigkeit</t>
  </si>
  <si>
    <t># text = Und dann setzte die Angst ein.</t>
  </si>
  <si>
    <t>setzte</t>
  </si>
  <si>
    <t>Angst</t>
  </si>
  <si>
    <t># text = Wenn man mir gesagt hätte, dass ich in den nächsten Monaten depressiv sein würde, hätte ich gesagt: "Solange es im November vorbei ist, schaffe ich das."</t>
  </si>
  <si>
    <t>gesagt</t>
  </si>
  <si>
    <t>hätte</t>
  </si>
  <si>
    <t>nächsten</t>
  </si>
  <si>
    <t>Monaten</t>
  </si>
  <si>
    <t>depressiv</t>
  </si>
  <si>
    <t>Solange</t>
  </si>
  <si>
    <t>November</t>
  </si>
  <si>
    <t>vorbei</t>
  </si>
  <si>
    <t>schaffe</t>
  </si>
  <si>
    <t># text = Aber wenn man mir gesagt hätte: \"Sie haben den nächsten Monat akute Angstzustände\", würde ich eher mein Handgelenk aufschlitzen, als das durchzustehen.</t>
  </si>
  <si>
    <t>Sie</t>
  </si>
  <si>
    <t>Monat</t>
  </si>
  <si>
    <t>akute</t>
  </si>
  <si>
    <t>Angstzustände</t>
  </si>
  <si>
    <t>eher</t>
  </si>
  <si>
    <t>mein</t>
  </si>
  <si>
    <t>Handgelenk</t>
  </si>
  <si>
    <t>aufschlitzen</t>
  </si>
  <si>
    <t>durchzustehen</t>
  </si>
  <si>
    <t># text = Ich hatte ständig dieses Gefühl, das man hat, wenn man läuft und rutscht oder stolpert und der Boden auf einen zukommt, aber anstatt dass es eine halbe Sekunde anhält, wie normalerweise, hielt es sechs Monate an.</t>
  </si>
  <si>
    <t>hatte</t>
  </si>
  <si>
    <t>ständig</t>
  </si>
  <si>
    <t>dieses</t>
  </si>
  <si>
    <t>Gefühl</t>
  </si>
  <si>
    <t>hat</t>
  </si>
  <si>
    <t>läuft</t>
  </si>
  <si>
    <t>rutscht</t>
  </si>
  <si>
    <t>oder</t>
  </si>
  <si>
    <t>stolpert</t>
  </si>
  <si>
    <t>Boden</t>
  </si>
  <si>
    <t>zukommt</t>
  </si>
  <si>
    <t>anstatt</t>
  </si>
  <si>
    <t>halbe</t>
  </si>
  <si>
    <t>Sekunde</t>
  </si>
  <si>
    <t>anhält</t>
  </si>
  <si>
    <t>normalerweise</t>
  </si>
  <si>
    <t>SBJ_5</t>
  </si>
  <si>
    <t>sechs</t>
  </si>
  <si>
    <t>Monate</t>
  </si>
  <si>
    <t>OBJ_5</t>
  </si>
  <si>
    <t># text = Es ist ein Gefühl der ständigen Angst, ohne dass man überhaupt weiß, wovor man Angst hat.</t>
  </si>
  <si>
    <t>ständigen</t>
  </si>
  <si>
    <t>ohne</t>
  </si>
  <si>
    <t>überhaupt</t>
  </si>
  <si>
    <t>wovor</t>
  </si>
  <si>
    <t># text = Und an diesem Punkt begann ich zu denken, dass es einfach zu schmerzhaft ist, am Leben zu sein, und dass der einzige Grund, sich nicht umzubringen, darin bestand, anderen Menschen nicht weh zu tun.</t>
  </si>
  <si>
    <t>Punkt</t>
  </si>
  <si>
    <t>einfach</t>
  </si>
  <si>
    <t>schmerzhaft</t>
  </si>
  <si>
    <t>Leben</t>
  </si>
  <si>
    <t>einzige</t>
  </si>
  <si>
    <t>Grund</t>
  </si>
  <si>
    <t>umzubringen</t>
  </si>
  <si>
    <t>darin</t>
  </si>
  <si>
    <t>bestand</t>
  </si>
  <si>
    <t>anderen</t>
  </si>
  <si>
    <t>weh</t>
  </si>
  <si>
    <t># text = Eines Tages wachte ich schließlich auf und dachte, ich hätte vielleicht einen Schlaganfall, weil ich komplett gelähmt im Bett lag, das Telefon ansah und dachte: "Etwas stimmt nicht und ich sollte Hilfe holen."</t>
  </si>
  <si>
    <t>Eines</t>
  </si>
  <si>
    <t>Tages</t>
  </si>
  <si>
    <t>wachte</t>
  </si>
  <si>
    <t>schließlich</t>
  </si>
  <si>
    <t>vielleicht</t>
  </si>
  <si>
    <t>Schlaganfall</t>
  </si>
  <si>
    <t>weil</t>
  </si>
  <si>
    <t>komplett</t>
  </si>
  <si>
    <t>gelähmt</t>
  </si>
  <si>
    <t>Bett</t>
  </si>
  <si>
    <t>lag</t>
  </si>
  <si>
    <t>Telefon</t>
  </si>
  <si>
    <t>ansah</t>
  </si>
  <si>
    <t>Etwas</t>
  </si>
  <si>
    <t>stimmt</t>
  </si>
  <si>
    <t>sollte</t>
  </si>
  <si>
    <t>Hilfe</t>
  </si>
  <si>
    <t>holen</t>
  </si>
  <si>
    <t># text = Ich konnte meinen Arm nicht ausstrecken und das Telefon abheben und wählen.</t>
  </si>
  <si>
    <t>Arm</t>
  </si>
  <si>
    <t>abheben</t>
  </si>
  <si>
    <t>wählen</t>
  </si>
  <si>
    <t># text = Nachdem ich volle 4 Stunden dagelegen und es angestarrt hatte, klingelte endlich das Telefon, und irgendwie schaffte ich es dranzugehen.</t>
  </si>
  <si>
    <t>Nachdem</t>
  </si>
  <si>
    <t>volle</t>
  </si>
  <si>
    <t>Stunden</t>
  </si>
  <si>
    <t>dagelegen</t>
  </si>
  <si>
    <t>angestarrt</t>
  </si>
  <si>
    <t>klingelte</t>
  </si>
  <si>
    <t>endlich</t>
  </si>
  <si>
    <t>irgendwie</t>
  </si>
  <si>
    <t>schaffte</t>
  </si>
  <si>
    <t>dranzugehen</t>
  </si>
  <si>
    <t># text = Es war mein Vater und ich sagte: "Ich habe ernsthafte Probleme.</t>
  </si>
  <si>
    <t>Vater</t>
  </si>
  <si>
    <t>sagte</t>
  </si>
  <si>
    <t>habe</t>
  </si>
  <si>
    <t>ernsthafte</t>
  </si>
  <si>
    <t>Probleme</t>
  </si>
  <si>
    <t># text = Wir müssen etwas tun."</t>
  </si>
  <si>
    <t>müssen</t>
  </si>
  <si>
    <t>etwas</t>
  </si>
  <si>
    <t># text = Am nächsten Tag fing ich mit den Medikamenten und der Therapie an.</t>
  </si>
  <si>
    <t>An</t>
  </si>
  <si>
    <t>Tag</t>
  </si>
  <si>
    <t>fing</t>
  </si>
  <si>
    <t>Medikamenten</t>
  </si>
  <si>
    <t>Therapie</t>
  </si>
  <si>
    <t># text = Und ich begann auch mir diese furchtbare Frage zu stellen: Wenn ich nicht die starke Person bin, die ein Konzentrationslager überstanden hätte, wer bin ich dann?</t>
  </si>
  <si>
    <t>auch</t>
  </si>
  <si>
    <t>furchtbare</t>
  </si>
  <si>
    <t>starke</t>
  </si>
  <si>
    <t>Person</t>
  </si>
  <si>
    <t>bin</t>
  </si>
  <si>
    <t>überstanden</t>
  </si>
  <si>
    <t>wer</t>
  </si>
  <si>
    <t>pron.pint</t>
  </si>
  <si>
    <t>?</t>
  </si>
  <si>
    <t># text = Und wenn ich Medikamente nehmen muss, machen die Medikamente mich mehr zu mir selbst oder machen sie mich zu jemand anderem?</t>
  </si>
  <si>
    <t>Medikamente</t>
  </si>
  <si>
    <t>nehmen</t>
  </si>
  <si>
    <t>jemand</t>
  </si>
  <si>
    <t>anderem</t>
  </si>
  <si>
    <t># text = Und was halte ich davon, wenn sie mich zu einem anderen machen?</t>
  </si>
  <si>
    <t>halte</t>
  </si>
  <si>
    <t>davon</t>
  </si>
  <si>
    <t>einem</t>
  </si>
  <si>
    <t># text = Es gab zwei Vorteile für mich, als ich den Kampf aufnahm.</t>
  </si>
  <si>
    <t>gab</t>
  </si>
  <si>
    <t>zwei</t>
  </si>
  <si>
    <t>Vorteile</t>
  </si>
  <si>
    <t>Kampf</t>
  </si>
  <si>
    <t>aufnahm</t>
  </si>
  <si>
    <t># text = Erstens wusste ich, objektiv gesprochen, dass ich ein schönes Leben hatte und wenn ich nur gesund würde, wäre dort etwas am anderen Ende, das lebenswert war.</t>
  </si>
  <si>
    <t>Erstens</t>
  </si>
  <si>
    <t>objektiv</t>
  </si>
  <si>
    <t>gesprochen</t>
  </si>
  <si>
    <t>schönes</t>
  </si>
  <si>
    <t>nur</t>
  </si>
  <si>
    <t>gesund</t>
  </si>
  <si>
    <t>dort</t>
  </si>
  <si>
    <t>Ende</t>
  </si>
  <si>
    <t>other_6</t>
  </si>
  <si>
    <t>def-np.the.other</t>
  </si>
  <si>
    <t>lebenswert</t>
  </si>
  <si>
    <t># text = Darüber hinaus hatte ich Zugang zu guter Behandlung.</t>
  </si>
  <si>
    <t>Darüber</t>
  </si>
  <si>
    <t>hinaus</t>
  </si>
  <si>
    <t>Zugang</t>
  </si>
  <si>
    <t>guter</t>
  </si>
  <si>
    <t>Behandlung</t>
  </si>
  <si>
    <t># text = Aber trotzdem kämpfte ich mich raus und wurde rückfällig, kämpfte mich raus und schließlich verstand ich, dass ich auf ewig in medizinischer und therapeutischer Behandlung bleiben müsste.</t>
  </si>
  <si>
    <t>trotzdem</t>
  </si>
  <si>
    <t>kämpfte</t>
  </si>
  <si>
    <t>raus</t>
  </si>
  <si>
    <t>wurde</t>
  </si>
  <si>
    <t>rückfällig</t>
  </si>
  <si>
    <t>verstand</t>
  </si>
  <si>
    <t>ewig</t>
  </si>
  <si>
    <t>medizinischer</t>
  </si>
  <si>
    <t>therapeutischer</t>
  </si>
  <si>
    <t>müsste</t>
  </si>
  <si>
    <t># text = Ich überlegte: \"Ist es ein chemisches oder ein psychologisches Problem?</t>
  </si>
  <si>
    <t>überlegte</t>
  </si>
  <si>
    <t>Ist</t>
  </si>
  <si>
    <t>chemisches</t>
  </si>
  <si>
    <t>psychologisches</t>
  </si>
  <si>
    <t>Problem</t>
  </si>
  <si>
    <t># text = Und muss es auf chemische oder auf philosophische Weise geheilt werden?\"</t>
  </si>
  <si>
    <t>chemische</t>
  </si>
  <si>
    <t>philosophische</t>
  </si>
  <si>
    <t>Weise</t>
  </si>
  <si>
    <t>geheilt</t>
  </si>
  <si>
    <t># text = Ich konnte die Frage, welches davon es war, nicht beantworten.</t>
  </si>
  <si>
    <t>welches</t>
  </si>
  <si>
    <t># text = Und dann verstand ich schließlich, dass wir in keinem Bereich fortgeschritten genug sind, um die Dinge ganz zu erklären.</t>
  </si>
  <si>
    <t>wir</t>
  </si>
  <si>
    <t>keinem</t>
  </si>
  <si>
    <t>Bereich</t>
  </si>
  <si>
    <t>fortgeschritten</t>
  </si>
  <si>
    <t>genug</t>
  </si>
  <si>
    <t>um</t>
  </si>
  <si>
    <t>Dinge</t>
  </si>
  <si>
    <t>ganz</t>
  </si>
  <si>
    <t># text = Die chemische und psychologische Behandlung haben beide eine Funktion, und ich verstand auch, dass Depressionen etwas sind, das so tief in uns verwurzelt ist, dass man sie nicht von unserem Charakter und unserer Persönlichkeit trennen kann.</t>
  </si>
  <si>
    <t>psychologische</t>
  </si>
  <si>
    <t>beide</t>
  </si>
  <si>
    <t>Funktion</t>
  </si>
  <si>
    <t>def-np.quant</t>
  </si>
  <si>
    <t>so</t>
  </si>
  <si>
    <t>tief</t>
  </si>
  <si>
    <t>uns</t>
  </si>
  <si>
    <t>verwurzelt</t>
  </si>
  <si>
    <t>unserem</t>
  </si>
  <si>
    <t>Charakter</t>
  </si>
  <si>
    <t>unserer</t>
  </si>
  <si>
    <t>Persönlichkeit</t>
  </si>
  <si>
    <t>trennen</t>
  </si>
  <si>
    <t>kann</t>
  </si>
  <si>
    <t># text = Unsere derzeitigen Behandlungsmethoden für Depressionen sind fürchterlich.</t>
  </si>
  <si>
    <t>Unsere</t>
  </si>
  <si>
    <t>Behandlungsmethoden</t>
  </si>
  <si>
    <t>fürchterlich</t>
  </si>
  <si>
    <t># text = Sie sind nicht besonders effektiv.</t>
  </si>
  <si>
    <t>besonders</t>
  </si>
  <si>
    <t>effektiv</t>
  </si>
  <si>
    <t># text = Sie sind extrem teuer.</t>
  </si>
  <si>
    <t>extrem</t>
  </si>
  <si>
    <t>teuer</t>
  </si>
  <si>
    <t># text = Sie haben unzählige Nebenwirkungen.</t>
  </si>
  <si>
    <t>unzählige</t>
  </si>
  <si>
    <t>Nebenwirkungen</t>
  </si>
  <si>
    <t># text = Sie sind ein Desaster.</t>
  </si>
  <si>
    <t>Desaster</t>
  </si>
  <si>
    <t># text = Aber ich bin so dankbar, dass ich zur heutigen Zeit lebe und nicht vor 50 Jahren, als beinahe gar nichts getan werden konnte.</t>
  </si>
  <si>
    <t>dankbar</t>
  </si>
  <si>
    <t>heutigen</t>
  </si>
  <si>
    <t>Zeit</t>
  </si>
  <si>
    <t>lebe</t>
  </si>
  <si>
    <t>vor</t>
  </si>
  <si>
    <t>beinahe</t>
  </si>
  <si>
    <t>gar</t>
  </si>
  <si>
    <t>getan</t>
  </si>
  <si>
    <t># text = Ich hoffe, dass in 50 Jahren die Menschen von meinen Therapien hören und entsetzt sein werden, dass irgendjemand so eine primitive Wissenschaft erduldete.</t>
  </si>
  <si>
    <t>hoffe</t>
  </si>
  <si>
    <t>Therapien</t>
  </si>
  <si>
    <t>entsetzt</t>
  </si>
  <si>
    <t>irgendjemand</t>
  </si>
  <si>
    <t>primitive</t>
  </si>
  <si>
    <t>Wissenschaft</t>
  </si>
  <si>
    <t>erduldete</t>
  </si>
  <si>
    <t># text = Depressionen sind das Manko der Liebe.</t>
  </si>
  <si>
    <t>Manko</t>
  </si>
  <si>
    <t>Liebe</t>
  </si>
  <si>
    <t># text = Wäre man mit jemandem verheiratet und würde denken: \"Wenn meine Frau stirbt, finde ich eine andere\", wäre es nicht die Liebe, wie wir sie kennen.</t>
  </si>
  <si>
    <t>Wäre</t>
  </si>
  <si>
    <t>jemandem</t>
  </si>
  <si>
    <t>verheiratet</t>
  </si>
  <si>
    <t>stirbt</t>
  </si>
  <si>
    <t>finde</t>
  </si>
  <si>
    <t># text = Es gibt keine Liebe, ohne das Vorgefühl von Verlust, und dieses Schreckgespenst der Verzweiflung kann der Antrieb für Vertrautheit sein.</t>
  </si>
  <si>
    <t>gibt</t>
  </si>
  <si>
    <t>Vorgefühl</t>
  </si>
  <si>
    <t>Verlust</t>
  </si>
  <si>
    <t>Schreckgespenst</t>
  </si>
  <si>
    <t>Verzweiflung</t>
  </si>
  <si>
    <t>Antrieb</t>
  </si>
  <si>
    <t>Vertrautheit</t>
  </si>
  <si>
    <t># text = Es gibt drei Dinge, die Menschen gerne verwechseln: Depressionen, Trauer und Traurigkeit.</t>
  </si>
  <si>
    <t>gerne</t>
  </si>
  <si>
    <t>verwechseln</t>
  </si>
  <si>
    <t>Trauer</t>
  </si>
  <si>
    <t>Traurigkeit</t>
  </si>
  <si>
    <t># text = Trauer ist ausdrücklich reaktiv.</t>
  </si>
  <si>
    <t>ausdrücklich</t>
  </si>
  <si>
    <t>reaktiv</t>
  </si>
  <si>
    <t># text = Wenn Sie einen Verlust erleiden und sich unglaublich unglücklich fühlen, und dann, 6 Monate später, sind Sie immer noch zutiefst traurig, aber Sie funktionieren ein bisschen besser, ist es wahrscheinlich Trauer, und es wird sich wahrscheinlich letztendlich in gewissem Maße von alleine lösen.</t>
  </si>
  <si>
    <t>unglaublich</t>
  </si>
  <si>
    <t>unglücklich</t>
  </si>
  <si>
    <t>noch</t>
  </si>
  <si>
    <t>zutiefst</t>
  </si>
  <si>
    <t>traurig</t>
  </si>
  <si>
    <t>funktionieren</t>
  </si>
  <si>
    <t>bisschen</t>
  </si>
  <si>
    <t>besser</t>
  </si>
  <si>
    <t>letztendlich</t>
  </si>
  <si>
    <t>gewissem</t>
  </si>
  <si>
    <t>Maße</t>
  </si>
  <si>
    <t>alleine</t>
  </si>
  <si>
    <t>lösen</t>
  </si>
  <si>
    <t># text = Wenn Sie einen katastrophalen Verlust erleiden und sich schrecklich fühlen, und nach 6 Monaten kaum funktionieren können, dann sind es vielleicht Depressionen, die von den katastrophalen Umständen ausgelöst wurden.</t>
  </si>
  <si>
    <t>katastrophalen</t>
  </si>
  <si>
    <t>schrecklich</t>
  </si>
  <si>
    <t>kaum</t>
  </si>
  <si>
    <t>können</t>
  </si>
  <si>
    <t>Umständen</t>
  </si>
  <si>
    <t>ausgelöst</t>
  </si>
  <si>
    <t>wurden</t>
  </si>
  <si>
    <t># text = Der Verlauf erzählt uns eine Menge.</t>
  </si>
  <si>
    <t>Der</t>
  </si>
  <si>
    <t>Verlauf</t>
  </si>
  <si>
    <t>erzählt</t>
  </si>
  <si>
    <t>Menge</t>
  </si>
  <si>
    <t># text = Die Menschen denken, Depressionen wären einfach Traurigkeit.</t>
  </si>
  <si>
    <t>wären</t>
  </si>
  <si>
    <t># text = Es ist viel zu viel Traurigkeit, viel zu viel Trauer aus einem viel zu nichtigen Grund.</t>
  </si>
  <si>
    <t>nichtigen</t>
  </si>
  <si>
    <t># text = Ich machte mich daran, Depressionen zu verstehen und Menschen zu interviewen, die das erlebt hatten.</t>
  </si>
  <si>
    <t>machte</t>
  </si>
  <si>
    <t>daran</t>
  </si>
  <si>
    <t>interviewen</t>
  </si>
  <si>
    <t>hatten</t>
  </si>
  <si>
    <t># text = Ich entdeckte, dass es Menschen gibt, die, oberflächlich betrachtet, relativ leichte Depressionen haben, die aber davon dennoch völlig ausgeschaltet sind.</t>
  </si>
  <si>
    <t>entdeckte</t>
  </si>
  <si>
    <t>oberflächlich</t>
  </si>
  <si>
    <t>betrachtet</t>
  </si>
  <si>
    <t>relativ</t>
  </si>
  <si>
    <t>leichte</t>
  </si>
  <si>
    <t>völlig</t>
  </si>
  <si>
    <t>ausgeschaltet</t>
  </si>
  <si>
    <t># text = Und es gibt andere Menschen, die, so wie es klingt, furchtbar schwere Depressionen haben, und dennoch zwischen ihren depressiven Episoden ein schönes Leben hatten.</t>
  </si>
  <si>
    <t>klingt</t>
  </si>
  <si>
    <t>furchtbar</t>
  </si>
  <si>
    <t>schwere</t>
  </si>
  <si>
    <t>zwischen</t>
  </si>
  <si>
    <t>depressiven</t>
  </si>
  <si>
    <t>Episoden</t>
  </si>
  <si>
    <t># text = Ich versuchte also herauszufinden, warum manche Menschen widerstandsfähiger sind als andere.</t>
  </si>
  <si>
    <t>versuchte</t>
  </si>
  <si>
    <t>also</t>
  </si>
  <si>
    <t>herauszufinden</t>
  </si>
  <si>
    <t>manche</t>
  </si>
  <si>
    <t>widerstandsfähiger</t>
  </si>
  <si>
    <t># text = Was sind die Mechanismen, die es Menschen ermöglichen, zu überleben?</t>
  </si>
  <si>
    <t>Was</t>
  </si>
  <si>
    <t>Mechanismen</t>
  </si>
  <si>
    <t>ermöglichen</t>
  </si>
  <si>
    <t># text = Ich ging also los und interviewte einen an Depressionen erkrankten Menschen nach dem anderen.</t>
  </si>
  <si>
    <t>ging</t>
  </si>
  <si>
    <t>los</t>
  </si>
  <si>
    <t>interviewte</t>
  </si>
  <si>
    <t>erkrankten</t>
  </si>
  <si>
    <t># text = Einer der ersten Menschen, die ich interviewte, beschrieb Depressionen als eine andere Art Tod, und es war gut, dass ich das so früh hörte, denn es erinnerte mich daran, dass diese Art Tod zum wirklichen Tod führen kann, und daran, dass es eine ernst zunehmende Sache ist.</t>
  </si>
  <si>
    <t>Einer</t>
  </si>
  <si>
    <t>ersten</t>
  </si>
  <si>
    <t>beschrieb</t>
  </si>
  <si>
    <t>Tod</t>
  </si>
  <si>
    <t>gut</t>
  </si>
  <si>
    <t>früh</t>
  </si>
  <si>
    <t>denn</t>
  </si>
  <si>
    <t>erinnerte</t>
  </si>
  <si>
    <t>wirklichen</t>
  </si>
  <si>
    <t>SBJ_6</t>
  </si>
  <si>
    <t>ernst</t>
  </si>
  <si>
    <t>zunehmende</t>
  </si>
  <si>
    <t># text = Es ist die am weitesten verbreitete Behinderung und täglich sterben Menschen daran.</t>
  </si>
  <si>
    <t>weitesten</t>
  </si>
  <si>
    <t>verbreitete</t>
  </si>
  <si>
    <t>Behinderung</t>
  </si>
  <si>
    <t>täglich</t>
  </si>
  <si>
    <t># text = Einer der Menschen, mit dem ich sprach als ich das zu verstehen versuchte, war eine geliebte Freundin, die ich schon seit vielen Jahren kannte, und die eine psychotische Episode in ihrem ersten Jahr am College gehabt hatte, und dann in eine entsetzliche Depression verfallen war.</t>
  </si>
  <si>
    <t>sprach</t>
  </si>
  <si>
    <t>geliebte</t>
  </si>
  <si>
    <t>Freundin</t>
  </si>
  <si>
    <t>schon</t>
  </si>
  <si>
    <t>seit</t>
  </si>
  <si>
    <t>vielen</t>
  </si>
  <si>
    <t>kannte</t>
  </si>
  <si>
    <t>psychotische</t>
  </si>
  <si>
    <t>Episode</t>
  </si>
  <si>
    <t>ihrem</t>
  </si>
  <si>
    <t>Jahr</t>
  </si>
  <si>
    <t>College</t>
  </si>
  <si>
    <t>gehabt</t>
  </si>
  <si>
    <t>entsetzliche</t>
  </si>
  <si>
    <t>Depression</t>
  </si>
  <si>
    <t>verfallen</t>
  </si>
  <si>
    <t># text = Sie hatte eine bipolare Störung oder manische Depression, wie es damals hieß.</t>
  </si>
  <si>
    <t>bipolare</t>
  </si>
  <si>
    <t>Störung</t>
  </si>
  <si>
    <t>manische</t>
  </si>
  <si>
    <t>damals</t>
  </si>
  <si>
    <t>hieß</t>
  </si>
  <si>
    <t># text = Über viele Jahre hinweg ging es ihr mit Lithium sehr gut und schließlich wurde das Lithium abgesetzt, um zu sehen, wie sie ohne klar käme.</t>
  </si>
  <si>
    <t>Über</t>
  </si>
  <si>
    <t>hinweg</t>
  </si>
  <si>
    <t>ihr</t>
  </si>
  <si>
    <t>Lithium</t>
  </si>
  <si>
    <t>sehr</t>
  </si>
  <si>
    <t>abgesetzt</t>
  </si>
  <si>
    <t>sehen</t>
  </si>
  <si>
    <t>klar</t>
  </si>
  <si>
    <t>käme</t>
  </si>
  <si>
    <t># text = Sie hatte eine weitere Psychose, und verfiel dann in die schwerste Depression, die ich jemals sah.</t>
  </si>
  <si>
    <t>weitere</t>
  </si>
  <si>
    <t>Psychose</t>
  </si>
  <si>
    <t>verfiel</t>
  </si>
  <si>
    <t>schwerste</t>
  </si>
  <si>
    <t>jemals</t>
  </si>
  <si>
    <t># text = Sie saß Tag für Tag mehr oder weniger katatonisch und im Grunde bewegungslos in der Wohnung ihrer Eltern.</t>
  </si>
  <si>
    <t>saß</t>
  </si>
  <si>
    <t>katatonisch</t>
  </si>
  <si>
    <t>Grunde</t>
  </si>
  <si>
    <t>bewegungslos</t>
  </si>
  <si>
    <t>Wohnung</t>
  </si>
  <si>
    <t>ihrer</t>
  </si>
  <si>
    <t>Eltern</t>
  </si>
  <si>
    <t># text = Als ich sie Jahre später über diese Erfahrung befragte -- sie ist die Dichterin und Psychotherapeutin Maggie Robbins -- sagte sie: \"Ich sang immer wieder 'Where Have All The Flowers Gone', um meinen Geist zu beschäftigen.</t>
  </si>
  <si>
    <t>Als</t>
  </si>
  <si>
    <t>Erfahrung</t>
  </si>
  <si>
    <t>befragte</t>
  </si>
  <si>
    <t>Dichterin</t>
  </si>
  <si>
    <t>def-np.poss</t>
  </si>
  <si>
    <t>Psychotherapeutin</t>
  </si>
  <si>
    <t>Maggie</t>
  </si>
  <si>
    <t>Robbins</t>
  </si>
  <si>
    <t>sang</t>
  </si>
  <si>
    <t>Where</t>
  </si>
  <si>
    <t>Have</t>
  </si>
  <si>
    <t>All</t>
  </si>
  <si>
    <t>The</t>
  </si>
  <si>
    <t>Flowers</t>
  </si>
  <si>
    <t>Gone</t>
  </si>
  <si>
    <t>Geist</t>
  </si>
  <si>
    <t>beschäftigen</t>
  </si>
  <si>
    <t># text = Ich sang, um die Dinge auszulöschen, die mein Verstand mir sagte, Dinge wie 'Du bist nichts.</t>
  </si>
  <si>
    <t>auszulöschen</t>
  </si>
  <si>
    <t>Verstand</t>
  </si>
  <si>
    <t>Du</t>
  </si>
  <si>
    <t>bist</t>
  </si>
  <si>
    <t># text = Du bist ein Niemand.</t>
  </si>
  <si>
    <t>Niemand</t>
  </si>
  <si>
    <t># text = Du verdienst es nicht mal zu leben.'</t>
  </si>
  <si>
    <t>verdienst</t>
  </si>
  <si>
    <t>mal</t>
  </si>
  <si>
    <t># text = Und da fing ich wirklich an, daran zu denken, mich umzubringen."</t>
  </si>
  <si>
    <t>da</t>
  </si>
  <si>
    <t>wirklich</t>
  </si>
  <si>
    <t># text = Während der Depressionen merkt man nicht, dass man einen grauen Schleier angelegt hat und die Welt durch diesen Schleier von schlechter Laune sieht.</t>
  </si>
  <si>
    <t>Während</t>
  </si>
  <si>
    <t>merkt</t>
  </si>
  <si>
    <t>grauen</t>
  </si>
  <si>
    <t>Schleier</t>
  </si>
  <si>
    <t>angelegt</t>
  </si>
  <si>
    <t>diesen</t>
  </si>
  <si>
    <t>schlechter</t>
  </si>
  <si>
    <t>Laune</t>
  </si>
  <si>
    <t>sieht</t>
  </si>
  <si>
    <t># text = Man denkt, dass der Schleier entfernt wurde, der Schleier des Glücks, und dass man jetzt erst richtig sieht.</t>
  </si>
  <si>
    <t>denkt</t>
  </si>
  <si>
    <t>entfernt</t>
  </si>
  <si>
    <t>des</t>
  </si>
  <si>
    <t>Glücks</t>
  </si>
  <si>
    <t>jetzt</t>
  </si>
  <si>
    <t>erst</t>
  </si>
  <si>
    <t>richtig</t>
  </si>
  <si>
    <t># text = Es ist einfacher Schizophrenen zu helfen, die etwas Fremdes in sich selbst wahrnehmen, das ausgetrieben werden muss.</t>
  </si>
  <si>
    <t>einfacher</t>
  </si>
  <si>
    <t>Schizophrenen</t>
  </si>
  <si>
    <t>Fremdes</t>
  </si>
  <si>
    <t>wahrnehmen</t>
  </si>
  <si>
    <t>ausgetrieben</t>
  </si>
  <si>
    <t># text = Aber mit Depressiven ist es schwierig, denn wir denken, dass wir die Wahrheit sehen.</t>
  </si>
  <si>
    <t>Depressiven</t>
  </si>
  <si>
    <t>schwierig</t>
  </si>
  <si>
    <t>Wahrheit</t>
  </si>
  <si>
    <t># text = Aber die Wahrheit lügt.</t>
  </si>
  <si>
    <t>lügt</t>
  </si>
  <si>
    <t># text = Ich war von diesem Satz besessen: "Aber die Wahrheit lügt."</t>
  </si>
  <si>
    <t>Satz</t>
  </si>
  <si>
    <t>besessen</t>
  </si>
  <si>
    <t># text = Aber ich stellte fest, als ich mit depressiven Menschen sprach, dass sie viele wahnhafte Wahrnehmungen haben.</t>
  </si>
  <si>
    <t>stellte</t>
  </si>
  <si>
    <t>fest</t>
  </si>
  <si>
    <t>wahnhafte</t>
  </si>
  <si>
    <t>Wahrnehmungen</t>
  </si>
  <si>
    <t># text = Menschen sagen etwa: \"Niemand liebt mich.\"</t>
  </si>
  <si>
    <t>etwa</t>
  </si>
  <si>
    <t>liebt</t>
  </si>
  <si>
    <t># text = Und man sagt: \"Ich liebe dich, deine Frau liebt dich, deine Mutter liebt dich.\"</t>
  </si>
  <si>
    <t>sagt</t>
  </si>
  <si>
    <t>liebe</t>
  </si>
  <si>
    <t>dich</t>
  </si>
  <si>
    <t>deine</t>
  </si>
  <si>
    <t># text = Man kann das ziemlich schnell beantworten, zumindest bei den meisten Menschen.</t>
  </si>
  <si>
    <t>ziemlich</t>
  </si>
  <si>
    <t>schnell</t>
  </si>
  <si>
    <t>zumindest</t>
  </si>
  <si>
    <t># text = Aber depressive Menschen werden auch sagen: \"Egal, was wir machen, am Ende werden wir alle sterben.\"</t>
  </si>
  <si>
    <t>depressive</t>
  </si>
  <si>
    <t>Egal</t>
  </si>
  <si>
    <t># text = Oder sie werden sagen: "Es kann keine wahre Gemeinschaft zwischen zwei Menschen geben.</t>
  </si>
  <si>
    <t>wahre</t>
  </si>
  <si>
    <t>Gemeinschaft</t>
  </si>
  <si>
    <t># text = Jeder von uns ist in seinem eigenen Körper gefangen.\"</t>
  </si>
  <si>
    <t>Jeder</t>
  </si>
  <si>
    <t>seinem</t>
  </si>
  <si>
    <t>eigenen</t>
  </si>
  <si>
    <t>Körper</t>
  </si>
  <si>
    <t>gefangen</t>
  </si>
  <si>
    <t># text = Worauf man sagen muss: \"Das ist wahr, aber ich denke wir sollten uns jetzt darauf konzentrieren, was es zum Frühstück geben soll.\"</t>
  </si>
  <si>
    <t>Worauf</t>
  </si>
  <si>
    <t>wahr</t>
  </si>
  <si>
    <t>denke</t>
  </si>
  <si>
    <t>sollten</t>
  </si>
  <si>
    <t>darauf</t>
  </si>
  <si>
    <t>konzentrieren</t>
  </si>
  <si>
    <t>Frühstück</t>
  </si>
  <si>
    <t>soll</t>
  </si>
  <si>
    <t># text = (Gelächter) Die meiste Zeit bringen sie nicht die Krankheit, sondern Einsicht zum Ausdruck.</t>
  </si>
  <si>
    <t>(</t>
  </si>
  <si>
    <t>Gelächter</t>
  </si>
  <si>
    <t>)</t>
  </si>
  <si>
    <t>meiste</t>
  </si>
  <si>
    <t>Krankheit</t>
  </si>
  <si>
    <t>Einsicht</t>
  </si>
  <si>
    <t>Ausdruck</t>
  </si>
  <si>
    <t># text = Und man beginnt zu denken: Das wirklich Außergewöhnliche ist, dass die meisten von uns diese existenziellen Fragen kennen und sie uns nicht besonders beschäftigen.</t>
  </si>
  <si>
    <t>beginnt</t>
  </si>
  <si>
    <t>Außergewöhnliche</t>
  </si>
  <si>
    <t>existenziellen</t>
  </si>
  <si>
    <t>Fragen</t>
  </si>
  <si>
    <t># text = Es gab eine Studie, die ich besonders mochte, in der eine Gruppe depressiver und eine Gruppe nicht-depressiver Menschen gebeten wurden, eine Stunde lang ein Videospiel zu spielen, und am Ende dieser Stunde wurden sie gefragt, wie viele kleine Monster sie meinten getötet zu haben.</t>
  </si>
  <si>
    <t>Studie</t>
  </si>
  <si>
    <t>mochte</t>
  </si>
  <si>
    <t>Gruppe</t>
  </si>
  <si>
    <t>depressiver</t>
  </si>
  <si>
    <t>nicht-depressiver</t>
  </si>
  <si>
    <t>gebeten</t>
  </si>
  <si>
    <t>Stunde</t>
  </si>
  <si>
    <t>lang</t>
  </si>
  <si>
    <t>Videospiel</t>
  </si>
  <si>
    <t>spielen</t>
  </si>
  <si>
    <t>dieser</t>
  </si>
  <si>
    <t>gefragt</t>
  </si>
  <si>
    <t>kleine</t>
  </si>
  <si>
    <t>Monster</t>
  </si>
  <si>
    <t>meinten</t>
  </si>
  <si>
    <t>getötet</t>
  </si>
  <si>
    <t># text = Die depressive Gruppe war meist, mit Abweichungen von ungefähr 10 Prozent, korrekt und die nicht-depressiven Menschen schätzten zwischen 15 und 20 Mal mehr kleine Monster -- (Gelächter) -- als sie tatsächlich getötet hatten.</t>
  </si>
  <si>
    <t>meist</t>
  </si>
  <si>
    <t>Abweichungen</t>
  </si>
  <si>
    <t>ungefähr</t>
  </si>
  <si>
    <t>Prozent</t>
  </si>
  <si>
    <t>korrekt</t>
  </si>
  <si>
    <t>nicht-depressiven</t>
  </si>
  <si>
    <t>schätzten</t>
  </si>
  <si>
    <t>Mal</t>
  </si>
  <si>
    <t>tatsächlich</t>
  </si>
  <si>
    <t># text = Als ich beschloss, über meine Depressionen zu schreiben, sagten viele Menschen, dass es sehr schwierig sein müsse, sich öffentlich dazu zu bekennen, es die Leute wissen zu lassen.</t>
  </si>
  <si>
    <t>beschloss</t>
  </si>
  <si>
    <t>schreiben</t>
  </si>
  <si>
    <t>sagten</t>
  </si>
  <si>
    <t>müsse</t>
  </si>
  <si>
    <t>öffentlich</t>
  </si>
  <si>
    <t>bekennen</t>
  </si>
  <si>
    <t># text = Sie sagten: \"Reden die Leute anders mit Ihnen?\"</t>
  </si>
  <si>
    <t>Reden</t>
  </si>
  <si>
    <t>anders</t>
  </si>
  <si>
    <t>Ihnen</t>
  </si>
  <si>
    <t># text = Und ich sagte: "Ja, Menschen reden anders mit mir.</t>
  </si>
  <si>
    <t>Ja</t>
  </si>
  <si>
    <t># text = Sie reden insofern anders mit mir, dass sie anfangen, mir von ihrer Erfahrung zu erzählen oder der Erfahrung ihrer Schwester, oder der Erfahrung eines Freundes.</t>
  </si>
  <si>
    <t>insofern</t>
  </si>
  <si>
    <t>anfangen</t>
  </si>
  <si>
    <t>Schwester</t>
  </si>
  <si>
    <t>Freundes</t>
  </si>
  <si>
    <t># text = Die Dinge sind anders, denn jetzt weiß ich, dass Depressionen ein Familiengeheimnis sind, das jeder hat.</t>
  </si>
  <si>
    <t>Familiengeheimnis</t>
  </si>
  <si>
    <t>jeder</t>
  </si>
  <si>
    <t># text = Vor ein paar Jahren ging ich zu einer Konferenz und am Freitag dieser 3-tägigen Konferenz nahm eine der Teilnehmerinnen mich zur Seite und sie sagte zu mir: "Ich leide an Depressionen und ich schäme mich ein bisschen dafür, aber ich nehme diese Medikamente und ich möchte Sie fragen, was Sie darüber denken?"</t>
  </si>
  <si>
    <t>Vor</t>
  </si>
  <si>
    <t>paar</t>
  </si>
  <si>
    <t>einer</t>
  </si>
  <si>
    <t>Konferenz</t>
  </si>
  <si>
    <t>Freitag</t>
  </si>
  <si>
    <t>3-tägigen</t>
  </si>
  <si>
    <t>nahm</t>
  </si>
  <si>
    <t>Teilnehmerinnen</t>
  </si>
  <si>
    <t>Seite</t>
  </si>
  <si>
    <t>leide</t>
  </si>
  <si>
    <t>schäme</t>
  </si>
  <si>
    <t>nehme</t>
  </si>
  <si>
    <t>möchte</t>
  </si>
  <si>
    <t>darüber</t>
  </si>
  <si>
    <t># text = Und ich bemühte mich, so weit ich konnte, ihr einen Rat zu geben.</t>
  </si>
  <si>
    <t>bemühte</t>
  </si>
  <si>
    <t>weit</t>
  </si>
  <si>
    <t>Rat</t>
  </si>
  <si>
    <t># text = Und dann sagte sie: \"Wissen Sie, mein Mann würde das nie verstehen.</t>
  </si>
  <si>
    <t>Wissen</t>
  </si>
  <si>
    <t>Mann</t>
  </si>
  <si>
    <t>nie</t>
  </si>
  <si>
    <t># text = Er ist wirklich ein Typ, für den das keinen Sinn ergeben würde.</t>
  </si>
  <si>
    <t>Er</t>
  </si>
  <si>
    <t>Typ</t>
  </si>
  <si>
    <t>keinen</t>
  </si>
  <si>
    <t>Sinn</t>
  </si>
  <si>
    <t>ergeben</t>
  </si>
  <si>
    <t># text = Also, das sollte unter uns bleiben."</t>
  </si>
  <si>
    <t>Also</t>
  </si>
  <si>
    <t>unter</t>
  </si>
  <si>
    <t># text = Und ich sagte: "Ja, das ist in Ordnung."</t>
  </si>
  <si>
    <t>Ordnung</t>
  </si>
  <si>
    <t># text = Am Sonntag derselben Konferenz nahm mich ihr Ehemann zur Seite und sagte zu mir: \"Meine Frau würde denken, dass ich kein ganzer Kerl wäre, wenn sie das wüsste.</t>
  </si>
  <si>
    <t>Sonntag</t>
  </si>
  <si>
    <t>derselben</t>
  </si>
  <si>
    <t>Ehemann</t>
  </si>
  <si>
    <t>kein</t>
  </si>
  <si>
    <t>ganzer</t>
  </si>
  <si>
    <t>Kerl</t>
  </si>
  <si>
    <t>wüsste</t>
  </si>
  <si>
    <t># text = Aber ich habe mit Depressionen zu kämpfen und ich nehme einige Medikamente, und frage ich mich, was Sie denken.\"</t>
  </si>
  <si>
    <t>einige</t>
  </si>
  <si>
    <t>frage</t>
  </si>
  <si>
    <t># text = Sie versteckten die gleichen Medikamente an zwei verschiedenen Orten im selben Schlafzimmer.</t>
  </si>
  <si>
    <t>versteckten</t>
  </si>
  <si>
    <t>verschiedenen</t>
  </si>
  <si>
    <t>Orten</t>
  </si>
  <si>
    <t>selben</t>
  </si>
  <si>
    <t>Schlafzimmer</t>
  </si>
  <si>
    <t># text = Ich sagte, dass ich denke, dass die Kommunikation in der Ehe einige ihrer Probleme auslösen könnte.</t>
  </si>
  <si>
    <t>Kommunikation</t>
  </si>
  <si>
    <t>Ehe</t>
  </si>
  <si>
    <t>auslösen</t>
  </si>
  <si>
    <t>könnte</t>
  </si>
  <si>
    <t># text = Aber mir wurde auch schlagartig bewusst, wie belastend so eine wechselseitige Heimlichkeit ist.</t>
  </si>
  <si>
    <t>schlagartig</t>
  </si>
  <si>
    <t>bewusst</t>
  </si>
  <si>
    <t>belastend</t>
  </si>
  <si>
    <t>wechselseitige</t>
  </si>
  <si>
    <t>Heimlichkeit</t>
  </si>
  <si>
    <t># text = Depressionen sind so ermüdend.</t>
  </si>
  <si>
    <t>ermüdend</t>
  </si>
  <si>
    <t># text = Sie verbrauchen so viel Zeit und Energie, und darüber zu schweigen verschlimmert die Depressionen noch.</t>
  </si>
  <si>
    <t>Energie</t>
  </si>
  <si>
    <t>schweigen</t>
  </si>
  <si>
    <t>verschlimmert</t>
  </si>
  <si>
    <t># text = Und dann dachte ich über all die Arten nach, wie Menschen sich selbst verbessern.</t>
  </si>
  <si>
    <t>Arten</t>
  </si>
  <si>
    <t>verbessern</t>
  </si>
  <si>
    <t># text = Ich begann als konservativer Mediziner.</t>
  </si>
  <si>
    <t>konservativer</t>
  </si>
  <si>
    <t>Mediziner</t>
  </si>
  <si>
    <t># text = Ich dachte, dass es ein paar Therapie-Arten gab, die funktionierten, und es war klar, welche das waren -- es gab Medikamente, es gab bestimmte Psychotherapien, es gab möglicherweise die Elektroschockbehandlung und dass alles andere Nonsens wäre.</t>
  </si>
  <si>
    <t>funktionierten</t>
  </si>
  <si>
    <t>welche</t>
  </si>
  <si>
    <t>waren</t>
  </si>
  <si>
    <t>bestimmte</t>
  </si>
  <si>
    <t>Psychotherapien</t>
  </si>
  <si>
    <t>möglicherweise</t>
  </si>
  <si>
    <t>Elektroschockbehandlung</t>
  </si>
  <si>
    <t>alles</t>
  </si>
  <si>
    <t>Nonsens</t>
  </si>
  <si>
    <t># text = Aber dann entdeckte ich etwas.</t>
  </si>
  <si>
    <t># text = Wenn man einen Hirntumor hat und man sagt, dass es einem besser geht, wenn man jeden Morgen 20 Minuten auf dem Kopf steht, wird man sich besser fühlen, aber man hat immer noch einen Hirntumor, und man wird wahrscheinlich immer noch daran sterben.</t>
  </si>
  <si>
    <t>Hirntumor</t>
  </si>
  <si>
    <t>geht</t>
  </si>
  <si>
    <t>jeden</t>
  </si>
  <si>
    <t>Morgen</t>
  </si>
  <si>
    <t>Minuten</t>
  </si>
  <si>
    <t>Kopf</t>
  </si>
  <si>
    <t>steht</t>
  </si>
  <si>
    <t># text = Aber wenn man Depressionen hat und zwanzig Minuten Kopfstand am Tag dazu führen, dass man sich besser fühlt, dann funktioniert es, denn bei Depressionen sind die Gefühle erkrankt und wenn man sich besser fühlt, dann ist man praktisch nicht mehr depressiv.</t>
  </si>
  <si>
    <t>zwanzig</t>
  </si>
  <si>
    <t>Kopfstand</t>
  </si>
  <si>
    <t>funktioniert</t>
  </si>
  <si>
    <t>Gefühle</t>
  </si>
  <si>
    <t>erkrankt</t>
  </si>
  <si>
    <t>OBJ_6</t>
  </si>
  <si>
    <t>praktisch</t>
  </si>
  <si>
    <t># text = So wurde ich toleranter gegenüber der weiten Welt alternativer Behandlungen.</t>
  </si>
  <si>
    <t>So</t>
  </si>
  <si>
    <t>toleranter</t>
  </si>
  <si>
    <t>gegenüber</t>
  </si>
  <si>
    <t>weiten</t>
  </si>
  <si>
    <t>alternativer</t>
  </si>
  <si>
    <t>Behandlungen</t>
  </si>
  <si>
    <t># text = Und ich erhalte Briefe, hunderte von Briefen, von Menschen, die mir schreiben, was ihnen geholfen hat.</t>
  </si>
  <si>
    <t>erhalte</t>
  </si>
  <si>
    <t>Briefe</t>
  </si>
  <si>
    <t>hunderte</t>
  </si>
  <si>
    <t>Briefen</t>
  </si>
  <si>
    <t>ihnen</t>
  </si>
  <si>
    <t>geholfen</t>
  </si>
  <si>
    <t># text = Jemand fragte mich heute hinter der Bühne nach Meditation.</t>
  </si>
  <si>
    <t>Jemand</t>
  </si>
  <si>
    <t>fragte</t>
  </si>
  <si>
    <t>heute</t>
  </si>
  <si>
    <t>hinter</t>
  </si>
  <si>
    <t>Bühne</t>
  </si>
  <si>
    <t>Meditation</t>
  </si>
  <si>
    <t># text = Mein Favorit unter den erhaltenen Briefen war einer, der von einer Frau kam, die schrieb und sagte, sie hätte es mit einer Therapie versucht, sie hätte Medikamente versucht, sie hatte so ziemlich alles ausprobiert.</t>
  </si>
  <si>
    <t>Mein</t>
  </si>
  <si>
    <t>Favorit</t>
  </si>
  <si>
    <t>erhaltenen</t>
  </si>
  <si>
    <t>schrieb</t>
  </si>
  <si>
    <t>versucht</t>
  </si>
  <si>
    <t>ausprobiert</t>
  </si>
  <si>
    <t># text = Sie hatte eine Lösung gefunden und hoffte, ich würde es der Welt erzählen, nämlich kleine Dinge aus Garn zu machen.</t>
  </si>
  <si>
    <t>Lösung</t>
  </si>
  <si>
    <t>gefunden</t>
  </si>
  <si>
    <t>hoffte</t>
  </si>
  <si>
    <t>nämlich</t>
  </si>
  <si>
    <t>Garn</t>
  </si>
  <si>
    <t># text = Sie schickte mir ein paar davon.</t>
  </si>
  <si>
    <t>schickte</t>
  </si>
  <si>
    <t># text = Und ich trage sie gerade nicht.</t>
  </si>
  <si>
    <t>trage</t>
  </si>
  <si>
    <t># text = Ich schlug ihr vor, dass sie auch Zwangsstörungen im DSM nachschlagen sollte.</t>
  </si>
  <si>
    <t>Zwangsstörungen</t>
  </si>
  <si>
    <t>DSM</t>
  </si>
  <si>
    <t>nachschlagen</t>
  </si>
  <si>
    <t># text = Dennoch schaute ich mir alternative Behandlungen an, und sah andere Behandlungen in neuem Licht.</t>
  </si>
  <si>
    <t>Dennoch</t>
  </si>
  <si>
    <t>schaute</t>
  </si>
  <si>
    <t>alternative</t>
  </si>
  <si>
    <t>neuem</t>
  </si>
  <si>
    <t># text = Ich unterzog mich einem Stammes-Exorzismus im Senegal, der ziemlich viel Schafsbockblut erforderte.</t>
  </si>
  <si>
    <t>unterzog</t>
  </si>
  <si>
    <t>Stammes</t>
  </si>
  <si>
    <t>Exorzismus</t>
  </si>
  <si>
    <t>Senegal</t>
  </si>
  <si>
    <t>Schafsbockblut</t>
  </si>
  <si>
    <t>erforderte</t>
  </si>
  <si>
    <t># text = Ich werde jetzt nicht ins Detail gehen, aber ein paar Jahre darauf war ich in Ruanda und arbeitete dort an einem anderen Projekt, und ich beschrieb meine Erfahrung jemandem und er sagte: "Weißt du, das ist Westafrika, und wir sind in Ostafrika, und unsere Rituale sind irgendwie sehr verschieden, aber wir haben einige Rituale, die mit dem von dir beschriebenen, etwas gemeinsam haben."</t>
  </si>
  <si>
    <t>werde</t>
  </si>
  <si>
    <t>Detail</t>
  </si>
  <si>
    <t>Ruanda</t>
  </si>
  <si>
    <t>arbeitete</t>
  </si>
  <si>
    <t>Projekt</t>
  </si>
  <si>
    <t>Weißt</t>
  </si>
  <si>
    <t>du</t>
  </si>
  <si>
    <t>Westafrika</t>
  </si>
  <si>
    <t>Ostafrika</t>
  </si>
  <si>
    <t>unsere</t>
  </si>
  <si>
    <t>Rituale</t>
  </si>
  <si>
    <t>verschieden</t>
  </si>
  <si>
    <t>dir</t>
  </si>
  <si>
    <t>beschriebenen</t>
  </si>
  <si>
    <t>gemeinsam</t>
  </si>
  <si>
    <t># text = Und ich sagte: \"Oh.\"</t>
  </si>
  <si>
    <t>Oh</t>
  </si>
  <si>
    <t># text = Und er sagte: \"Ja, aber wir hatten viel Ärger mit Psychotherapeuten aus dem Westen, besonders mit denjenigen, die direkt nach dem Genozid kamen.\"</t>
  </si>
  <si>
    <t>Ärger</t>
  </si>
  <si>
    <t>Psychotherapeuten</t>
  </si>
  <si>
    <t>Westen</t>
  </si>
  <si>
    <t>denjenigen</t>
  </si>
  <si>
    <t>direkt</t>
  </si>
  <si>
    <t>Genozid</t>
  </si>
  <si>
    <t>kamen</t>
  </si>
  <si>
    <t># text = Ich fragte: \"Welche Probleme gab es?\"</t>
  </si>
  <si>
    <t>Welche</t>
  </si>
  <si>
    <t># text = Er erklärte: "Nun ja, sie taten etwas sehr Bizarres.</t>
  </si>
  <si>
    <t>erklärte</t>
  </si>
  <si>
    <t>Nun</t>
  </si>
  <si>
    <t>ja</t>
  </si>
  <si>
    <t>taten</t>
  </si>
  <si>
    <t>Bizarres</t>
  </si>
  <si>
    <t># text = Sie sprachen nicht im Sonnenschein mit den Leuten, wo man beginnt, sich besser zu fühlen.</t>
  </si>
  <si>
    <t>sprachen</t>
  </si>
  <si>
    <t>Sonnenschein</t>
  </si>
  <si>
    <t>Leuten</t>
  </si>
  <si>
    <t>wo</t>
  </si>
  <si>
    <t># text = Sie bezogen weder Trommeln noch Musik ein, um das Blut in Wallung zu bringen.</t>
  </si>
  <si>
    <t>bezogen</t>
  </si>
  <si>
    <t>weder</t>
  </si>
  <si>
    <t>Trommeln</t>
  </si>
  <si>
    <t>Musik</t>
  </si>
  <si>
    <t>Blut</t>
  </si>
  <si>
    <t>Wallung</t>
  </si>
  <si>
    <t># text = Sie involvierten nicht die gesamte Gemeinschaft.</t>
  </si>
  <si>
    <t>involvierten</t>
  </si>
  <si>
    <t>gesamte</t>
  </si>
  <si>
    <t># text = Sie externalisieren die Depressionen nicht als einen eindringenden Geist.</t>
  </si>
  <si>
    <t>eindringenden</t>
  </si>
  <si>
    <t># text = Stattdessen führten sie die Menschen einzeln in schäbige, kleine Räume und ließen sie eine Stunde lang über schlimme Dinge reden, die ihnen passiert waren."</t>
  </si>
  <si>
    <t>Stattdessen</t>
  </si>
  <si>
    <t>führten</t>
  </si>
  <si>
    <t>einzeln</t>
  </si>
  <si>
    <t>schäbige</t>
  </si>
  <si>
    <t>Räume</t>
  </si>
  <si>
    <t>ließen</t>
  </si>
  <si>
    <t>schlimme</t>
  </si>
  <si>
    <t>passiert</t>
  </si>
  <si>
    <t># text = (Gelächter) (Applaus) Er sagte: "Wir mussten sie bitten, das Land zu verlassen."</t>
  </si>
  <si>
    <t>mussten</t>
  </si>
  <si>
    <t>Land</t>
  </si>
  <si>
    <t>verlassen</t>
  </si>
  <si>
    <t># text = Um Ihnen das andere Ende der alternativen Behandlungen zu veranschaulichen, lassen Sie mich Ihnen von Frank Russakoff erzählen.</t>
  </si>
  <si>
    <t>Um</t>
  </si>
  <si>
    <t>alternativen</t>
  </si>
  <si>
    <t>veranschaulichen</t>
  </si>
  <si>
    <t>Frank</t>
  </si>
  <si>
    <t>Russakoff</t>
  </si>
  <si>
    <t># text = Frank Russakoff hatte die schlimmsten Depressionen, die ich wohl je bei einem Mann gesehen habe.</t>
  </si>
  <si>
    <t>schlimmsten</t>
  </si>
  <si>
    <t>wohl</t>
  </si>
  <si>
    <t>je</t>
  </si>
  <si>
    <t>gesehen</t>
  </si>
  <si>
    <t># text = Er war ständig depressiv.</t>
  </si>
  <si>
    <t># text = Als ich ihn traf war er an einem Punkt, wo er jeden Monat eine Elektroschock-Behandlung bekam.</t>
  </si>
  <si>
    <t>ihn</t>
  </si>
  <si>
    <t>traf</t>
  </si>
  <si>
    <t>Elektroschock</t>
  </si>
  <si>
    <t>bekam</t>
  </si>
  <si>
    <t># text = Dann fühlte er sich eine Woche lang etwas desorientiert und dann eine Woche lang okay.</t>
  </si>
  <si>
    <t>Dann</t>
  </si>
  <si>
    <t>Woche</t>
  </si>
  <si>
    <t>desorientiert</t>
  </si>
  <si>
    <t>okay</t>
  </si>
  <si>
    <t># text = Dann ging es eine Woche lang abwärts.</t>
  </si>
  <si>
    <t>abwärts</t>
  </si>
  <si>
    <t># text = Und dann bekam er eine weitere Elektroschock-Behandlung.</t>
  </si>
  <si>
    <t># text = Als ich ihn traf, sagte er zu mir: "Es ist unerträglich, meine Wochen so zu durchleben.</t>
  </si>
  <si>
    <t>unerträglich</t>
  </si>
  <si>
    <t>Wochen</t>
  </si>
  <si>
    <t>durchleben</t>
  </si>
  <si>
    <t># text = Ich kann so nicht weiter machen, und ich habe entschieden, dass ich es beende, wenn es mir nicht besser geht.</t>
  </si>
  <si>
    <t>weiter</t>
  </si>
  <si>
    <t>entschieden</t>
  </si>
  <si>
    <t>beende</t>
  </si>
  <si>
    <t># text = Aber,\" sagte er mir, \"ich habe von einem Plan bei Mass General gehört, ein Verfahren namens Zingulotomie, eine Hirnchirurgie, und ich probiere das aus.\"</t>
  </si>
  <si>
    <t>Plan</t>
  </si>
  <si>
    <t>Mass</t>
  </si>
  <si>
    <t>General</t>
  </si>
  <si>
    <t>gehört</t>
  </si>
  <si>
    <t>Verfahren</t>
  </si>
  <si>
    <t>namens</t>
  </si>
  <si>
    <t>Zingulotomie</t>
  </si>
  <si>
    <t>Hirnchirurgie</t>
  </si>
  <si>
    <t>probiere</t>
  </si>
  <si>
    <t># text = Und ich erinnere mich, mich an diesem Punkt gewundert zu haben, dass jemand, der wirklich so viele schlechte Erfahrungen gehabt hatte mit so vielen verschiedenen Behandlungen, sich genug Optimismus bewahrt hatte, um noch eine Behandlung mitzumachen.</t>
  </si>
  <si>
    <t>erinnere</t>
  </si>
  <si>
    <t>gewundert</t>
  </si>
  <si>
    <t>schlechte</t>
  </si>
  <si>
    <t>Optimismus</t>
  </si>
  <si>
    <t>bewahrt</t>
  </si>
  <si>
    <t>mitzumachen</t>
  </si>
  <si>
    <t># text = Die Zingulotomie wurde durchgeführt und es war ein Erfolg auf der ganzen Linie.</t>
  </si>
  <si>
    <t>durchgeführt</t>
  </si>
  <si>
    <t>Erfolg</t>
  </si>
  <si>
    <t>ganzen</t>
  </si>
  <si>
    <t>Linie</t>
  </si>
  <si>
    <t># text = Wir sind Freunde geworden.</t>
  </si>
  <si>
    <t>Freunde</t>
  </si>
  <si>
    <t>geworden</t>
  </si>
  <si>
    <t># text = Er hat eine wunderbare Frau und zwei hübsche Kinder.</t>
  </si>
  <si>
    <t>wunderbare</t>
  </si>
  <si>
    <t>hübsche</t>
  </si>
  <si>
    <t>Kinder</t>
  </si>
  <si>
    <t># text = Er schrieb mir an Weihnachten nach der Operation einen Brief und sagte: "Mein Vater schickte mir dieses Jahr zwei Geschenke.</t>
  </si>
  <si>
    <t>Weihnachten</t>
  </si>
  <si>
    <t>Operation</t>
  </si>
  <si>
    <t>Brief</t>
  </si>
  <si>
    <t>Geschenke</t>
  </si>
  <si>
    <t># text = Erstens einen motorisierten CD-Ständer von 'The Sharper Image', den ich nicht wirklich brauche, aber ich weiß, dass er ihn mir geschenkt hat, um die Tatsache zu feiern, dass ich eigenständig lebte und eine Arbeit habe, die ich anscheinend liebe.</t>
  </si>
  <si>
    <t>motorisierten</t>
  </si>
  <si>
    <t>CD</t>
  </si>
  <si>
    <t>Ständer</t>
  </si>
  <si>
    <t>Sharper</t>
  </si>
  <si>
    <t>Image</t>
  </si>
  <si>
    <t>brauche</t>
  </si>
  <si>
    <t>geschenkt</t>
  </si>
  <si>
    <t>Tatsache</t>
  </si>
  <si>
    <t>feiern</t>
  </si>
  <si>
    <t>eigenständig</t>
  </si>
  <si>
    <t>lebte</t>
  </si>
  <si>
    <t>anscheinend</t>
  </si>
  <si>
    <t># text = Und das andere Geschenk war ein Foto von meiner Großmutter, die Selbstmord beging.</t>
  </si>
  <si>
    <t>Geschenk</t>
  </si>
  <si>
    <t>Foto</t>
  </si>
  <si>
    <t>meiner</t>
  </si>
  <si>
    <t>Großmutter</t>
  </si>
  <si>
    <t>Selbstmord</t>
  </si>
  <si>
    <t>beging</t>
  </si>
  <si>
    <t># text = Als ich es auspackte, begann ich zu weinen, und meine Mutter kam rüber und sagte: 'Weinst du wegen Verwandten, die du nie kanntest?'</t>
  </si>
  <si>
    <t>auspackte</t>
  </si>
  <si>
    <t>rüber</t>
  </si>
  <si>
    <t>Weinst</t>
  </si>
  <si>
    <t>wegen</t>
  </si>
  <si>
    <t>Verwandten</t>
  </si>
  <si>
    <t>kanntest</t>
  </si>
  <si>
    <t># text = Und ich sagte: 'Sie hatte die gleiche Krankheit wie ich.'</t>
  </si>
  <si>
    <t>gleiche</t>
  </si>
  <si>
    <t># text = Während ich dir das schreibe, weine ich nicht.</t>
  </si>
  <si>
    <t>schreibe</t>
  </si>
  <si>
    <t>weine</t>
  </si>
  <si>
    <t># text = Ich bin nicht besonders traurig, sondern eher überwältigt.</t>
  </si>
  <si>
    <t>überwältigt</t>
  </si>
  <si>
    <t># text = Wahrscheinlich, weil ich mich hätte umbringen können, aber meine Eltern halfen mir weiterzumachen, genauso wie die Ärzte, und ich ließ mich operieren.</t>
  </si>
  <si>
    <t>Wahrscheinlich</t>
  </si>
  <si>
    <t>umbringen</t>
  </si>
  <si>
    <t>halfen</t>
  </si>
  <si>
    <t>weiterzumachen</t>
  </si>
  <si>
    <t>genauso</t>
  </si>
  <si>
    <t>Ärzte</t>
  </si>
  <si>
    <t>ließ</t>
  </si>
  <si>
    <t>operieren</t>
  </si>
  <si>
    <t># text = Ich bin am Leben und dankbar.</t>
  </si>
  <si>
    <t># text = Wir leben zur richtigen Zeit, auch wenn es sich nicht immer so anfühlt."</t>
  </si>
  <si>
    <t>richtigen</t>
  </si>
  <si>
    <t>anfühlt</t>
  </si>
  <si>
    <t># text = Mich beeindruckte die Tatsache, dass Depressionen gemeinhin als modernes, westliches Phänomen der Mittelklasse wahrgenommen wird.</t>
  </si>
  <si>
    <t>Mich</t>
  </si>
  <si>
    <t>beeindruckte</t>
  </si>
  <si>
    <t>gemeinhin</t>
  </si>
  <si>
    <t>modernes</t>
  </si>
  <si>
    <t>westliches</t>
  </si>
  <si>
    <t>Phänomen</t>
  </si>
  <si>
    <t>Mittelklasse</t>
  </si>
  <si>
    <t>wahrgenommen</t>
  </si>
  <si>
    <t># text = Ich schaute mir an, wie sie in vielfältigen Kontexten funktionierte, und eine Sache, die mich am meisten interessierte, waren Depressionen unter den Mittellosen.</t>
  </si>
  <si>
    <t>vielfältigen</t>
  </si>
  <si>
    <t>Kontexten</t>
  </si>
  <si>
    <t>funktionierte</t>
  </si>
  <si>
    <t>interessierte</t>
  </si>
  <si>
    <t>Mittellosen</t>
  </si>
  <si>
    <t># text = Daher machte ich mich auf, um zu betrachten, was für arme Menschen mit Depressionen getan wurde.</t>
  </si>
  <si>
    <t>Daher</t>
  </si>
  <si>
    <t>betrachten</t>
  </si>
  <si>
    <t>arme</t>
  </si>
  <si>
    <t># text = Und ich fand heraus, dass arme Menschen bei Depressionen meistens nicht behandelt werden.</t>
  </si>
  <si>
    <t>fand</t>
  </si>
  <si>
    <t>meistens</t>
  </si>
  <si>
    <t>behandelt</t>
  </si>
  <si>
    <t># text = Depressionen sind das Resultat einer genetischen Anfälligkeit, die vermutlich gleichmäßig in der Bevölkerung verteilt ist, und von Auslösern, die wahrscheinlich bei verarmten Menschen viel extremer sind.</t>
  </si>
  <si>
    <t>Resultat</t>
  </si>
  <si>
    <t>genetischen</t>
  </si>
  <si>
    <t>Anfälligkeit</t>
  </si>
  <si>
    <t>vermutlich</t>
  </si>
  <si>
    <t>gleichmäßig</t>
  </si>
  <si>
    <t>Bevölkerung</t>
  </si>
  <si>
    <t>verteilt</t>
  </si>
  <si>
    <t>Auslösern</t>
  </si>
  <si>
    <t>verarmten</t>
  </si>
  <si>
    <t>extremer</t>
  </si>
  <si>
    <t># text = Dennoch zeigt sich, dass man, wenn man ein wirklich schönes Leben hat, sich aber die ganze Zeit schlecht fühlt, denkt: "Warum fühle ich mich so?</t>
  </si>
  <si>
    <t>zeigt</t>
  </si>
  <si>
    <t>ganze</t>
  </si>
  <si>
    <t>schlecht</t>
  </si>
  <si>
    <t>Warum</t>
  </si>
  <si>
    <t>fühle</t>
  </si>
  <si>
    <t># text = Ich muss Depressionen haben.\"</t>
  </si>
  <si>
    <t># text = Und man sucht eine Behandlung dafür.</t>
  </si>
  <si>
    <t>sucht</t>
  </si>
  <si>
    <t># text = Aber wenn man ein total furchtbares Leben hat und sich andauernd schlecht fühlt, steht dieses Gefühl im Einklang mit dem eigenen Leben, und man kommt nicht darauf, zu denken: "Vielleicht ist das behandelbar."</t>
  </si>
  <si>
    <t>total</t>
  </si>
  <si>
    <t>furchtbares</t>
  </si>
  <si>
    <t>andauernd</t>
  </si>
  <si>
    <t>Einklang</t>
  </si>
  <si>
    <t>kommt</t>
  </si>
  <si>
    <t>Vielleicht</t>
  </si>
  <si>
    <t>behandelbar</t>
  </si>
  <si>
    <t># text = Daher haben wir in diesem Land eine Depressions-Epidemie unter verarmten Menschen, die nicht aufgegriffen und behandelt wird und die nicht angesprochen wird, und das ist eine Tragödie großen Ausmaßes.</t>
  </si>
  <si>
    <t>Depressions</t>
  </si>
  <si>
    <t>Epidemie</t>
  </si>
  <si>
    <t>aufgegriffen</t>
  </si>
  <si>
    <t>angesprochen</t>
  </si>
  <si>
    <t>Tragödie</t>
  </si>
  <si>
    <t>großen</t>
  </si>
  <si>
    <t>Ausmaßes</t>
  </si>
  <si>
    <t># text = Ich fand also ein Wissenschaftlerin, die ein Forschungsprojekt in den Slums außerhalb von Washington D.C. durchführte, wo sie Frauen aufnahm, die wegen anderer Gesundheitsprobleme gekommen waren und Depressionen bei ihnen diagnostizierte, und dann ein Versuchsprotokoll bereitstellte.</t>
  </si>
  <si>
    <t>Wissenschaftlerin</t>
  </si>
  <si>
    <t>Forschungsprojekt</t>
  </si>
  <si>
    <t>Slums</t>
  </si>
  <si>
    <t>außerhalb</t>
  </si>
  <si>
    <t>Washington</t>
  </si>
  <si>
    <t>D.C.</t>
  </si>
  <si>
    <t>durchführte</t>
  </si>
  <si>
    <t>Frauen</t>
  </si>
  <si>
    <t>anderer</t>
  </si>
  <si>
    <t>Gesundheitsprobleme</t>
  </si>
  <si>
    <t>gekommen</t>
  </si>
  <si>
    <t>other_7</t>
  </si>
  <si>
    <t>diagnostizierte</t>
  </si>
  <si>
    <t>Versuchsprotokoll</t>
  </si>
  <si>
    <t>bereitstellte</t>
  </si>
  <si>
    <t># text = Eine von ihnen, Lolly, kam herein, und sie sagte folgendes, als sie hereinkam.</t>
  </si>
  <si>
    <t>Eine</t>
  </si>
  <si>
    <t>Lolly</t>
  </si>
  <si>
    <t>herein</t>
  </si>
  <si>
    <t>folgendes</t>
  </si>
  <si>
    <t>hereinkam</t>
  </si>
  <si>
    <t># text = Übrigens eine Frau, die sieben Kinder hat.</t>
  </si>
  <si>
    <t>Übrigens</t>
  </si>
  <si>
    <t>sieben</t>
  </si>
  <si>
    <t># text = Sie sagte: \"Ich hatte einen Job, aber ich musste ihn aufgeben, weil ich nicht aus dem Haus gehen konnte.</t>
  </si>
  <si>
    <t>Job</t>
  </si>
  <si>
    <t>musste</t>
  </si>
  <si>
    <t>aufgeben</t>
  </si>
  <si>
    <t># text = Ich habe meinen Kindern nichts zu sagen.</t>
  </si>
  <si>
    <t>Kindern</t>
  </si>
  <si>
    <t># text = Morgens kann ich es nicht erwarten, dass sie verschwinden, und dann lege ich mich ins Bett und ziehe die Decke über meinen Kopf, und wenn sie um 3 Uhr nach Haus kommen, kommt das so schnell.\"</t>
  </si>
  <si>
    <t>Morgens</t>
  </si>
  <si>
    <t>verschwinden</t>
  </si>
  <si>
    <t>lege</t>
  </si>
  <si>
    <t>ziehe</t>
  </si>
  <si>
    <t>Decke</t>
  </si>
  <si>
    <t>Uhr</t>
  </si>
  <si>
    <t># text = Sie sagte: \"Ich habe viel Tylenol genommen, alles was mich mehr schlafen lässt.</t>
  </si>
  <si>
    <t>Tylenol</t>
  </si>
  <si>
    <t>genommen</t>
  </si>
  <si>
    <t>schlafen</t>
  </si>
  <si>
    <t>lässt</t>
  </si>
  <si>
    <t># text = Mein Mann sagte mir ständig, dass ich dumm und hässlich bin.</t>
  </si>
  <si>
    <t>dumm</t>
  </si>
  <si>
    <t>hässlich</t>
  </si>
  <si>
    <t># text = Ich wünschte, ich könnte den Schmerz stoppen.\"</t>
  </si>
  <si>
    <t>wünschte</t>
  </si>
  <si>
    <t>Schmerz</t>
  </si>
  <si>
    <t>stoppen</t>
  </si>
  <si>
    <t># text = Sie wurde in diese experimentelle Versuchsreihe aufgenommen und als ich sie sechs Monate später interviewte, hatte sie einen Job in der Kinderbetreuung für die US-Marine aufgenommen, hatte ihren Mann, der sie immer beleidigt hatte, verlassen, und sie sagte zu mir: \"Meine Kinder sind jetzt so viel glücklicher.\"</t>
  </si>
  <si>
    <t>experimentelle</t>
  </si>
  <si>
    <t>Versuchsreihe</t>
  </si>
  <si>
    <t>aufgenommen</t>
  </si>
  <si>
    <t>Kinderbetreuung</t>
  </si>
  <si>
    <t>US</t>
  </si>
  <si>
    <t>Marine</t>
  </si>
  <si>
    <t>beleidigt</t>
  </si>
  <si>
    <t>glücklicher</t>
  </si>
  <si>
    <t># text = Sie sagte: \"Es gibt einen Raum in meiner neuen Wohnung für die Jungs und einen Raum für die Mädchen, aber abends sind sie alle auf meinem Bett und wir machen die Hausaufgaben zusammen.</t>
  </si>
  <si>
    <t>neuen</t>
  </si>
  <si>
    <t>Jungs</t>
  </si>
  <si>
    <t>Mädchen</t>
  </si>
  <si>
    <t>abends</t>
  </si>
  <si>
    <t>Hausaufgaben</t>
  </si>
  <si>
    <t>zusammen</t>
  </si>
  <si>
    <t># text = Einer von ihnen will Priester und einer will Feuerwehrmann werden, und eines der Mädchen sagt, dass sie Anwältin werden wird.</t>
  </si>
  <si>
    <t>will</t>
  </si>
  <si>
    <t>Priester</t>
  </si>
  <si>
    <t>Feuerwehrmann</t>
  </si>
  <si>
    <t>Anwältin</t>
  </si>
  <si>
    <t># text = Sie weinen nicht mehr, so wie früher und sie streiten sich nicht mehr wie zuvor.</t>
  </si>
  <si>
    <t>früher</t>
  </si>
  <si>
    <t>streiten</t>
  </si>
  <si>
    <t># text = Alles, was ich jetzt brauche, sind meine Kinder.</t>
  </si>
  <si>
    <t># text = Dinge verändern sich, die Art, wie ich mich anziehe, wie ich mich fühle und wie ich handle.</t>
  </si>
  <si>
    <t>anziehe</t>
  </si>
  <si>
    <t>handle</t>
  </si>
  <si>
    <t># text = Ich kann jetzt rausgehen, ohne mich zu fürchten, und ich glaube nicht, dass diese schlechten Gefühle zurückkommen werden, und wenn Dr.</t>
  </si>
  <si>
    <t>fürchten</t>
  </si>
  <si>
    <t>glaube</t>
  </si>
  <si>
    <t>schlechten</t>
  </si>
  <si>
    <t>zurückkommen</t>
  </si>
  <si>
    <t>Dr.</t>
  </si>
  <si>
    <t># text = Miranda nicht gewesen wäre, wäre ich immer noch zu Hause mit der Decke über meinem Kopf, wenn ich überhaupt noch am Leben wäre.</t>
  </si>
  <si>
    <t>Miranda</t>
  </si>
  <si>
    <t>gewesen</t>
  </si>
  <si>
    <t># text = Ich bat Gott, mir einen Engel zu schicken und er erhörte meine Gebete."</t>
  </si>
  <si>
    <t>bat</t>
  </si>
  <si>
    <t>Gott</t>
  </si>
  <si>
    <t>Engel</t>
  </si>
  <si>
    <t>erhörte</t>
  </si>
  <si>
    <t>Gebete</t>
  </si>
  <si>
    <t># text = Mich haben diese Erfahrungen wirklich bewegt, und ich entschied, dass ich darüber schreiben wollte, nicht nur in einem Buch, an dem ich arbeitete, sondern auch in einem Artikel, und so bekam ich vom New York Times Magazine einen Auftrag, über Depressionen unter Mittellosen zu schreiben.</t>
  </si>
  <si>
    <t>bewegt</t>
  </si>
  <si>
    <t>Buch</t>
  </si>
  <si>
    <t>Artikel</t>
  </si>
  <si>
    <t>New</t>
  </si>
  <si>
    <t>York</t>
  </si>
  <si>
    <t>Times</t>
  </si>
  <si>
    <t>Magazine</t>
  </si>
  <si>
    <t>Auftrag</t>
  </si>
  <si>
    <t># text = Ich reichte meine Geschichte ein und meine Redakteurin rief mich an \"Das können wir wirklich nicht veröffentlichen.\"</t>
  </si>
  <si>
    <t>reichte</t>
  </si>
  <si>
    <t>Geschichte</t>
  </si>
  <si>
    <t>Redakteurin</t>
  </si>
  <si>
    <t>rief</t>
  </si>
  <si>
    <t>veröffentlichen</t>
  </si>
  <si>
    <t># text = Ich fragte: \"Warum nicht?\"</t>
  </si>
  <si>
    <t># text = Und sie sagte: "Es ist einfach zu weit hergeholt.</t>
  </si>
  <si>
    <t>hergeholt</t>
  </si>
  <si>
    <t># text = Diese Menschen stehen auf der untersten Gesellschaftsstufe und dann erhalten sie ein paar Monate Behandlung, und sind dann praktisch in der Lage Morgan Stanley zu leiten?</t>
  </si>
  <si>
    <t>Diese</t>
  </si>
  <si>
    <t>untersten</t>
  </si>
  <si>
    <t>Gesellschaftsstufe</t>
  </si>
  <si>
    <t>Lage</t>
  </si>
  <si>
    <t>Morgan</t>
  </si>
  <si>
    <t>Stanley</t>
  </si>
  <si>
    <t>leiten</t>
  </si>
  <si>
    <t># text = Das ist einfach zu unglaubwürdig.\"</t>
  </si>
  <si>
    <t>unglaubwürdig</t>
  </si>
  <si>
    <t># text = Sie sagte: \"Ich habe von so etwas noch nie gehört.\"</t>
  </si>
  <si>
    <t># text = Ich erwiderte: "Die Tatsache, dass Sie noch nie davon gehört haben, ist ein Hinweis darauf, dass es Nachrichten sind."</t>
  </si>
  <si>
    <t>erwiderte</t>
  </si>
  <si>
    <t>Hinweis</t>
  </si>
  <si>
    <t># text = \"Und Sie sind ein Nachrichtenmagazin.\"</t>
  </si>
  <si>
    <t>Nachrichtenmagazin</t>
  </si>
  <si>
    <t># text = Nach einem gewissen Maß an Verhandlungen, stimmten sie zu.</t>
  </si>
  <si>
    <t>Nach</t>
  </si>
  <si>
    <t>gewissen</t>
  </si>
  <si>
    <t>Maß</t>
  </si>
  <si>
    <t>Verhandlungen</t>
  </si>
  <si>
    <t>stimmten</t>
  </si>
  <si>
    <t># text = Aber ich denke, dass vieles von dem, was sie sagten, auf merkwürdige Weise mit der Abneigung verbunden war, die Menschen immer noch haben, gegenüber der Idee von Behandlung, der Vorstellung, dass es ein ausbeuterischer Akt wäre, wenn wir losziehen würden und Menschen in notleidenden Gemeinden behandeln würden, denn wir würden sie ändern.</t>
  </si>
  <si>
    <t>vieles</t>
  </si>
  <si>
    <t>merkwürdige</t>
  </si>
  <si>
    <t>Abneigung</t>
  </si>
  <si>
    <t>verbunden</t>
  </si>
  <si>
    <t>Idee</t>
  </si>
  <si>
    <t>Vorstellung</t>
  </si>
  <si>
    <t>ausbeuterischer</t>
  </si>
  <si>
    <t>Akt</t>
  </si>
  <si>
    <t>losziehen</t>
  </si>
  <si>
    <t>würden</t>
  </si>
  <si>
    <t>SBJ_7</t>
  </si>
  <si>
    <t>notleidenden</t>
  </si>
  <si>
    <t>Gemeinden</t>
  </si>
  <si>
    <t>behandeln</t>
  </si>
  <si>
    <t>SBJ_8</t>
  </si>
  <si>
    <t>ändern</t>
  </si>
  <si>
    <t># text = Es gibt dieses falsche moralische Gebot, das es überall zu geben scheint, dass die Behandlung von Depressionen, die medizinische Behandlung und so weiter, ein Trick seien, und dass es nicht natürlich ist.</t>
  </si>
  <si>
    <t>falsche</t>
  </si>
  <si>
    <t>moralische</t>
  </si>
  <si>
    <t>Gebot</t>
  </si>
  <si>
    <t>überall</t>
  </si>
  <si>
    <t>scheint</t>
  </si>
  <si>
    <t>medizinische</t>
  </si>
  <si>
    <t>Trick</t>
  </si>
  <si>
    <t>seien</t>
  </si>
  <si>
    <t>natürlich</t>
  </si>
  <si>
    <t># text = Ich denke, dass das äußerst fehlgeleitet ist.</t>
  </si>
  <si>
    <t>äußerst</t>
  </si>
  <si>
    <t>fehlgeleitet</t>
  </si>
  <si>
    <t># text = Es wäre natürlich, dass den Menschen die Zähne ausfallen, aber es gibt niemanden, der sich gegen Zahnpasta ausspricht, zumindest nicht in meinen Kreisen.</t>
  </si>
  <si>
    <t>Zähne</t>
  </si>
  <si>
    <t>ausfallen</t>
  </si>
  <si>
    <t>niemanden</t>
  </si>
  <si>
    <t>gegen</t>
  </si>
  <si>
    <t>Zahnpasta</t>
  </si>
  <si>
    <t>ausspricht</t>
  </si>
  <si>
    <t>Kreisen</t>
  </si>
  <si>
    <t># text = Und dann sagen Menschen: \"Sind Depressionen nicht ein Teil dessen, was Menschen erleben sollen?</t>
  </si>
  <si>
    <t>Sind</t>
  </si>
  <si>
    <t>Teil</t>
  </si>
  <si>
    <t>dessen</t>
  </si>
  <si>
    <t>erleben</t>
  </si>
  <si>
    <t>sollen</t>
  </si>
  <si>
    <t># text = Haben wir uns nicht dazu entwickelt, Depressionen zu haben?</t>
  </si>
  <si>
    <t>Haben</t>
  </si>
  <si>
    <t>entwickelt</t>
  </si>
  <si>
    <t># text = Ist das nicht Teil unserer Persönlichkeit?"</t>
  </si>
  <si>
    <t># text = Dazu würde ich sagen, Stimmung ist anpassungsfähig.</t>
  </si>
  <si>
    <t>Dazu</t>
  </si>
  <si>
    <t>Stimmung</t>
  </si>
  <si>
    <t>anpassungsfähig</t>
  </si>
  <si>
    <t># text = In der Lage zu sein, Traurigkeit und Furcht, Freunde und Vergnügen und all die anderen Stimmungen, die wir haben, zu fühlen, ist unglaublich wertvoll.</t>
  </si>
  <si>
    <t>In</t>
  </si>
  <si>
    <t>Furcht</t>
  </si>
  <si>
    <t>Vergnügen</t>
  </si>
  <si>
    <t>Stimmungen</t>
  </si>
  <si>
    <t>OBJ_8</t>
  </si>
  <si>
    <t>wertvoll</t>
  </si>
  <si>
    <t># text = Und schwere Depressionen sind etwas, das auftritt, wenn dieses System zerbricht.</t>
  </si>
  <si>
    <t>auftritt</t>
  </si>
  <si>
    <t>System</t>
  </si>
  <si>
    <t>zerbricht</t>
  </si>
  <si>
    <t># text = Es ist schlecht angepasst.</t>
  </si>
  <si>
    <t>angepasst</t>
  </si>
  <si>
    <t># text = Menschen kommen zu mir und sagen: \"Ich denke, wenn ich nur ein Jahr durchhalte, komme ich da irgendwie durch.\"</t>
  </si>
  <si>
    <t>durchhalte</t>
  </si>
  <si>
    <t>komme</t>
  </si>
  <si>
    <t># text = Und ich sage ihnen immer: "Sie können da durchkommen, aber Sie werden nie mehr 37 sein.</t>
  </si>
  <si>
    <t>sage</t>
  </si>
  <si>
    <t>durchkommen</t>
  </si>
  <si>
    <t># text = Das Leben ist kurz und das ist ein ganzes Jahr, das Sie aufgeben wollen.</t>
  </si>
  <si>
    <t>kurz</t>
  </si>
  <si>
    <t>ganzes</t>
  </si>
  <si>
    <t>wollen</t>
  </si>
  <si>
    <t># text = Überdenken Sie das.\"</t>
  </si>
  <si>
    <t># text = Es ist eine sonderbare Armut der englischen Sprache, und auch vieler anderer Sprachen, dass wir dasselbe Wort, Depressionen, nutzen, um zu beschreiben, wie Kinder sich fühlen, wenn es an ihrem Geburtstag regnet, und um zu beschreiben, wie sich jemand fühlt, eine Minute, bevor er Selbstmord begeht.</t>
  </si>
  <si>
    <t>Armut</t>
  </si>
  <si>
    <t>englischen</t>
  </si>
  <si>
    <t>vieler</t>
  </si>
  <si>
    <t>Sprachen</t>
  </si>
  <si>
    <t>dasselbe</t>
  </si>
  <si>
    <t>Wort</t>
  </si>
  <si>
    <t>nutzen</t>
  </si>
  <si>
    <t>Geburtstag</t>
  </si>
  <si>
    <t>regnet</t>
  </si>
  <si>
    <t>Minute</t>
  </si>
  <si>
    <t>bevor</t>
  </si>
  <si>
    <t>begeht</t>
  </si>
  <si>
    <t># text = Ich wurde gefragt: \"Ist es mit normaler Traurigkeit vergleichbar?\"</t>
  </si>
  <si>
    <t>normaler</t>
  </si>
  <si>
    <t>vergleichbar</t>
  </si>
  <si>
    <t># text = Ich erklärte, dass es gewissermaßen mit normaler Traurigkeit vergleichbar ist.</t>
  </si>
  <si>
    <t>gewissermaßen</t>
  </si>
  <si>
    <t># text = Es gibt ein bestimmtes Maß an Verbindung, aber es ist die gleiche Art von Verbindung zwischen einem Eisenzaun außerhalb des Hauses, der ein paar Rostflecken hat, die man abschleifen und überstreichen muss, und dem, was passiert, wenn man das Haus 100 Jahre verlässt und es durchrostet, bis es nur noch ein Haufen von orangefarbenem Staub ist.</t>
  </si>
  <si>
    <t>bestimmtes</t>
  </si>
  <si>
    <t>Verbindung</t>
  </si>
  <si>
    <t>Eisenzaun</t>
  </si>
  <si>
    <t>Hauses</t>
  </si>
  <si>
    <t>other_8</t>
  </si>
  <si>
    <t>Rostflecken</t>
  </si>
  <si>
    <t>OBJ_7</t>
  </si>
  <si>
    <t>abschleifen</t>
  </si>
  <si>
    <t>überstreichen</t>
  </si>
  <si>
    <t>verlässt</t>
  </si>
  <si>
    <t>durchrostet</t>
  </si>
  <si>
    <t>Haufen</t>
  </si>
  <si>
    <t>orangefarbenem</t>
  </si>
  <si>
    <t>Staub</t>
  </si>
  <si>
    <t># text = Es ist dieser orangefarbene Staubfleck, dieses orangefarbene Staubproblem, das wir angehen wollen.</t>
  </si>
  <si>
    <t>orangefarbene</t>
  </si>
  <si>
    <t>Staubfleck</t>
  </si>
  <si>
    <t>Staubproblem</t>
  </si>
  <si>
    <t>angehen</t>
  </si>
  <si>
    <t># text = Die Menschen sagen jetzt also: "Du nimmst jetzt diese Happy Pills.</t>
  </si>
  <si>
    <t>nimmst</t>
  </si>
  <si>
    <t>Happy</t>
  </si>
  <si>
    <t>Pills</t>
  </si>
  <si>
    <t># text = Fühlst du dich glücklich?"</t>
  </si>
  <si>
    <t>Fühlst</t>
  </si>
  <si>
    <t># text = Das tue ich nicht.</t>
  </si>
  <si>
    <t>tue</t>
  </si>
  <si>
    <t># text = Aber ich bin nicht traurig, dass ich zu Mittag essen muss, und ich bin nicht traurig über meinen Anrufbeantworter, und ich bin nicht traurig, wenn ich duschen muss.</t>
  </si>
  <si>
    <t>Anrufbeantworter</t>
  </si>
  <si>
    <t># text = Ich fühle tatsächlich mehr, weil ich Traurigkeit ohne Nichtigkeit fühlen kann.</t>
  </si>
  <si>
    <t># text = Ich bin traurig über berufliche Enttäuschungen, über beschädigte Beziehungen, über Klimaerwärmung.</t>
  </si>
  <si>
    <t>berufliche</t>
  </si>
  <si>
    <t>Enttäuschungen</t>
  </si>
  <si>
    <t>beschädigte</t>
  </si>
  <si>
    <t>Beziehungen</t>
  </si>
  <si>
    <t>Klimaerwärmung</t>
  </si>
  <si>
    <t># text = Über diese Dinge bin ich jetzt traurig.</t>
  </si>
  <si>
    <t># text = Ich frage mich - was ist das Fazit?</t>
  </si>
  <si>
    <t>Fazit</t>
  </si>
  <si>
    <t># text = Wie haben das die Menschen, die ein besseres Leben haben, sogar mit schwereren Depressionen durchgestanden?</t>
  </si>
  <si>
    <t>Wie</t>
  </si>
  <si>
    <t>besseres</t>
  </si>
  <si>
    <t>sogar</t>
  </si>
  <si>
    <t>schwereren</t>
  </si>
  <si>
    <t>durchgestanden</t>
  </si>
  <si>
    <t># text = Was ist der Mechanismus von Resilienz?</t>
  </si>
  <si>
    <t>Mechanismus</t>
  </si>
  <si>
    <t>Resilienz</t>
  </si>
  <si>
    <t># text = Mit der Zeit fand ich heraus, dass die Menschen, die ihre Erfahrungen leugnen, die sagen: \"Ich war vor langer Zeit depressiv und ich will nie mehr darüber sprechen und ich werde nicht mehr daran denken, ich werde einfach mit meinem Leben weitermachen.\", ironischerweise die Menschen sind, die nahezu von dem, was sie haben, unterjocht werden.</t>
  </si>
  <si>
    <t>Mit</t>
  </si>
  <si>
    <t>leugnen</t>
  </si>
  <si>
    <t>langer</t>
  </si>
  <si>
    <t>weitermachen</t>
  </si>
  <si>
    <t>ironischerweise</t>
  </si>
  <si>
    <t>nahezu</t>
  </si>
  <si>
    <t>unterjocht</t>
  </si>
  <si>
    <t># text = Depressionen auszusperren, verstärken sie nur.</t>
  </si>
  <si>
    <t>auszusperren</t>
  </si>
  <si>
    <t># text = Wenn man sich vor ihnen versteckt, wachsen sie.</t>
  </si>
  <si>
    <t>versteckt</t>
  </si>
  <si>
    <t># text = Und die Menschen, denen es besser geht, sind diejenigen, die die Tatsache tolerieren, dass sie dieses Problem haben.</t>
  </si>
  <si>
    <t>denen</t>
  </si>
  <si>
    <t>diejenigen</t>
  </si>
  <si>
    <t>tolerieren</t>
  </si>
  <si>
    <t># text = Diejenigen, die ihre Depressionen tolerieren können, sind diejenigen, die Resilienz erlangen.</t>
  </si>
  <si>
    <t>Diejenigen</t>
  </si>
  <si>
    <t>erlangen</t>
  </si>
  <si>
    <t># text = Daher sagte Frank Russakoff zu mir: "Wenn ich es nochmal durchleben müsste, würde ich es wahrscheinlich nicht so machen, aber auf sonderbare Weise bin ich dankbar, dass ich das erlebt habe.</t>
  </si>
  <si>
    <t>nochmal</t>
  </si>
  <si>
    <t># text = Ich bin froh, 40 Mal in der Klinik gewesen zu sein.</t>
  </si>
  <si>
    <t>froh</t>
  </si>
  <si>
    <t>Klinik</t>
  </si>
  <si>
    <t># text = Es lehrte mich so viel über Liebe, und meine Beziehung zu meinen Eltern und meinen Ärzten war so wichtig für mich, und sie wird es immer sein.\"</t>
  </si>
  <si>
    <t>lehrte</t>
  </si>
  <si>
    <t>Ärzten</t>
  </si>
  <si>
    <t>wichtig</t>
  </si>
  <si>
    <t># text = Und Maggie Robbins sagte: \"Ich half ehrenamtlich in einer AIDS-Klinik, und ich redete und redete und redete, und die Menschen, mit denen ich zu tun hatte, waren nicht sehr empfänglich, und ich dachte: 'Das ist nicht sehr freundlich oder hilfreich von ihnen.'</t>
  </si>
  <si>
    <t>half</t>
  </si>
  <si>
    <t>ehrenamtlich</t>
  </si>
  <si>
    <t>AIDS</t>
  </si>
  <si>
    <t>redete</t>
  </si>
  <si>
    <t>empfänglich</t>
  </si>
  <si>
    <t>freundlich</t>
  </si>
  <si>
    <t>hilfreich</t>
  </si>
  <si>
    <t># text = Und dann erkannte ich, dass sie nicht mehr machen würden als diese paar Minuten Small Talk.</t>
  </si>
  <si>
    <t>erkannte</t>
  </si>
  <si>
    <t>Small</t>
  </si>
  <si>
    <t>Talk</t>
  </si>
  <si>
    <t># text = Es wäre einfach eine Gelegenheit, wo ich kein AIDS hatte und nicht sterben würde, aber die Tatsache tolerieren konnte, dass sie es hatten und das sie sterben würden.</t>
  </si>
  <si>
    <t>Gelegenheit</t>
  </si>
  <si>
    <t># text = Unsere Bedürfnisse sind unser größtes Kapital.</t>
  </si>
  <si>
    <t>Bedürfnisse</t>
  </si>
  <si>
    <t>unser</t>
  </si>
  <si>
    <t>größtes</t>
  </si>
  <si>
    <t>Kapital</t>
  </si>
  <si>
    <t># text = Es zeigt sich, dass ich gelernt habe, alles zu geben, was ich brauche."</t>
  </si>
  <si>
    <t>gelernt</t>
  </si>
  <si>
    <t># text = Die eigenen Depressionen zu schätzen, verhindert keinen Rückfall, aber es kann die Aussicht auf einen Rückfall und sogar den Rückfall selbst leicht erträglicher machen.</t>
  </si>
  <si>
    <t>schätzen</t>
  </si>
  <si>
    <t>verhindert</t>
  </si>
  <si>
    <t>Rückfall</t>
  </si>
  <si>
    <t>Aussicht</t>
  </si>
  <si>
    <t>leicht</t>
  </si>
  <si>
    <t>erträglicher</t>
  </si>
  <si>
    <t># text = Es geht nicht so sehr darum, einen tieferen Sinn zu finden und zu entscheiden, dass Ihre Depressionen eine wichtige Rolle spielen.</t>
  </si>
  <si>
    <t>darum</t>
  </si>
  <si>
    <t>tieferen</t>
  </si>
  <si>
    <t>entscheiden</t>
  </si>
  <si>
    <t>Ihre</t>
  </si>
  <si>
    <t>wichtige</t>
  </si>
  <si>
    <t>Rolle</t>
  </si>
  <si>
    <t># text = Es geht darum, diese Bedeutung zu suchen, wenn sie erneut kommen, und zu denken: "Das wird die Hölle, aber dadurch werde ich etwas lernen."</t>
  </si>
  <si>
    <t>Bedeutung</t>
  </si>
  <si>
    <t>erneut</t>
  </si>
  <si>
    <t>Hölle</t>
  </si>
  <si>
    <t>dadurch</t>
  </si>
  <si>
    <t># text = Ich habe während meiner eigenen Depressionen gelernt, wir stark eine Emotion sein kann, wie sie wahrhaftiger sein kann als Fakten, und ich merkte, dass diese Erfahrung mir erlaubte, positive Emotionen intensiver zu erleben.</t>
  </si>
  <si>
    <t>stark</t>
  </si>
  <si>
    <t>Emotion</t>
  </si>
  <si>
    <t>wahrhaftiger</t>
  </si>
  <si>
    <t>Fakten</t>
  </si>
  <si>
    <t>merkte</t>
  </si>
  <si>
    <t>erlaubte</t>
  </si>
  <si>
    <t>positive</t>
  </si>
  <si>
    <t>Emotionen</t>
  </si>
  <si>
    <t>intensiver</t>
  </si>
  <si>
    <t># text = Das Gegenteil von Depressionen ist nicht Glück, sondern Vitalität, und heute ist mein Leben vital, sogar an den Tagen, an denen ich traurig bin.</t>
  </si>
  <si>
    <t>vital</t>
  </si>
  <si>
    <t>Tagen</t>
  </si>
  <si>
    <t># text = Ich fühlte dieses Begräbnis in meinem Gehirn und saß neben dem Koloss am Rande der Welt, und ich bemerkte etwas in mir selbst, das ich eine Seele nennen müsste, was ich bis zu dem Tag vor 20 Jahren nie formuliert hatte, als die Hölle mir einen Überraschungsbesuch abstattete.</t>
  </si>
  <si>
    <t>neben</t>
  </si>
  <si>
    <t>Koloss</t>
  </si>
  <si>
    <t>Rande</t>
  </si>
  <si>
    <t>bemerkte</t>
  </si>
  <si>
    <t>nennen</t>
  </si>
  <si>
    <t>formuliert</t>
  </si>
  <si>
    <t>Überraschungsbesuch</t>
  </si>
  <si>
    <t>abstattete</t>
  </si>
  <si>
    <t># text = Obwohl ich es hasste, depressiv zu sein und es hassen würde, wieder depressiv zu werden, habe ich einen Weg gefunden, meine Depressionen zu lieben.</t>
  </si>
  <si>
    <t>Obwohl</t>
  </si>
  <si>
    <t>hasste</t>
  </si>
  <si>
    <t>hassen</t>
  </si>
  <si>
    <t># text = Ich liebe sie, weil sie mich gezwungen hat, Freude zu finden und mich an sie zu klammern.</t>
  </si>
  <si>
    <t>gezwungen</t>
  </si>
  <si>
    <t>Freude</t>
  </si>
  <si>
    <t># text = denn ich entscheide täglich, manchmal spielerisch, und manchmal entgegen der Vernunft des Augenblicks, mich an die Gründe zu leben zu klammern.</t>
  </si>
  <si>
    <t>entscheide</t>
  </si>
  <si>
    <t>manchmal</t>
  </si>
  <si>
    <t>spielerisch</t>
  </si>
  <si>
    <t>entgegen</t>
  </si>
  <si>
    <t>Augenblicks</t>
  </si>
  <si>
    <t>Gründe</t>
  </si>
  <si>
    <t># text = Ich denke, das ist eine sehr privilegierte Begeisterung.</t>
  </si>
  <si>
    <t>privilegierte</t>
  </si>
  <si>
    <t>Begeisterung</t>
  </si>
  <si>
    <t># text = Vielen Dank.</t>
  </si>
  <si>
    <t>Vielen</t>
  </si>
  <si>
    <t># text = (Applaus)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</si>
</sst>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11</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17</v>
      </c>
      <c r="C7" s="6" t="s">
        <v>33</v>
      </c>
      <c r="D7" s="7" t="s">
        <v>34</v>
      </c>
      <c r="E7" s="8" t="s">
        <v>35</v>
      </c>
      <c r="F7" s="6" t="s">
        <v>36</v>
      </c>
      <c r="G7" s="9">
        <f>IF(A7=1,"_",IF(C7="_","???",C7))</f>
        <v/>
      </c>
      <c r="H7" s="10" t="s">
        <v>12</v>
      </c>
      <c r="I7" s="11" t="s">
        <v>12</v>
      </c>
      <c r="J7" s="12"/>
    </row>
    <row r="8" spans="1:10" ht="60" customHeight="1">
      <c r="A8" s="6" t="s">
        <v>17</v>
      </c>
      <c r="B8" s="6" t="s">
        <v>28</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40</v>
      </c>
      <c r="C12" s="6" t="s">
        <v>12</v>
      </c>
      <c r="D12" s="7" t="s">
        <v>53</v>
      </c>
      <c r="E12" s="8" t="s">
        <v>54</v>
      </c>
      <c r="F12" s="6" t="s">
        <v>55</v>
      </c>
      <c r="G12" s="9">
        <f>IF(A12=1,"_",IF(C12="_","???",C12))</f>
        <v/>
      </c>
      <c r="H12" s="10" t="s">
        <v>12</v>
      </c>
      <c r="I12" s="11" t="s">
        <v>12</v>
      </c>
      <c r="J12" s="12"/>
    </row>
    <row r="13" spans="1:10" ht="60" customHeight="1">
      <c r="A13" s="6" t="s">
        <v>56</v>
      </c>
      <c r="B13" s="6" t="s">
        <v>40</v>
      </c>
      <c r="C13" s="6" t="s">
        <v>57</v>
      </c>
      <c r="D13" s="7" t="s">
        <v>58</v>
      </c>
      <c r="E13" s="8" t="s">
        <v>59</v>
      </c>
      <c r="F13" s="6" t="s">
        <v>60</v>
      </c>
      <c r="G13" s="9">
        <f>IF(A13=1,"_",IF(C13="_","???",C13))</f>
        <v/>
      </c>
      <c r="H13" s="10" t="s">
        <v>12</v>
      </c>
      <c r="I13" s="11" t="s">
        <v>12</v>
      </c>
      <c r="J13" s="12"/>
    </row>
    <row r="14" spans="1:10" ht="60" customHeight="1">
      <c r="A14" s="6" t="s">
        <v>61</v>
      </c>
      <c r="B14" s="6" t="s">
        <v>28</v>
      </c>
      <c r="C14" s="6" t="s">
        <v>12</v>
      </c>
      <c r="D14" s="7" t="s">
        <v>62</v>
      </c>
      <c r="E14" s="8" t="s">
        <v>63</v>
      </c>
      <c r="F14" s="6" t="s">
        <v>64</v>
      </c>
      <c r="G14" s="9">
        <f>IF(A14=1,"_",IF(C14="_","???",C14))</f>
        <v/>
      </c>
      <c r="H14" s="10" t="s">
        <v>12</v>
      </c>
      <c r="I14" s="11" t="s">
        <v>12</v>
      </c>
      <c r="J14" s="12"/>
    </row>
    <row r="15" spans="1:10" ht="60" customHeight="1">
      <c r="A15" s="6" t="s">
        <v>65</v>
      </c>
      <c r="B15" s="6" t="s">
        <v>40</v>
      </c>
      <c r="C15" s="6" t="s">
        <v>12</v>
      </c>
      <c r="D15" s="7" t="s">
        <v>66</v>
      </c>
      <c r="E15" s="8" t="s">
        <v>67</v>
      </c>
      <c r="F15" s="6" t="s">
        <v>68</v>
      </c>
      <c r="G15" s="9">
        <f>IF(A15=1,"_",IF(C15="_","???",C15))</f>
        <v/>
      </c>
      <c r="H15" s="10" t="s">
        <v>12</v>
      </c>
      <c r="I15" s="11" t="s">
        <v>12</v>
      </c>
      <c r="J15" s="12"/>
    </row>
    <row r="16" spans="1:10" ht="60" customHeight="1">
      <c r="A16" s="6" t="s">
        <v>69</v>
      </c>
      <c r="B16" s="6" t="s">
        <v>69</v>
      </c>
      <c r="C16" s="6" t="s">
        <v>12</v>
      </c>
      <c r="D16" s="7" t="s">
        <v>37</v>
      </c>
      <c r="E16" s="8" t="s">
        <v>70</v>
      </c>
      <c r="F16" s="6" t="s">
        <v>71</v>
      </c>
      <c r="G16" s="9">
        <f>IF(A16=1,"_",IF(C16="_","???",C16))</f>
        <v/>
      </c>
      <c r="H16" s="10" t="s">
        <v>12</v>
      </c>
      <c r="I16" s="11" t="s">
        <v>12</v>
      </c>
      <c r="J16" s="12"/>
    </row>
    <row r="17" spans="1:10" ht="60" customHeight="1">
      <c r="A17" s="6" t="s">
        <v>72</v>
      </c>
      <c r="B17" s="6" t="s">
        <v>52</v>
      </c>
      <c r="C17" s="6" t="s">
        <v>12</v>
      </c>
      <c r="D17" s="7" t="s">
        <v>73</v>
      </c>
      <c r="E17" s="8" t="s">
        <v>74</v>
      </c>
      <c r="F17" s="6" t="s">
        <v>75</v>
      </c>
      <c r="G17" s="9">
        <f>IF(A17=1,"_",IF(C17="_","???",C17))</f>
        <v/>
      </c>
      <c r="H17" s="10" t="s">
        <v>12</v>
      </c>
      <c r="I17" s="11" t="s">
        <v>12</v>
      </c>
      <c r="J17" s="12"/>
    </row>
    <row r="18" spans="1:10" ht="60" customHeight="1">
      <c r="A18" s="6" t="s">
        <v>76</v>
      </c>
      <c r="B18" s="6" t="s">
        <v>44</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81</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91</v>
      </c>
      <c r="B22" s="6" t="s">
        <v>16</v>
      </c>
      <c r="C22" s="6" t="s">
        <v>12</v>
      </c>
      <c r="D22" s="7" t="s">
        <v>92</v>
      </c>
      <c r="E22" s="8" t="s">
        <v>93</v>
      </c>
      <c r="F22" s="6" t="s">
        <v>94</v>
      </c>
      <c r="G22" s="9">
        <f>IF(A22=1,"_",IF(C22="_","???",C22))</f>
        <v/>
      </c>
      <c r="H22" s="10" t="s">
        <v>12</v>
      </c>
      <c r="I22" s="11" t="s">
        <v>12</v>
      </c>
      <c r="J22" s="12"/>
    </row>
    <row r="23" spans="1:10" ht="60" customHeight="1">
      <c r="A23" s="6" t="s">
        <v>95</v>
      </c>
      <c r="B23" s="6" t="s">
        <v>11</v>
      </c>
      <c r="C23" s="6" t="s">
        <v>12</v>
      </c>
      <c r="D23" s="7" t="s">
        <v>96</v>
      </c>
      <c r="E23" s="8" t="s">
        <v>97</v>
      </c>
      <c r="F23" s="6" t="s">
        <v>98</v>
      </c>
      <c r="G23" s="9">
        <f>IF(A23=1,"_",IF(C23="_","???",C23))</f>
        <v/>
      </c>
      <c r="H23" s="10" t="s">
        <v>12</v>
      </c>
      <c r="I23" s="11" t="s">
        <v>12</v>
      </c>
      <c r="J23" s="12"/>
    </row>
    <row r="24" spans="1:10" ht="60" customHeight="1">
      <c r="A24" s="6" t="s">
        <v>99</v>
      </c>
      <c r="B24" s="6" t="s">
        <v>84</v>
      </c>
      <c r="C24" s="6" t="s">
        <v>12</v>
      </c>
      <c r="D24" s="7" t="s">
        <v>100</v>
      </c>
      <c r="E24" s="8" t="s">
        <v>101</v>
      </c>
      <c r="F24" s="6" t="s">
        <v>102</v>
      </c>
      <c r="G24" s="9">
        <f>IF(A24=1,"_",IF(C24="_","???",C24))</f>
        <v/>
      </c>
      <c r="H24" s="10" t="s">
        <v>12</v>
      </c>
      <c r="I24" s="11" t="s">
        <v>12</v>
      </c>
      <c r="J24" s="12"/>
    </row>
    <row r="25" spans="1:10" ht="60" customHeight="1">
      <c r="A25" s="6" t="s">
        <v>103</v>
      </c>
      <c r="B25" s="6" t="s">
        <v>48</v>
      </c>
      <c r="C25" s="6" t="s">
        <v>12</v>
      </c>
      <c r="D25" s="7" t="s">
        <v>104</v>
      </c>
      <c r="E25" s="8" t="s">
        <v>105</v>
      </c>
      <c r="F25" s="6" t="s">
        <v>106</v>
      </c>
      <c r="G25" s="9">
        <f>IF(A25=1,"_",IF(C25="_","???",C25))</f>
        <v/>
      </c>
      <c r="H25" s="10" t="s">
        <v>12</v>
      </c>
      <c r="I25" s="11" t="s">
        <v>12</v>
      </c>
      <c r="J25" s="12"/>
    </row>
    <row r="26" spans="1:10" ht="60" customHeight="1">
      <c r="A26" s="6" t="s">
        <v>107</v>
      </c>
      <c r="B26" s="6" t="s">
        <v>44</v>
      </c>
      <c r="C26" s="6" t="s">
        <v>12</v>
      </c>
      <c r="D26" s="7" t="s">
        <v>104</v>
      </c>
      <c r="E26" s="8" t="s">
        <v>108</v>
      </c>
      <c r="F26" s="6" t="s">
        <v>109</v>
      </c>
      <c r="G26" s="9">
        <f>IF(A26=1,"_",IF(C26="_","???",C26))</f>
        <v/>
      </c>
      <c r="H26" s="10" t="s">
        <v>12</v>
      </c>
      <c r="I26" s="11" t="s">
        <v>12</v>
      </c>
      <c r="J26" s="12"/>
    </row>
    <row r="27" spans="1:10" ht="60" customHeight="1">
      <c r="A27" s="6" t="s">
        <v>110</v>
      </c>
      <c r="B27" s="6" t="s">
        <v>16</v>
      </c>
      <c r="C27" s="6" t="s">
        <v>12</v>
      </c>
      <c r="D27" s="7" t="s">
        <v>111</v>
      </c>
      <c r="E27" s="8" t="s">
        <v>112</v>
      </c>
      <c r="F27" s="6" t="s">
        <v>113</v>
      </c>
      <c r="G27" s="9">
        <f>IF(A27=1,"_",IF(C27="_","???",C27))</f>
        <v/>
      </c>
      <c r="H27" s="10" t="s">
        <v>12</v>
      </c>
      <c r="I27" s="11" t="s">
        <v>12</v>
      </c>
      <c r="J27" s="12"/>
    </row>
    <row r="28" spans="1:10" ht="60" customHeight="1">
      <c r="A28" s="6" t="s">
        <v>114</v>
      </c>
      <c r="B28" s="6" t="s">
        <v>91</v>
      </c>
      <c r="C28" s="6" t="s">
        <v>12</v>
      </c>
      <c r="D28" s="7" t="s">
        <v>115</v>
      </c>
      <c r="E28" s="8" t="s">
        <v>116</v>
      </c>
      <c r="F28" s="6" t="s">
        <v>117</v>
      </c>
      <c r="G28" s="9">
        <f>IF(A28=1,"_",IF(C28="_","???",C28))</f>
        <v/>
      </c>
      <c r="H28" s="10" t="s">
        <v>12</v>
      </c>
      <c r="I28" s="11" t="s">
        <v>12</v>
      </c>
      <c r="J28" s="12"/>
    </row>
    <row r="29" spans="1:10" ht="60" customHeight="1">
      <c r="A29" s="6" t="s">
        <v>118</v>
      </c>
      <c r="B29" s="6" t="s">
        <v>11</v>
      </c>
      <c r="C29" s="6" t="s">
        <v>12</v>
      </c>
      <c r="D29" s="7" t="s">
        <v>119</v>
      </c>
      <c r="E29" s="8" t="s">
        <v>120</v>
      </c>
      <c r="F29" s="6" t="s">
        <v>121</v>
      </c>
      <c r="G29" s="9">
        <f>IF(A29=1,"_",IF(C29="_","???",C29))</f>
        <v/>
      </c>
      <c r="H29" s="10" t="s">
        <v>12</v>
      </c>
      <c r="I29" s="11" t="s">
        <v>12</v>
      </c>
      <c r="J29" s="12"/>
    </row>
    <row r="30" spans="1:10" ht="60" customHeight="1">
      <c r="A30" s="6" t="s">
        <v>122</v>
      </c>
      <c r="B30" s="6" t="s">
        <v>32</v>
      </c>
      <c r="C30" s="6" t="s">
        <v>12</v>
      </c>
      <c r="D30" s="7" t="s">
        <v>123</v>
      </c>
      <c r="E30" s="8" t="s">
        <v>124</v>
      </c>
      <c r="F30" s="6" t="s">
        <v>125</v>
      </c>
      <c r="G30" s="9">
        <f>IF(A30=1,"_",IF(C30="_","???",C30))</f>
        <v/>
      </c>
      <c r="H30" s="10" t="s">
        <v>12</v>
      </c>
      <c r="I30" s="11" t="s">
        <v>12</v>
      </c>
      <c r="J30" s="12"/>
    </row>
    <row r="31" spans="1:10" ht="60" customHeight="1">
      <c r="A31" s="6" t="s">
        <v>126</v>
      </c>
      <c r="B31" s="6" t="s">
        <v>56</v>
      </c>
      <c r="C31" s="6" t="s">
        <v>127</v>
      </c>
      <c r="D31" s="7" t="s">
        <v>128</v>
      </c>
      <c r="E31" s="8" t="s">
        <v>129</v>
      </c>
      <c r="F31" s="6" t="s">
        <v>130</v>
      </c>
      <c r="G31" s="9">
        <f>IF(A31=1,"_",IF(C31="_","???",C31))</f>
        <v/>
      </c>
      <c r="H31" s="10" t="s">
        <v>12</v>
      </c>
      <c r="I31" s="11" t="s">
        <v>12</v>
      </c>
      <c r="J31" s="12"/>
    </row>
    <row r="32" spans="1:10" ht="60" customHeight="1">
      <c r="A32" s="6" t="s">
        <v>131</v>
      </c>
      <c r="B32" s="6" t="s">
        <v>16</v>
      </c>
      <c r="C32" s="6" t="s">
        <v>12</v>
      </c>
      <c r="D32" s="7" t="s">
        <v>132</v>
      </c>
      <c r="E32" s="8" t="s">
        <v>133</v>
      </c>
      <c r="F32" s="6" t="s">
        <v>134</v>
      </c>
      <c r="G32" s="9">
        <f>IF(A32=1,"_",IF(C32="_","???",C32))</f>
        <v/>
      </c>
      <c r="H32" s="10" t="s">
        <v>12</v>
      </c>
      <c r="I32" s="11" t="s">
        <v>12</v>
      </c>
      <c r="J32" s="12"/>
    </row>
    <row r="33" spans="1:10" ht="60" customHeight="1">
      <c r="A33" s="6" t="s">
        <v>135</v>
      </c>
      <c r="B33" s="6" t="s">
        <v>24</v>
      </c>
      <c r="C33" s="6" t="s">
        <v>12</v>
      </c>
      <c r="D33" s="7" t="s">
        <v>136</v>
      </c>
      <c r="E33" s="8" t="s">
        <v>137</v>
      </c>
      <c r="F33" s="6" t="s">
        <v>138</v>
      </c>
      <c r="G33" s="9">
        <f>IF(A33=1,"_",IF(C33="_","???",C33))</f>
        <v/>
      </c>
      <c r="H33" s="10" t="s">
        <v>12</v>
      </c>
      <c r="I33" s="11" t="s">
        <v>12</v>
      </c>
      <c r="J33" s="12"/>
    </row>
    <row r="34" spans="1:10" ht="60" customHeight="1">
      <c r="A34" s="6" t="s">
        <v>139</v>
      </c>
      <c r="B34" s="6" t="s">
        <v>11</v>
      </c>
      <c r="C34" s="6" t="s">
        <v>12</v>
      </c>
      <c r="D34" s="7" t="s">
        <v>88</v>
      </c>
      <c r="E34" s="8" t="s">
        <v>140</v>
      </c>
      <c r="F34" s="6" t="s">
        <v>141</v>
      </c>
      <c r="G34" s="9">
        <f>IF(A34=1,"_",IF(C34="_","???",C34))</f>
        <v/>
      </c>
      <c r="H34" s="10" t="s">
        <v>12</v>
      </c>
      <c r="I34" s="11" t="s">
        <v>12</v>
      </c>
      <c r="J34" s="12"/>
    </row>
    <row r="35" spans="1:10" ht="60" customHeight="1">
      <c r="A35" s="6" t="s">
        <v>142</v>
      </c>
      <c r="B35" s="6" t="s">
        <v>40</v>
      </c>
      <c r="C35" s="6" t="s">
        <v>12</v>
      </c>
      <c r="D35" s="7" t="s">
        <v>58</v>
      </c>
      <c r="E35" s="8" t="s">
        <v>143</v>
      </c>
      <c r="F35" s="6" t="s">
        <v>144</v>
      </c>
      <c r="G35" s="9">
        <f>IF(A35=1,"_",IF(C35="_","???",C35))</f>
        <v/>
      </c>
      <c r="H35" s="10" t="s">
        <v>12</v>
      </c>
      <c r="I35" s="11" t="s">
        <v>12</v>
      </c>
      <c r="J35" s="12"/>
    </row>
    <row r="36" spans="1:10" ht="60" customHeight="1">
      <c r="A36" s="6" t="s">
        <v>145</v>
      </c>
      <c r="B36" s="6" t="s">
        <v>11</v>
      </c>
      <c r="C36" s="6" t="s">
        <v>146</v>
      </c>
      <c r="D36" s="7" t="s">
        <v>41</v>
      </c>
      <c r="E36" s="8" t="s">
        <v>147</v>
      </c>
      <c r="F36" s="6" t="s">
        <v>148</v>
      </c>
      <c r="G36" s="9">
        <f>IF(A36=1,"_",IF(C36="_","???",C36))</f>
        <v/>
      </c>
      <c r="H36" s="10" t="s">
        <v>12</v>
      </c>
      <c r="I36" s="11" t="s">
        <v>12</v>
      </c>
      <c r="J36" s="12"/>
    </row>
    <row r="37" spans="1:10" ht="60" customHeight="1">
      <c r="A37" s="6" t="s">
        <v>149</v>
      </c>
      <c r="B37" s="6" t="s">
        <v>16</v>
      </c>
      <c r="C37" s="6" t="s">
        <v>12</v>
      </c>
      <c r="D37" s="7" t="s">
        <v>150</v>
      </c>
      <c r="E37" s="8" t="s">
        <v>151</v>
      </c>
      <c r="F37" s="6" t="s">
        <v>152</v>
      </c>
      <c r="G37" s="9">
        <f>IF(A37=1,"_",IF(C37="_","???",C37))</f>
        <v/>
      </c>
      <c r="H37" s="10" t="s">
        <v>12</v>
      </c>
      <c r="I37" s="11" t="s">
        <v>12</v>
      </c>
      <c r="J37" s="12"/>
    </row>
    <row r="38" spans="1:10" ht="60" customHeight="1">
      <c r="A38" s="6" t="s">
        <v>153</v>
      </c>
      <c r="B38" s="6" t="s">
        <v>16</v>
      </c>
      <c r="C38" s="6" t="s">
        <v>12</v>
      </c>
      <c r="D38" s="7" t="s">
        <v>81</v>
      </c>
      <c r="E38" s="8" t="s">
        <v>154</v>
      </c>
      <c r="F38" s="6" t="s">
        <v>155</v>
      </c>
      <c r="G38" s="9">
        <f>IF(A38=1,"_",IF(C38="_","???",C38))</f>
        <v/>
      </c>
      <c r="H38" s="10" t="s">
        <v>12</v>
      </c>
      <c r="I38" s="11" t="s">
        <v>12</v>
      </c>
      <c r="J38" s="12"/>
    </row>
    <row r="39" spans="1:10" ht="60" customHeight="1">
      <c r="A39" s="6" t="s">
        <v>156</v>
      </c>
      <c r="B39" s="6" t="s">
        <v>11</v>
      </c>
      <c r="C39" s="6" t="s">
        <v>12</v>
      </c>
      <c r="D39" s="7" t="s">
        <v>104</v>
      </c>
      <c r="E39" s="8" t="s">
        <v>157</v>
      </c>
      <c r="F39" s="6" t="s">
        <v>158</v>
      </c>
      <c r="G39" s="9">
        <f>IF(A39=1,"_",IF(C39="_","???",C39))</f>
        <v/>
      </c>
      <c r="H39" s="10" t="s">
        <v>12</v>
      </c>
      <c r="I39" s="11" t="s">
        <v>12</v>
      </c>
      <c r="J39" s="12"/>
    </row>
    <row r="40" spans="1:10" ht="60" customHeight="1">
      <c r="A40" s="6" t="s">
        <v>159</v>
      </c>
      <c r="B40" s="6" t="s">
        <v>11</v>
      </c>
      <c r="C40" s="6" t="s">
        <v>12</v>
      </c>
      <c r="D40" s="7" t="s">
        <v>160</v>
      </c>
      <c r="E40" s="8" t="s">
        <v>161</v>
      </c>
      <c r="F40" s="6" t="s">
        <v>162</v>
      </c>
      <c r="G40" s="9">
        <f>IF(A40=1,"_",IF(C40="_","???",C40))</f>
        <v/>
      </c>
      <c r="H40" s="10" t="s">
        <v>12</v>
      </c>
      <c r="I40" s="11" t="s">
        <v>12</v>
      </c>
      <c r="J40" s="12"/>
    </row>
    <row r="41" spans="1:10" ht="60" customHeight="1">
      <c r="A41" s="6" t="s">
        <v>163</v>
      </c>
      <c r="B41" s="6" t="s">
        <v>16</v>
      </c>
      <c r="C41" s="6" t="s">
        <v>12</v>
      </c>
      <c r="D41" s="7" t="s">
        <v>164</v>
      </c>
      <c r="E41" s="8" t="s">
        <v>165</v>
      </c>
      <c r="F41" s="6" t="s">
        <v>166</v>
      </c>
      <c r="G41" s="9">
        <f>IF(A41=1,"_",IF(C41="_","???",C41))</f>
        <v/>
      </c>
      <c r="H41" s="10" t="s">
        <v>12</v>
      </c>
      <c r="I41" s="11" t="s">
        <v>12</v>
      </c>
      <c r="J41" s="12"/>
    </row>
    <row r="42" spans="1:10" ht="60" customHeight="1">
      <c r="A42" s="6" t="s">
        <v>167</v>
      </c>
      <c r="B42" s="6" t="s">
        <v>48</v>
      </c>
      <c r="C42" s="6" t="s">
        <v>12</v>
      </c>
      <c r="D42" s="7" t="s">
        <v>168</v>
      </c>
      <c r="E42" s="8" t="s">
        <v>169</v>
      </c>
      <c r="F42" s="6" t="s">
        <v>170</v>
      </c>
      <c r="G42" s="9">
        <f>IF(A42=1,"_",IF(C42="_","???",C42))</f>
        <v/>
      </c>
      <c r="H42" s="10" t="s">
        <v>12</v>
      </c>
      <c r="I42" s="11" t="s">
        <v>12</v>
      </c>
      <c r="J42" s="12"/>
    </row>
    <row r="43" spans="1:10" ht="60" customHeight="1">
      <c r="A43" s="6" t="s">
        <v>171</v>
      </c>
      <c r="B43" s="6" t="s">
        <v>24</v>
      </c>
      <c r="C43" s="6" t="s">
        <v>12</v>
      </c>
      <c r="D43" s="7" t="s">
        <v>172</v>
      </c>
      <c r="E43" s="8" t="s">
        <v>173</v>
      </c>
      <c r="F43" s="6" t="s">
        <v>174</v>
      </c>
      <c r="G43" s="9">
        <f>IF(A43=1,"_",IF(C43="_","???",C43))</f>
        <v/>
      </c>
      <c r="H43" s="10" t="s">
        <v>12</v>
      </c>
      <c r="I43" s="11" t="s">
        <v>12</v>
      </c>
      <c r="J43" s="12"/>
    </row>
    <row r="44" spans="1:10" ht="60" customHeight="1">
      <c r="A44" s="6" t="s">
        <v>175</v>
      </c>
      <c r="B44" s="6" t="s">
        <v>11</v>
      </c>
      <c r="C44" s="6" t="s">
        <v>12</v>
      </c>
      <c r="D44" s="7" t="s">
        <v>176</v>
      </c>
      <c r="E44" s="8" t="s">
        <v>177</v>
      </c>
      <c r="F44" s="6" t="s">
        <v>178</v>
      </c>
      <c r="G44" s="9">
        <f>IF(A44=1,"_",IF(C44="_","???",C44))</f>
        <v/>
      </c>
      <c r="H44" s="10" t="s">
        <v>12</v>
      </c>
      <c r="I44" s="11" t="s">
        <v>12</v>
      </c>
      <c r="J44" s="12"/>
    </row>
    <row r="45" spans="1:10" ht="60" customHeight="1">
      <c r="A45" s="6" t="s">
        <v>179</v>
      </c>
      <c r="B45" s="6" t="s">
        <v>32</v>
      </c>
      <c r="C45" s="6" t="s">
        <v>12</v>
      </c>
      <c r="D45" s="7" t="s">
        <v>104</v>
      </c>
      <c r="E45" s="8" t="s">
        <v>180</v>
      </c>
      <c r="F45" s="6" t="s">
        <v>181</v>
      </c>
      <c r="G45" s="9">
        <f>IF(A45=1,"_",IF(C45="_","???",C45))</f>
        <v/>
      </c>
      <c r="H45" s="10" t="s">
        <v>12</v>
      </c>
      <c r="I45" s="11" t="s">
        <v>12</v>
      </c>
      <c r="J45" s="12"/>
    </row>
    <row r="46" spans="1:10" ht="60" customHeight="1">
      <c r="A46" s="6" t="s">
        <v>182</v>
      </c>
      <c r="B46" s="6" t="s">
        <v>16</v>
      </c>
      <c r="C46" s="6" t="s">
        <v>12</v>
      </c>
      <c r="D46" s="7" t="s">
        <v>183</v>
      </c>
      <c r="E46" s="8" t="s">
        <v>184</v>
      </c>
      <c r="F46" s="6" t="s">
        <v>185</v>
      </c>
      <c r="G46" s="9">
        <f>IF(A46=1,"_",IF(C46="_","???",C46))</f>
        <v/>
      </c>
      <c r="H46" s="10" t="s">
        <v>12</v>
      </c>
      <c r="I46" s="11" t="s">
        <v>12</v>
      </c>
      <c r="J46" s="12"/>
    </row>
    <row r="47" spans="1:10" ht="60" customHeight="1">
      <c r="A47" s="6" t="s">
        <v>186</v>
      </c>
      <c r="B47" s="6" t="s">
        <v>16</v>
      </c>
      <c r="C47" s="6" t="s">
        <v>12</v>
      </c>
      <c r="D47" s="7" t="s">
        <v>187</v>
      </c>
      <c r="E47" s="8" t="s">
        <v>188</v>
      </c>
      <c r="F47" s="6" t="s">
        <v>189</v>
      </c>
      <c r="G47" s="9">
        <f>IF(A47=1,"_",IF(C47="_","???",C47))</f>
        <v/>
      </c>
      <c r="H47" s="10" t="s">
        <v>12</v>
      </c>
      <c r="I47" s="11" t="s">
        <v>12</v>
      </c>
      <c r="J47" s="12"/>
    </row>
    <row r="48" spans="1:10" ht="60" customHeight="1">
      <c r="A48" s="6" t="s">
        <v>190</v>
      </c>
      <c r="B48" s="6" t="s">
        <v>16</v>
      </c>
      <c r="C48" s="6" t="s">
        <v>12</v>
      </c>
      <c r="D48" s="7" t="s">
        <v>191</v>
      </c>
      <c r="E48" s="8" t="s">
        <v>192</v>
      </c>
      <c r="F48" s="6" t="s">
        <v>193</v>
      </c>
      <c r="G48" s="9">
        <f>IF(A48=1,"_",IF(C48="_","???",C48))</f>
        <v/>
      </c>
      <c r="H48" s="10" t="s">
        <v>12</v>
      </c>
      <c r="I48" s="11" t="s">
        <v>12</v>
      </c>
      <c r="J48" s="12"/>
    </row>
    <row r="49" spans="1:10" ht="60" customHeight="1">
      <c r="A49" s="6" t="s">
        <v>194</v>
      </c>
      <c r="B49" s="6" t="s">
        <v>16</v>
      </c>
      <c r="C49" s="6" t="s">
        <v>12</v>
      </c>
      <c r="D49" s="7" t="s">
        <v>104</v>
      </c>
      <c r="E49" s="8" t="s">
        <v>195</v>
      </c>
      <c r="F49" s="6" t="s">
        <v>196</v>
      </c>
      <c r="G49" s="9">
        <f>IF(A49=1,"_",IF(C49="_","???",C49))</f>
        <v/>
      </c>
      <c r="H49" s="10" t="s">
        <v>12</v>
      </c>
      <c r="I49" s="11" t="s">
        <v>12</v>
      </c>
      <c r="J49" s="12"/>
    </row>
    <row r="50" spans="1:10" ht="60" customHeight="1">
      <c r="A50" s="6" t="s">
        <v>197</v>
      </c>
      <c r="B50" s="6" t="s">
        <v>16</v>
      </c>
      <c r="C50" s="6" t="s">
        <v>12</v>
      </c>
      <c r="D50" s="7" t="s">
        <v>198</v>
      </c>
      <c r="E50" s="8" t="s">
        <v>199</v>
      </c>
      <c r="F50" s="6" t="s">
        <v>200</v>
      </c>
      <c r="G50" s="9">
        <f>IF(A50=1,"_",IF(C50="_","???",C50))</f>
        <v/>
      </c>
      <c r="H50" s="10" t="s">
        <v>12</v>
      </c>
      <c r="I50" s="11" t="s">
        <v>12</v>
      </c>
      <c r="J50" s="12"/>
    </row>
    <row r="51" spans="1:10" ht="60" customHeight="1">
      <c r="A51" s="6" t="s">
        <v>201</v>
      </c>
      <c r="B51" s="6" t="s">
        <v>11</v>
      </c>
      <c r="C51" s="6" t="s">
        <v>12</v>
      </c>
      <c r="D51" s="7" t="s">
        <v>202</v>
      </c>
      <c r="E51" s="8" t="s">
        <v>203</v>
      </c>
      <c r="F51" s="6" t="s">
        <v>204</v>
      </c>
      <c r="G51" s="9">
        <f>IF(A51=1,"_",IF(C51="_","???",C51))</f>
        <v/>
      </c>
      <c r="H51" s="10" t="s">
        <v>12</v>
      </c>
      <c r="I51" s="11" t="s">
        <v>12</v>
      </c>
      <c r="J51" s="12"/>
    </row>
    <row r="52" spans="1:10" ht="60" customHeight="1">
      <c r="A52" s="6" t="s">
        <v>205</v>
      </c>
      <c r="B52" s="6" t="s">
        <v>16</v>
      </c>
      <c r="C52" s="6" t="s">
        <v>12</v>
      </c>
      <c r="D52" s="7" t="s">
        <v>206</v>
      </c>
      <c r="E52" s="8" t="s">
        <v>207</v>
      </c>
      <c r="F52" s="6" t="s">
        <v>208</v>
      </c>
      <c r="G52" s="9">
        <f>IF(A52=1,"_",IF(C52="_","???",C52))</f>
        <v/>
      </c>
      <c r="H52" s="10" t="s">
        <v>12</v>
      </c>
      <c r="I52" s="11" t="s">
        <v>12</v>
      </c>
      <c r="J52" s="12"/>
    </row>
    <row r="53" spans="1:10" ht="60" customHeight="1">
      <c r="A53" s="6" t="s">
        <v>209</v>
      </c>
      <c r="B53" s="6" t="s">
        <v>16</v>
      </c>
      <c r="C53" s="6" t="s">
        <v>12</v>
      </c>
      <c r="D53" s="7" t="s">
        <v>210</v>
      </c>
      <c r="E53" s="8" t="s">
        <v>211</v>
      </c>
      <c r="F53" s="6" t="s">
        <v>212</v>
      </c>
      <c r="G53" s="9">
        <f>IF(A53=1,"_",IF(C53="_","???",C53))</f>
        <v/>
      </c>
      <c r="H53" s="10" t="s">
        <v>12</v>
      </c>
      <c r="I53" s="11" t="s">
        <v>12</v>
      </c>
      <c r="J53" s="12"/>
    </row>
    <row r="54" spans="1:10" ht="60" customHeight="1">
      <c r="A54" s="6" t="s">
        <v>213</v>
      </c>
      <c r="B54" s="6" t="s">
        <v>10</v>
      </c>
      <c r="C54" s="6" t="s">
        <v>12</v>
      </c>
      <c r="D54" s="7" t="s">
        <v>214</v>
      </c>
      <c r="E54" s="8" t="s">
        <v>215</v>
      </c>
      <c r="F54" s="6" t="s">
        <v>216</v>
      </c>
      <c r="G54" s="9">
        <f>IF(A54=1,"_",IF(C54="_","???",C54))</f>
        <v/>
      </c>
      <c r="H54" s="10" t="s">
        <v>12</v>
      </c>
      <c r="I54" s="11" t="s">
        <v>12</v>
      </c>
      <c r="J54" s="12"/>
    </row>
    <row r="55" spans="1:10" ht="60" customHeight="1">
      <c r="A55" s="6" t="s">
        <v>217</v>
      </c>
      <c r="B55" s="6" t="s">
        <v>16</v>
      </c>
      <c r="C55" s="6" t="s">
        <v>12</v>
      </c>
      <c r="D55" s="7" t="s">
        <v>150</v>
      </c>
      <c r="E55" s="8" t="s">
        <v>218</v>
      </c>
      <c r="F55" s="6" t="s">
        <v>219</v>
      </c>
      <c r="G55" s="9">
        <f>IF(A55=1,"_",IF(C55="_","???",C55))</f>
        <v/>
      </c>
      <c r="H55" s="10" t="s">
        <v>12</v>
      </c>
      <c r="I55" s="11" t="s">
        <v>12</v>
      </c>
      <c r="J55" s="12"/>
    </row>
    <row r="56" spans="1:10" ht="60" customHeight="1">
      <c r="A56" s="6" t="s">
        <v>220</v>
      </c>
      <c r="B56" s="6" t="s">
        <v>16</v>
      </c>
      <c r="C56" s="6" t="s">
        <v>12</v>
      </c>
      <c r="D56" s="7" t="s">
        <v>150</v>
      </c>
      <c r="E56" s="8" t="s">
        <v>221</v>
      </c>
      <c r="F56" s="6" t="s">
        <v>222</v>
      </c>
      <c r="G56" s="9">
        <f>IF(A56=1,"_",IF(C56="_","???",C56))</f>
        <v/>
      </c>
      <c r="H56" s="10" t="s">
        <v>12</v>
      </c>
      <c r="I56" s="11" t="s">
        <v>12</v>
      </c>
      <c r="J56" s="12"/>
    </row>
    <row r="57" spans="1:10" ht="60" customHeight="1">
      <c r="A57" s="6" t="s">
        <v>223</v>
      </c>
      <c r="B57" s="6" t="s">
        <v>16</v>
      </c>
      <c r="C57" s="6" t="s">
        <v>12</v>
      </c>
      <c r="D57" s="7" t="s">
        <v>224</v>
      </c>
      <c r="E57" s="8" t="s">
        <v>225</v>
      </c>
      <c r="F57" s="6" t="s">
        <v>226</v>
      </c>
      <c r="G57" s="9">
        <f>IF(A57=1,"_",IF(C57="_","???",C57))</f>
        <v/>
      </c>
      <c r="H57" s="10" t="s">
        <v>12</v>
      </c>
      <c r="I57" s="11" t="s">
        <v>12</v>
      </c>
      <c r="J57" s="12"/>
    </row>
    <row r="58" spans="1:10" ht="60" customHeight="1">
      <c r="A58" s="6" t="s">
        <v>227</v>
      </c>
      <c r="B58" s="6" t="s">
        <v>228</v>
      </c>
      <c r="C58" s="6" t="s">
        <v>12</v>
      </c>
      <c r="D58" s="7" t="s">
        <v>229</v>
      </c>
      <c r="E58" s="8" t="s">
        <v>230</v>
      </c>
      <c r="F58" s="6" t="s">
        <v>231</v>
      </c>
      <c r="G58" s="9">
        <f>IF(A58=1,"_",IF(C58="_","???",C58))</f>
        <v/>
      </c>
      <c r="H58" s="10" t="s">
        <v>12</v>
      </c>
      <c r="I58" s="11" t="s">
        <v>12</v>
      </c>
      <c r="J58" s="12"/>
    </row>
    <row r="59" spans="1:10" ht="60" customHeight="1">
      <c r="A59" s="6" t="s">
        <v>232</v>
      </c>
      <c r="B59" s="6" t="s">
        <v>91</v>
      </c>
      <c r="C59" s="6" t="s">
        <v>12</v>
      </c>
      <c r="D59" s="7" t="s">
        <v>233</v>
      </c>
      <c r="E59" s="8" t="s">
        <v>234</v>
      </c>
      <c r="F59" s="6" t="s">
        <v>235</v>
      </c>
      <c r="G59" s="9">
        <f>IF(A59=1,"_",IF(C59="_","???",C59))</f>
        <v/>
      </c>
      <c r="H59" s="10" t="s">
        <v>12</v>
      </c>
      <c r="I59" s="11" t="s">
        <v>12</v>
      </c>
      <c r="J59" s="12"/>
    </row>
    <row r="60" spans="1:10" ht="60" customHeight="1">
      <c r="A60" s="6" t="s">
        <v>236</v>
      </c>
      <c r="B60" s="6" t="s">
        <v>11</v>
      </c>
      <c r="C60" s="6" t="s">
        <v>12</v>
      </c>
      <c r="D60" s="7" t="s">
        <v>237</v>
      </c>
      <c r="E60" s="8" t="s">
        <v>238</v>
      </c>
      <c r="F60" s="6" t="s">
        <v>239</v>
      </c>
      <c r="G60" s="9">
        <f>IF(A60=1,"_",IF(C60="_","???",C60))</f>
        <v/>
      </c>
      <c r="H60" s="10" t="s">
        <v>12</v>
      </c>
      <c r="I60" s="11" t="s">
        <v>12</v>
      </c>
      <c r="J60" s="12"/>
    </row>
    <row r="61" spans="1:10" ht="60" customHeight="1">
      <c r="A61" s="6" t="s">
        <v>240</v>
      </c>
      <c r="B61" s="6" t="s">
        <v>11</v>
      </c>
      <c r="C61" s="6" t="s">
        <v>12</v>
      </c>
      <c r="D61" s="7" t="s">
        <v>241</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16</v>
      </c>
      <c r="C63" s="6" t="s">
        <v>12</v>
      </c>
      <c r="D63" s="7" t="s">
        <v>58</v>
      </c>
      <c r="E63" s="8" t="s">
        <v>249</v>
      </c>
      <c r="F63" s="6" t="s">
        <v>250</v>
      </c>
      <c r="G63" s="9">
        <f>IF(A63=1,"_",IF(C63="_","???",C63))</f>
        <v/>
      </c>
      <c r="H63" s="10" t="s">
        <v>12</v>
      </c>
      <c r="I63" s="11" t="s">
        <v>12</v>
      </c>
      <c r="J63" s="12"/>
    </row>
    <row r="64" spans="1:10" ht="60" customHeight="1">
      <c r="A64" s="6" t="s">
        <v>251</v>
      </c>
      <c r="B64" s="6" t="s">
        <v>16</v>
      </c>
      <c r="C64" s="6" t="s">
        <v>12</v>
      </c>
      <c r="D64" s="7" t="s">
        <v>252</v>
      </c>
      <c r="E64" s="8" t="s">
        <v>253</v>
      </c>
      <c r="F64" s="6" t="s">
        <v>254</v>
      </c>
      <c r="G64" s="9">
        <f>IF(A64=1,"_",IF(C64="_","???",C64))</f>
        <v/>
      </c>
      <c r="H64" s="10" t="s">
        <v>12</v>
      </c>
      <c r="I64" s="11" t="s">
        <v>12</v>
      </c>
      <c r="J64" s="12"/>
    </row>
    <row r="65" spans="1:10" ht="60" customHeight="1">
      <c r="A65" s="6" t="s">
        <v>255</v>
      </c>
      <c r="B65" s="6" t="s">
        <v>11</v>
      </c>
      <c r="C65" s="6" t="s">
        <v>12</v>
      </c>
      <c r="D65" s="7" t="s">
        <v>150</v>
      </c>
      <c r="E65" s="8" t="s">
        <v>256</v>
      </c>
      <c r="F65" s="6" t="s">
        <v>257</v>
      </c>
      <c r="G65" s="9">
        <f>IF(A65=1,"_",IF(C65="_","???",C65))</f>
        <v/>
      </c>
      <c r="H65" s="10" t="s">
        <v>12</v>
      </c>
      <c r="I65" s="11" t="s">
        <v>12</v>
      </c>
      <c r="J65" s="12"/>
    </row>
    <row r="66" spans="1:10" ht="60" customHeight="1">
      <c r="A66" s="6" t="s">
        <v>258</v>
      </c>
      <c r="B66" s="6" t="s">
        <v>16</v>
      </c>
      <c r="C66" s="6" t="s">
        <v>12</v>
      </c>
      <c r="D66" s="7" t="s">
        <v>259</v>
      </c>
      <c r="E66" s="8" t="s">
        <v>260</v>
      </c>
      <c r="F66" s="6" t="s">
        <v>261</v>
      </c>
      <c r="G66" s="9">
        <f>IF(A66=1,"_",IF(C66="_","???",C66))</f>
        <v/>
      </c>
      <c r="H66" s="10" t="s">
        <v>12</v>
      </c>
      <c r="I66" s="11" t="s">
        <v>12</v>
      </c>
      <c r="J66" s="12"/>
    </row>
    <row r="67" spans="1:10" ht="60" customHeight="1">
      <c r="A67" s="6" t="s">
        <v>262</v>
      </c>
      <c r="B67" s="6" t="s">
        <v>16</v>
      </c>
      <c r="C67" s="6" t="s">
        <v>146</v>
      </c>
      <c r="D67" s="7" t="s">
        <v>263</v>
      </c>
      <c r="E67" s="8" t="s">
        <v>264</v>
      </c>
      <c r="F67" s="6" t="s">
        <v>265</v>
      </c>
      <c r="G67" s="9">
        <f>IF(A67=1,"_",IF(C67="_","???",C67))</f>
        <v/>
      </c>
      <c r="H67" s="10" t="s">
        <v>12</v>
      </c>
      <c r="I67" s="11" t="s">
        <v>12</v>
      </c>
      <c r="J67" s="12"/>
    </row>
    <row r="68" spans="1:10" ht="60" customHeight="1">
      <c r="A68" s="6" t="s">
        <v>266</v>
      </c>
      <c r="B68" s="6" t="s">
        <v>16</v>
      </c>
      <c r="C68" s="6" t="s">
        <v>12</v>
      </c>
      <c r="D68" s="7" t="s">
        <v>267</v>
      </c>
      <c r="E68" s="8" t="s">
        <v>268</v>
      </c>
      <c r="F68" s="6" t="s">
        <v>269</v>
      </c>
      <c r="G68" s="9">
        <f>IF(A68=1,"_",IF(C68="_","???",C68))</f>
        <v/>
      </c>
      <c r="H68" s="10" t="s">
        <v>12</v>
      </c>
      <c r="I68" s="11" t="s">
        <v>12</v>
      </c>
      <c r="J68" s="12"/>
    </row>
    <row r="69" spans="1:10" ht="60" customHeight="1">
      <c r="A69" s="6" t="s">
        <v>270</v>
      </c>
      <c r="B69" s="6" t="s">
        <v>135</v>
      </c>
      <c r="C69" s="6" t="s">
        <v>12</v>
      </c>
      <c r="D69" s="7" t="s">
        <v>271</v>
      </c>
      <c r="E69" s="8" t="s">
        <v>272</v>
      </c>
      <c r="F69" s="6" t="s">
        <v>273</v>
      </c>
      <c r="G69" s="9">
        <f>IF(A69=1,"_",IF(C69="_","???",C69))</f>
        <v/>
      </c>
      <c r="H69" s="10" t="s">
        <v>12</v>
      </c>
      <c r="I69" s="11" t="s">
        <v>12</v>
      </c>
      <c r="J69" s="12"/>
    </row>
    <row r="70" spans="1:10" ht="60" customHeight="1">
      <c r="A70" s="6" t="s">
        <v>274</v>
      </c>
      <c r="B70" s="6" t="s">
        <v>16</v>
      </c>
      <c r="C70" s="6" t="s">
        <v>12</v>
      </c>
      <c r="D70" s="7" t="s">
        <v>275</v>
      </c>
      <c r="E70" s="8" t="s">
        <v>276</v>
      </c>
      <c r="F70" s="6" t="s">
        <v>277</v>
      </c>
      <c r="G70" s="9">
        <f>IF(A70=1,"_",IF(C70="_","???",C70))</f>
        <v/>
      </c>
      <c r="H70" s="10" t="s">
        <v>12</v>
      </c>
      <c r="I70" s="11" t="s">
        <v>12</v>
      </c>
      <c r="J70" s="12"/>
    </row>
    <row r="71" spans="1:10" ht="60" customHeight="1">
      <c r="A71" s="6" t="s">
        <v>278</v>
      </c>
      <c r="B71" s="6" t="s">
        <v>72</v>
      </c>
      <c r="C71" s="6" t="s">
        <v>12</v>
      </c>
      <c r="D71" s="7" t="s">
        <v>279</v>
      </c>
      <c r="E71" s="8" t="s">
        <v>280</v>
      </c>
      <c r="F71" s="6" t="s">
        <v>281</v>
      </c>
      <c r="G71" s="9">
        <f>IF(A71=1,"_",IF(C71="_","???",C71))</f>
        <v/>
      </c>
      <c r="H71" s="10" t="s">
        <v>12</v>
      </c>
      <c r="I71" s="11" t="s">
        <v>12</v>
      </c>
      <c r="J71" s="12"/>
    </row>
    <row r="72" spans="1:10" ht="60" customHeight="1">
      <c r="A72" s="6" t="s">
        <v>282</v>
      </c>
      <c r="B72" s="6" t="s">
        <v>16</v>
      </c>
      <c r="C72" s="6" t="s">
        <v>12</v>
      </c>
      <c r="D72" s="7" t="s">
        <v>104</v>
      </c>
      <c r="E72" s="8" t="s">
        <v>283</v>
      </c>
      <c r="F72" s="6" t="s">
        <v>284</v>
      </c>
      <c r="G72" s="9">
        <f>IF(A72=1,"_",IF(C72="_","???",C72))</f>
        <v/>
      </c>
      <c r="H72" s="10" t="s">
        <v>12</v>
      </c>
      <c r="I72" s="11" t="s">
        <v>12</v>
      </c>
      <c r="J72" s="12"/>
    </row>
    <row r="73" spans="1:10" ht="60" customHeight="1">
      <c r="A73" s="6" t="s">
        <v>285</v>
      </c>
      <c r="B73" s="6" t="s">
        <v>28</v>
      </c>
      <c r="C73" s="6" t="s">
        <v>12</v>
      </c>
      <c r="D73" s="7" t="s">
        <v>267</v>
      </c>
      <c r="E73" s="8" t="s">
        <v>286</v>
      </c>
      <c r="F73" s="6" t="s">
        <v>287</v>
      </c>
      <c r="G73" s="9">
        <f>IF(A73=1,"_",IF(C73="_","???",C73))</f>
        <v/>
      </c>
      <c r="H73" s="10" t="s">
        <v>12</v>
      </c>
      <c r="I73" s="11" t="s">
        <v>12</v>
      </c>
      <c r="J73" s="12"/>
    </row>
    <row r="74" spans="1:10" ht="60" customHeight="1">
      <c r="A74" s="6" t="s">
        <v>288</v>
      </c>
      <c r="B74" s="6" t="s">
        <v>16</v>
      </c>
      <c r="C74" s="6" t="s">
        <v>12</v>
      </c>
      <c r="D74" s="7" t="s">
        <v>104</v>
      </c>
      <c r="E74" s="8" t="s">
        <v>289</v>
      </c>
      <c r="F74" s="6" t="s">
        <v>290</v>
      </c>
      <c r="G74" s="9">
        <f>IF(A74=1,"_",IF(C74="_","???",C74))</f>
        <v/>
      </c>
      <c r="H74" s="10" t="s">
        <v>12</v>
      </c>
      <c r="I74" s="11" t="s">
        <v>12</v>
      </c>
      <c r="J74" s="12"/>
    </row>
    <row r="75" spans="1:10" ht="60" customHeight="1">
      <c r="A75" s="6" t="s">
        <v>291</v>
      </c>
      <c r="B75" s="6" t="s">
        <v>16</v>
      </c>
      <c r="C75" s="6" t="s">
        <v>12</v>
      </c>
      <c r="D75" s="7" t="s">
        <v>292</v>
      </c>
      <c r="E75" s="8" t="s">
        <v>293</v>
      </c>
      <c r="F75" s="6" t="s">
        <v>294</v>
      </c>
      <c r="G75" s="9">
        <f>IF(A75=1,"_",IF(C75="_","???",C75))</f>
        <v/>
      </c>
      <c r="H75" s="10" t="s">
        <v>12</v>
      </c>
      <c r="I75" s="11" t="s">
        <v>12</v>
      </c>
      <c r="J75" s="12"/>
    </row>
    <row r="76" spans="1:10" ht="60" customHeight="1">
      <c r="A76" s="6" t="s">
        <v>295</v>
      </c>
      <c r="B76" s="6" t="s">
        <v>107</v>
      </c>
      <c r="C76" s="6" t="s">
        <v>12</v>
      </c>
      <c r="D76" s="7" t="s">
        <v>296</v>
      </c>
      <c r="E76" s="8" t="s">
        <v>297</v>
      </c>
      <c r="F76" s="6" t="s">
        <v>298</v>
      </c>
      <c r="G76" s="9">
        <f>IF(A76=1,"_",IF(C76="_","???",C76))</f>
        <v/>
      </c>
      <c r="H76" s="10" t="s">
        <v>12</v>
      </c>
      <c r="I76" s="11" t="s">
        <v>12</v>
      </c>
      <c r="J76" s="12"/>
    </row>
    <row r="77" spans="1:10" ht="60" customHeight="1">
      <c r="A77" s="6" t="s">
        <v>299</v>
      </c>
      <c r="B77" s="6" t="s">
        <v>52</v>
      </c>
      <c r="C77" s="6" t="s">
        <v>12</v>
      </c>
      <c r="D77" s="7" t="s">
        <v>300</v>
      </c>
      <c r="E77" s="8" t="s">
        <v>301</v>
      </c>
      <c r="F77" s="6" t="s">
        <v>302</v>
      </c>
      <c r="G77" s="9">
        <f>IF(A77=1,"_",IF(C77="_","???",C77))</f>
        <v/>
      </c>
      <c r="H77" s="10" t="s">
        <v>12</v>
      </c>
      <c r="I77" s="11" t="s">
        <v>12</v>
      </c>
      <c r="J77" s="12"/>
    </row>
    <row r="78" spans="1:10" ht="60" customHeight="1">
      <c r="A78" s="6" t="s">
        <v>303</v>
      </c>
      <c r="B78" s="6" t="s">
        <v>16</v>
      </c>
      <c r="C78" s="6" t="s">
        <v>12</v>
      </c>
      <c r="D78" s="7" t="s">
        <v>304</v>
      </c>
      <c r="E78" s="8" t="s">
        <v>305</v>
      </c>
      <c r="F78" s="6" t="s">
        <v>306</v>
      </c>
      <c r="G78" s="9">
        <f>IF(A78=1,"_",IF(C78="_","???",C78))</f>
        <v/>
      </c>
      <c r="H78" s="10" t="s">
        <v>12</v>
      </c>
      <c r="I78" s="11" t="s">
        <v>12</v>
      </c>
      <c r="J78" s="12"/>
    </row>
    <row r="79" spans="1:10" ht="60" customHeight="1">
      <c r="A79" s="6" t="s">
        <v>307</v>
      </c>
      <c r="B79" s="6" t="s">
        <v>16</v>
      </c>
      <c r="C79" s="6" t="s">
        <v>12</v>
      </c>
      <c r="D79" s="7" t="s">
        <v>308</v>
      </c>
      <c r="E79" s="8" t="s">
        <v>309</v>
      </c>
      <c r="F79" s="6" t="s">
        <v>310</v>
      </c>
      <c r="G79" s="9">
        <f>IF(A79=1,"_",IF(C79="_","???",C79))</f>
        <v/>
      </c>
      <c r="H79" s="10" t="s">
        <v>12</v>
      </c>
      <c r="I79" s="11" t="s">
        <v>12</v>
      </c>
      <c r="J79" s="12"/>
    </row>
    <row r="80" spans="1:10" ht="60" customHeight="1">
      <c r="A80" s="6" t="s">
        <v>311</v>
      </c>
      <c r="B80" s="6" t="s">
        <v>11</v>
      </c>
      <c r="C80" s="6" t="s">
        <v>12</v>
      </c>
      <c r="D80" s="7" t="s">
        <v>312</v>
      </c>
      <c r="E80" s="8" t="s">
        <v>313</v>
      </c>
      <c r="F80" s="6" t="s">
        <v>314</v>
      </c>
      <c r="G80" s="9">
        <f>IF(A80=1,"_",IF(C80="_","???",C80))</f>
        <v/>
      </c>
      <c r="H80" s="10" t="s">
        <v>12</v>
      </c>
      <c r="I80" s="11" t="s">
        <v>12</v>
      </c>
      <c r="J80" s="12"/>
    </row>
    <row r="81" spans="1:10" ht="60" customHeight="1">
      <c r="A81" s="6" t="s">
        <v>315</v>
      </c>
      <c r="B81" s="6" t="s">
        <v>24</v>
      </c>
      <c r="C81" s="6" t="s">
        <v>12</v>
      </c>
      <c r="D81" s="7" t="s">
        <v>316</v>
      </c>
      <c r="E81" s="8" t="s">
        <v>317</v>
      </c>
      <c r="F81" s="6" t="s">
        <v>318</v>
      </c>
      <c r="G81" s="9">
        <f>IF(A81=1,"_",IF(C81="_","???",C81))</f>
        <v/>
      </c>
      <c r="H81" s="10" t="s">
        <v>12</v>
      </c>
      <c r="I81" s="11" t="s">
        <v>12</v>
      </c>
      <c r="J81" s="12"/>
    </row>
    <row r="82" spans="1:10" ht="60" customHeight="1">
      <c r="A82" s="6" t="s">
        <v>319</v>
      </c>
      <c r="B82" s="6" t="s">
        <v>91</v>
      </c>
      <c r="C82" s="6" t="s">
        <v>12</v>
      </c>
      <c r="D82" s="7" t="s">
        <v>320</v>
      </c>
      <c r="E82" s="8" t="s">
        <v>321</v>
      </c>
      <c r="F82" s="6" t="s">
        <v>322</v>
      </c>
      <c r="G82" s="9">
        <f>IF(A82=1,"_",IF(C82="_","???",C82))</f>
        <v/>
      </c>
      <c r="H82" s="10" t="s">
        <v>12</v>
      </c>
      <c r="I82" s="11" t="s">
        <v>12</v>
      </c>
      <c r="J82" s="12"/>
    </row>
    <row r="83" spans="1:10" ht="60" customHeight="1">
      <c r="A83" s="6" t="s">
        <v>323</v>
      </c>
      <c r="B83" s="6" t="s">
        <v>32</v>
      </c>
      <c r="C83" s="6" t="s">
        <v>12</v>
      </c>
      <c r="D83" s="7" t="s">
        <v>324</v>
      </c>
      <c r="E83" s="8" t="s">
        <v>325</v>
      </c>
      <c r="F83" s="6" t="s">
        <v>326</v>
      </c>
      <c r="G83" s="9">
        <f>IF(A83=1,"_",IF(C83="_","???",C83))</f>
        <v/>
      </c>
      <c r="H83" s="10" t="s">
        <v>12</v>
      </c>
      <c r="I83" s="11" t="s">
        <v>12</v>
      </c>
      <c r="J83" s="12"/>
    </row>
    <row r="84" spans="1:10" ht="60" customHeight="1">
      <c r="A84" s="6" t="s">
        <v>327</v>
      </c>
      <c r="B84" s="6" t="s">
        <v>24</v>
      </c>
      <c r="C84" s="6" t="s">
        <v>12</v>
      </c>
      <c r="D84" s="7" t="s">
        <v>328</v>
      </c>
      <c r="E84" s="8" t="s">
        <v>329</v>
      </c>
      <c r="F84" s="6" t="s">
        <v>330</v>
      </c>
      <c r="G84" s="9">
        <f>IF(A84=1,"_",IF(C84="_","???",C84))</f>
        <v/>
      </c>
      <c r="H84" s="10" t="s">
        <v>12</v>
      </c>
      <c r="I84" s="11" t="s">
        <v>12</v>
      </c>
      <c r="J84" s="12"/>
    </row>
    <row r="85" spans="1:10" ht="60" customHeight="1">
      <c r="A85" s="6" t="s">
        <v>331</v>
      </c>
      <c r="B85" s="6" t="s">
        <v>24</v>
      </c>
      <c r="C85" s="6" t="s">
        <v>12</v>
      </c>
      <c r="D85" s="7" t="s">
        <v>332</v>
      </c>
      <c r="E85" s="8" t="s">
        <v>333</v>
      </c>
      <c r="F85" s="6" t="s">
        <v>334</v>
      </c>
      <c r="G85" s="9">
        <f>IF(A85=1,"_",IF(C85="_","???",C85))</f>
        <v/>
      </c>
      <c r="H85" s="10" t="s">
        <v>12</v>
      </c>
      <c r="I85" s="11" t="s">
        <v>12</v>
      </c>
      <c r="J85" s="12"/>
    </row>
    <row r="86" spans="1:10" ht="60" customHeight="1">
      <c r="A86" s="6" t="s">
        <v>335</v>
      </c>
      <c r="B86" s="6" t="s">
        <v>32</v>
      </c>
      <c r="C86" s="6" t="s">
        <v>12</v>
      </c>
      <c r="D86" s="7" t="s">
        <v>336</v>
      </c>
      <c r="E86" s="8" t="s">
        <v>337</v>
      </c>
      <c r="F86" s="6" t="s">
        <v>338</v>
      </c>
      <c r="G86" s="9">
        <f>IF(A86=1,"_",IF(C86="_","???",C86))</f>
        <v/>
      </c>
      <c r="H86" s="10" t="s">
        <v>12</v>
      </c>
      <c r="I86" s="11" t="s">
        <v>12</v>
      </c>
      <c r="J86" s="12"/>
    </row>
    <row r="87" spans="1:10" ht="60" customHeight="1">
      <c r="A87" s="6" t="s">
        <v>339</v>
      </c>
      <c r="B87" s="6" t="s">
        <v>11</v>
      </c>
      <c r="C87" s="6" t="s">
        <v>12</v>
      </c>
      <c r="D87" s="7" t="s">
        <v>340</v>
      </c>
      <c r="E87" s="8" t="s">
        <v>341</v>
      </c>
      <c r="F87" s="6" t="s">
        <v>342</v>
      </c>
      <c r="G87" s="9">
        <f>IF(A87=1,"_",IF(C87="_","???",C87))</f>
        <v/>
      </c>
      <c r="H87" s="10" t="s">
        <v>12</v>
      </c>
      <c r="I87" s="11" t="s">
        <v>12</v>
      </c>
      <c r="J87" s="12"/>
    </row>
    <row r="88" spans="1:10" ht="60" customHeight="1">
      <c r="A88" s="6" t="s">
        <v>343</v>
      </c>
      <c r="B88" s="6" t="s">
        <v>16</v>
      </c>
      <c r="C88" s="6" t="s">
        <v>12</v>
      </c>
      <c r="D88" s="7" t="s">
        <v>100</v>
      </c>
      <c r="E88" s="8" t="s">
        <v>344</v>
      </c>
      <c r="F88" s="6" t="s">
        <v>345</v>
      </c>
      <c r="G88" s="9">
        <f>IF(A88=1,"_",IF(C88="_","???",C88))</f>
        <v/>
      </c>
      <c r="H88" s="10" t="s">
        <v>12</v>
      </c>
      <c r="I88" s="11" t="s">
        <v>12</v>
      </c>
      <c r="J88" s="12"/>
    </row>
    <row r="89" spans="1:10" ht="60" customHeight="1">
      <c r="A89" s="6" t="s">
        <v>346</v>
      </c>
      <c r="B89" s="6" t="s">
        <v>11</v>
      </c>
      <c r="C89" s="6" t="s">
        <v>12</v>
      </c>
      <c r="D89" s="7" t="s">
        <v>100</v>
      </c>
      <c r="E89" s="8" t="s">
        <v>347</v>
      </c>
      <c r="F89" s="6" t="s">
        <v>348</v>
      </c>
      <c r="G89" s="9">
        <f>IF(A89=1,"_",IF(C89="_","???",C89))</f>
        <v/>
      </c>
      <c r="H89" s="10" t="s">
        <v>12</v>
      </c>
      <c r="I89" s="11" t="s">
        <v>12</v>
      </c>
      <c r="J89" s="12"/>
    </row>
    <row r="90" spans="1:10" ht="60" customHeight="1">
      <c r="A90" s="6" t="s">
        <v>349</v>
      </c>
      <c r="B90" s="6" t="s">
        <v>32</v>
      </c>
      <c r="C90" s="6" t="s">
        <v>12</v>
      </c>
      <c r="D90" s="7" t="s">
        <v>350</v>
      </c>
      <c r="E90" s="8" t="s">
        <v>351</v>
      </c>
      <c r="F90" s="6" t="s">
        <v>352</v>
      </c>
      <c r="G90" s="9">
        <f>IF(A90=1,"_",IF(C90="_","???",C90))</f>
        <v/>
      </c>
      <c r="H90" s="10" t="s">
        <v>12</v>
      </c>
      <c r="I90" s="11" t="s">
        <v>12</v>
      </c>
      <c r="J90" s="12"/>
    </row>
    <row r="91" spans="1:10" ht="60" customHeight="1">
      <c r="A91" s="6" t="s">
        <v>353</v>
      </c>
      <c r="B91" s="6" t="s">
        <v>32</v>
      </c>
      <c r="C91" s="6" t="s">
        <v>12</v>
      </c>
      <c r="D91" s="7" t="s">
        <v>100</v>
      </c>
      <c r="E91" s="8" t="s">
        <v>354</v>
      </c>
      <c r="F91" s="6" t="s">
        <v>355</v>
      </c>
      <c r="G91" s="9">
        <f>IF(A91=1,"_",IF(C91="_","???",C91))</f>
        <v/>
      </c>
      <c r="H91" s="10" t="s">
        <v>12</v>
      </c>
      <c r="I91" s="11" t="s">
        <v>12</v>
      </c>
      <c r="J91" s="12"/>
    </row>
    <row r="92" spans="1:10" ht="60" customHeight="1">
      <c r="A92" s="6" t="s">
        <v>356</v>
      </c>
      <c r="B92" s="6" t="s">
        <v>24</v>
      </c>
      <c r="C92" s="6" t="s">
        <v>12</v>
      </c>
      <c r="D92" s="7" t="s">
        <v>100</v>
      </c>
      <c r="E92" s="8" t="s">
        <v>357</v>
      </c>
      <c r="F92" s="6" t="s">
        <v>358</v>
      </c>
      <c r="G92" s="9">
        <f>IF(A92=1,"_",IF(C92="_","???",C92))</f>
        <v/>
      </c>
      <c r="H92" s="10" t="s">
        <v>12</v>
      </c>
      <c r="I92" s="11" t="s">
        <v>12</v>
      </c>
      <c r="J92" s="12"/>
    </row>
    <row r="93" spans="1:10" ht="60" customHeight="1">
      <c r="A93" s="6" t="s">
        <v>359</v>
      </c>
      <c r="B93" s="6" t="s">
        <v>24</v>
      </c>
      <c r="C93" s="6" t="s">
        <v>12</v>
      </c>
      <c r="D93" s="7" t="s">
        <v>360</v>
      </c>
      <c r="E93" s="8" t="s">
        <v>361</v>
      </c>
      <c r="F93" s="6" t="s">
        <v>362</v>
      </c>
      <c r="G93" s="9">
        <f>IF(A93=1,"_",IF(C93="_","???",C93))</f>
        <v/>
      </c>
      <c r="H93" s="10" t="s">
        <v>12</v>
      </c>
      <c r="I93" s="11" t="s">
        <v>12</v>
      </c>
      <c r="J93" s="12"/>
    </row>
    <row r="94" spans="1:10" ht="60" customHeight="1">
      <c r="A94" s="6" t="s">
        <v>363</v>
      </c>
      <c r="B94" s="6" t="s">
        <v>11</v>
      </c>
      <c r="C94" s="6" t="s">
        <v>12</v>
      </c>
      <c r="D94" s="7" t="s">
        <v>100</v>
      </c>
      <c r="E94" s="8" t="s">
        <v>364</v>
      </c>
      <c r="F94" s="6" t="s">
        <v>365</v>
      </c>
      <c r="G94" s="9">
        <f>IF(A94=1,"_",IF(C94="_","???",C94))</f>
        <v/>
      </c>
      <c r="H94" s="10" t="s">
        <v>12</v>
      </c>
      <c r="I94" s="11" t="s">
        <v>12</v>
      </c>
      <c r="J94" s="12"/>
    </row>
    <row r="95" spans="1:10" ht="60" customHeight="1">
      <c r="A95" s="6" t="s">
        <v>366</v>
      </c>
      <c r="B95" s="6" t="s">
        <v>17</v>
      </c>
      <c r="C95" s="6" t="s">
        <v>12</v>
      </c>
      <c r="D95" s="7" t="s">
        <v>367</v>
      </c>
      <c r="E95" s="8" t="s">
        <v>368</v>
      </c>
      <c r="F95" s="6" t="s">
        <v>369</v>
      </c>
      <c r="G95" s="9">
        <f>IF(A95=1,"_",IF(C95="_","???",C95))</f>
        <v/>
      </c>
      <c r="H95" s="10" t="s">
        <v>12</v>
      </c>
      <c r="I95" s="11" t="s">
        <v>12</v>
      </c>
      <c r="J95" s="12"/>
    </row>
    <row r="96" spans="1:10" ht="60" customHeight="1">
      <c r="A96" s="6" t="s">
        <v>370</v>
      </c>
      <c r="B96" s="6" t="s">
        <v>11</v>
      </c>
      <c r="C96" s="6" t="s">
        <v>12</v>
      </c>
      <c r="D96" s="7" t="s">
        <v>88</v>
      </c>
      <c r="E96" s="8" t="s">
        <v>371</v>
      </c>
      <c r="F96" s="6" t="s">
        <v>372</v>
      </c>
      <c r="G96" s="9">
        <f>IF(A96=1,"_",IF(C96="_","???",C96))</f>
        <v/>
      </c>
      <c r="H96" s="10" t="s">
        <v>12</v>
      </c>
      <c r="I96" s="11" t="s">
        <v>12</v>
      </c>
      <c r="J96" s="12"/>
    </row>
    <row r="97" spans="1:10" ht="60" customHeight="1">
      <c r="A97" s="6" t="s">
        <v>373</v>
      </c>
      <c r="B97" s="6" t="s">
        <v>16</v>
      </c>
      <c r="C97" s="6" t="s">
        <v>12</v>
      </c>
      <c r="D97" s="7" t="s">
        <v>150</v>
      </c>
      <c r="E97" s="8" t="s">
        <v>374</v>
      </c>
      <c r="F97" s="6" t="s">
        <v>375</v>
      </c>
      <c r="G97" s="9">
        <f>IF(A97=1,"_",IF(C97="_","???",C97))</f>
        <v/>
      </c>
      <c r="H97" s="10" t="s">
        <v>12</v>
      </c>
      <c r="I97" s="11" t="s">
        <v>12</v>
      </c>
      <c r="J97" s="12"/>
    </row>
    <row r="98" spans="1:10" ht="60" customHeight="1">
      <c r="A98" s="6" t="s">
        <v>376</v>
      </c>
      <c r="B98" s="6" t="s">
        <v>24</v>
      </c>
      <c r="C98" s="6" t="s">
        <v>12</v>
      </c>
      <c r="D98" s="7" t="s">
        <v>377</v>
      </c>
      <c r="E98" s="8" t="s">
        <v>378</v>
      </c>
      <c r="F98" s="6" t="s">
        <v>379</v>
      </c>
      <c r="G98" s="9">
        <f>IF(A98=1,"_",IF(C98="_","???",C98))</f>
        <v/>
      </c>
      <c r="H98" s="10" t="s">
        <v>12</v>
      </c>
      <c r="I98" s="11" t="s">
        <v>12</v>
      </c>
      <c r="J98" s="12"/>
    </row>
    <row r="99" spans="1:10" ht="60" customHeight="1">
      <c r="A99" s="6" t="s">
        <v>380</v>
      </c>
      <c r="B99" s="6" t="s">
        <v>44</v>
      </c>
      <c r="C99" s="6" t="s">
        <v>12</v>
      </c>
      <c r="D99" s="7" t="s">
        <v>381</v>
      </c>
      <c r="E99" s="8" t="s">
        <v>382</v>
      </c>
      <c r="F99" s="6" t="s">
        <v>383</v>
      </c>
      <c r="G99" s="9">
        <f>IF(A99=1,"_",IF(C99="_","???",C99))</f>
        <v/>
      </c>
      <c r="H99" s="10" t="s">
        <v>12</v>
      </c>
      <c r="I99" s="11" t="s">
        <v>12</v>
      </c>
      <c r="J99" s="12"/>
    </row>
    <row r="100" spans="1:10" ht="60" customHeight="1">
      <c r="A100" s="6" t="s">
        <v>384</v>
      </c>
      <c r="B100" s="6" t="s">
        <v>16</v>
      </c>
      <c r="C100" s="6" t="s">
        <v>12</v>
      </c>
      <c r="D100" s="7" t="s">
        <v>100</v>
      </c>
      <c r="E100" s="8" t="s">
        <v>385</v>
      </c>
      <c r="F100" s="6" t="s">
        <v>386</v>
      </c>
      <c r="G100" s="9">
        <f>IF(A100=1,"_",IF(C100="_","???",C100))</f>
        <v/>
      </c>
      <c r="H100" s="10" t="s">
        <v>12</v>
      </c>
      <c r="I100" s="11" t="s">
        <v>12</v>
      </c>
      <c r="J100" s="12"/>
    </row>
    <row r="101" spans="1:10" ht="60" customHeight="1">
      <c r="A101" s="6" t="s">
        <v>387</v>
      </c>
      <c r="B101" s="6" t="s">
        <v>11</v>
      </c>
      <c r="C101" s="6" t="s">
        <v>12</v>
      </c>
      <c r="D101" s="7" t="s">
        <v>100</v>
      </c>
      <c r="E101" s="8" t="s">
        <v>388</v>
      </c>
      <c r="F101" s="6" t="s">
        <v>389</v>
      </c>
      <c r="G101" s="9">
        <f>IF(A101=1,"_",IF(C101="_","???",C101))</f>
        <v/>
      </c>
      <c r="H101" s="10" t="s">
        <v>12</v>
      </c>
      <c r="I101" s="11" t="s">
        <v>12</v>
      </c>
      <c r="J101" s="12"/>
    </row>
    <row r="102" spans="1:10" ht="60" customHeight="1">
      <c r="A102" s="6" t="s">
        <v>390</v>
      </c>
      <c r="B102" s="6" t="s">
        <v>16</v>
      </c>
      <c r="C102" s="6" t="s">
        <v>12</v>
      </c>
      <c r="D102" s="7" t="s">
        <v>391</v>
      </c>
      <c r="E102" s="8" t="s">
        <v>392</v>
      </c>
      <c r="F102" s="6" t="s">
        <v>393</v>
      </c>
      <c r="G102" s="9">
        <f>IF(A102=1,"_",IF(C102="_","???",C102))</f>
        <v/>
      </c>
      <c r="H102" s="10" t="s">
        <v>12</v>
      </c>
      <c r="I102" s="11" t="s">
        <v>12</v>
      </c>
      <c r="J102" s="12"/>
    </row>
    <row r="103" spans="1:10" ht="60" customHeight="1">
      <c r="A103" s="6" t="s">
        <v>394</v>
      </c>
      <c r="B103" s="6" t="s">
        <v>11</v>
      </c>
      <c r="C103" s="6" t="s">
        <v>12</v>
      </c>
      <c r="D103" s="7" t="s">
        <v>395</v>
      </c>
      <c r="E103" s="8" t="s">
        <v>396</v>
      </c>
      <c r="F103" s="6" t="s">
        <v>397</v>
      </c>
      <c r="G103" s="9">
        <f>IF(A103=1,"_",IF(C103="_","???",C103))</f>
        <v/>
      </c>
      <c r="H103" s="10" t="s">
        <v>12</v>
      </c>
      <c r="I103" s="11" t="s">
        <v>12</v>
      </c>
      <c r="J103" s="12"/>
    </row>
    <row r="104" spans="1:10" ht="60" customHeight="1">
      <c r="A104" s="6" t="s">
        <v>398</v>
      </c>
      <c r="B104" s="6" t="s">
        <v>28</v>
      </c>
      <c r="C104" s="6" t="s">
        <v>12</v>
      </c>
      <c r="D104" s="7" t="s">
        <v>267</v>
      </c>
      <c r="E104" s="8" t="s">
        <v>399</v>
      </c>
      <c r="F104" s="6" t="s">
        <v>400</v>
      </c>
      <c r="G104" s="9">
        <f>IF(A104=1,"_",IF(C104="_","???",C104))</f>
        <v/>
      </c>
      <c r="H104" s="10" t="s">
        <v>12</v>
      </c>
      <c r="I104" s="11" t="s">
        <v>12</v>
      </c>
      <c r="J104" s="12"/>
    </row>
    <row r="105" spans="1:10" ht="60" customHeight="1">
      <c r="A105" s="6" t="s">
        <v>401</v>
      </c>
      <c r="B105" s="6" t="s">
        <v>11</v>
      </c>
      <c r="C105" s="6" t="s">
        <v>12</v>
      </c>
      <c r="D105" s="7" t="s">
        <v>402</v>
      </c>
      <c r="E105" s="8" t="s">
        <v>403</v>
      </c>
      <c r="F105" s="6" t="s">
        <v>404</v>
      </c>
      <c r="G105" s="9">
        <f>IF(A105=1,"_",IF(C105="_","???",C105))</f>
        <v/>
      </c>
      <c r="H105" s="10" t="s">
        <v>12</v>
      </c>
      <c r="I105" s="11" t="s">
        <v>12</v>
      </c>
      <c r="J105" s="12"/>
    </row>
    <row r="106" spans="1:10" ht="60" customHeight="1">
      <c r="A106" s="6" t="s">
        <v>405</v>
      </c>
      <c r="B106" s="6" t="s">
        <v>69</v>
      </c>
      <c r="C106" s="6" t="s">
        <v>12</v>
      </c>
      <c r="D106" s="7" t="s">
        <v>406</v>
      </c>
      <c r="E106" s="8" t="s">
        <v>407</v>
      </c>
      <c r="F106" s="6" t="s">
        <v>408</v>
      </c>
      <c r="G106" s="9">
        <f>IF(A106=1,"_",IF(C106="_","???",C106))</f>
        <v/>
      </c>
      <c r="H106" s="10" t="s">
        <v>12</v>
      </c>
      <c r="I106" s="11" t="s">
        <v>12</v>
      </c>
      <c r="J106" s="12"/>
    </row>
    <row r="107" spans="1:10" ht="60" customHeight="1">
      <c r="A107" s="6" t="s">
        <v>409</v>
      </c>
      <c r="B107" s="6" t="s">
        <v>16</v>
      </c>
      <c r="C107" s="6" t="s">
        <v>12</v>
      </c>
      <c r="D107" s="7" t="s">
        <v>410</v>
      </c>
      <c r="E107" s="8" t="s">
        <v>411</v>
      </c>
      <c r="F107" s="6" t="s">
        <v>412</v>
      </c>
      <c r="G107" s="9">
        <f>IF(A107=1,"_",IF(C107="_","???",C107))</f>
        <v/>
      </c>
      <c r="H107" s="10" t="s">
        <v>12</v>
      </c>
      <c r="I107" s="11" t="s">
        <v>12</v>
      </c>
      <c r="J107" s="12"/>
    </row>
    <row r="108" spans="1:10" ht="60" customHeight="1">
      <c r="A108" s="6" t="s">
        <v>413</v>
      </c>
      <c r="B108" s="6" t="s">
        <v>17</v>
      </c>
      <c r="C108" s="6" t="s">
        <v>12</v>
      </c>
      <c r="D108" s="7" t="s">
        <v>414</v>
      </c>
      <c r="E108" s="8" t="s">
        <v>415</v>
      </c>
      <c r="F108" s="6" t="s">
        <v>416</v>
      </c>
      <c r="G108" s="9">
        <f>IF(A108=1,"_",IF(C108="_","???",C108))</f>
        <v/>
      </c>
      <c r="H108" s="10" t="s">
        <v>12</v>
      </c>
      <c r="I108" s="11" t="s">
        <v>12</v>
      </c>
      <c r="J108" s="12"/>
    </row>
    <row r="109" spans="1:10" ht="60" customHeight="1">
      <c r="A109" s="6" t="s">
        <v>417</v>
      </c>
      <c r="B109" s="6" t="s">
        <v>11</v>
      </c>
      <c r="C109" s="6" t="s">
        <v>12</v>
      </c>
      <c r="D109" s="7" t="s">
        <v>100</v>
      </c>
      <c r="E109" s="8" t="s">
        <v>418</v>
      </c>
      <c r="F109" s="6" t="s">
        <v>419</v>
      </c>
      <c r="G109" s="9">
        <f>IF(A109=1,"_",IF(C109="_","???",C109))</f>
        <v/>
      </c>
      <c r="H109" s="10" t="s">
        <v>12</v>
      </c>
      <c r="I109" s="11" t="s">
        <v>12</v>
      </c>
      <c r="J109" s="12"/>
    </row>
    <row r="110" spans="1:10" ht="60" customHeight="1">
      <c r="A110" s="6" t="s">
        <v>420</v>
      </c>
      <c r="B110" s="6" t="s">
        <v>17</v>
      </c>
      <c r="C110" s="6" t="s">
        <v>146</v>
      </c>
      <c r="D110" s="7" t="s">
        <v>160</v>
      </c>
      <c r="E110" s="8" t="s">
        <v>421</v>
      </c>
      <c r="F110" s="6" t="s">
        <v>422</v>
      </c>
      <c r="G110" s="9">
        <f>IF(A110=1,"_",IF(C110="_","???",C110))</f>
        <v/>
      </c>
      <c r="H110" s="10" t="s">
        <v>12</v>
      </c>
      <c r="I110" s="11" t="s">
        <v>12</v>
      </c>
      <c r="J110" s="12"/>
    </row>
    <row r="111" spans="1:10" ht="60" customHeight="1">
      <c r="A111" s="6" t="s">
        <v>423</v>
      </c>
      <c r="B111" s="6" t="s">
        <v>16</v>
      </c>
      <c r="C111" s="6" t="s">
        <v>12</v>
      </c>
      <c r="D111" s="7" t="s">
        <v>424</v>
      </c>
      <c r="E111" s="8" t="s">
        <v>425</v>
      </c>
      <c r="F111" s="6" t="s">
        <v>426</v>
      </c>
      <c r="G111" s="9">
        <f>IF(A111=1,"_",IF(C111="_","???",C111))</f>
        <v/>
      </c>
      <c r="H111" s="10" t="s">
        <v>12</v>
      </c>
      <c r="I111" s="11" t="s">
        <v>12</v>
      </c>
      <c r="J111" s="12"/>
    </row>
    <row r="112" spans="1:10" ht="60" customHeight="1">
      <c r="A112" s="6" t="s">
        <v>427</v>
      </c>
      <c r="B112" s="6" t="s">
        <v>32</v>
      </c>
      <c r="C112" s="6" t="s">
        <v>12</v>
      </c>
      <c r="D112" s="7" t="s">
        <v>428</v>
      </c>
      <c r="E112" s="8" t="s">
        <v>429</v>
      </c>
      <c r="F112" s="6" t="s">
        <v>430</v>
      </c>
      <c r="G112" s="9">
        <f>IF(A112=1,"_",IF(C112="_","???",C112))</f>
        <v/>
      </c>
      <c r="H112" s="10" t="s">
        <v>12</v>
      </c>
      <c r="I112" s="11" t="s">
        <v>12</v>
      </c>
      <c r="J112" s="12"/>
    </row>
    <row r="113" spans="1:10" ht="60" customHeight="1">
      <c r="A113" s="6" t="s">
        <v>431</v>
      </c>
      <c r="B113" s="6" t="s">
        <v>65</v>
      </c>
      <c r="C113" s="6" t="s">
        <v>12</v>
      </c>
      <c r="D113" s="7" t="s">
        <v>432</v>
      </c>
      <c r="E113" s="8" t="s">
        <v>433</v>
      </c>
      <c r="F113" s="6" t="s">
        <v>434</v>
      </c>
      <c r="G113" s="9">
        <f>IF(A113=1,"_",IF(C113="_","???",C113))</f>
        <v/>
      </c>
      <c r="H113" s="10" t="s">
        <v>12</v>
      </c>
      <c r="I113" s="11" t="s">
        <v>12</v>
      </c>
      <c r="J113" s="12"/>
    </row>
    <row r="114" spans="1:10" ht="60" customHeight="1">
      <c r="A114" s="6" t="s">
        <v>435</v>
      </c>
      <c r="B114" s="6" t="s">
        <v>16</v>
      </c>
      <c r="C114" s="6" t="s">
        <v>12</v>
      </c>
      <c r="D114" s="7" t="s">
        <v>436</v>
      </c>
      <c r="E114" s="8" t="s">
        <v>437</v>
      </c>
      <c r="F114" s="6" t="s">
        <v>438</v>
      </c>
      <c r="G114" s="9">
        <f>IF(A114=1,"_",IF(C114="_","???",C114))</f>
        <v/>
      </c>
      <c r="H114" s="10" t="s">
        <v>12</v>
      </c>
      <c r="I114" s="11" t="s">
        <v>12</v>
      </c>
      <c r="J114" s="12"/>
    </row>
    <row r="115" spans="1:10" ht="60" customHeight="1">
      <c r="A115" s="6" t="s">
        <v>439</v>
      </c>
      <c r="B115" s="6" t="s">
        <v>16</v>
      </c>
      <c r="C115" s="6" t="s">
        <v>12</v>
      </c>
      <c r="D115" s="7" t="s">
        <v>440</v>
      </c>
      <c r="E115" s="8" t="s">
        <v>441</v>
      </c>
      <c r="F115" s="6" t="s">
        <v>442</v>
      </c>
      <c r="G115" s="9">
        <f>IF(A115=1,"_",IF(C115="_","???",C115))</f>
        <v/>
      </c>
      <c r="H115" s="10" t="s">
        <v>12</v>
      </c>
      <c r="I115" s="11" t="s">
        <v>12</v>
      </c>
      <c r="J115" s="12"/>
    </row>
    <row r="116" spans="1:10" ht="60" customHeight="1">
      <c r="A116" s="6" t="s">
        <v>443</v>
      </c>
      <c r="B116" s="6" t="s">
        <v>11</v>
      </c>
      <c r="C116" s="6" t="s">
        <v>12</v>
      </c>
      <c r="D116" s="7" t="s">
        <v>241</v>
      </c>
      <c r="E116" s="8" t="s">
        <v>444</v>
      </c>
      <c r="F116" s="6" t="s">
        <v>445</v>
      </c>
      <c r="G116" s="9">
        <f>IF(A116=1,"_",IF(C116="_","???",C116))</f>
        <v/>
      </c>
      <c r="H116" s="10" t="s">
        <v>12</v>
      </c>
      <c r="I116" s="11" t="s">
        <v>12</v>
      </c>
      <c r="J116" s="12"/>
    </row>
    <row r="117" spans="1:10" ht="60" customHeight="1">
      <c r="A117" s="6" t="s">
        <v>446</v>
      </c>
      <c r="B117" s="6" t="s">
        <v>16</v>
      </c>
      <c r="C117" s="6" t="s">
        <v>12</v>
      </c>
      <c r="D117" s="7" t="s">
        <v>88</v>
      </c>
      <c r="E117" s="8" t="s">
        <v>447</v>
      </c>
      <c r="F117" s="6" t="s">
        <v>448</v>
      </c>
      <c r="G117" s="9">
        <f>IF(A117=1,"_",IF(C117="_","???",C117))</f>
        <v/>
      </c>
      <c r="H117" s="10" t="s">
        <v>12</v>
      </c>
      <c r="I117" s="11" t="s">
        <v>12</v>
      </c>
      <c r="J117" s="12"/>
    </row>
    <row r="118" spans="1:10" ht="60" customHeight="1">
      <c r="A118" s="6" t="s">
        <v>449</v>
      </c>
      <c r="B118" s="6" t="s">
        <v>16</v>
      </c>
      <c r="C118" s="6" t="s">
        <v>12</v>
      </c>
      <c r="D118" s="7" t="s">
        <v>241</v>
      </c>
      <c r="E118" s="8" t="s">
        <v>450</v>
      </c>
      <c r="F118" s="6" t="s">
        <v>451</v>
      </c>
      <c r="G118" s="9">
        <f>IF(A118=1,"_",IF(C118="_","???",C118))</f>
        <v/>
      </c>
      <c r="H118" s="10" t="s">
        <v>12</v>
      </c>
      <c r="I118" s="11" t="s">
        <v>12</v>
      </c>
      <c r="J118" s="12"/>
    </row>
    <row r="119" spans="1:10" ht="60" customHeight="1">
      <c r="A119" s="6" t="s">
        <v>452</v>
      </c>
      <c r="B119" s="6" t="s">
        <v>11</v>
      </c>
      <c r="C119" s="6" t="s">
        <v>12</v>
      </c>
      <c r="D119" s="7" t="s">
        <v>252</v>
      </c>
      <c r="E119" s="8" t="s">
        <v>453</v>
      </c>
      <c r="F119" s="6" t="s">
        <v>454</v>
      </c>
      <c r="G119" s="9">
        <f>IF(A119=1,"_",IF(C119="_","???",C119))</f>
        <v/>
      </c>
      <c r="H119" s="10" t="s">
        <v>12</v>
      </c>
      <c r="I119" s="11" t="s">
        <v>12</v>
      </c>
      <c r="J119" s="12"/>
    </row>
    <row r="120" spans="1:10" ht="60" customHeight="1">
      <c r="A120" s="6" t="s">
        <v>455</v>
      </c>
      <c r="B120" s="6" t="s">
        <v>131</v>
      </c>
      <c r="C120" s="6" t="s">
        <v>12</v>
      </c>
      <c r="D120" s="7" t="s">
        <v>13</v>
      </c>
      <c r="E120" s="8" t="s">
        <v>456</v>
      </c>
      <c r="F120" s="6" t="s">
        <v>457</v>
      </c>
      <c r="G120" s="9">
        <f>IF(A120=1,"_",IF(C120="_","???",C120))</f>
        <v/>
      </c>
      <c r="H120" s="10" t="s">
        <v>12</v>
      </c>
      <c r="I120" s="11" t="s">
        <v>12</v>
      </c>
      <c r="J120" s="12"/>
    </row>
    <row r="121" spans="1:10" ht="60" customHeight="1">
      <c r="A121" s="6" t="s">
        <v>458</v>
      </c>
      <c r="B121" s="6" t="s">
        <v>28</v>
      </c>
      <c r="C121" s="6" t="s">
        <v>12</v>
      </c>
      <c r="D121" s="7" t="s">
        <v>104</v>
      </c>
      <c r="E121" s="8" t="s">
        <v>459</v>
      </c>
      <c r="F121" s="6" t="s">
        <v>460</v>
      </c>
      <c r="G121" s="9">
        <f>IF(A121=1,"_",IF(C121="_","???",C121))</f>
        <v/>
      </c>
      <c r="H121" s="10" t="s">
        <v>12</v>
      </c>
      <c r="I121" s="11" t="s">
        <v>12</v>
      </c>
      <c r="J121" s="12"/>
    </row>
    <row r="122" spans="1:10" ht="60" customHeight="1">
      <c r="A122" s="6" t="s">
        <v>461</v>
      </c>
      <c r="B122" s="6" t="s">
        <v>16</v>
      </c>
      <c r="C122" s="6" t="s">
        <v>12</v>
      </c>
      <c r="D122" s="7" t="s">
        <v>462</v>
      </c>
      <c r="E122" s="8" t="s">
        <v>463</v>
      </c>
      <c r="F122" s="6" t="s">
        <v>464</v>
      </c>
      <c r="G122" s="9">
        <f>IF(A122=1,"_",IF(C122="_","???",C122))</f>
        <v/>
      </c>
      <c r="H122" s="10" t="s">
        <v>12</v>
      </c>
      <c r="I122" s="11" t="s">
        <v>12</v>
      </c>
      <c r="J122" s="12"/>
    </row>
    <row r="123" spans="1:10" ht="60" customHeight="1">
      <c r="A123" s="6" t="s">
        <v>465</v>
      </c>
      <c r="B123" s="6" t="s">
        <v>11</v>
      </c>
      <c r="C123" s="6" t="s">
        <v>12</v>
      </c>
      <c r="D123" s="7" t="s">
        <v>466</v>
      </c>
      <c r="E123" s="8" t="s">
        <v>467</v>
      </c>
      <c r="F123" s="6" t="s">
        <v>468</v>
      </c>
      <c r="G123" s="9">
        <f>IF(A123=1,"_",IF(C123="_","???",C123))</f>
        <v/>
      </c>
      <c r="H123" s="10" t="s">
        <v>12</v>
      </c>
      <c r="I123" s="11" t="s">
        <v>12</v>
      </c>
      <c r="J123" s="12"/>
    </row>
    <row r="124" spans="1:10" ht="60" customHeight="1">
      <c r="A124" s="6" t="s">
        <v>469</v>
      </c>
      <c r="B124" s="6" t="s">
        <v>16</v>
      </c>
      <c r="C124" s="6" t="s">
        <v>12</v>
      </c>
      <c r="D124" s="7" t="s">
        <v>470</v>
      </c>
      <c r="E124" s="8" t="s">
        <v>471</v>
      </c>
      <c r="F124" s="6" t="s">
        <v>472</v>
      </c>
      <c r="G124" s="9">
        <f>IF(A124=1,"_",IF(C124="_","???",C124))</f>
        <v/>
      </c>
      <c r="H124" s="10" t="s">
        <v>12</v>
      </c>
      <c r="I124" s="11" t="s">
        <v>12</v>
      </c>
      <c r="J124" s="12"/>
    </row>
    <row r="125" spans="1:10" ht="60" customHeight="1">
      <c r="A125" s="6" t="s">
        <v>473</v>
      </c>
      <c r="B125" s="6" t="s">
        <v>84</v>
      </c>
      <c r="C125" s="6" t="s">
        <v>12</v>
      </c>
      <c r="D125" s="7" t="s">
        <v>474</v>
      </c>
      <c r="E125" s="8" t="s">
        <v>475</v>
      </c>
      <c r="F125" s="6" t="s">
        <v>476</v>
      </c>
      <c r="G125" s="9">
        <f>IF(A125=1,"_",IF(C125="_","???",C125))</f>
        <v/>
      </c>
      <c r="H125" s="10" t="s">
        <v>12</v>
      </c>
      <c r="I125" s="11" t="s">
        <v>12</v>
      </c>
      <c r="J125" s="12"/>
    </row>
    <row r="126" spans="1:10" ht="60" customHeight="1">
      <c r="A126" s="6" t="s">
        <v>477</v>
      </c>
      <c r="B126" s="6" t="s">
        <v>65</v>
      </c>
      <c r="C126" s="6" t="s">
        <v>12</v>
      </c>
      <c r="D126" s="7" t="s">
        <v>478</v>
      </c>
      <c r="E126" s="8" t="s">
        <v>479</v>
      </c>
      <c r="F126" s="6" t="s">
        <v>480</v>
      </c>
      <c r="G126" s="9">
        <f>IF(A126=1,"_",IF(C126="_","???",C126))</f>
        <v/>
      </c>
      <c r="H126" s="10" t="s">
        <v>12</v>
      </c>
      <c r="I126" s="11" t="s">
        <v>12</v>
      </c>
      <c r="J126" s="12"/>
    </row>
    <row r="127" spans="1:10" ht="60" customHeight="1">
      <c r="A127" s="6" t="s">
        <v>481</v>
      </c>
      <c r="B127" s="6" t="s">
        <v>16</v>
      </c>
      <c r="C127" s="6" t="s">
        <v>12</v>
      </c>
      <c r="D127" s="7" t="s">
        <v>482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16</v>
      </c>
      <c r="C129" s="6" t="s">
        <v>12</v>
      </c>
      <c r="D129" s="7" t="s">
        <v>490</v>
      </c>
      <c r="E129" s="8" t="s">
        <v>491</v>
      </c>
      <c r="F129" s="6" t="s">
        <v>492</v>
      </c>
      <c r="G129" s="9">
        <f>IF(A129=1,"_",IF(C129="_","???",C129))</f>
        <v/>
      </c>
      <c r="H129" s="10" t="s">
        <v>12</v>
      </c>
      <c r="I129" s="11" t="s">
        <v>12</v>
      </c>
      <c r="J129" s="12"/>
    </row>
    <row r="130" spans="1:10" ht="60" customHeight="1">
      <c r="A130" s="6" t="s">
        <v>493</v>
      </c>
      <c r="B130" s="6" t="s">
        <v>16</v>
      </c>
      <c r="C130" s="6" t="s">
        <v>12</v>
      </c>
      <c r="D130" s="7" t="s">
        <v>494</v>
      </c>
      <c r="E130" s="8" t="s">
        <v>495</v>
      </c>
      <c r="F130" s="6" t="s">
        <v>496</v>
      </c>
      <c r="G130" s="9">
        <f>IF(A130=1,"_",IF(C130="_","???",C130))</f>
        <v/>
      </c>
      <c r="H130" s="10" t="s">
        <v>12</v>
      </c>
      <c r="I130" s="11" t="s">
        <v>12</v>
      </c>
      <c r="J130" s="12"/>
    </row>
    <row r="131" spans="1:10" ht="60" customHeight="1">
      <c r="A131" s="6" t="s">
        <v>497</v>
      </c>
      <c r="B131" s="6" t="s">
        <v>16</v>
      </c>
      <c r="C131" s="6" t="s">
        <v>12</v>
      </c>
      <c r="D131" s="7" t="s">
        <v>498</v>
      </c>
      <c r="E131" s="8" t="s">
        <v>499</v>
      </c>
      <c r="F131" s="6" t="s">
        <v>500</v>
      </c>
      <c r="G131" s="9">
        <f>IF(A131=1,"_",IF(C131="_","???",C131))</f>
        <v/>
      </c>
      <c r="H131" s="10" t="s">
        <v>12</v>
      </c>
      <c r="I131" s="11" t="s">
        <v>12</v>
      </c>
      <c r="J131" s="12"/>
    </row>
    <row r="132" spans="1:10" ht="60" customHeight="1">
      <c r="A132" s="6" t="s">
        <v>501</v>
      </c>
      <c r="B132" s="6" t="s">
        <v>40</v>
      </c>
      <c r="C132" s="6" t="s">
        <v>12</v>
      </c>
      <c r="D132" s="7" t="s">
        <v>267</v>
      </c>
      <c r="E132" s="8" t="s">
        <v>502</v>
      </c>
      <c r="F132" s="6" t="s">
        <v>503</v>
      </c>
      <c r="G132" s="9">
        <f>IF(A132=1,"_",IF(C132="_","???",C132))</f>
        <v/>
      </c>
      <c r="H132" s="10" t="s">
        <v>12</v>
      </c>
      <c r="I132" s="11" t="s">
        <v>12</v>
      </c>
      <c r="J132" s="12"/>
    </row>
    <row r="133" spans="1:10" ht="60" customHeight="1">
      <c r="A133" s="6" t="s">
        <v>504</v>
      </c>
      <c r="B133" s="6" t="s">
        <v>11</v>
      </c>
      <c r="C133" s="6" t="s">
        <v>12</v>
      </c>
      <c r="D133" s="7" t="s">
        <v>100</v>
      </c>
      <c r="E133" s="8" t="s">
        <v>505</v>
      </c>
      <c r="F133" s="6" t="s">
        <v>506</v>
      </c>
      <c r="G133" s="9">
        <f>IF(A133=1,"_",IF(C133="_","???",C133))</f>
        <v/>
      </c>
      <c r="H133" s="10" t="s">
        <v>12</v>
      </c>
      <c r="I133" s="11" t="s">
        <v>12</v>
      </c>
      <c r="J133" s="12"/>
    </row>
    <row r="134" spans="1:10" ht="60" customHeight="1">
      <c r="A134" s="6" t="s">
        <v>507</v>
      </c>
      <c r="B134" s="6" t="s">
        <v>11</v>
      </c>
      <c r="C134" s="6" t="s">
        <v>12</v>
      </c>
      <c r="D134" s="7" t="s">
        <v>100</v>
      </c>
      <c r="E134" s="8" t="s">
        <v>508</v>
      </c>
      <c r="F134" s="6" t="s">
        <v>509</v>
      </c>
      <c r="G134" s="9">
        <f>IF(A134=1,"_",IF(C134="_","???",C134))</f>
        <v/>
      </c>
      <c r="H134" s="10" t="s">
        <v>12</v>
      </c>
      <c r="I134" s="11" t="s">
        <v>12</v>
      </c>
      <c r="J134" s="12"/>
    </row>
    <row r="135" spans="1:10" ht="60" customHeight="1">
      <c r="A135" s="6" t="s">
        <v>510</v>
      </c>
      <c r="B135" s="6" t="s">
        <v>16</v>
      </c>
      <c r="C135" s="6" t="s">
        <v>12</v>
      </c>
      <c r="D135" s="7" t="s">
        <v>470</v>
      </c>
      <c r="E135" s="8" t="s">
        <v>511</v>
      </c>
      <c r="F135" s="6" t="s">
        <v>512</v>
      </c>
      <c r="G135" s="9">
        <f>IF(A135=1,"_",IF(C135="_","???",C135))</f>
        <v/>
      </c>
      <c r="H135" s="10" t="s">
        <v>12</v>
      </c>
      <c r="I135" s="11" t="s">
        <v>12</v>
      </c>
      <c r="J135" s="12"/>
    </row>
    <row r="136" spans="1:10" ht="60" customHeight="1">
      <c r="A136" s="6" t="s">
        <v>513</v>
      </c>
      <c r="B136" s="6" t="s">
        <v>16</v>
      </c>
      <c r="C136" s="6" t="s">
        <v>12</v>
      </c>
      <c r="D136" s="7" t="s">
        <v>514</v>
      </c>
      <c r="E136" s="8" t="s">
        <v>515</v>
      </c>
      <c r="F136" s="6" t="s">
        <v>516</v>
      </c>
      <c r="G136" s="9">
        <f>IF(A136=1,"_",IF(C136="_","???",C136))</f>
        <v/>
      </c>
      <c r="H136" s="10" t="s">
        <v>12</v>
      </c>
      <c r="I136" s="11" t="s">
        <v>12</v>
      </c>
      <c r="J136" s="12"/>
    </row>
    <row r="137" spans="1:10" ht="60" customHeight="1">
      <c r="A137" s="6" t="s">
        <v>517</v>
      </c>
      <c r="B137" s="6" t="s">
        <v>16</v>
      </c>
      <c r="C137" s="6" t="s">
        <v>12</v>
      </c>
      <c r="D137" s="7" t="s">
        <v>518</v>
      </c>
      <c r="E137" s="8" t="s">
        <v>519</v>
      </c>
      <c r="F137" s="6" t="s">
        <v>520</v>
      </c>
      <c r="G137" s="9">
        <f>IF(A137=1,"_",IF(C137="_","???",C137))</f>
        <v/>
      </c>
      <c r="H137" s="10" t="s">
        <v>12</v>
      </c>
      <c r="I137" s="11" t="s">
        <v>12</v>
      </c>
      <c r="J137" s="12"/>
    </row>
    <row r="138" spans="1:10" ht="60" customHeight="1">
      <c r="A138" s="6" t="s">
        <v>521</v>
      </c>
      <c r="B138" s="6" t="s">
        <v>16</v>
      </c>
      <c r="C138" s="6" t="s">
        <v>12</v>
      </c>
      <c r="D138" s="7" t="s">
        <v>522</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530</v>
      </c>
      <c r="E140" s="8" t="s">
        <v>531</v>
      </c>
      <c r="F140" s="6" t="s">
        <v>532</v>
      </c>
      <c r="G140" s="9">
        <f>IF(A140=1,"_",IF(C140="_","???",C140))</f>
        <v/>
      </c>
      <c r="H140" s="10" t="s">
        <v>12</v>
      </c>
      <c r="I140" s="11" t="s">
        <v>12</v>
      </c>
      <c r="J140" s="12"/>
    </row>
    <row r="141" spans="1:10" ht="60" customHeight="1">
      <c r="A141" s="6" t="s">
        <v>533</v>
      </c>
      <c r="B141" s="6" t="s">
        <v>16</v>
      </c>
      <c r="C141" s="6" t="s">
        <v>12</v>
      </c>
      <c r="D141" s="7" t="s">
        <v>534</v>
      </c>
      <c r="E141" s="8" t="s">
        <v>535</v>
      </c>
      <c r="F141" s="6" t="s">
        <v>536</v>
      </c>
      <c r="G141" s="9">
        <f>IF(A141=1,"_",IF(C141="_","???",C141))</f>
        <v/>
      </c>
      <c r="H141" s="10" t="s">
        <v>12</v>
      </c>
      <c r="I141" s="11" t="s">
        <v>12</v>
      </c>
      <c r="J141" s="12"/>
    </row>
    <row r="142" spans="1:10" ht="60" customHeight="1">
      <c r="A142" s="6" t="s">
        <v>537</v>
      </c>
      <c r="B142" s="6" t="s">
        <v>40</v>
      </c>
      <c r="C142" s="6" t="s">
        <v>12</v>
      </c>
      <c r="D142" s="7" t="s">
        <v>100</v>
      </c>
      <c r="E142" s="8" t="s">
        <v>538</v>
      </c>
      <c r="F142" s="6" t="s">
        <v>539</v>
      </c>
      <c r="G142" s="9">
        <f>IF(A142=1,"_",IF(C142="_","???",C142))</f>
        <v/>
      </c>
      <c r="H142" s="10" t="s">
        <v>12</v>
      </c>
      <c r="I142" s="11" t="s">
        <v>12</v>
      </c>
      <c r="J142" s="12"/>
    </row>
    <row r="143" spans="1:10" ht="60" customHeight="1">
      <c r="A143" s="6" t="s">
        <v>540</v>
      </c>
      <c r="B143" s="6" t="s">
        <v>56</v>
      </c>
      <c r="C143" s="6" t="s">
        <v>12</v>
      </c>
      <c r="D143" s="7" t="s">
        <v>541</v>
      </c>
      <c r="E143" s="8" t="s">
        <v>542</v>
      </c>
      <c r="F143" s="6" t="s">
        <v>543</v>
      </c>
      <c r="G143" s="9">
        <f>IF(A143=1,"_",IF(C143="_","???",C143))</f>
        <v/>
      </c>
      <c r="H143" s="10" t="s">
        <v>12</v>
      </c>
      <c r="I143" s="11" t="s">
        <v>12</v>
      </c>
      <c r="J143" s="12"/>
    </row>
    <row r="144" spans="1:10" ht="60" customHeight="1">
      <c r="A144" s="6" t="s">
        <v>544</v>
      </c>
      <c r="B144" s="6" t="s">
        <v>11</v>
      </c>
      <c r="C144" s="6" t="s">
        <v>12</v>
      </c>
      <c r="D144" s="7" t="s">
        <v>104</v>
      </c>
      <c r="E144" s="8" t="s">
        <v>545</v>
      </c>
      <c r="F144" s="6" t="s">
        <v>546</v>
      </c>
      <c r="G144" s="9">
        <f>IF(A144=1,"_",IF(C144="_","???",C144))</f>
        <v/>
      </c>
      <c r="H144" s="10" t="s">
        <v>12</v>
      </c>
      <c r="I144" s="11" t="s">
        <v>12</v>
      </c>
      <c r="J144" s="12"/>
    </row>
    <row r="145" spans="1:10" ht="60" customHeight="1">
      <c r="A145" s="6" t="s">
        <v>547</v>
      </c>
      <c r="B145" s="6" t="s">
        <v>16</v>
      </c>
      <c r="C145" s="6" t="s">
        <v>12</v>
      </c>
      <c r="D145" s="7" t="s">
        <v>548</v>
      </c>
      <c r="E145" s="8" t="s">
        <v>549</v>
      </c>
      <c r="F145" s="6" t="s">
        <v>550</v>
      </c>
      <c r="G145" s="9">
        <f>IF(A145=1,"_",IF(C145="_","???",C145))</f>
        <v/>
      </c>
      <c r="H145" s="10" t="s">
        <v>12</v>
      </c>
      <c r="I145" s="11" t="s">
        <v>12</v>
      </c>
      <c r="J145" s="12"/>
    </row>
    <row r="146" spans="1:10" ht="60" customHeight="1">
      <c r="A146" s="6" t="s">
        <v>551</v>
      </c>
      <c r="B146" s="6" t="s">
        <v>28</v>
      </c>
      <c r="C146" s="6" t="s">
        <v>12</v>
      </c>
      <c r="D146" s="7" t="s">
        <v>37</v>
      </c>
      <c r="E146" s="8" t="s">
        <v>552</v>
      </c>
      <c r="F146" s="6" t="s">
        <v>553</v>
      </c>
      <c r="G146" s="9">
        <f>IF(A146=1,"_",IF(C146="_","???",C146))</f>
        <v/>
      </c>
      <c r="H146" s="10" t="s">
        <v>12</v>
      </c>
      <c r="I146" s="11" t="s">
        <v>12</v>
      </c>
      <c r="J146" s="12"/>
    </row>
    <row r="147" spans="1:10" ht="60" customHeight="1">
      <c r="A147" s="6" t="s">
        <v>554</v>
      </c>
      <c r="B147" s="6" t="s">
        <v>16</v>
      </c>
      <c r="C147" s="6" t="s">
        <v>12</v>
      </c>
      <c r="D147" s="7" t="s">
        <v>13</v>
      </c>
      <c r="E147" s="8" t="s">
        <v>555</v>
      </c>
      <c r="F147" s="6" t="s">
        <v>556</v>
      </c>
      <c r="G147" s="9">
        <f>IF(A147=1,"_",IF(C147="_","???",C147))</f>
        <v/>
      </c>
      <c r="H147" s="10" t="s">
        <v>12</v>
      </c>
      <c r="I147" s="11" t="s">
        <v>12</v>
      </c>
      <c r="J147" s="12"/>
    </row>
    <row r="148" spans="1:10" ht="60" customHeight="1">
      <c r="A148" s="6" t="s">
        <v>557</v>
      </c>
      <c r="B148" s="6" t="s">
        <v>16</v>
      </c>
      <c r="C148" s="6" t="s">
        <v>12</v>
      </c>
      <c r="D148" s="7" t="s">
        <v>267</v>
      </c>
      <c r="E148" s="8" t="s">
        <v>558</v>
      </c>
      <c r="F148" s="6" t="s">
        <v>559</v>
      </c>
      <c r="G148" s="9">
        <f>IF(A148=1,"_",IF(C148="_","???",C148))</f>
        <v/>
      </c>
      <c r="H148" s="10" t="s">
        <v>12</v>
      </c>
      <c r="I148" s="11" t="s">
        <v>12</v>
      </c>
      <c r="J148" s="12"/>
    </row>
    <row r="149" spans="1:10" ht="60" customHeight="1">
      <c r="A149" s="6" t="s">
        <v>560</v>
      </c>
      <c r="B149" s="6" t="s">
        <v>11</v>
      </c>
      <c r="C149" s="6" t="s">
        <v>12</v>
      </c>
      <c r="D149" s="7" t="s">
        <v>561</v>
      </c>
      <c r="E149" s="8" t="s">
        <v>562</v>
      </c>
      <c r="F149" s="6" t="s">
        <v>563</v>
      </c>
      <c r="G149" s="9">
        <f>IF(A149=1,"_",IF(C149="_","???",C149))</f>
        <v/>
      </c>
      <c r="H149" s="10" t="s">
        <v>12</v>
      </c>
      <c r="I149" s="11" t="s">
        <v>12</v>
      </c>
      <c r="J149" s="12"/>
    </row>
    <row r="150" spans="1:10" ht="60" customHeight="1">
      <c r="A150" s="6" t="s">
        <v>564</v>
      </c>
      <c r="B150" s="6" t="s">
        <v>32</v>
      </c>
      <c r="C150" s="6" t="s">
        <v>12</v>
      </c>
      <c r="D150" s="7" t="s">
        <v>100</v>
      </c>
      <c r="E150" s="8" t="s">
        <v>565</v>
      </c>
      <c r="F150" s="6" t="s">
        <v>566</v>
      </c>
      <c r="G150" s="9">
        <f>IF(A150=1,"_",IF(C150="_","???",C150))</f>
        <v/>
      </c>
      <c r="H150" s="10" t="s">
        <v>12</v>
      </c>
      <c r="I150" s="11" t="s">
        <v>12</v>
      </c>
      <c r="J150" s="12"/>
    </row>
    <row r="151" spans="1:10" ht="60" customHeight="1">
      <c r="A151" s="6" t="s">
        <v>567</v>
      </c>
      <c r="B151" s="6" t="s">
        <v>32</v>
      </c>
      <c r="C151" s="6" t="s">
        <v>12</v>
      </c>
      <c r="D151" s="7" t="s">
        <v>58</v>
      </c>
      <c r="E151" s="8" t="s">
        <v>568</v>
      </c>
      <c r="F151" s="6" t="s">
        <v>569</v>
      </c>
      <c r="G151" s="9">
        <f>IF(A151=1,"_",IF(C151="_","???",C151))</f>
        <v/>
      </c>
      <c r="H151" s="10" t="s">
        <v>12</v>
      </c>
      <c r="I151" s="11" t="s">
        <v>12</v>
      </c>
      <c r="J151" s="12"/>
    </row>
    <row r="152" spans="1:10" ht="60" customHeight="1">
      <c r="A152" s="6" t="s">
        <v>570</v>
      </c>
      <c r="B152" s="6" t="s">
        <v>24</v>
      </c>
      <c r="C152" s="6" t="s">
        <v>12</v>
      </c>
      <c r="D152" s="7" t="s">
        <v>100</v>
      </c>
      <c r="E152" s="8" t="s">
        <v>571</v>
      </c>
      <c r="F152" s="6" t="s">
        <v>572</v>
      </c>
      <c r="G152" s="9">
        <f>IF(A152=1,"_",IF(C152="_","???",C152))</f>
        <v/>
      </c>
      <c r="H152" s="10" t="s">
        <v>12</v>
      </c>
      <c r="I152" s="11" t="s">
        <v>12</v>
      </c>
      <c r="J152" s="12"/>
    </row>
    <row r="153" spans="1:10" ht="60" customHeight="1">
      <c r="A153" s="6" t="s">
        <v>573</v>
      </c>
      <c r="B153" s="6" t="s">
        <v>48</v>
      </c>
      <c r="C153" s="6" t="s">
        <v>12</v>
      </c>
      <c r="D153" s="7" t="s">
        <v>574</v>
      </c>
      <c r="E153" s="8" t="s">
        <v>575</v>
      </c>
      <c r="F153" s="6" t="s">
        <v>576</v>
      </c>
      <c r="G153" s="9">
        <f>IF(A153=1,"_",IF(C153="_","???",C153))</f>
        <v/>
      </c>
      <c r="H153" s="10" t="s">
        <v>12</v>
      </c>
      <c r="I153" s="11" t="s">
        <v>12</v>
      </c>
      <c r="J153" s="12"/>
    </row>
    <row r="154" spans="1:10" ht="60" customHeight="1">
      <c r="A154" s="6" t="s">
        <v>577</v>
      </c>
      <c r="B154" s="6" t="s">
        <v>24</v>
      </c>
      <c r="C154" s="6" t="s">
        <v>12</v>
      </c>
      <c r="D154" s="7" t="s">
        <v>578</v>
      </c>
      <c r="E154" s="8" t="s">
        <v>579</v>
      </c>
      <c r="F154" s="6" t="s">
        <v>580</v>
      </c>
      <c r="G154" s="9">
        <f>IF(A154=1,"_",IF(C154="_","???",C154))</f>
        <v/>
      </c>
      <c r="H154" s="10" t="s">
        <v>12</v>
      </c>
      <c r="I154" s="11" t="s">
        <v>12</v>
      </c>
      <c r="J154" s="12"/>
    </row>
    <row r="155" spans="1:10" ht="60" customHeight="1">
      <c r="A155" s="6" t="s">
        <v>581</v>
      </c>
      <c r="B155" s="6" t="s">
        <v>16</v>
      </c>
      <c r="C155" s="6" t="s">
        <v>12</v>
      </c>
      <c r="D155" s="7" t="s">
        <v>582</v>
      </c>
      <c r="E155" s="8" t="s">
        <v>583</v>
      </c>
      <c r="F155" s="6" t="s">
        <v>584</v>
      </c>
      <c r="G155" s="9">
        <f>IF(A155=1,"_",IF(C155="_","???",C155))</f>
        <v/>
      </c>
      <c r="H155" s="10" t="s">
        <v>12</v>
      </c>
      <c r="I155" s="11" t="s">
        <v>12</v>
      </c>
      <c r="J155" s="12"/>
    </row>
    <row r="156" spans="1:10" ht="60" customHeight="1">
      <c r="A156" s="6" t="s">
        <v>585</v>
      </c>
      <c r="B156" s="6" t="s">
        <v>16</v>
      </c>
      <c r="C156" s="6" t="s">
        <v>12</v>
      </c>
      <c r="D156" s="7" t="s">
        <v>104</v>
      </c>
      <c r="E156" s="8" t="s">
        <v>586</v>
      </c>
      <c r="F156" s="6" t="s">
        <v>587</v>
      </c>
      <c r="G156" s="9">
        <f>IF(A156=1,"_",IF(C156="_","???",C156))</f>
        <v/>
      </c>
      <c r="H156" s="10" t="s">
        <v>12</v>
      </c>
      <c r="I156" s="11" t="s">
        <v>12</v>
      </c>
      <c r="J156" s="12"/>
    </row>
    <row r="157" spans="1:10" ht="60" customHeight="1">
      <c r="A157" s="6" t="s">
        <v>588</v>
      </c>
      <c r="B157" s="6" t="s">
        <v>56</v>
      </c>
      <c r="C157" s="6" t="s">
        <v>12</v>
      </c>
      <c r="D157" s="7" t="s">
        <v>474</v>
      </c>
      <c r="E157" s="8" t="s">
        <v>589</v>
      </c>
      <c r="F157" s="6" t="s">
        <v>590</v>
      </c>
      <c r="G157" s="9">
        <f>IF(A157=1,"_",IF(C157="_","???",C157))</f>
        <v/>
      </c>
      <c r="H157" s="10" t="s">
        <v>12</v>
      </c>
      <c r="I157" s="11" t="s">
        <v>12</v>
      </c>
      <c r="J157" s="12"/>
    </row>
    <row r="158" spans="1:10" ht="60" customHeight="1">
      <c r="A158" s="6" t="s">
        <v>591</v>
      </c>
      <c r="B158" s="6" t="s">
        <v>80</v>
      </c>
      <c r="C158" s="6" t="s">
        <v>12</v>
      </c>
      <c r="D158" s="7" t="s">
        <v>592</v>
      </c>
      <c r="E158" s="8" t="s">
        <v>593</v>
      </c>
      <c r="F158" s="6" t="s">
        <v>594</v>
      </c>
      <c r="G158" s="9">
        <f>IF(A158=1,"_",IF(C158="_","???",C158))</f>
        <v/>
      </c>
      <c r="H158" s="10" t="s">
        <v>12</v>
      </c>
      <c r="I158" s="11" t="s">
        <v>12</v>
      </c>
      <c r="J158" s="12"/>
    </row>
    <row r="159" spans="1:10" ht="60" customHeight="1">
      <c r="A159" s="6" t="s">
        <v>595</v>
      </c>
      <c r="B159" s="6" t="s">
        <v>28</v>
      </c>
      <c r="C159" s="6" t="s">
        <v>12</v>
      </c>
      <c r="D159" s="7" t="s">
        <v>596</v>
      </c>
      <c r="E159" s="8" t="s">
        <v>597</v>
      </c>
      <c r="F159" s="6" t="s">
        <v>598</v>
      </c>
      <c r="G159" s="9">
        <f>IF(A159=1,"_",IF(C159="_","???",C159))</f>
        <v/>
      </c>
      <c r="H159" s="10" t="s">
        <v>12</v>
      </c>
      <c r="I159" s="11" t="s">
        <v>12</v>
      </c>
      <c r="J159" s="12"/>
    </row>
    <row r="160" spans="1:10" ht="60" customHeight="1">
      <c r="A160" s="6" t="s">
        <v>599</v>
      </c>
      <c r="B160" s="6" t="s">
        <v>32</v>
      </c>
      <c r="C160" s="6" t="s">
        <v>12</v>
      </c>
      <c r="D160" s="7" t="s">
        <v>88</v>
      </c>
      <c r="E160" s="8" t="s">
        <v>600</v>
      </c>
      <c r="F160" s="6" t="s">
        <v>601</v>
      </c>
      <c r="G160" s="9">
        <f>IF(A160=1,"_",IF(C160="_","???",C160))</f>
        <v/>
      </c>
      <c r="H160" s="10" t="s">
        <v>12</v>
      </c>
      <c r="I160" s="11" t="s">
        <v>12</v>
      </c>
      <c r="J160" s="12"/>
    </row>
    <row r="161" spans="1:10" ht="60" customHeight="1">
      <c r="A161" s="6" t="s">
        <v>602</v>
      </c>
      <c r="B161" s="6" t="s">
        <v>11</v>
      </c>
      <c r="C161" s="6" t="s">
        <v>12</v>
      </c>
      <c r="D161" s="7" t="s">
        <v>100</v>
      </c>
      <c r="E161" s="8" t="s">
        <v>603</v>
      </c>
      <c r="F161" s="6" t="s">
        <v>604</v>
      </c>
      <c r="G161" s="9">
        <f>IF(A161=1,"_",IF(C161="_","???",C161))</f>
        <v/>
      </c>
      <c r="H161" s="10" t="s">
        <v>12</v>
      </c>
      <c r="I161" s="11" t="s">
        <v>12</v>
      </c>
      <c r="J161" s="12"/>
    </row>
    <row r="162" spans="1:10" ht="60" customHeight="1">
      <c r="A162" s="6" t="s">
        <v>605</v>
      </c>
      <c r="B162" s="6" t="s">
        <v>28</v>
      </c>
      <c r="C162" s="6" t="s">
        <v>12</v>
      </c>
      <c r="D162" s="7" t="s">
        <v>606</v>
      </c>
      <c r="E162" s="8" t="s">
        <v>607</v>
      </c>
      <c r="F162" s="6" t="s">
        <v>608</v>
      </c>
      <c r="G162" s="9">
        <f>IF(A162=1,"_",IF(C162="_","???",C162))</f>
        <v/>
      </c>
      <c r="H162" s="10" t="s">
        <v>12</v>
      </c>
      <c r="I162" s="11" t="s">
        <v>12</v>
      </c>
      <c r="J162" s="12"/>
    </row>
    <row r="163" spans="1:10" ht="60" customHeight="1">
      <c r="A163" s="6" t="s">
        <v>609</v>
      </c>
      <c r="B163" s="6" t="s">
        <v>16</v>
      </c>
      <c r="C163" s="6" t="s">
        <v>12</v>
      </c>
      <c r="D163" s="7" t="s">
        <v>610</v>
      </c>
      <c r="E163" s="8" t="s">
        <v>611</v>
      </c>
      <c r="F163" s="6" t="s">
        <v>612</v>
      </c>
      <c r="G163" s="9">
        <f>IF(A163=1,"_",IF(C163="_","???",C163))</f>
        <v/>
      </c>
      <c r="H163" s="10" t="s">
        <v>12</v>
      </c>
      <c r="I163" s="11" t="s">
        <v>12</v>
      </c>
      <c r="J163" s="12"/>
    </row>
    <row r="164" spans="1:10" ht="60" customHeight="1">
      <c r="A164" s="6" t="s">
        <v>613</v>
      </c>
      <c r="B164" s="6" t="s">
        <v>10</v>
      </c>
      <c r="C164" s="6" t="s">
        <v>12</v>
      </c>
      <c r="D164" s="7" t="s">
        <v>614</v>
      </c>
      <c r="E164" s="8" t="s">
        <v>615</v>
      </c>
      <c r="F164" s="6" t="s">
        <v>616</v>
      </c>
      <c r="G164" s="9">
        <f>IF(A164=1,"_",IF(C164="_","???",C164))</f>
        <v/>
      </c>
      <c r="H164" s="10" t="s">
        <v>12</v>
      </c>
      <c r="I164" s="11" t="s">
        <v>12</v>
      </c>
      <c r="J164" s="12"/>
    </row>
    <row r="165" spans="1:10" ht="60" customHeight="1">
      <c r="A165" s="6" t="s">
        <v>617</v>
      </c>
      <c r="B165" s="6" t="s">
        <v>16</v>
      </c>
      <c r="C165" s="6" t="s">
        <v>12</v>
      </c>
      <c r="D165" s="7" t="s">
        <v>37</v>
      </c>
      <c r="E165" s="8" t="s">
        <v>618</v>
      </c>
      <c r="F165" s="6" t="s">
        <v>619</v>
      </c>
      <c r="G165" s="9">
        <f>IF(A165=1,"_",IF(C165="_","???",C165))</f>
        <v/>
      </c>
      <c r="H165" s="10" t="s">
        <v>12</v>
      </c>
      <c r="I165" s="11" t="s">
        <v>12</v>
      </c>
      <c r="J165" s="12"/>
    </row>
    <row r="166" spans="1:10" ht="60" customHeight="1">
      <c r="A166" s="6" t="s">
        <v>620</v>
      </c>
      <c r="B166" s="6" t="s">
        <v>16</v>
      </c>
      <c r="C166" s="6" t="s">
        <v>12</v>
      </c>
      <c r="D166" s="7" t="s">
        <v>621</v>
      </c>
      <c r="E166" s="8" t="s">
        <v>622</v>
      </c>
      <c r="F166" s="6" t="s">
        <v>623</v>
      </c>
      <c r="G166" s="9">
        <f>IF(A166=1,"_",IF(C166="_","???",C166))</f>
        <v/>
      </c>
      <c r="H166" s="10" t="s">
        <v>12</v>
      </c>
      <c r="I166" s="11" t="s">
        <v>12</v>
      </c>
      <c r="J166" s="12"/>
    </row>
    <row r="167" spans="1:10" ht="60" customHeight="1">
      <c r="A167" s="6" t="s">
        <v>624</v>
      </c>
      <c r="B167" s="6" t="s">
        <v>16</v>
      </c>
      <c r="C167" s="6" t="s">
        <v>12</v>
      </c>
      <c r="D167" s="7" t="s">
        <v>625</v>
      </c>
      <c r="E167" s="8" t="s">
        <v>626</v>
      </c>
      <c r="F167" s="6" t="s">
        <v>627</v>
      </c>
      <c r="G167" s="9">
        <f>IF(A167=1,"_",IF(C167="_","???",C167))</f>
        <v/>
      </c>
      <c r="H167" s="10" t="s">
        <v>12</v>
      </c>
      <c r="I167" s="11" t="s">
        <v>12</v>
      </c>
      <c r="J167" s="12"/>
    </row>
    <row r="168" spans="1:10" ht="60" customHeight="1">
      <c r="A168" s="6" t="s">
        <v>628</v>
      </c>
      <c r="B168" s="6" t="s">
        <v>16</v>
      </c>
      <c r="C168" s="6" t="s">
        <v>12</v>
      </c>
      <c r="D168" s="7" t="s">
        <v>494</v>
      </c>
      <c r="E168" s="8" t="s">
        <v>629</v>
      </c>
      <c r="F168" s="6" t="s">
        <v>630</v>
      </c>
      <c r="G168" s="9">
        <f>IF(A168=1,"_",IF(C168="_","???",C168))</f>
        <v/>
      </c>
      <c r="H168" s="10" t="s">
        <v>12</v>
      </c>
      <c r="I168" s="11" t="s">
        <v>12</v>
      </c>
      <c r="J168" s="12"/>
    </row>
    <row r="169" spans="1:10" ht="60" customHeight="1">
      <c r="A169" s="6" t="s">
        <v>631</v>
      </c>
      <c r="B169" s="6" t="s">
        <v>16</v>
      </c>
      <c r="C169" s="6" t="s">
        <v>146</v>
      </c>
      <c r="D169" s="7" t="s">
        <v>58</v>
      </c>
      <c r="E169" s="8" t="s">
        <v>632</v>
      </c>
      <c r="F169" s="6" t="s">
        <v>633</v>
      </c>
      <c r="G169" s="9">
        <f>IF(A169=1,"_",IF(C169="_","???",C169))</f>
        <v/>
      </c>
      <c r="H169" s="10" t="s">
        <v>12</v>
      </c>
      <c r="I169" s="11" t="s">
        <v>12</v>
      </c>
      <c r="J169" s="12"/>
    </row>
    <row r="170" spans="1:10" ht="60" customHeight="1">
      <c r="A170" s="6" t="s">
        <v>634</v>
      </c>
      <c r="B170" s="6" t="s">
        <v>11</v>
      </c>
      <c r="C170" s="6" t="s">
        <v>12</v>
      </c>
      <c r="D170" s="7" t="s">
        <v>635</v>
      </c>
      <c r="E170" s="8" t="s">
        <v>636</v>
      </c>
      <c r="F170" s="6" t="s">
        <v>637</v>
      </c>
      <c r="G170" s="9">
        <f>IF(A170=1,"_",IF(C170="_","???",C170))</f>
        <v/>
      </c>
      <c r="H170" s="10" t="s">
        <v>12</v>
      </c>
      <c r="I170" s="11" t="s">
        <v>12</v>
      </c>
      <c r="J170" s="12"/>
    </row>
    <row r="171" spans="1:10" ht="60" customHeight="1">
      <c r="A171" s="6" t="s">
        <v>638</v>
      </c>
      <c r="B171" s="6" t="s">
        <v>16</v>
      </c>
      <c r="C171" s="6" t="s">
        <v>12</v>
      </c>
      <c r="D171" s="7" t="s">
        <v>639</v>
      </c>
      <c r="E171" s="8" t="s">
        <v>640</v>
      </c>
      <c r="F171" s="6" t="s">
        <v>641</v>
      </c>
      <c r="G171" s="9">
        <f>IF(A171=1,"_",IF(C171="_","???",C171))</f>
        <v/>
      </c>
      <c r="H171" s="10" t="s">
        <v>12</v>
      </c>
      <c r="I171" s="11" t="s">
        <v>12</v>
      </c>
      <c r="J171" s="12"/>
    </row>
    <row r="172" spans="1:10" ht="60" customHeight="1">
      <c r="A172" s="6" t="s">
        <v>642</v>
      </c>
      <c r="B172" s="6" t="s">
        <v>16</v>
      </c>
      <c r="C172" s="6" t="s">
        <v>12</v>
      </c>
      <c r="D172" s="7" t="s">
        <v>643</v>
      </c>
      <c r="E172" s="8" t="s">
        <v>644</v>
      </c>
      <c r="F172" s="6" t="s">
        <v>645</v>
      </c>
      <c r="G172" s="9">
        <f>IF(A172=1,"_",IF(C172="_","???",C172))</f>
        <v/>
      </c>
      <c r="H172" s="10" t="s">
        <v>12</v>
      </c>
      <c r="I172" s="11" t="s">
        <v>12</v>
      </c>
      <c r="J172" s="12"/>
    </row>
    <row r="173" spans="1:10" ht="60" customHeight="1">
      <c r="A173" s="6" t="s">
        <v>646</v>
      </c>
      <c r="B173" s="6" t="s">
        <v>24</v>
      </c>
      <c r="C173" s="6" t="s">
        <v>12</v>
      </c>
      <c r="D173" s="7" t="s">
        <v>104</v>
      </c>
      <c r="E173" s="8" t="s">
        <v>647</v>
      </c>
      <c r="F173" s="6" t="s">
        <v>648</v>
      </c>
      <c r="G173" s="9">
        <f>IF(A173=1,"_",IF(C173="_","???",C173))</f>
        <v/>
      </c>
      <c r="H173" s="10" t="s">
        <v>12</v>
      </c>
      <c r="I173" s="11" t="s">
        <v>12</v>
      </c>
      <c r="J173" s="12"/>
    </row>
    <row r="174" spans="1:10" ht="60" customHeight="1">
      <c r="A174" s="6" t="s">
        <v>649</v>
      </c>
      <c r="B174" s="6" t="s">
        <v>11</v>
      </c>
      <c r="C174" s="6" t="s">
        <v>12</v>
      </c>
      <c r="D174" s="7" t="s">
        <v>650</v>
      </c>
      <c r="E174" s="8" t="s">
        <v>651</v>
      </c>
      <c r="F174" s="6" t="s">
        <v>652</v>
      </c>
      <c r="G174" s="9">
        <f>IF(A174=1,"_",IF(C174="_","???",C174))</f>
        <v/>
      </c>
      <c r="H174" s="10" t="s">
        <v>12</v>
      </c>
      <c r="I174" s="11" t="s">
        <v>12</v>
      </c>
      <c r="J174" s="12"/>
    </row>
    <row r="175" spans="1:10" ht="60" customHeight="1">
      <c r="A175" s="6" t="s">
        <v>653</v>
      </c>
      <c r="B175" s="6" t="s">
        <v>69</v>
      </c>
      <c r="C175" s="6" t="s">
        <v>12</v>
      </c>
      <c r="D175" s="7" t="s">
        <v>654</v>
      </c>
      <c r="E175" s="8" t="s">
        <v>655</v>
      </c>
      <c r="F175" s="6" t="s">
        <v>656</v>
      </c>
      <c r="G175" s="9">
        <f>IF(A175=1,"_",IF(C175="_","???",C175))</f>
        <v/>
      </c>
      <c r="H175" s="10" t="s">
        <v>12</v>
      </c>
      <c r="I175" s="11" t="s">
        <v>12</v>
      </c>
      <c r="J175" s="12"/>
    </row>
    <row r="176" spans="1:10" ht="60" customHeight="1">
      <c r="A176" s="6" t="s">
        <v>657</v>
      </c>
      <c r="B176" s="6" t="s">
        <v>61</v>
      </c>
      <c r="C176" s="6" t="s">
        <v>12</v>
      </c>
      <c r="D176" s="7" t="s">
        <v>658</v>
      </c>
      <c r="E176" s="8" t="s">
        <v>659</v>
      </c>
      <c r="F176" s="6" t="s">
        <v>660</v>
      </c>
      <c r="G176" s="9">
        <f>IF(A176=1,"_",IF(C176="_","???",C176))</f>
        <v/>
      </c>
      <c r="H176" s="10" t="s">
        <v>12</v>
      </c>
      <c r="I176" s="11" t="s">
        <v>12</v>
      </c>
      <c r="J176" s="12"/>
    </row>
    <row r="177" spans="1:10" ht="60" customHeight="1">
      <c r="A177" s="6" t="s">
        <v>661</v>
      </c>
      <c r="B177" s="6" t="s">
        <v>16</v>
      </c>
      <c r="C177" s="6" t="s">
        <v>12</v>
      </c>
      <c r="D177" s="7" t="s">
        <v>635</v>
      </c>
      <c r="E177" s="8" t="s">
        <v>662</v>
      </c>
      <c r="F177" s="6" t="s">
        <v>663</v>
      </c>
      <c r="G177" s="9">
        <f>IF(A177=1,"_",IF(C177="_","???",C177))</f>
        <v/>
      </c>
      <c r="H177" s="10" t="s">
        <v>12</v>
      </c>
      <c r="I177" s="11" t="s">
        <v>12</v>
      </c>
      <c r="J177" s="12"/>
    </row>
    <row r="178" spans="1:10" ht="60" customHeight="1">
      <c r="A178" s="6" t="s">
        <v>664</v>
      </c>
      <c r="B178" s="6" t="s">
        <v>17</v>
      </c>
      <c r="C178" s="6" t="s">
        <v>12</v>
      </c>
      <c r="D178" s="7" t="s">
        <v>665</v>
      </c>
      <c r="E178" s="8" t="s">
        <v>666</v>
      </c>
      <c r="F178" s="6" t="s">
        <v>667</v>
      </c>
      <c r="G178" s="9">
        <f>IF(A178=1,"_",IF(C178="_","???",C178))</f>
        <v/>
      </c>
      <c r="H178" s="10" t="s">
        <v>12</v>
      </c>
      <c r="I178" s="11" t="s">
        <v>12</v>
      </c>
      <c r="J178" s="12"/>
    </row>
    <row r="179" spans="1:10" ht="60" customHeight="1">
      <c r="A179" s="6" t="s">
        <v>668</v>
      </c>
      <c r="B179" s="6" t="s">
        <v>11</v>
      </c>
      <c r="C179" s="6" t="s">
        <v>12</v>
      </c>
      <c r="D179" s="7" t="s">
        <v>669</v>
      </c>
      <c r="E179" s="8" t="s">
        <v>670</v>
      </c>
      <c r="F179" s="6" t="s">
        <v>671</v>
      </c>
      <c r="G179" s="9">
        <f>IF(A179=1,"_",IF(C179="_","???",C179))</f>
        <v/>
      </c>
      <c r="H179" s="10" t="s">
        <v>12</v>
      </c>
      <c r="I179" s="11" t="s">
        <v>12</v>
      </c>
      <c r="J179" s="12"/>
    </row>
    <row r="180" spans="1:10" ht="60" customHeight="1">
      <c r="A180" s="6" t="s">
        <v>672</v>
      </c>
      <c r="B180" s="6" t="s">
        <v>16</v>
      </c>
      <c r="C180" s="6" t="s">
        <v>12</v>
      </c>
      <c r="D180" s="7" t="s">
        <v>100</v>
      </c>
      <c r="E180" s="8" t="s">
        <v>673</v>
      </c>
      <c r="F180" s="6" t="s">
        <v>674</v>
      </c>
      <c r="G180" s="9">
        <f>IF(A180=1,"_",IF(C180="_","???",C180))</f>
        <v/>
      </c>
      <c r="H180" s="10" t="s">
        <v>12</v>
      </c>
      <c r="I180" s="11" t="s">
        <v>12</v>
      </c>
      <c r="J180" s="12"/>
    </row>
    <row r="181" spans="1:10" ht="60" customHeight="1">
      <c r="A181" s="6" t="s">
        <v>675</v>
      </c>
      <c r="B181" s="6" t="s">
        <v>17</v>
      </c>
      <c r="C181" s="6" t="s">
        <v>12</v>
      </c>
      <c r="D181" s="7" t="s">
        <v>100</v>
      </c>
      <c r="E181" s="8" t="s">
        <v>676</v>
      </c>
      <c r="F181" s="6" t="s">
        <v>677</v>
      </c>
      <c r="G181" s="9">
        <f>IF(A181=1,"_",IF(C181="_","???",C181))</f>
        <v/>
      </c>
      <c r="H181" s="10" t="s">
        <v>12</v>
      </c>
      <c r="I181" s="11" t="s">
        <v>12</v>
      </c>
      <c r="J181" s="12"/>
    </row>
    <row r="182" spans="1:10" ht="60" customHeight="1">
      <c r="A182" s="6" t="s">
        <v>678</v>
      </c>
      <c r="B182" s="6" t="s">
        <v>32</v>
      </c>
      <c r="C182" s="6" t="s">
        <v>12</v>
      </c>
      <c r="D182" s="7" t="s">
        <v>679</v>
      </c>
      <c r="E182" s="8" t="s">
        <v>680</v>
      </c>
      <c r="F182" s="6" t="s">
        <v>681</v>
      </c>
      <c r="G182" s="9">
        <f>IF(A182=1,"_",IF(C182="_","???",C182))</f>
        <v/>
      </c>
      <c r="H182" s="10" t="s">
        <v>12</v>
      </c>
      <c r="I182" s="11" t="s">
        <v>12</v>
      </c>
      <c r="J182" s="12"/>
    </row>
    <row r="183" spans="1:10" ht="60" customHeight="1">
      <c r="A183" s="6" t="s">
        <v>682</v>
      </c>
      <c r="B183" s="6" t="s">
        <v>16</v>
      </c>
      <c r="C183" s="6" t="s">
        <v>12</v>
      </c>
      <c r="D183" s="7" t="s">
        <v>100</v>
      </c>
      <c r="E183" s="8" t="s">
        <v>683</v>
      </c>
      <c r="F183" s="6" t="s">
        <v>684</v>
      </c>
      <c r="G183" s="9">
        <f>IF(A183=1,"_",IF(C183="_","???",C183))</f>
        <v/>
      </c>
      <c r="H183" s="10" t="s">
        <v>12</v>
      </c>
      <c r="I183" s="11" t="s">
        <v>12</v>
      </c>
      <c r="J183" s="12"/>
    </row>
    <row r="184" spans="1:10" ht="60" customHeight="1">
      <c r="A184" s="6" t="s">
        <v>685</v>
      </c>
      <c r="B184" s="6" t="s">
        <v>11</v>
      </c>
      <c r="C184" s="6" t="s">
        <v>12</v>
      </c>
      <c r="D184" s="7" t="s">
        <v>100</v>
      </c>
      <c r="E184" s="8" t="s">
        <v>686</v>
      </c>
      <c r="F184" s="6" t="s">
        <v>687</v>
      </c>
      <c r="G184" s="9">
        <f>IF(A184=1,"_",IF(C184="_","???",C184))</f>
        <v/>
      </c>
      <c r="H184" s="10" t="s">
        <v>12</v>
      </c>
      <c r="I184" s="11" t="s">
        <v>12</v>
      </c>
      <c r="J184" s="12"/>
    </row>
    <row r="185" spans="1:10" ht="60" customHeight="1">
      <c r="A185" s="6" t="s">
        <v>688</v>
      </c>
      <c r="B185" s="6" t="s">
        <v>16</v>
      </c>
      <c r="C185" s="6" t="s">
        <v>12</v>
      </c>
      <c r="D185" s="7" t="s">
        <v>689</v>
      </c>
      <c r="E185" s="8" t="s">
        <v>690</v>
      </c>
      <c r="F185" s="6" t="s">
        <v>691</v>
      </c>
      <c r="G185" s="9">
        <f>IF(A185=1,"_",IF(C185="_","???",C185))</f>
        <v/>
      </c>
      <c r="H185" s="10" t="s">
        <v>12</v>
      </c>
      <c r="I185" s="11" t="s">
        <v>12</v>
      </c>
      <c r="J185" s="12"/>
    </row>
    <row r="186" spans="1:10" ht="60" customHeight="1">
      <c r="A186" s="6" t="s">
        <v>692</v>
      </c>
      <c r="B186" s="6" t="s">
        <v>17</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100</v>
      </c>
      <c r="E187" s="8" t="s">
        <v>697</v>
      </c>
      <c r="F187" s="6" t="s">
        <v>698</v>
      </c>
      <c r="G187" s="9">
        <f>IF(A187=1,"_",IF(C187="_","???",C187))</f>
        <v/>
      </c>
      <c r="H187" s="10" t="s">
        <v>12</v>
      </c>
      <c r="I187" s="11" t="s">
        <v>12</v>
      </c>
      <c r="J187" s="12"/>
    </row>
    <row r="188" spans="1:10" ht="60" customHeight="1">
      <c r="A188" s="6" t="s">
        <v>699</v>
      </c>
      <c r="B188" s="6" t="s">
        <v>72</v>
      </c>
      <c r="C188" s="6" t="s">
        <v>12</v>
      </c>
      <c r="D188" s="7" t="s">
        <v>100</v>
      </c>
      <c r="E188" s="8" t="s">
        <v>700</v>
      </c>
      <c r="F188" s="6" t="s">
        <v>701</v>
      </c>
      <c r="G188" s="9">
        <f>IF(A188=1,"_",IF(C188="_","???",C188))</f>
        <v/>
      </c>
      <c r="H188" s="10" t="s">
        <v>12</v>
      </c>
      <c r="I188" s="11" t="s">
        <v>12</v>
      </c>
      <c r="J188" s="12"/>
    </row>
    <row r="189" spans="1:10" ht="60" customHeight="1">
      <c r="A189" s="6" t="s">
        <v>702</v>
      </c>
      <c r="B189" s="6" t="s">
        <v>16</v>
      </c>
      <c r="C189" s="6" t="s">
        <v>12</v>
      </c>
      <c r="D189" s="7" t="s">
        <v>703</v>
      </c>
      <c r="E189" s="8" t="s">
        <v>704</v>
      </c>
      <c r="F189" s="6" t="s">
        <v>705</v>
      </c>
      <c r="G189" s="9">
        <f>IF(A189=1,"_",IF(C189="_","???",C189))</f>
        <v/>
      </c>
      <c r="H189" s="10" t="s">
        <v>12</v>
      </c>
      <c r="I189" s="11" t="s">
        <v>12</v>
      </c>
      <c r="J189" s="12"/>
    </row>
    <row r="190" spans="1:10" ht="60" customHeight="1">
      <c r="A190" s="6" t="s">
        <v>706</v>
      </c>
      <c r="B190" s="6" t="s">
        <v>40</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row r="192" spans="1:10" ht="60" customHeight="1">
      <c r="A192" s="6" t="s">
        <v>714</v>
      </c>
      <c r="B192" s="6" t="s">
        <v>24</v>
      </c>
      <c r="C192" s="6" t="s">
        <v>12</v>
      </c>
      <c r="D192" s="7" t="s">
        <v>715</v>
      </c>
      <c r="E192" s="8" t="s">
        <v>716</v>
      </c>
      <c r="F192" s="6" t="s">
        <v>717</v>
      </c>
      <c r="G192" s="9">
        <f>IF(A192=1,"_",IF(C192="_","???",C192))</f>
        <v/>
      </c>
      <c r="H192" s="10" t="s">
        <v>12</v>
      </c>
      <c r="I192" s="11" t="s">
        <v>12</v>
      </c>
      <c r="J192" s="12"/>
    </row>
    <row r="193" spans="1:10" ht="60" customHeight="1">
      <c r="A193" s="6" t="s">
        <v>718</v>
      </c>
      <c r="B193" s="6" t="s">
        <v>32</v>
      </c>
      <c r="C193" s="6" t="s">
        <v>12</v>
      </c>
      <c r="D193" s="7" t="s">
        <v>37</v>
      </c>
      <c r="E193" s="8" t="s">
        <v>719</v>
      </c>
      <c r="F193" s="6" t="s">
        <v>720</v>
      </c>
      <c r="G193" s="9">
        <f>IF(A193=1,"_",IF(C193="_","???",C193))</f>
        <v/>
      </c>
      <c r="H193" s="10" t="s">
        <v>12</v>
      </c>
      <c r="I193" s="11" t="s">
        <v>12</v>
      </c>
      <c r="J193" s="12"/>
    </row>
    <row r="194" spans="1:10" ht="60" customHeight="1">
      <c r="A194" s="6" t="s">
        <v>721</v>
      </c>
      <c r="B194" s="6" t="s">
        <v>16</v>
      </c>
      <c r="C194" s="6" t="s">
        <v>12</v>
      </c>
      <c r="D194" s="7" t="s">
        <v>722</v>
      </c>
      <c r="E194" s="8" t="s">
        <v>723</v>
      </c>
      <c r="F194" s="6" t="s">
        <v>724</v>
      </c>
      <c r="G194" s="9">
        <f>IF(A194=1,"_",IF(C194="_","???",C194))</f>
        <v/>
      </c>
      <c r="H194" s="10" t="s">
        <v>12</v>
      </c>
      <c r="I194" s="11" t="s">
        <v>12</v>
      </c>
      <c r="J194" s="12"/>
    </row>
    <row r="195" spans="1:10" ht="60" customHeight="1">
      <c r="A195" s="6" t="s">
        <v>725</v>
      </c>
      <c r="B195" s="6" t="s">
        <v>32</v>
      </c>
      <c r="C195" s="6" t="s">
        <v>12</v>
      </c>
      <c r="D195" s="7" t="s">
        <v>726</v>
      </c>
      <c r="E195" s="8" t="s">
        <v>727</v>
      </c>
      <c r="F195" s="6" t="s">
        <v>728</v>
      </c>
      <c r="G195" s="9">
        <f>IF(A195=1,"_",IF(C195="_","???",C195))</f>
        <v/>
      </c>
      <c r="H195" s="10" t="s">
        <v>12</v>
      </c>
      <c r="I195" s="11" t="s">
        <v>12</v>
      </c>
      <c r="J195" s="12"/>
    </row>
    <row r="196" spans="1:10" ht="60" customHeight="1">
      <c r="A196" s="6" t="s">
        <v>729</v>
      </c>
      <c r="B196" s="6" t="s">
        <v>16</v>
      </c>
      <c r="C196" s="6" t="s">
        <v>12</v>
      </c>
      <c r="D196" s="7" t="s">
        <v>730</v>
      </c>
      <c r="E196" s="8" t="s">
        <v>731</v>
      </c>
      <c r="F196" s="6" t="s">
        <v>732</v>
      </c>
      <c r="G196" s="9">
        <f>IF(A196=1,"_",IF(C196="_","???",C196))</f>
        <v/>
      </c>
      <c r="H196" s="10" t="s">
        <v>12</v>
      </c>
      <c r="I196" s="11" t="s">
        <v>12</v>
      </c>
      <c r="J196" s="12"/>
    </row>
    <row r="197" spans="1:10" ht="60" customHeight="1">
      <c r="A197" s="6" t="s">
        <v>733</v>
      </c>
      <c r="B197" s="6" t="s">
        <v>16</v>
      </c>
      <c r="C197" s="6" t="s">
        <v>57</v>
      </c>
      <c r="D197" s="7" t="s">
        <v>470</v>
      </c>
      <c r="E197" s="8" t="s">
        <v>734</v>
      </c>
      <c r="F197" s="6" t="s">
        <v>735</v>
      </c>
      <c r="G197" s="9">
        <f>IF(A197=1,"_",IF(C197="_","???",C197))</f>
        <v/>
      </c>
      <c r="H197" s="10" t="s">
        <v>12</v>
      </c>
      <c r="I197" s="11" t="s">
        <v>12</v>
      </c>
      <c r="J197" s="12"/>
    </row>
    <row r="198" spans="1:10" ht="60" customHeight="1">
      <c r="A198" s="6" t="s">
        <v>736</v>
      </c>
      <c r="B198" s="6" t="s">
        <v>11</v>
      </c>
      <c r="C198" s="6" t="s">
        <v>12</v>
      </c>
      <c r="D198" s="7" t="s">
        <v>100</v>
      </c>
      <c r="E198" s="8" t="s">
        <v>737</v>
      </c>
      <c r="F198" s="6" t="s">
        <v>738</v>
      </c>
      <c r="G198" s="9">
        <f>IF(A198=1,"_",IF(C198="_","???",C198))</f>
        <v/>
      </c>
      <c r="H198" s="10" t="s">
        <v>12</v>
      </c>
      <c r="I198" s="11" t="s">
        <v>12</v>
      </c>
      <c r="J198" s="12"/>
    </row>
    <row r="199" spans="1:10" ht="60" customHeight="1">
      <c r="A199" s="6" t="s">
        <v>739</v>
      </c>
      <c r="B199" s="6" t="s">
        <v>11</v>
      </c>
      <c r="C199" s="6" t="s">
        <v>12</v>
      </c>
      <c r="D199" s="7" t="s">
        <v>654</v>
      </c>
      <c r="E199" s="8" t="s">
        <v>740</v>
      </c>
      <c r="F199" s="6" t="s">
        <v>741</v>
      </c>
      <c r="G199" s="9">
        <f>IF(A199=1,"_",IF(C199="_","???",C199))</f>
        <v/>
      </c>
      <c r="H199" s="10" t="s">
        <v>12</v>
      </c>
      <c r="I199" s="11" t="s">
        <v>12</v>
      </c>
      <c r="J199" s="12"/>
    </row>
    <row r="200" spans="1:10" ht="60" customHeight="1">
      <c r="A200" s="6" t="s">
        <v>742</v>
      </c>
      <c r="B200" s="6" t="s">
        <v>16</v>
      </c>
      <c r="C200" s="6" t="s">
        <v>12</v>
      </c>
      <c r="D200" s="7" t="s">
        <v>743</v>
      </c>
      <c r="E200" s="8" t="s">
        <v>744</v>
      </c>
      <c r="F200" s="6" t="s">
        <v>745</v>
      </c>
      <c r="G200" s="9">
        <f>IF(A200=1,"_",IF(C200="_","???",C200))</f>
        <v/>
      </c>
      <c r="H200" s="10" t="s">
        <v>12</v>
      </c>
      <c r="I200" s="11" t="s">
        <v>12</v>
      </c>
      <c r="J200" s="12"/>
    </row>
    <row r="201" spans="1:10" ht="60" customHeight="1">
      <c r="A201" s="6" t="s">
        <v>746</v>
      </c>
      <c r="B201" s="6" t="s">
        <v>16</v>
      </c>
      <c r="C201" s="6" t="s">
        <v>12</v>
      </c>
      <c r="D201" s="7" t="s">
        <v>100</v>
      </c>
      <c r="E201" s="8" t="s">
        <v>747</v>
      </c>
      <c r="F201" s="6" t="s">
        <v>748</v>
      </c>
      <c r="G201" s="9">
        <f>IF(A201=1,"_",IF(C201="_","???",C201))</f>
        <v/>
      </c>
      <c r="H201" s="10" t="s">
        <v>12</v>
      </c>
      <c r="I201" s="11" t="s">
        <v>12</v>
      </c>
      <c r="J201" s="12"/>
    </row>
    <row r="202" spans="1:10" ht="60" customHeight="1">
      <c r="A202" s="6" t="s">
        <v>749</v>
      </c>
      <c r="B202" s="6" t="s">
        <v>16</v>
      </c>
      <c r="C202" s="6" t="s">
        <v>12</v>
      </c>
      <c r="D202" s="7" t="s">
        <v>750</v>
      </c>
      <c r="E202" s="8" t="s">
        <v>751</v>
      </c>
      <c r="F202" s="6" t="s">
        <v>752</v>
      </c>
      <c r="G202" s="9">
        <f>IF(A202=1,"_",IF(C202="_","???",C202))</f>
        <v/>
      </c>
      <c r="H202" s="10" t="s">
        <v>12</v>
      </c>
      <c r="I202" s="11" t="s">
        <v>12</v>
      </c>
      <c r="J202" s="12"/>
    </row>
    <row r="203" spans="1:10" ht="60" customHeight="1">
      <c r="A203" s="6" t="s">
        <v>753</v>
      </c>
      <c r="B203" s="6" t="s">
        <v>24</v>
      </c>
      <c r="C203" s="6" t="s">
        <v>12</v>
      </c>
      <c r="D203" s="7" t="s">
        <v>754</v>
      </c>
      <c r="E203" s="8" t="s">
        <v>755</v>
      </c>
      <c r="F203" s="6" t="s">
        <v>756</v>
      </c>
      <c r="G203" s="9">
        <f>IF(A203=1,"_",IF(C203="_","???",C203))</f>
        <v/>
      </c>
      <c r="H203" s="10" t="s">
        <v>12</v>
      </c>
      <c r="I203" s="11" t="s">
        <v>12</v>
      </c>
      <c r="J203" s="12"/>
    </row>
    <row r="204" spans="1:10" ht="60" customHeight="1">
      <c r="A204" s="6" t="s">
        <v>757</v>
      </c>
      <c r="B204" s="6" t="s">
        <v>40</v>
      </c>
      <c r="C204" s="6" t="s">
        <v>12</v>
      </c>
      <c r="D204" s="7" t="s">
        <v>758</v>
      </c>
      <c r="E204" s="8" t="s">
        <v>759</v>
      </c>
      <c r="F204" s="6" t="s">
        <v>760</v>
      </c>
      <c r="G204" s="9">
        <f>IF(A204=1,"_",IF(C204="_","???",C204))</f>
        <v/>
      </c>
      <c r="H204" s="10" t="s">
        <v>12</v>
      </c>
      <c r="I204" s="11" t="s">
        <v>12</v>
      </c>
      <c r="J204" s="12"/>
    </row>
    <row r="205" spans="1:10" ht="60" customHeight="1">
      <c r="A205" s="6" t="s">
        <v>761</v>
      </c>
      <c r="B205" s="6" t="s">
        <v>11</v>
      </c>
      <c r="C205" s="6" t="s">
        <v>12</v>
      </c>
      <c r="D205" s="7" t="s">
        <v>241</v>
      </c>
      <c r="E205" s="8" t="s">
        <v>762</v>
      </c>
      <c r="F205" s="6" t="s">
        <v>763</v>
      </c>
      <c r="G205" s="9">
        <f>IF(A205=1,"_",IF(C205="_","???",C205))</f>
        <v/>
      </c>
      <c r="H205" s="10" t="s">
        <v>12</v>
      </c>
      <c r="I205" s="11" t="s">
        <v>12</v>
      </c>
      <c r="J205" s="12"/>
    </row>
    <row r="206" spans="1:10" ht="60" customHeight="1">
      <c r="A206" s="6" t="s">
        <v>764</v>
      </c>
      <c r="B206" s="6" t="s">
        <v>16</v>
      </c>
      <c r="C206" s="6" t="s">
        <v>12</v>
      </c>
      <c r="D206" s="7" t="s">
        <v>150</v>
      </c>
      <c r="E206" s="8" t="s">
        <v>765</v>
      </c>
      <c r="F206" s="6" t="s">
        <v>766</v>
      </c>
      <c r="G206" s="9">
        <f>IF(A206=1,"_",IF(C206="_","???",C206))</f>
        <v/>
      </c>
      <c r="H206" s="10" t="s">
        <v>12</v>
      </c>
      <c r="I206" s="11" t="s">
        <v>12</v>
      </c>
      <c r="J206" s="12"/>
    </row>
    <row r="207" spans="1:10" ht="60" customHeight="1">
      <c r="A207" s="6" t="s">
        <v>767</v>
      </c>
      <c r="B207" s="6" t="s">
        <v>16</v>
      </c>
      <c r="C207" s="6" t="s">
        <v>12</v>
      </c>
      <c r="D207" s="7" t="s">
        <v>241</v>
      </c>
      <c r="E207" s="8" t="s">
        <v>768</v>
      </c>
      <c r="F207" s="6" t="s">
        <v>769</v>
      </c>
      <c r="G207" s="9">
        <f>IF(A207=1,"_",IF(C207="_","???",C207))</f>
        <v/>
      </c>
      <c r="H207" s="10" t="s">
        <v>12</v>
      </c>
      <c r="I207" s="11" t="s">
        <v>12</v>
      </c>
      <c r="J207" s="12"/>
    </row>
    <row r="208" spans="1:10" ht="60" customHeight="1">
      <c r="A208" s="6" t="s">
        <v>770</v>
      </c>
      <c r="B208" s="6" t="s">
        <v>16</v>
      </c>
      <c r="C208" s="6" t="s">
        <v>12</v>
      </c>
      <c r="D208" s="7" t="s">
        <v>771</v>
      </c>
      <c r="E208" s="8" t="s">
        <v>772</v>
      </c>
      <c r="F208" s="6" t="s">
        <v>773</v>
      </c>
      <c r="G208" s="9">
        <f>IF(A208=1,"_",IF(C208="_","???",C208))</f>
        <v/>
      </c>
      <c r="H208" s="10" t="s">
        <v>12</v>
      </c>
      <c r="I208" s="11" t="s">
        <v>12</v>
      </c>
      <c r="J208" s="12"/>
    </row>
    <row r="209" spans="1:10" ht="60" customHeight="1">
      <c r="A209" s="6" t="s">
        <v>774</v>
      </c>
      <c r="B209" s="6" t="s">
        <v>11</v>
      </c>
      <c r="C209" s="6" t="s">
        <v>12</v>
      </c>
      <c r="D209" s="7" t="s">
        <v>100</v>
      </c>
      <c r="E209" s="8" t="s">
        <v>775</v>
      </c>
      <c r="F209" s="6" t="s">
        <v>776</v>
      </c>
      <c r="G209" s="9">
        <f>IF(A209=1,"_",IF(C209="_","???",C209))</f>
        <v/>
      </c>
      <c r="H209" s="10" t="s">
        <v>12</v>
      </c>
      <c r="I209" s="11" t="s">
        <v>12</v>
      </c>
      <c r="J209" s="12"/>
    </row>
    <row r="210" spans="1:10" ht="60" customHeight="1">
      <c r="A210" s="6" t="s">
        <v>777</v>
      </c>
      <c r="B210" s="6" t="s">
        <v>32</v>
      </c>
      <c r="C210" s="6" t="s">
        <v>12</v>
      </c>
      <c r="D210" s="7" t="s">
        <v>778</v>
      </c>
      <c r="E210" s="8" t="s">
        <v>779</v>
      </c>
      <c r="F210" s="6" t="s">
        <v>780</v>
      </c>
      <c r="G210" s="9">
        <f>IF(A210=1,"_",IF(C210="_","???",C210))</f>
        <v/>
      </c>
      <c r="H210" s="10" t="s">
        <v>12</v>
      </c>
      <c r="I210" s="11" t="s">
        <v>12</v>
      </c>
      <c r="J210" s="12"/>
    </row>
    <row r="211" spans="1:10" ht="60" customHeight="1">
      <c r="A211" s="6" t="s">
        <v>781</v>
      </c>
      <c r="B211" s="6" t="s">
        <v>10</v>
      </c>
      <c r="C211" s="6" t="s">
        <v>12</v>
      </c>
      <c r="D211" s="7" t="s">
        <v>782</v>
      </c>
      <c r="E211" s="8" t="s">
        <v>783</v>
      </c>
      <c r="F211" s="6" t="s">
        <v>784</v>
      </c>
      <c r="G211" s="9">
        <f>IF(A211=1,"_",IF(C211="_","???",C211))</f>
        <v/>
      </c>
      <c r="H211" s="10" t="s">
        <v>12</v>
      </c>
      <c r="I211" s="11" t="s">
        <v>12</v>
      </c>
      <c r="J211" s="12"/>
    </row>
    <row r="212" spans="1:10" ht="60" customHeight="1">
      <c r="A212" s="6" t="s">
        <v>785</v>
      </c>
      <c r="B212" s="6" t="s">
        <v>24</v>
      </c>
      <c r="C212" s="6" t="s">
        <v>12</v>
      </c>
      <c r="D212" s="7" t="s">
        <v>100</v>
      </c>
      <c r="E212" s="8" t="s">
        <v>786</v>
      </c>
      <c r="F212" s="6" t="s">
        <v>787</v>
      </c>
      <c r="G212" s="9">
        <f>IF(A212=1,"_",IF(C212="_","???",C212))</f>
        <v/>
      </c>
      <c r="H212" s="10" t="s">
        <v>12</v>
      </c>
      <c r="I212" s="11" t="s">
        <v>12</v>
      </c>
      <c r="J212" s="12"/>
    </row>
    <row r="213" spans="1:10" ht="60" customHeight="1">
      <c r="A213" s="6" t="s">
        <v>788</v>
      </c>
      <c r="B213" s="6" t="s">
        <v>114</v>
      </c>
      <c r="C213" s="6" t="s">
        <v>12</v>
      </c>
      <c r="D213" s="7" t="s">
        <v>789</v>
      </c>
      <c r="E213" s="8" t="s">
        <v>790</v>
      </c>
      <c r="F213" s="6" t="s">
        <v>791</v>
      </c>
      <c r="G213" s="9">
        <f>IF(A213=1,"_",IF(C213="_","???",C213))</f>
        <v/>
      </c>
      <c r="H213" s="10" t="s">
        <v>12</v>
      </c>
      <c r="I213" s="11" t="s">
        <v>12</v>
      </c>
      <c r="J213" s="12"/>
    </row>
    <row r="214" spans="1:10" ht="60" customHeight="1">
      <c r="A214" s="6" t="s">
        <v>792</v>
      </c>
      <c r="B214" s="6" t="s">
        <v>24</v>
      </c>
      <c r="C214" s="6" t="s">
        <v>12</v>
      </c>
      <c r="D214" s="7" t="s">
        <v>793</v>
      </c>
      <c r="E214" s="8" t="s">
        <v>794</v>
      </c>
      <c r="F214" s="6" t="s">
        <v>795</v>
      </c>
      <c r="G214" s="9">
        <f>IF(A214=1,"_",IF(C214="_","???",C214))</f>
        <v/>
      </c>
      <c r="H214" s="10" t="s">
        <v>12</v>
      </c>
      <c r="I214" s="11" t="s">
        <v>12</v>
      </c>
      <c r="J214" s="12"/>
    </row>
    <row r="215" spans="1:10" ht="60" customHeight="1">
      <c r="A215" s="6" t="s">
        <v>796</v>
      </c>
      <c r="B215" s="6" t="s">
        <v>16</v>
      </c>
      <c r="C215" s="6" t="s">
        <v>12</v>
      </c>
      <c r="D215" s="7" t="s">
        <v>797</v>
      </c>
      <c r="E215" s="8" t="s">
        <v>798</v>
      </c>
      <c r="F215" s="6" t="s">
        <v>799</v>
      </c>
      <c r="G215" s="9">
        <f>IF(A215=1,"_",IF(C215="_","???",C215))</f>
        <v/>
      </c>
      <c r="H215" s="10" t="s">
        <v>12</v>
      </c>
      <c r="I215" s="11" t="s">
        <v>12</v>
      </c>
      <c r="J215" s="12"/>
    </row>
    <row r="216" spans="1:10" ht="60" customHeight="1">
      <c r="A216" s="6" t="s">
        <v>800</v>
      </c>
      <c r="B216" s="6" t="s">
        <v>16</v>
      </c>
      <c r="C216" s="6" t="s">
        <v>12</v>
      </c>
      <c r="D216" s="7" t="s">
        <v>665</v>
      </c>
      <c r="E216" s="8" t="s">
        <v>801</v>
      </c>
      <c r="F216" s="6" t="s">
        <v>802</v>
      </c>
      <c r="G216" s="9">
        <f>IF(A216=1,"_",IF(C216="_","???",C216))</f>
        <v/>
      </c>
      <c r="H216" s="10" t="s">
        <v>12</v>
      </c>
      <c r="I216" s="11" t="s">
        <v>12</v>
      </c>
      <c r="J216" s="12"/>
    </row>
    <row r="217" spans="1:10" ht="60" customHeight="1">
      <c r="A217" s="6" t="s">
        <v>803</v>
      </c>
      <c r="B217" s="6" t="s">
        <v>11</v>
      </c>
      <c r="C217" s="6" t="s">
        <v>12</v>
      </c>
      <c r="D217" s="7" t="s">
        <v>100</v>
      </c>
      <c r="E217" s="8" t="s">
        <v>804</v>
      </c>
      <c r="F217" s="6" t="s">
        <v>805</v>
      </c>
      <c r="G217" s="9">
        <f>IF(A217=1,"_",IF(C217="_","???",C217))</f>
        <v/>
      </c>
      <c r="H217" s="10" t="s">
        <v>12</v>
      </c>
      <c r="I217" s="11" t="s">
        <v>12</v>
      </c>
      <c r="J217" s="12"/>
    </row>
    <row r="218" spans="1:10" ht="60" customHeight="1">
      <c r="A218" s="6" t="s">
        <v>806</v>
      </c>
      <c r="B218" s="6" t="s">
        <v>11</v>
      </c>
      <c r="C218" s="6" t="s">
        <v>12</v>
      </c>
      <c r="D218" s="7" t="s">
        <v>807</v>
      </c>
      <c r="E218" s="8" t="s">
        <v>808</v>
      </c>
      <c r="F218" s="6" t="s">
        <v>809</v>
      </c>
      <c r="G218" s="9">
        <f>IF(A218=1,"_",IF(C218="_","???",C218))</f>
        <v/>
      </c>
      <c r="H218" s="10" t="s">
        <v>12</v>
      </c>
      <c r="I218" s="11" t="s">
        <v>12</v>
      </c>
      <c r="J218" s="12"/>
    </row>
    <row r="219" spans="1:10" ht="60" customHeight="1">
      <c r="A219" s="6" t="s">
        <v>810</v>
      </c>
      <c r="B219" s="6" t="s">
        <v>10</v>
      </c>
      <c r="C219" s="6" t="s">
        <v>12</v>
      </c>
      <c r="D219" s="7" t="s">
        <v>811</v>
      </c>
      <c r="E219" s="8" t="s">
        <v>812</v>
      </c>
      <c r="F219" s="6" t="s">
        <v>813</v>
      </c>
      <c r="G219" s="9">
        <f>IF(A219=1,"_",IF(C219="_","???",C219))</f>
        <v/>
      </c>
      <c r="H219" s="10" t="s">
        <v>12</v>
      </c>
      <c r="I219" s="11" t="s">
        <v>12</v>
      </c>
      <c r="J219" s="12"/>
    </row>
    <row r="220" spans="1:10" ht="60" customHeight="1">
      <c r="A220" s="6" t="s">
        <v>814</v>
      </c>
      <c r="B220" s="6" t="s">
        <v>16</v>
      </c>
      <c r="C220" s="6" t="s">
        <v>12</v>
      </c>
      <c r="D220" s="7" t="s">
        <v>815</v>
      </c>
      <c r="E220" s="8" t="s">
        <v>816</v>
      </c>
      <c r="F220" s="6" t="s">
        <v>817</v>
      </c>
      <c r="G220" s="9">
        <f>IF(A220=1,"_",IF(C220="_","???",C220))</f>
        <v/>
      </c>
      <c r="H220" s="10" t="s">
        <v>12</v>
      </c>
      <c r="I220" s="11" t="s">
        <v>12</v>
      </c>
      <c r="J220" s="12"/>
    </row>
    <row r="221" spans="1:10" ht="60" customHeight="1">
      <c r="A221" s="6" t="s">
        <v>818</v>
      </c>
      <c r="B221" s="6" t="s">
        <v>11</v>
      </c>
      <c r="C221" s="6" t="s">
        <v>12</v>
      </c>
      <c r="D221" s="7" t="s">
        <v>470</v>
      </c>
      <c r="E221" s="8" t="s">
        <v>819</v>
      </c>
      <c r="F221" s="6" t="s">
        <v>820</v>
      </c>
      <c r="G221" s="9">
        <f>IF(A221=1,"_",IF(C221="_","???",C221))</f>
        <v/>
      </c>
      <c r="H221" s="10" t="s">
        <v>12</v>
      </c>
      <c r="I221" s="11" t="s">
        <v>12</v>
      </c>
      <c r="J221" s="12"/>
    </row>
    <row r="222" spans="1:10" ht="60" customHeight="1">
      <c r="A222" s="6" t="s">
        <v>821</v>
      </c>
      <c r="B222" s="6" t="s">
        <v>16</v>
      </c>
      <c r="C222" s="6" t="s">
        <v>12</v>
      </c>
      <c r="D222" s="7" t="s">
        <v>514</v>
      </c>
      <c r="E222" s="8" t="s">
        <v>822</v>
      </c>
      <c r="F222" s="6" t="s">
        <v>823</v>
      </c>
      <c r="G222" s="9">
        <f>IF(A222=1,"_",IF(C222="_","???",C222))</f>
        <v/>
      </c>
      <c r="H222" s="10" t="s">
        <v>12</v>
      </c>
      <c r="I222" s="11" t="s">
        <v>12</v>
      </c>
      <c r="J222" s="12"/>
    </row>
    <row r="223" spans="1:10" ht="60" customHeight="1">
      <c r="A223" s="6" t="s">
        <v>824</v>
      </c>
      <c r="B223" s="6" t="s">
        <v>16</v>
      </c>
      <c r="C223" s="6" t="s">
        <v>12</v>
      </c>
      <c r="D223" s="7" t="s">
        <v>150</v>
      </c>
      <c r="E223" s="8" t="s">
        <v>825</v>
      </c>
      <c r="F223" s="6" t="s">
        <v>826</v>
      </c>
      <c r="G223" s="9">
        <f>IF(A223=1,"_",IF(C223="_","???",C223))</f>
        <v/>
      </c>
      <c r="H223" s="10" t="s">
        <v>12</v>
      </c>
      <c r="I223" s="11" t="s">
        <v>12</v>
      </c>
      <c r="J223" s="12"/>
    </row>
    <row r="224" spans="1:10" ht="60" customHeight="1">
      <c r="A224" s="6" t="s">
        <v>827</v>
      </c>
      <c r="B224" s="6" t="s">
        <v>16</v>
      </c>
      <c r="C224" s="6" t="s">
        <v>12</v>
      </c>
      <c r="D224" s="7" t="s">
        <v>828</v>
      </c>
      <c r="E224" s="8" t="s">
        <v>829</v>
      </c>
      <c r="F224" s="6" t="s">
        <v>830</v>
      </c>
      <c r="G224" s="9">
        <f>IF(A224=1,"_",IF(C224="_","???",C224))</f>
        <v/>
      </c>
      <c r="H224" s="10" t="s">
        <v>12</v>
      </c>
      <c r="I224" s="11" t="s">
        <v>12</v>
      </c>
      <c r="J224" s="12"/>
    </row>
    <row r="225" spans="1:10" ht="60" customHeight="1">
      <c r="A225" s="6" t="s">
        <v>831</v>
      </c>
      <c r="B225" s="6" t="s">
        <v>11</v>
      </c>
      <c r="C225" s="6" t="s">
        <v>12</v>
      </c>
      <c r="D225" s="7" t="s">
        <v>100</v>
      </c>
      <c r="E225" s="8" t="s">
        <v>832</v>
      </c>
      <c r="F225" s="6" t="s">
        <v>833</v>
      </c>
      <c r="G225" s="9">
        <f>IF(A225=1,"_",IF(C225="_","???",C225))</f>
        <v/>
      </c>
      <c r="H225" s="10" t="s">
        <v>12</v>
      </c>
      <c r="I225" s="11" t="s">
        <v>12</v>
      </c>
      <c r="J225" s="12"/>
    </row>
    <row r="226" spans="1:10" ht="60" customHeight="1">
      <c r="A226" s="6" t="s">
        <v>834</v>
      </c>
      <c r="B226" s="6" t="s">
        <v>24</v>
      </c>
      <c r="C226" s="6" t="s">
        <v>12</v>
      </c>
      <c r="D226" s="7" t="s">
        <v>835</v>
      </c>
      <c r="E226" s="8" t="s">
        <v>836</v>
      </c>
      <c r="F226" s="6" t="s">
        <v>837</v>
      </c>
      <c r="G226" s="9">
        <f>IF(A226=1,"_",IF(C226="_","???",C226))</f>
        <v/>
      </c>
      <c r="H226" s="10" t="s">
        <v>12</v>
      </c>
      <c r="I226" s="11" t="s">
        <v>12</v>
      </c>
      <c r="J226" s="12"/>
    </row>
    <row r="227" spans="1:10" ht="60" customHeight="1">
      <c r="A227" s="6" t="s">
        <v>838</v>
      </c>
      <c r="B227" s="6" t="s">
        <v>16</v>
      </c>
      <c r="C227" s="6" t="s">
        <v>12</v>
      </c>
      <c r="D227" s="7" t="s">
        <v>839</v>
      </c>
      <c r="E227" s="8" t="s">
        <v>840</v>
      </c>
      <c r="F227" s="6" t="s">
        <v>841</v>
      </c>
      <c r="G227" s="9">
        <f>IF(A227=1,"_",IF(C227="_","???",C227))</f>
        <v/>
      </c>
      <c r="H227" s="10" t="s">
        <v>12</v>
      </c>
      <c r="I227" s="11" t="s">
        <v>12</v>
      </c>
      <c r="J227" s="12"/>
    </row>
    <row r="228" spans="1:10" ht="60" customHeight="1">
      <c r="A228" s="6" t="s">
        <v>842</v>
      </c>
      <c r="B228" s="6" t="s">
        <v>11</v>
      </c>
      <c r="C228" s="6" t="s">
        <v>12</v>
      </c>
      <c r="D228" s="7" t="s">
        <v>610</v>
      </c>
      <c r="E228" s="8" t="s">
        <v>843</v>
      </c>
      <c r="F228" s="6" t="s">
        <v>844</v>
      </c>
      <c r="G228" s="9">
        <f>IF(A228=1,"_",IF(C228="_","???",C228))</f>
        <v/>
      </c>
      <c r="H228" s="10" t="s">
        <v>12</v>
      </c>
      <c r="I228" s="11" t="s">
        <v>12</v>
      </c>
      <c r="J228" s="12"/>
    </row>
    <row r="229" spans="1:10" ht="60" customHeight="1">
      <c r="A229" s="6" t="s">
        <v>845</v>
      </c>
      <c r="B229" s="6" t="s">
        <v>52</v>
      </c>
      <c r="C229" s="6" t="s">
        <v>12</v>
      </c>
      <c r="D229" s="7" t="s">
        <v>846</v>
      </c>
      <c r="E229" s="8" t="s">
        <v>847</v>
      </c>
      <c r="F229" s="6" t="s">
        <v>848</v>
      </c>
      <c r="G229" s="9">
        <f>IF(A229=1,"_",IF(C229="_","???",C229))</f>
        <v/>
      </c>
      <c r="H229" s="10" t="s">
        <v>12</v>
      </c>
      <c r="I229" s="11" t="s">
        <v>12</v>
      </c>
      <c r="J229" s="12"/>
    </row>
    <row r="230" spans="1:10" ht="60" customHeight="1">
      <c r="A230" s="6" t="s">
        <v>849</v>
      </c>
      <c r="B230" s="6" t="s">
        <v>16</v>
      </c>
      <c r="C230" s="6" t="s">
        <v>12</v>
      </c>
      <c r="D230" s="7" t="s">
        <v>610</v>
      </c>
      <c r="E230" s="8" t="s">
        <v>850</v>
      </c>
      <c r="F230" s="6" t="s">
        <v>851</v>
      </c>
      <c r="G230" s="9">
        <f>IF(A230=1,"_",IF(C230="_","???",C230))</f>
        <v/>
      </c>
      <c r="H230" s="10" t="s">
        <v>12</v>
      </c>
      <c r="I230" s="11" t="s">
        <v>12</v>
      </c>
      <c r="J230" s="12"/>
    </row>
    <row r="231" spans="1:10" ht="60" customHeight="1">
      <c r="A231" s="6" t="s">
        <v>852</v>
      </c>
      <c r="B231" s="6" t="s">
        <v>24</v>
      </c>
      <c r="C231" s="6" t="s">
        <v>12</v>
      </c>
      <c r="D231" s="7" t="s">
        <v>610</v>
      </c>
      <c r="E231" s="8" t="s">
        <v>853</v>
      </c>
      <c r="F231" s="6" t="s">
        <v>854</v>
      </c>
      <c r="G231" s="9">
        <f>IF(A231=1,"_",IF(C231="_","???",C231))</f>
        <v/>
      </c>
      <c r="H231" s="10" t="s">
        <v>12</v>
      </c>
      <c r="I231" s="11" t="s">
        <v>12</v>
      </c>
      <c r="J231" s="12"/>
    </row>
    <row r="232" spans="1:10" ht="60" customHeight="1">
      <c r="A232" s="6" t="s">
        <v>855</v>
      </c>
      <c r="B232" s="6" t="s">
        <v>16</v>
      </c>
      <c r="C232" s="6" t="s">
        <v>146</v>
      </c>
      <c r="D232" s="7" t="s">
        <v>470</v>
      </c>
      <c r="E232" s="8" t="s">
        <v>856</v>
      </c>
      <c r="F232" s="6" t="s">
        <v>857</v>
      </c>
      <c r="G232" s="9">
        <f>IF(A232=1,"_",IF(C232="_","???",C232))</f>
        <v/>
      </c>
      <c r="H232" s="10" t="s">
        <v>12</v>
      </c>
      <c r="I232" s="11" t="s">
        <v>12</v>
      </c>
      <c r="J232" s="12"/>
    </row>
    <row r="233" spans="1:10" ht="60" customHeight="1">
      <c r="A233" s="6" t="s">
        <v>858</v>
      </c>
      <c r="B233" s="6" t="s">
        <v>76</v>
      </c>
      <c r="C233" s="6" t="s">
        <v>12</v>
      </c>
      <c r="D233" s="7" t="s">
        <v>859</v>
      </c>
      <c r="E233" s="8" t="s">
        <v>860</v>
      </c>
      <c r="F233" s="6" t="s">
        <v>861</v>
      </c>
      <c r="G233" s="9">
        <f>IF(A233=1,"_",IF(C233="_","???",C233))</f>
        <v/>
      </c>
      <c r="H233" s="10" t="s">
        <v>12</v>
      </c>
      <c r="I233" s="11" t="s">
        <v>12</v>
      </c>
      <c r="J233" s="12"/>
    </row>
    <row r="234" spans="1:10" ht="60" customHeight="1">
      <c r="A234" s="6" t="s">
        <v>862</v>
      </c>
      <c r="B234" s="6" t="s">
        <v>16</v>
      </c>
      <c r="C234" s="6" t="s">
        <v>146</v>
      </c>
      <c r="D234" s="7" t="s">
        <v>263</v>
      </c>
      <c r="E234" s="8" t="s">
        <v>863</v>
      </c>
      <c r="F234" s="6" t="s">
        <v>864</v>
      </c>
      <c r="G234" s="9">
        <f>IF(A234=1,"_",IF(C234="_","???",C234))</f>
        <v/>
      </c>
      <c r="H234" s="10" t="s">
        <v>12</v>
      </c>
      <c r="I234" s="11" t="s">
        <v>12</v>
      </c>
      <c r="J234" s="12"/>
    </row>
    <row r="235" spans="1:10" ht="60" customHeight="1">
      <c r="A235" s="6" t="s">
        <v>865</v>
      </c>
      <c r="B235" s="6" t="s">
        <v>80</v>
      </c>
      <c r="C235" s="6" t="s">
        <v>12</v>
      </c>
      <c r="D235" s="7" t="s">
        <v>866</v>
      </c>
      <c r="E235" s="8" t="s">
        <v>867</v>
      </c>
      <c r="F235" s="6" t="s">
        <v>868</v>
      </c>
      <c r="G235" s="9">
        <f>IF(A235=1,"_",IF(C235="_","???",C235))</f>
        <v/>
      </c>
      <c r="H235" s="10" t="s">
        <v>12</v>
      </c>
      <c r="I235" s="11" t="s">
        <v>12</v>
      </c>
      <c r="J235" s="12"/>
    </row>
    <row r="236" spans="1:10" ht="60" customHeight="1">
      <c r="A236" s="6" t="s">
        <v>869</v>
      </c>
      <c r="B236" s="6" t="s">
        <v>24</v>
      </c>
      <c r="C236" s="6" t="s">
        <v>12</v>
      </c>
      <c r="D236" s="7" t="s">
        <v>870</v>
      </c>
      <c r="E236" s="8" t="s">
        <v>871</v>
      </c>
      <c r="F236" s="6" t="s">
        <v>872</v>
      </c>
      <c r="G236" s="9">
        <f>IF(A236=1,"_",IF(C236="_","???",C236))</f>
        <v/>
      </c>
      <c r="H236" s="10" t="s">
        <v>12</v>
      </c>
      <c r="I236" s="11" t="s">
        <v>12</v>
      </c>
      <c r="J236" s="12"/>
    </row>
    <row r="237" spans="1:10" ht="60" customHeight="1">
      <c r="A237" s="6" t="s">
        <v>873</v>
      </c>
      <c r="B237" s="6" t="s">
        <v>40</v>
      </c>
      <c r="C237" s="6" t="s">
        <v>12</v>
      </c>
      <c r="D237" s="7" t="s">
        <v>874</v>
      </c>
      <c r="E237" s="8" t="s">
        <v>875</v>
      </c>
      <c r="F237" s="6" t="s">
        <v>876</v>
      </c>
      <c r="G237" s="9">
        <f>IF(A237=1,"_",IF(C237="_","???",C237))</f>
        <v/>
      </c>
      <c r="H237" s="10" t="s">
        <v>12</v>
      </c>
      <c r="I237" s="11" t="s">
        <v>12</v>
      </c>
      <c r="J237" s="12"/>
    </row>
    <row r="238" spans="1:10" ht="60" customHeight="1">
      <c r="A238" s="6" t="s">
        <v>877</v>
      </c>
      <c r="B238" s="6" t="s">
        <v>48</v>
      </c>
      <c r="C238" s="6" t="s">
        <v>12</v>
      </c>
      <c r="D238" s="7" t="s">
        <v>878</v>
      </c>
      <c r="E238" s="8" t="s">
        <v>879</v>
      </c>
      <c r="F238" s="6" t="s">
        <v>880</v>
      </c>
      <c r="G238" s="9">
        <f>IF(A238=1,"_",IF(C238="_","???",C238))</f>
        <v/>
      </c>
      <c r="H238" s="10" t="s">
        <v>12</v>
      </c>
      <c r="I238" s="11" t="s">
        <v>12</v>
      </c>
      <c r="J238" s="12"/>
    </row>
    <row r="239" spans="1:10" ht="60" customHeight="1">
      <c r="A239" s="6" t="s">
        <v>881</v>
      </c>
      <c r="B239" s="6" t="s">
        <v>44</v>
      </c>
      <c r="C239" s="6" t="s">
        <v>12</v>
      </c>
      <c r="D239" s="7" t="s">
        <v>878</v>
      </c>
      <c r="E239" s="8" t="s">
        <v>882</v>
      </c>
      <c r="F239" s="6" t="s">
        <v>883</v>
      </c>
      <c r="G239" s="9">
        <f>IF(A239=1,"_",IF(C239="_","???",C239))</f>
        <v/>
      </c>
      <c r="H239" s="10" t="s">
        <v>12</v>
      </c>
      <c r="I239" s="11" t="s">
        <v>12</v>
      </c>
      <c r="J239" s="12"/>
    </row>
    <row r="240" spans="1:10" ht="60" customHeight="1">
      <c r="A240" s="6" t="s">
        <v>884</v>
      </c>
      <c r="B240" s="6" t="s">
        <v>16</v>
      </c>
      <c r="C240" s="6" t="s">
        <v>12</v>
      </c>
      <c r="D240" s="7" t="s">
        <v>100</v>
      </c>
      <c r="E240" s="8" t="s">
        <v>885</v>
      </c>
      <c r="F240" s="6" t="s">
        <v>886</v>
      </c>
      <c r="G240" s="9">
        <f>IF(A240=1,"_",IF(C240="_","???",C240))</f>
        <v/>
      </c>
      <c r="H240" s="10" t="s">
        <v>12</v>
      </c>
      <c r="I240" s="11" t="s">
        <v>12</v>
      </c>
      <c r="J240" s="12"/>
    </row>
    <row r="241" spans="1:10" ht="60" customHeight="1">
      <c r="A241" s="6" t="s">
        <v>887</v>
      </c>
      <c r="B241" s="6" t="s">
        <v>16</v>
      </c>
      <c r="C241" s="6" t="s">
        <v>12</v>
      </c>
      <c r="D241" s="7" t="s">
        <v>888</v>
      </c>
      <c r="E241" s="8" t="s">
        <v>889</v>
      </c>
      <c r="F241" s="6" t="s">
        <v>890</v>
      </c>
      <c r="G241" s="9">
        <f>IF(A241=1,"_",IF(C241="_","???",C241))</f>
        <v/>
      </c>
      <c r="H241" s="10" t="s">
        <v>12</v>
      </c>
      <c r="I241" s="11" t="s">
        <v>12</v>
      </c>
      <c r="J241" s="12"/>
    </row>
    <row r="242" spans="1:10" ht="60" customHeight="1">
      <c r="A242" s="6" t="s">
        <v>891</v>
      </c>
      <c r="B242" s="6" t="s">
        <v>16</v>
      </c>
      <c r="C242" s="6" t="s">
        <v>12</v>
      </c>
      <c r="D242" s="7" t="s">
        <v>892</v>
      </c>
      <c r="E242" s="8" t="s">
        <v>893</v>
      </c>
      <c r="F242" s="6" t="s">
        <v>894</v>
      </c>
      <c r="G242" s="9">
        <f>IF(A242=1,"_",IF(C242="_","???",C242))</f>
        <v/>
      </c>
      <c r="H242" s="10" t="s">
        <v>12</v>
      </c>
      <c r="I242" s="11" t="s">
        <v>12</v>
      </c>
      <c r="J242" s="12"/>
    </row>
    <row r="243" spans="1:10" ht="60" customHeight="1">
      <c r="A243" s="6" t="s">
        <v>895</v>
      </c>
      <c r="B243" s="6" t="s">
        <v>167</v>
      </c>
      <c r="C243" s="6" t="s">
        <v>12</v>
      </c>
      <c r="D243" s="7" t="s">
        <v>428</v>
      </c>
      <c r="E243" s="8" t="s">
        <v>896</v>
      </c>
      <c r="F243" s="6" t="s">
        <v>897</v>
      </c>
      <c r="G243" s="9">
        <f>IF(A243=1,"_",IF(C243="_","???",C243))</f>
        <v/>
      </c>
      <c r="H243" s="10" t="s">
        <v>12</v>
      </c>
      <c r="I243" s="11" t="s">
        <v>12</v>
      </c>
      <c r="J243" s="12"/>
    </row>
    <row r="244" spans="1:10" ht="60" customHeight="1">
      <c r="A244" s="6" t="s">
        <v>898</v>
      </c>
      <c r="B244" s="6" t="s">
        <v>11</v>
      </c>
      <c r="C244" s="6" t="s">
        <v>12</v>
      </c>
      <c r="D244" s="7" t="s">
        <v>899</v>
      </c>
      <c r="E244" s="8" t="s">
        <v>900</v>
      </c>
      <c r="F244" s="6" t="s">
        <v>901</v>
      </c>
      <c r="G244" s="9">
        <f>IF(A244=1,"_",IF(C244="_","???",C244))</f>
        <v/>
      </c>
      <c r="H244" s="10" t="s">
        <v>12</v>
      </c>
      <c r="I244" s="11" t="s">
        <v>12</v>
      </c>
      <c r="J244" s="12"/>
    </row>
    <row r="245" spans="1:10" ht="60" customHeight="1">
      <c r="A245" s="6" t="s">
        <v>902</v>
      </c>
      <c r="B245" s="6" t="s">
        <v>16</v>
      </c>
      <c r="C245" s="6" t="s">
        <v>12</v>
      </c>
      <c r="D245" s="7" t="s">
        <v>903</v>
      </c>
      <c r="E245" s="8" t="s">
        <v>904</v>
      </c>
      <c r="F245" s="6" t="s">
        <v>905</v>
      </c>
      <c r="G245" s="9">
        <f>IF(A245=1,"_",IF(C245="_","???",C245))</f>
        <v/>
      </c>
      <c r="H245" s="10" t="s">
        <v>12</v>
      </c>
      <c r="I245" s="11" t="s">
        <v>12</v>
      </c>
      <c r="J245" s="12"/>
    </row>
    <row r="246" spans="1:10" ht="60" customHeight="1">
      <c r="A246" s="6" t="s">
        <v>906</v>
      </c>
      <c r="B246" s="6" t="s">
        <v>11</v>
      </c>
      <c r="C246" s="6" t="s">
        <v>12</v>
      </c>
      <c r="D246" s="7" t="s">
        <v>907</v>
      </c>
      <c r="E246" s="8" t="s">
        <v>908</v>
      </c>
      <c r="F246" s="6" t="s">
        <v>909</v>
      </c>
      <c r="G246" s="9">
        <f>IF(A246=1,"_",IF(C246="_","???",C246))</f>
        <v/>
      </c>
      <c r="H246" s="10" t="s">
        <v>12</v>
      </c>
      <c r="I246" s="11" t="s">
        <v>12</v>
      </c>
      <c r="J246" s="12"/>
    </row>
    <row r="247" spans="1:10" ht="60" customHeight="1">
      <c r="A247" s="6" t="s">
        <v>910</v>
      </c>
      <c r="B247" s="6" t="s">
        <v>16</v>
      </c>
      <c r="C247" s="6" t="s">
        <v>146</v>
      </c>
      <c r="D247" s="7" t="s">
        <v>643</v>
      </c>
      <c r="E247" s="8" t="s">
        <v>911</v>
      </c>
      <c r="F247" s="6" t="s">
        <v>912</v>
      </c>
      <c r="G247" s="9">
        <f>IF(A247=1,"_",IF(C247="_","???",C247))</f>
        <v/>
      </c>
      <c r="H247" s="10" t="s">
        <v>12</v>
      </c>
      <c r="I247" s="11" t="s">
        <v>12</v>
      </c>
      <c r="J247" s="12"/>
    </row>
    <row r="248" spans="1:10" ht="60" customHeight="1">
      <c r="A248" s="6" t="s">
        <v>913</v>
      </c>
      <c r="B248" s="6" t="s">
        <v>17</v>
      </c>
      <c r="C248" s="6" t="s">
        <v>12</v>
      </c>
      <c r="D248" s="7" t="s">
        <v>914</v>
      </c>
      <c r="E248" s="8" t="s">
        <v>915</v>
      </c>
      <c r="F248" s="6" t="s">
        <v>916</v>
      </c>
      <c r="G248" s="9">
        <f>IF(A248=1,"_",IF(C248="_","???",C248))</f>
        <v/>
      </c>
      <c r="H248" s="10" t="s">
        <v>12</v>
      </c>
      <c r="I248" s="11" t="s">
        <v>12</v>
      </c>
      <c r="J248" s="12"/>
    </row>
    <row r="249" spans="1:10" ht="60" customHeight="1">
      <c r="A249" s="6" t="s">
        <v>917</v>
      </c>
      <c r="B249" s="6" t="s">
        <v>16</v>
      </c>
      <c r="C249" s="6" t="s">
        <v>12</v>
      </c>
      <c r="D249" s="7" t="s">
        <v>267</v>
      </c>
      <c r="E249" s="8" t="s">
        <v>918</v>
      </c>
      <c r="F249" s="6" t="s">
        <v>919</v>
      </c>
      <c r="G249" s="9">
        <f>IF(A249=1,"_",IF(C249="_","???",C249))</f>
        <v/>
      </c>
      <c r="H249" s="10" t="s">
        <v>12</v>
      </c>
      <c r="I249" s="11" t="s">
        <v>12</v>
      </c>
      <c r="J249" s="12"/>
    </row>
    <row r="250" spans="1:10" ht="60" customHeight="1">
      <c r="A250" s="6" t="s">
        <v>920</v>
      </c>
      <c r="B250" s="6" t="s">
        <v>16</v>
      </c>
      <c r="C250" s="6" t="s">
        <v>12</v>
      </c>
      <c r="D250" s="7" t="s">
        <v>267</v>
      </c>
      <c r="E250" s="8" t="s">
        <v>921</v>
      </c>
      <c r="F250" s="6" t="s">
        <v>922</v>
      </c>
      <c r="G250" s="9">
        <f>IF(A250=1,"_",IF(C250="_","???",C250))</f>
        <v/>
      </c>
      <c r="H250" s="10" t="s">
        <v>12</v>
      </c>
      <c r="I250" s="11" t="s">
        <v>12</v>
      </c>
      <c r="J250" s="12"/>
    </row>
    <row r="251" spans="1:10" ht="60" customHeight="1">
      <c r="A251" s="6" t="s">
        <v>923</v>
      </c>
      <c r="B251" s="6" t="s">
        <v>17</v>
      </c>
      <c r="C251" s="6" t="s">
        <v>12</v>
      </c>
      <c r="D251" s="7" t="s">
        <v>924</v>
      </c>
      <c r="E251" s="8" t="s">
        <v>925</v>
      </c>
      <c r="F251" s="6" t="s">
        <v>926</v>
      </c>
      <c r="G251" s="9">
        <f>IF(A251=1,"_",IF(C251="_","???",C251))</f>
        <v/>
      </c>
      <c r="H251" s="10" t="s">
        <v>12</v>
      </c>
      <c r="I251" s="11" t="s">
        <v>12</v>
      </c>
      <c r="J251" s="12"/>
    </row>
    <row r="252" spans="1:10" ht="60" customHeight="1">
      <c r="A252" s="6" t="s">
        <v>927</v>
      </c>
      <c r="B252" s="6" t="s">
        <v>28</v>
      </c>
      <c r="C252" s="6" t="s">
        <v>12</v>
      </c>
      <c r="D252" s="7" t="s">
        <v>62</v>
      </c>
      <c r="E252" s="8" t="s">
        <v>928</v>
      </c>
      <c r="F252" s="6" t="s">
        <v>929</v>
      </c>
      <c r="G252" s="9">
        <f>IF(A252=1,"_",IF(C252="_","???",C252))</f>
        <v/>
      </c>
      <c r="H252" s="10" t="s">
        <v>12</v>
      </c>
      <c r="I252" s="11" t="s">
        <v>12</v>
      </c>
      <c r="J252" s="12"/>
    </row>
    <row r="253" spans="1:10" ht="60" customHeight="1">
      <c r="A253" s="6" t="s">
        <v>930</v>
      </c>
      <c r="B253" s="6" t="s">
        <v>91</v>
      </c>
      <c r="C253" s="6" t="s">
        <v>146</v>
      </c>
      <c r="D253" s="7" t="s">
        <v>931</v>
      </c>
      <c r="E253" s="8" t="s">
        <v>932</v>
      </c>
      <c r="F253" s="6" t="s">
        <v>933</v>
      </c>
      <c r="G253" s="9">
        <f>IF(A253=1,"_",IF(C253="_","???",C253))</f>
        <v/>
      </c>
      <c r="H253" s="10" t="s">
        <v>12</v>
      </c>
      <c r="I253" s="11" t="s">
        <v>12</v>
      </c>
      <c r="J253" s="12"/>
    </row>
    <row r="254" spans="1:10" ht="60" customHeight="1">
      <c r="A254" s="6" t="s">
        <v>934</v>
      </c>
      <c r="B254" s="6" t="s">
        <v>99</v>
      </c>
      <c r="C254" s="6" t="s">
        <v>12</v>
      </c>
      <c r="D254" s="7" t="s">
        <v>635</v>
      </c>
      <c r="E254" s="8" t="s">
        <v>935</v>
      </c>
      <c r="F254" s="6" t="s">
        <v>936</v>
      </c>
      <c r="G254" s="9">
        <f>IF(A254=1,"_",IF(C254="_","???",C254))</f>
        <v/>
      </c>
      <c r="H254" s="10" t="s">
        <v>12</v>
      </c>
      <c r="I254" s="11" t="s">
        <v>12</v>
      </c>
      <c r="J254" s="12"/>
    </row>
    <row r="255" spans="1:10" ht="60" customHeight="1">
      <c r="A255" s="6" t="s">
        <v>937</v>
      </c>
      <c r="B255" s="6" t="s">
        <v>16</v>
      </c>
      <c r="C255" s="6" t="s">
        <v>12</v>
      </c>
      <c r="D255" s="7" t="s">
        <v>938</v>
      </c>
      <c r="E255" s="8" t="s">
        <v>939</v>
      </c>
      <c r="F255" s="6" t="s">
        <v>940</v>
      </c>
      <c r="G255" s="9">
        <f>IF(A255=1,"_",IF(C255="_","???",C255))</f>
        <v/>
      </c>
      <c r="H255" s="10" t="s">
        <v>12</v>
      </c>
      <c r="I255" s="11" t="s">
        <v>12</v>
      </c>
      <c r="J255" s="12"/>
    </row>
    <row r="256" spans="1:10" ht="60" customHeight="1">
      <c r="A256" s="6" t="s">
        <v>941</v>
      </c>
      <c r="B256" s="6" t="s">
        <v>103</v>
      </c>
      <c r="C256" s="6" t="s">
        <v>12</v>
      </c>
      <c r="D256" s="7" t="s">
        <v>942</v>
      </c>
      <c r="E256" s="8" t="s">
        <v>943</v>
      </c>
      <c r="F256" s="6" t="s">
        <v>944</v>
      </c>
      <c r="G256" s="9">
        <f>IF(A256=1,"_",IF(C256="_","???",C256))</f>
        <v/>
      </c>
      <c r="H256" s="10" t="s">
        <v>12</v>
      </c>
      <c r="I256" s="11" t="s">
        <v>12</v>
      </c>
      <c r="J256" s="12"/>
    </row>
    <row r="257" spans="1:10" ht="60" customHeight="1">
      <c r="A257" s="6" t="s">
        <v>945</v>
      </c>
      <c r="B257" s="6" t="s">
        <v>16</v>
      </c>
      <c r="C257" s="6" t="s">
        <v>12</v>
      </c>
      <c r="D257" s="7" t="s">
        <v>241</v>
      </c>
      <c r="E257" s="8" t="s">
        <v>946</v>
      </c>
      <c r="F257" s="6" t="s">
        <v>947</v>
      </c>
      <c r="G257" s="9">
        <f>IF(A257=1,"_",IF(C257="_","???",C257))</f>
        <v/>
      </c>
      <c r="H257" s="10" t="s">
        <v>12</v>
      </c>
      <c r="I257" s="11" t="s">
        <v>12</v>
      </c>
      <c r="J257" s="12"/>
    </row>
    <row r="258" spans="1:10" ht="60" customHeight="1">
      <c r="A258" s="6" t="s">
        <v>948</v>
      </c>
      <c r="B258" s="6" t="s">
        <v>16</v>
      </c>
      <c r="C258" s="6" t="s">
        <v>12</v>
      </c>
      <c r="D258" s="7" t="s">
        <v>949</v>
      </c>
      <c r="E258" s="8" t="s">
        <v>950</v>
      </c>
      <c r="F258" s="6" t="s">
        <v>951</v>
      </c>
      <c r="G258" s="9">
        <f>IF(A258=1,"_",IF(C258="_","???",C258))</f>
        <v/>
      </c>
      <c r="H258" s="10" t="s">
        <v>12</v>
      </c>
      <c r="I258" s="11" t="s">
        <v>12</v>
      </c>
      <c r="J258" s="12"/>
    </row>
    <row r="259" spans="1:10" ht="60" customHeight="1">
      <c r="A259" s="6" t="s">
        <v>952</v>
      </c>
      <c r="B259" s="6" t="s">
        <v>16</v>
      </c>
      <c r="C259" s="6" t="s">
        <v>12</v>
      </c>
      <c r="D259" s="7" t="s">
        <v>953</v>
      </c>
      <c r="E259" s="8" t="s">
        <v>954</v>
      </c>
      <c r="F259" s="6" t="s">
        <v>955</v>
      </c>
      <c r="G259" s="9">
        <f>IF(A259=1,"_",IF(C259="_","???",C259))</f>
        <v/>
      </c>
      <c r="H259" s="10" t="s">
        <v>12</v>
      </c>
      <c r="I259" s="11" t="s">
        <v>12</v>
      </c>
      <c r="J2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14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956</v>
      </c>
      <c r="B1" s="13" t="s">
        <v>957</v>
      </c>
      <c r="C1" s="13" t="s">
        <v>958</v>
      </c>
      <c r="D1" s="13" t="s">
        <v>959</v>
      </c>
      <c r="E1" s="14" t="s">
        <v>960</v>
      </c>
      <c r="F1" s="15" t="s">
        <v>961</v>
      </c>
      <c r="G1" s="16" t="s">
        <v>962</v>
      </c>
      <c r="H1" s="17" t="s">
        <v>963</v>
      </c>
      <c r="I1" s="18" t="s">
        <v>964</v>
      </c>
      <c r="J1" s="18" t="s">
        <v>965</v>
      </c>
      <c r="K1" s="18" t="s">
        <v>966</v>
      </c>
      <c r="L1" s="19" t="s">
        <v>9</v>
      </c>
    </row>
    <row r="2" spans="1:12">
      <c r="A2" s="20" t="s">
        <v>967</v>
      </c>
    </row>
    <row r="3" spans="1:12">
      <c r="A3" s="20" t="s">
        <v>968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969</v>
      </c>
      <c r="B4" s="27" t="s">
        <v>970</v>
      </c>
      <c r="C4" s="27" t="s">
        <v>971</v>
      </c>
      <c r="D4" s="27" t="s">
        <v>972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973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974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975</v>
      </c>
      <c r="B7" s="27" t="s">
        <v>976</v>
      </c>
      <c r="C7" s="27" t="s">
        <v>977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978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979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980</v>
      </c>
      <c r="B10" s="27" t="s">
        <v>981</v>
      </c>
      <c r="C10" s="27" t="s">
        <v>982</v>
      </c>
      <c r="D10" s="27" t="s">
        <v>972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983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984</v>
      </c>
      <c r="B12" s="27" t="s">
        <v>985</v>
      </c>
      <c r="C12" s="27" t="s">
        <v>977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986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983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978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990</v>
      </c>
      <c r="B23" s="27" t="s">
        <v>985</v>
      </c>
      <c r="C23" s="27" t="s">
        <v>991</v>
      </c>
      <c r="D23" s="27" t="s">
        <v>972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992</v>
      </c>
      <c r="B24" s="27" t="s">
        <v>981</v>
      </c>
      <c r="C24" s="27" t="s">
        <v>977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996</v>
      </c>
      <c r="B28" s="27" t="s">
        <v>997</v>
      </c>
      <c r="C28" s="27" t="s">
        <v>971</v>
      </c>
      <c r="D28" s="27" t="s">
        <v>972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999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996</v>
      </c>
      <c r="B32" s="27" t="s">
        <v>1000</v>
      </c>
      <c r="C32" s="27" t="s">
        <v>971</v>
      </c>
      <c r="D32" s="27" t="s">
        <v>972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1001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1002</v>
      </c>
      <c r="B34" s="27" t="s">
        <v>1003</v>
      </c>
      <c r="C34" s="27" t="s">
        <v>1004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1005</v>
      </c>
      <c r="B35" s="27" t="s">
        <v>1006</v>
      </c>
      <c r="C35" s="27" t="s">
        <v>977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1008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1009</v>
      </c>
    </row>
    <row r="40" spans="1:12">
      <c r="A40" s="20" t="s">
        <v>1010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1011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1012</v>
      </c>
      <c r="B42" s="27" t="s">
        <v>1013</v>
      </c>
      <c r="C42" s="27" t="s">
        <v>1014</v>
      </c>
      <c r="D42" s="27" t="s">
        <v>972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1015</v>
      </c>
      <c r="B43" s="27" t="s">
        <v>1016</v>
      </c>
      <c r="C43" s="27" t="s">
        <v>1004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1017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994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1018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1019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1020</v>
      </c>
      <c r="B48" s="27" t="s">
        <v>1013</v>
      </c>
      <c r="C48" s="27" t="s">
        <v>1021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994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1022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1012</v>
      </c>
      <c r="B52" s="27" t="s">
        <v>1013</v>
      </c>
      <c r="C52" s="27" t="s">
        <v>1014</v>
      </c>
      <c r="D52" s="27" t="s">
        <v>972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1023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1024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1002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490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994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490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983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1027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1028</v>
      </c>
      <c r="B64" s="27" t="s">
        <v>1013</v>
      </c>
      <c r="C64" s="27" t="s">
        <v>982</v>
      </c>
      <c r="D64" s="27" t="s">
        <v>972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1029</v>
      </c>
      <c r="B65" s="27" t="s">
        <v>1016</v>
      </c>
      <c r="C65" s="27" t="s">
        <v>971</v>
      </c>
      <c r="D65" s="27" t="s">
        <v>972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1030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1008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1031</v>
      </c>
    </row>
    <row r="70" spans="1:12">
      <c r="A70" s="20" t="s">
        <v>969</v>
      </c>
      <c r="B70" s="27" t="s">
        <v>970</v>
      </c>
      <c r="C70" s="27" t="s">
        <v>971</v>
      </c>
      <c r="D70" s="27" t="s">
        <v>972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1012</v>
      </c>
      <c r="B72" s="27" t="s">
        <v>976</v>
      </c>
      <c r="C72" s="27" t="s">
        <v>1014</v>
      </c>
      <c r="D72" s="27" t="s">
        <v>972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1019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1033</v>
      </c>
      <c r="B75" s="27" t="s">
        <v>1034</v>
      </c>
      <c r="C75" s="27" t="s">
        <v>1021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983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1035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1036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1037</v>
      </c>
      <c r="B79" s="27" t="s">
        <v>1006</v>
      </c>
      <c r="C79" s="27" t="s">
        <v>1038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1039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1001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1040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1042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1043</v>
      </c>
      <c r="B85" s="27" t="s">
        <v>981</v>
      </c>
      <c r="C85" s="27" t="s">
        <v>982</v>
      </c>
      <c r="D85" s="27" t="s">
        <v>972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994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1044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1045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1046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1047</v>
      </c>
      <c r="B90" s="27" t="s">
        <v>1013</v>
      </c>
      <c r="C90" s="27" t="s">
        <v>982</v>
      </c>
      <c r="D90" s="27" t="s">
        <v>972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1002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1048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994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1049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1046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1051</v>
      </c>
      <c r="B97" s="27" t="s">
        <v>1016</v>
      </c>
      <c r="C97" s="27" t="s">
        <v>982</v>
      </c>
      <c r="D97" s="27" t="s">
        <v>972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1019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1052</v>
      </c>
      <c r="B99" s="27" t="s">
        <v>1013</v>
      </c>
      <c r="C99" s="27" t="s">
        <v>1021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983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1053</v>
      </c>
      <c r="B102" s="27" t="s">
        <v>985</v>
      </c>
      <c r="C102" s="27" t="s">
        <v>982</v>
      </c>
      <c r="D102" s="27" t="s">
        <v>972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1054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1055</v>
      </c>
      <c r="B104" s="27" t="s">
        <v>1056</v>
      </c>
      <c r="C104" s="27" t="s">
        <v>1021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994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983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996</v>
      </c>
      <c r="B107" s="27" t="s">
        <v>997</v>
      </c>
      <c r="C107" s="27" t="s">
        <v>971</v>
      </c>
      <c r="D107" s="27" t="s">
        <v>972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983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1057</v>
      </c>
      <c r="B110" s="27" t="s">
        <v>1006</v>
      </c>
      <c r="C110" s="27" t="s">
        <v>982</v>
      </c>
      <c r="D110" s="27" t="s">
        <v>972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1019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1058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1059</v>
      </c>
      <c r="B113" s="27" t="s">
        <v>1034</v>
      </c>
      <c r="C113" s="27" t="s">
        <v>1021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1060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994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1061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994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1062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1008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row>
    <row r="122" spans="1:12">
      <c r="A122" s="20" t="s">
        <v>1063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1064</v>
      </c>
    </row>
    <row r="124" spans="1:12">
      <c r="A124" s="20" t="s">
        <v>1065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1066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1067</v>
      </c>
      <c r="B128" s="27" t="s">
        <v>970</v>
      </c>
      <c r="C128" s="27" t="s">
        <v>1021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978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1046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1068</v>
      </c>
      <c r="B131" s="27" t="s">
        <v>981</v>
      </c>
      <c r="C131" s="27" t="s">
        <v>982</v>
      </c>
      <c r="D131" s="27" t="s">
        <v>972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996</v>
      </c>
      <c r="B133" s="27" t="s">
        <v>1013</v>
      </c>
      <c r="C133" s="27" t="s">
        <v>971</v>
      </c>
      <c r="D133" s="27" t="s">
        <v>972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1069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1070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1071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983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1072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1073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1074</v>
      </c>
      <c r="B140" s="27" t="s">
        <v>1006</v>
      </c>
      <c r="C140" s="27" t="s">
        <v>1004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1075</v>
      </c>
      <c r="B141" s="27" t="s">
        <v>985</v>
      </c>
      <c r="C141" s="27" t="s">
        <v>977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1019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1076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1077</v>
      </c>
      <c r="B145" s="27" t="s">
        <v>1006</v>
      </c>
      <c r="C145" s="27" t="s">
        <v>1021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983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994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1002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1008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968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1079</v>
      </c>
    </row>
    <row r="157" spans="1:12">
      <c r="A157" s="20" t="s">
        <v>1080</v>
      </c>
      <c r="B157" s="27" t="s">
        <v>970</v>
      </c>
      <c r="C157" s="27" t="s">
        <v>1014</v>
      </c>
      <c r="D157" s="27" t="s">
        <v>972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1081</v>
      </c>
      <c r="B159" s="27" t="s">
        <v>976</v>
      </c>
      <c r="C159" s="27" t="s">
        <v>977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1082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1083</v>
      </c>
      <c r="B161" s="27" t="s">
        <v>981</v>
      </c>
      <c r="C161" s="27" t="s">
        <v>977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1008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1084</v>
      </c>
    </row>
    <row r="165" spans="1:12">
      <c r="A165" s="20" t="s">
        <v>1085</v>
      </c>
      <c r="B165" s="27" t="s">
        <v>970</v>
      </c>
      <c r="C165" s="27" t="s">
        <v>1086</v>
      </c>
      <c r="D165" s="27" t="s">
        <v>972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1087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1089</v>
      </c>
      <c r="B168" s="27" t="s">
        <v>970</v>
      </c>
      <c r="C168" s="27" t="s">
        <v>971</v>
      </c>
      <c r="D168" s="27" t="s">
        <v>972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1082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1090</v>
      </c>
      <c r="B170" s="27" t="s">
        <v>1056</v>
      </c>
      <c r="C170" s="27" t="s">
        <v>977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994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1091</v>
      </c>
      <c r="B173" s="27" t="s">
        <v>1056</v>
      </c>
      <c r="C173" s="27" t="s">
        <v>1086</v>
      </c>
      <c r="D173" s="27" t="s">
        <v>972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1092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1093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1094</v>
      </c>
      <c r="B176" s="27" t="s">
        <v>981</v>
      </c>
      <c r="C176" s="27" t="s">
        <v>1021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1008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1095</v>
      </c>
    </row>
    <row r="180" spans="1:12">
      <c r="A180" s="20" t="s">
        <v>1096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1097</v>
      </c>
      <c r="B181" s="27" t="s">
        <v>970</v>
      </c>
      <c r="C181" s="27" t="s">
        <v>982</v>
      </c>
      <c r="D181" s="27" t="s">
        <v>972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1098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1099</v>
      </c>
      <c r="B183" s="27" t="s">
        <v>981</v>
      </c>
      <c r="C183" s="27" t="s">
        <v>977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1100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1002</v>
      </c>
      <c r="B185" s="27" t="s">
        <v>981</v>
      </c>
      <c r="C185" s="27" t="s">
        <v>1004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1046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1101</v>
      </c>
      <c r="B187" s="27" t="s">
        <v>1056</v>
      </c>
      <c r="C187" s="27" t="s">
        <v>982</v>
      </c>
      <c r="D187" s="27" t="s">
        <v>972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994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1102</v>
      </c>
      <c r="B189" s="27" t="s">
        <v>1006</v>
      </c>
      <c r="C189" s="27" t="s">
        <v>1014</v>
      </c>
      <c r="D189" s="27" t="s">
        <v>972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1103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1104</v>
      </c>
      <c r="B191" s="27" t="s">
        <v>1034</v>
      </c>
      <c r="C191" s="27" t="s">
        <v>1105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1002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1106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1008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1107</v>
      </c>
    </row>
    <row r="197" spans="1:12">
      <c r="A197" s="20" t="s">
        <v>969</v>
      </c>
      <c r="B197" s="27" t="s">
        <v>970</v>
      </c>
      <c r="C197" s="27" t="s">
        <v>971</v>
      </c>
      <c r="D197" s="27" t="s">
        <v>972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1108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1109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1110</v>
      </c>
      <c r="B200" s="27" t="s">
        <v>976</v>
      </c>
      <c r="C200" s="27" t="s">
        <v>971</v>
      </c>
      <c r="D200" s="27" t="s">
        <v>972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1070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1111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1112</v>
      </c>
      <c r="B203" s="27" t="s">
        <v>1056</v>
      </c>
      <c r="C203" s="27" t="s">
        <v>977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994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1111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1113</v>
      </c>
      <c r="B206" s="27" t="s">
        <v>1056</v>
      </c>
      <c r="C206" s="27" t="s">
        <v>1004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1046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1114</v>
      </c>
      <c r="B208" s="27" t="s">
        <v>981</v>
      </c>
      <c r="C208" s="27" t="s">
        <v>982</v>
      </c>
      <c r="D208" s="27" t="s">
        <v>972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994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1046</v>
      </c>
      <c r="B210" s="27" t="s">
        <v>1013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1115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1116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1117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1118</v>
      </c>
      <c r="B215" s="27" t="s">
        <v>1013</v>
      </c>
      <c r="C215" s="27" t="s">
        <v>971</v>
      </c>
      <c r="D215" s="27" t="s">
        <v>972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1054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1119</v>
      </c>
      <c r="B218" s="27" t="s">
        <v>981</v>
      </c>
      <c r="C218" s="27" t="s">
        <v>1021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1120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1116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1121</v>
      </c>
    </row>
    <row r="224" spans="1:12">
      <c r="A224" s="20" t="s">
        <v>1122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1123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996</v>
      </c>
      <c r="B226" s="27" t="s">
        <v>970</v>
      </c>
      <c r="C226" s="27" t="s">
        <v>971</v>
      </c>
      <c r="D226" s="27" t="s">
        <v>972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1124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1125</v>
      </c>
      <c r="B228" s="27" t="s">
        <v>976</v>
      </c>
      <c r="C228" s="27" t="s">
        <v>1126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1127</v>
      </c>
    </row>
    <row r="232" spans="1:12">
      <c r="A232" s="20" t="s">
        <v>1128</v>
      </c>
      <c r="B232" s="27" t="s">
        <v>981</v>
      </c>
      <c r="C232" s="27" t="s">
        <v>991</v>
      </c>
      <c r="D232" s="27" t="s">
        <v>972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1129</v>
      </c>
      <c r="B233" s="27" t="s">
        <v>970</v>
      </c>
      <c r="C233" s="27" t="s">
        <v>977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1130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994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1036</v>
      </c>
      <c r="B236" s="27" t="s">
        <v>985</v>
      </c>
      <c r="C236" s="27" t="s">
        <v>991</v>
      </c>
      <c r="D236" s="27" t="s">
        <v>972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1131</v>
      </c>
      <c r="B237" s="27" t="s">
        <v>1013</v>
      </c>
      <c r="C237" s="27" t="s">
        <v>977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1132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994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996</v>
      </c>
      <c r="B240" s="27" t="s">
        <v>1013</v>
      </c>
      <c r="C240" s="27" t="s">
        <v>971</v>
      </c>
      <c r="D240" s="27" t="s">
        <v>972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1133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994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1134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1135</v>
      </c>
      <c r="B244" s="27" t="s">
        <v>985</v>
      </c>
      <c r="C244" s="27" t="s">
        <v>1004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1136</v>
      </c>
      <c r="B245" s="27" t="s">
        <v>981</v>
      </c>
      <c r="C245" s="27" t="s">
        <v>1126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978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1137</v>
      </c>
      <c r="B248" s="27" t="s">
        <v>985</v>
      </c>
      <c r="C248" s="27" t="s">
        <v>982</v>
      </c>
      <c r="D248" s="27" t="s">
        <v>972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994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978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1138</v>
      </c>
      <c r="B252" s="27" t="s">
        <v>981</v>
      </c>
      <c r="C252" s="27" t="s">
        <v>1086</v>
      </c>
      <c r="D252" s="27" t="s">
        <v>972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1139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994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996</v>
      </c>
      <c r="B256" s="27" t="s">
        <v>1013</v>
      </c>
      <c r="C256" s="27" t="s">
        <v>971</v>
      </c>
      <c r="D256" s="27" t="s">
        <v>972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1140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1141</v>
      </c>
      <c r="B258" s="27" t="s">
        <v>985</v>
      </c>
      <c r="C258" s="27" t="s">
        <v>1004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1142</v>
      </c>
      <c r="B259" s="27" t="s">
        <v>985</v>
      </c>
      <c r="C259" s="27" t="s">
        <v>1105</v>
      </c>
      <c r="D259" s="27" t="s">
        <v>972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1143</v>
      </c>
      <c r="B260" s="27" t="s">
        <v>1016</v>
      </c>
      <c r="C260" s="27" t="s">
        <v>1144</v>
      </c>
      <c r="D260" s="27" t="s">
        <v>972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1145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1008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1146</v>
      </c>
    </row>
    <row r="265" spans="1:12">
      <c r="A265" s="20" t="s">
        <v>1147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1148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1149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1150</v>
      </c>
      <c r="B269" s="27" t="s">
        <v>1006</v>
      </c>
      <c r="C269" s="27" t="s">
        <v>1126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1151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994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996</v>
      </c>
      <c r="B273" s="27" t="s">
        <v>970</v>
      </c>
      <c r="C273" s="27" t="s">
        <v>971</v>
      </c>
      <c r="D273" s="27" t="s">
        <v>972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1027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1153</v>
      </c>
      <c r="B275" s="27" t="s">
        <v>976</v>
      </c>
      <c r="C275" s="27" t="s">
        <v>982</v>
      </c>
      <c r="D275" s="27" t="s">
        <v>972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1154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1155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1156</v>
      </c>
      <c r="B278" s="27" t="s">
        <v>981</v>
      </c>
      <c r="C278" s="27" t="s">
        <v>1004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1157</v>
      </c>
      <c r="B279" s="27" t="s">
        <v>1056</v>
      </c>
      <c r="C279" s="27" t="s">
        <v>1126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1158</v>
      </c>
    </row>
    <row r="283" spans="1:12">
      <c r="A283" s="20" t="s">
        <v>969</v>
      </c>
      <c r="B283" s="27" t="s">
        <v>970</v>
      </c>
      <c r="C283" s="27" t="s">
        <v>971</v>
      </c>
      <c r="D283" s="27" t="s">
        <v>972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1159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1160</v>
      </c>
      <c r="B285" s="27" t="s">
        <v>970</v>
      </c>
      <c r="C285" s="27" t="s">
        <v>1014</v>
      </c>
      <c r="D285" s="27" t="s">
        <v>972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1161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1041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1157</v>
      </c>
      <c r="B289" s="27" t="s">
        <v>1056</v>
      </c>
      <c r="C289" s="27" t="s">
        <v>982</v>
      </c>
      <c r="D289" s="27" t="s">
        <v>972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994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988</v>
      </c>
      <c r="B292" s="27" t="s">
        <v>1016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996</v>
      </c>
      <c r="B293" s="27" t="s">
        <v>1013</v>
      </c>
      <c r="C293" s="27" t="s">
        <v>971</v>
      </c>
      <c r="D293" s="27" t="s">
        <v>972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1162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136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1159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994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983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996</v>
      </c>
      <c r="B299" s="27" t="s">
        <v>1013</v>
      </c>
      <c r="C299" s="27" t="s">
        <v>971</v>
      </c>
      <c r="D299" s="27" t="s">
        <v>972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1163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1024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1164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1008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row>
    <row r="305" spans="1:12">
      <c r="A305" s="20" t="s">
        <v>1165</v>
      </c>
    </row>
    <row r="306" spans="1:12">
      <c r="A306" s="20" t="s">
        <v>1166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1167</v>
      </c>
      <c r="B307" s="27" t="s">
        <v>970</v>
      </c>
      <c r="C307" s="27" t="s">
        <v>982</v>
      </c>
      <c r="D307" s="27" t="s">
        <v>972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1098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1081</v>
      </c>
      <c r="B309" s="27" t="s">
        <v>981</v>
      </c>
      <c r="C309" s="27" t="s">
        <v>977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1100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1024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1168</v>
      </c>
      <c r="B312" s="27" t="s">
        <v>1056</v>
      </c>
      <c r="C312" s="27" t="s">
        <v>977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994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1170</v>
      </c>
      <c r="B315" s="27" t="s">
        <v>1056</v>
      </c>
      <c r="C315" s="27" t="s">
        <v>977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994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983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1171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1170</v>
      </c>
      <c r="B320" s="27" t="s">
        <v>1013</v>
      </c>
      <c r="C320" s="27" t="s">
        <v>982</v>
      </c>
      <c r="D320" s="27" t="s">
        <v>972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1172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978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1173</v>
      </c>
      <c r="B323" s="27" t="s">
        <v>985</v>
      </c>
      <c r="C323" s="27" t="s">
        <v>1105</v>
      </c>
      <c r="D323" s="27" t="s">
        <v>972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1174</v>
      </c>
      <c r="B324" s="27" t="s">
        <v>981</v>
      </c>
      <c r="C324" s="27" t="s">
        <v>1144</v>
      </c>
      <c r="D324" s="27" t="s">
        <v>972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1175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1029</v>
      </c>
      <c r="B326" s="27" t="s">
        <v>981</v>
      </c>
      <c r="C326" s="27" t="s">
        <v>971</v>
      </c>
      <c r="D326" s="27" t="s">
        <v>972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1176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1002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1177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1008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1178</v>
      </c>
    </row>
    <row r="333" spans="1:12">
      <c r="A333" s="20" t="s">
        <v>1179</v>
      </c>
      <c r="B333" s="27" t="s">
        <v>970</v>
      </c>
      <c r="C333" s="27" t="s">
        <v>1004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994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1180</v>
      </c>
      <c r="B335" s="27" t="s">
        <v>997</v>
      </c>
      <c r="C335" s="27" t="s">
        <v>1014</v>
      </c>
      <c r="D335" s="27" t="s">
        <v>972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1002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136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1181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994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1002</v>
      </c>
      <c r="B341" s="27" t="s">
        <v>981</v>
      </c>
      <c r="C341" s="27" t="s">
        <v>1004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1182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1183</v>
      </c>
      <c r="B343" s="27" t="s">
        <v>1056</v>
      </c>
      <c r="C343" s="27" t="s">
        <v>1126</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1008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1063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1184</v>
      </c>
    </row>
    <row r="348" spans="1:12">
      <c r="A348" s="20" t="s">
        <v>1185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996</v>
      </c>
      <c r="B349" s="27" t="s">
        <v>1013</v>
      </c>
      <c r="C349" s="27" t="s">
        <v>971</v>
      </c>
      <c r="D349" s="27" t="s">
        <v>972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1134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1186</v>
      </c>
      <c r="B351" s="27" t="s">
        <v>981</v>
      </c>
      <c r="C351" s="27" t="s">
        <v>977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1007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983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1027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1187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1188</v>
      </c>
      <c r="B356" s="27" t="s">
        <v>1034</v>
      </c>
      <c r="C356" s="27" t="s">
        <v>982</v>
      </c>
      <c r="D356" s="27" t="s">
        <v>972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1189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1190</v>
      </c>
      <c r="B358" s="27" t="s">
        <v>1006</v>
      </c>
      <c r="C358" s="27" t="s">
        <v>1038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1191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1192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994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996</v>
      </c>
      <c r="B363" s="27" t="s">
        <v>970</v>
      </c>
      <c r="C363" s="27" t="s">
        <v>971</v>
      </c>
      <c r="D363" s="27" t="s">
        <v>972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1024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1193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1098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1194</v>
      </c>
      <c r="B367" s="27" t="s">
        <v>981</v>
      </c>
      <c r="C367" s="27" t="s">
        <v>991</v>
      </c>
      <c r="D367" s="27" t="s">
        <v>972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1195</v>
      </c>
      <c r="B368" s="27" t="s">
        <v>1056</v>
      </c>
      <c r="C368" s="27" t="s">
        <v>977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1002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1169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1196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1197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968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1166</v>
      </c>
      <c r="B376" s="27" t="s">
        <v>997</v>
      </c>
      <c r="C376" s="27" t="s">
        <v>1014</v>
      </c>
      <c r="D376" s="27" t="s">
        <v>972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1198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1199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1200</v>
      </c>
      <c r="B379" s="27" t="s">
        <v>981</v>
      </c>
      <c r="C379" s="27" t="s">
        <v>1126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994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988</v>
      </c>
      <c r="B381" s="27" t="s">
        <v>1201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996</v>
      </c>
      <c r="B382" s="27" t="s">
        <v>1000</v>
      </c>
      <c r="C382" s="27" t="s">
        <v>971</v>
      </c>
      <c r="D382" s="27" t="s">
        <v>972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1202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1203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1008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968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1204</v>
      </c>
    </row>
    <row r="389" spans="1:12">
      <c r="A389" s="20" t="s">
        <v>1205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996</v>
      </c>
      <c r="B390" s="27" t="s">
        <v>970</v>
      </c>
      <c r="C390" s="27" t="s">
        <v>971</v>
      </c>
      <c r="D390" s="27" t="s">
        <v>972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1206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1002</v>
      </c>
      <c r="B392" s="27" t="s">
        <v>985</v>
      </c>
      <c r="C392" s="27" t="s">
        <v>1004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1207</v>
      </c>
      <c r="B393" s="27" t="s">
        <v>981</v>
      </c>
      <c r="C393" s="27" t="s">
        <v>977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1002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1208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994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1044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1196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996</v>
      </c>
      <c r="B400" s="27" t="s">
        <v>1013</v>
      </c>
      <c r="C400" s="27" t="s">
        <v>971</v>
      </c>
      <c r="D400" s="27" t="s">
        <v>972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994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999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996</v>
      </c>
      <c r="B403" s="27" t="s">
        <v>997</v>
      </c>
      <c r="C403" s="27" t="s">
        <v>971</v>
      </c>
      <c r="D403" s="27" t="s">
        <v>972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1209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1027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1210</v>
      </c>
      <c r="B406" s="27" t="s">
        <v>1034</v>
      </c>
      <c r="C406" s="27" t="s">
        <v>982</v>
      </c>
      <c r="D406" s="27" t="s">
        <v>972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1211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983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1089</v>
      </c>
      <c r="B409" s="27" t="s">
        <v>1201</v>
      </c>
      <c r="C409" s="27" t="s">
        <v>971</v>
      </c>
      <c r="D409" s="27" t="s">
        <v>972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1025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1113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1212</v>
      </c>
      <c r="B412" s="27" t="s">
        <v>1006</v>
      </c>
      <c r="C412" s="27" t="s">
        <v>1021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1203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994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1089</v>
      </c>
      <c r="B416" s="27" t="s">
        <v>1013</v>
      </c>
      <c r="C416" s="27" t="s">
        <v>971</v>
      </c>
      <c r="D416" s="27" t="s">
        <v>972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1213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1214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983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1215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1203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994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983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1027</v>
      </c>
      <c r="B425" s="27" t="s">
        <v>1013</v>
      </c>
      <c r="C425" s="27" t="s">
        <v>1105</v>
      </c>
      <c r="D425" s="27" t="s">
        <v>972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998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1216</v>
      </c>
      <c r="B427" s="27" t="s">
        <v>1016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1111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1110</v>
      </c>
      <c r="B429" s="27" t="s">
        <v>981</v>
      </c>
      <c r="C429" s="27" t="s">
        <v>971</v>
      </c>
      <c r="D429" s="27" t="s">
        <v>972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1217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1054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1218</v>
      </c>
      <c r="B432" s="27" t="s">
        <v>981</v>
      </c>
      <c r="C432" s="27" t="s">
        <v>1021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1008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1219</v>
      </c>
    </row>
    <row r="437" spans="1:12">
      <c r="A437" s="20" t="s">
        <v>1185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1035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1081</v>
      </c>
      <c r="B439" s="27" t="s">
        <v>981</v>
      </c>
      <c r="C439" s="27" t="s">
        <v>977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1220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1221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994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1222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994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999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1223</v>
      </c>
      <c r="B448" s="27" t="s">
        <v>1013</v>
      </c>
      <c r="C448" s="27" t="s">
        <v>1004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1224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994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999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1089</v>
      </c>
      <c r="B452" s="27" t="s">
        <v>997</v>
      </c>
      <c r="C452" s="27" t="s">
        <v>971</v>
      </c>
      <c r="D452" s="27" t="s">
        <v>972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1225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1008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1226</v>
      </c>
    </row>
    <row r="458" spans="1:12">
      <c r="A458" s="20" t="s">
        <v>1227</v>
      </c>
      <c r="B458" s="27" t="s">
        <v>970</v>
      </c>
      <c r="C458" s="27" t="s">
        <v>1004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1224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994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999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1089</v>
      </c>
      <c r="B462" s="27" t="s">
        <v>1013</v>
      </c>
      <c r="C462" s="27" t="s">
        <v>971</v>
      </c>
      <c r="D462" s="27" t="s">
        <v>972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1225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1100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994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1228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1223</v>
      </c>
      <c r="B467" s="27" t="s">
        <v>1013</v>
      </c>
      <c r="C467" s="27" t="s">
        <v>1004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1089</v>
      </c>
      <c r="B468" s="27" t="s">
        <v>1016</v>
      </c>
      <c r="C468" s="27" t="s">
        <v>971</v>
      </c>
      <c r="D468" s="27" t="s">
        <v>972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1229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1008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1230</v>
      </c>
    </row>
    <row r="473" spans="1:12">
      <c r="A473" s="20" t="s">
        <v>1227</v>
      </c>
      <c r="B473" s="27" t="s">
        <v>970</v>
      </c>
      <c r="C473" s="27" t="s">
        <v>1004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1224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994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999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988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1231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1114</v>
      </c>
      <c r="B479" s="27" t="s">
        <v>1013</v>
      </c>
      <c r="C479" s="27" t="s">
        <v>982</v>
      </c>
      <c r="D479" s="27" t="s">
        <v>972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1089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1232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994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1233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1234</v>
      </c>
      <c r="B484" s="27" t="s">
        <v>1034</v>
      </c>
      <c r="C484" s="27" t="s">
        <v>1038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1235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994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1207</v>
      </c>
      <c r="B487" s="27" t="s">
        <v>1016</v>
      </c>
      <c r="C487" s="27" t="s">
        <v>977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1002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1208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1216</v>
      </c>
      <c r="B491" s="27" t="s">
        <v>1016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1108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1236</v>
      </c>
      <c r="B493" s="27" t="s">
        <v>981</v>
      </c>
      <c r="C493" s="27" t="s">
        <v>1237</v>
      </c>
      <c r="D493" s="27" t="s">
        <v>972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1002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994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1002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1238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1175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979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1239</v>
      </c>
      <c r="B502" s="27" t="s">
        <v>981</v>
      </c>
      <c r="C502" s="27" t="s">
        <v>982</v>
      </c>
      <c r="D502" s="27" t="s">
        <v>972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1002</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267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994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983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1027</v>
      </c>
      <c r="B507" s="27" t="s">
        <v>1013</v>
      </c>
      <c r="C507" s="27" t="s">
        <v>1105</v>
      </c>
      <c r="D507" s="27" t="s">
        <v>972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1089</v>
      </c>
      <c r="B508" s="27" t="s">
        <v>1013</v>
      </c>
      <c r="C508" s="27" t="s">
        <v>971</v>
      </c>
      <c r="D508" s="27" t="s">
        <v>972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1240</v>
      </c>
      <c r="B509" s="27" t="s">
        <v>981</v>
      </c>
      <c r="C509" s="27" t="s">
        <v>1014</v>
      </c>
      <c r="D509" s="27" t="s">
        <v>972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1241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1242</v>
      </c>
      <c r="B511" s="27" t="s">
        <v>1056</v>
      </c>
      <c r="C511" s="27" t="s">
        <v>1126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1100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1243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1244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1100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1223</v>
      </c>
      <c r="B517" s="27" t="s">
        <v>997</v>
      </c>
      <c r="C517" s="27" t="s">
        <v>1004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1245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1246</v>
      </c>
      <c r="B520" s="27" t="s">
        <v>981</v>
      </c>
      <c r="C520" s="27" t="s">
        <v>1038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983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1247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994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1113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1248</v>
      </c>
      <c r="B525" s="27" t="s">
        <v>1016</v>
      </c>
      <c r="C525" s="27" t="s">
        <v>1021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1249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1250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1002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1251</v>
      </c>
    </row>
    <row r="533" spans="1:12">
      <c r="A533" s="20" t="s">
        <v>969</v>
      </c>
      <c r="B533" s="27" t="s">
        <v>970</v>
      </c>
      <c r="C533" s="27" t="s">
        <v>971</v>
      </c>
      <c r="D533" s="27" t="s">
        <v>972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1045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1070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1252</v>
      </c>
      <c r="B536" s="27" t="s">
        <v>976</v>
      </c>
      <c r="C536" s="27" t="s">
        <v>1004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1002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136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994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1070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1252</v>
      </c>
      <c r="B541" s="27" t="s">
        <v>1016</v>
      </c>
      <c r="C541" s="27" t="s">
        <v>1014</v>
      </c>
      <c r="D541" s="27" t="s">
        <v>972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1002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241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983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1252</v>
      </c>
      <c r="B545" s="27" t="s">
        <v>981</v>
      </c>
      <c r="C545" s="27" t="s">
        <v>1004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1002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1253</v>
      </c>
    </row>
    <row r="551" spans="1:12">
      <c r="A551" s="20" t="s">
        <v>1254</v>
      </c>
      <c r="B551" s="27" t="s">
        <v>970</v>
      </c>
      <c r="C551" s="27" t="s">
        <v>971</v>
      </c>
      <c r="D551" s="27" t="s">
        <v>972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1181</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1019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1255</v>
      </c>
      <c r="B554" s="27" t="s">
        <v>1056</v>
      </c>
      <c r="C554" s="27" t="s">
        <v>1021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1256</v>
      </c>
      <c r="B555" s="27" t="s">
        <v>1056</v>
      </c>
      <c r="C555" s="27" t="s">
        <v>977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1257</v>
      </c>
    </row>
    <row r="559" spans="1:12">
      <c r="A559" s="20" t="s">
        <v>1010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1044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1258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988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1259</v>
      </c>
      <c r="B563" s="27" t="s">
        <v>976</v>
      </c>
      <c r="C563" s="27" t="s">
        <v>982</v>
      </c>
      <c r="D563" s="27" t="s">
        <v>972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1054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1008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1063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1260</v>
      </c>
    </row>
    <row r="569" spans="1:12">
      <c r="A569" s="20" t="s">
        <v>1185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1223</v>
      </c>
      <c r="B570" s="27" t="s">
        <v>1013</v>
      </c>
      <c r="C570" s="27" t="s">
        <v>1004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1029</v>
      </c>
      <c r="B571" s="27" t="s">
        <v>1016</v>
      </c>
      <c r="C571" s="27" t="s">
        <v>971</v>
      </c>
      <c r="D571" s="27" t="s">
        <v>972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1261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1262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994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999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996</v>
      </c>
      <c r="B576" s="27" t="s">
        <v>997</v>
      </c>
      <c r="C576" s="27" t="s">
        <v>971</v>
      </c>
      <c r="D576" s="27" t="s">
        <v>972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1041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1263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1264</v>
      </c>
      <c r="B580" s="27" t="s">
        <v>985</v>
      </c>
      <c r="C580" s="27" t="s">
        <v>982</v>
      </c>
      <c r="D580" s="27" t="s">
        <v>972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1265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1116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994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1262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996</v>
      </c>
      <c r="B586" s="27" t="s">
        <v>970</v>
      </c>
      <c r="C586" s="27" t="s">
        <v>971</v>
      </c>
      <c r="D586" s="27" t="s">
        <v>972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1261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1197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968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1266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1089</v>
      </c>
      <c r="B591" s="27" t="s">
        <v>997</v>
      </c>
      <c r="C591" s="27" t="s">
        <v>971</v>
      </c>
      <c r="D591" s="27" t="s">
        <v>972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978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1267</v>
      </c>
      <c r="B594" s="27" t="s">
        <v>985</v>
      </c>
      <c r="C594" s="27" t="s">
        <v>1086</v>
      </c>
      <c r="D594" s="27" t="s">
        <v>972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1268</v>
      </c>
      <c r="B595" s="27" t="s">
        <v>1006</v>
      </c>
      <c r="C595" s="27" t="s">
        <v>1086</v>
      </c>
      <c r="D595" s="27" t="s">
        <v>972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1100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994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1269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996</v>
      </c>
      <c r="B599" s="27" t="s">
        <v>1013</v>
      </c>
      <c r="C599" s="27" t="s">
        <v>971</v>
      </c>
      <c r="D599" s="27" t="s">
        <v>972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1027</v>
      </c>
      <c r="B600" s="27" t="s">
        <v>1016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1063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1270</v>
      </c>
    </row>
    <row r="606" spans="1:12">
      <c r="A606" s="20" t="s">
        <v>1147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1117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1223</v>
      </c>
      <c r="B608" s="27" t="s">
        <v>1013</v>
      </c>
      <c r="C608" s="27" t="s">
        <v>1004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1029</v>
      </c>
      <c r="B609" s="27" t="s">
        <v>1016</v>
      </c>
      <c r="C609" s="27" t="s">
        <v>971</v>
      </c>
      <c r="D609" s="27" t="s">
        <v>972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1261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1262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1197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968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1271</v>
      </c>
      <c r="B614" s="27" t="s">
        <v>970</v>
      </c>
      <c r="C614" s="27" t="s">
        <v>971</v>
      </c>
      <c r="D614" s="27" t="s">
        <v>972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1041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1263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1272</v>
      </c>
      <c r="B618" s="27" t="s">
        <v>1034</v>
      </c>
      <c r="C618" s="27" t="s">
        <v>982</v>
      </c>
      <c r="D618" s="27" t="s">
        <v>972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1273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1274</v>
      </c>
      <c r="B620" s="27" t="s">
        <v>976</v>
      </c>
      <c r="C620" s="27" t="s">
        <v>977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994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1116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996</v>
      </c>
      <c r="B624" s="27" t="s">
        <v>1013</v>
      </c>
      <c r="C624" s="27" t="s">
        <v>971</v>
      </c>
      <c r="D624" s="27" t="s">
        <v>972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1275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1276</v>
      </c>
      <c r="B626" s="27" t="s">
        <v>985</v>
      </c>
      <c r="C626" s="27" t="s">
        <v>991</v>
      </c>
      <c r="D626" s="27" t="s">
        <v>972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1277</v>
      </c>
      <c r="B627" s="27" t="s">
        <v>1013</v>
      </c>
      <c r="C627" s="27" t="s">
        <v>977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1278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994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1049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1027</v>
      </c>
      <c r="B631" s="27" t="s">
        <v>997</v>
      </c>
      <c r="C631" s="27" t="s">
        <v>1014</v>
      </c>
      <c r="D631" s="27" t="s">
        <v>972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1279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1008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1280</v>
      </c>
    </row>
    <row r="636" spans="1:12">
      <c r="A636" s="20" t="s">
        <v>969</v>
      </c>
      <c r="B636" s="27" t="s">
        <v>970</v>
      </c>
      <c r="C636" s="27" t="s">
        <v>971</v>
      </c>
      <c r="D636" s="27" t="s">
        <v>972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1281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1282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1283</v>
      </c>
      <c r="B639" s="27" t="s">
        <v>981</v>
      </c>
      <c r="C639" s="27" t="s">
        <v>1105</v>
      </c>
      <c r="D639" s="27" t="s">
        <v>972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1284</v>
      </c>
      <c r="B640" s="27" t="s">
        <v>976</v>
      </c>
      <c r="C640" s="27" t="s">
        <v>1144</v>
      </c>
      <c r="D640" s="27" t="s">
        <v>972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1027</v>
      </c>
      <c r="B642" s="27" t="s">
        <v>970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1223</v>
      </c>
      <c r="B643" s="27" t="s">
        <v>970</v>
      </c>
      <c r="C643" s="27" t="s">
        <v>1004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1285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1117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1223</v>
      </c>
      <c r="B647" s="27" t="s">
        <v>1013</v>
      </c>
      <c r="C647" s="27" t="s">
        <v>1004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1286</v>
      </c>
      <c r="B648" s="27" t="s">
        <v>1056</v>
      </c>
      <c r="C648" s="27" t="s">
        <v>977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983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1287</v>
      </c>
      <c r="B650" s="27" t="s">
        <v>981</v>
      </c>
      <c r="C650" s="27" t="s">
        <v>977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1288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1289</v>
      </c>
      <c r="B652" s="27" t="s">
        <v>981</v>
      </c>
      <c r="C652" s="27" t="s">
        <v>977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983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1046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1290</v>
      </c>
      <c r="B655" s="27" t="s">
        <v>997</v>
      </c>
      <c r="C655" s="27" t="s">
        <v>982</v>
      </c>
      <c r="D655" s="27" t="s">
        <v>972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1113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1291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994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1243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1292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999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1089</v>
      </c>
      <c r="B663" s="27" t="s">
        <v>1000</v>
      </c>
      <c r="C663" s="27" t="s">
        <v>971</v>
      </c>
      <c r="D663" s="27" t="s">
        <v>972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1019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1293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1294</v>
      </c>
      <c r="B666" s="27" t="s">
        <v>1201</v>
      </c>
      <c r="C666" s="27" t="s">
        <v>1021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1295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1296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1109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1089</v>
      </c>
      <c r="B673" s="27" t="s">
        <v>1297</v>
      </c>
      <c r="C673" s="27" t="s">
        <v>971</v>
      </c>
      <c r="D673" s="27" t="s">
        <v>972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1298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1299</v>
      </c>
      <c r="B675" s="27" t="s">
        <v>1300</v>
      </c>
      <c r="C675" s="27" t="s">
        <v>1126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1154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1008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1301</v>
      </c>
    </row>
    <row r="680" spans="1:12">
      <c r="A680" s="20" t="s">
        <v>1254</v>
      </c>
      <c r="B680" s="27" t="s">
        <v>970</v>
      </c>
      <c r="C680" s="27" t="s">
        <v>971</v>
      </c>
      <c r="D680" s="27" t="s">
        <v>972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1100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1284</v>
      </c>
      <c r="B683" s="27" t="s">
        <v>1056</v>
      </c>
      <c r="C683" s="27" t="s">
        <v>1021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1046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1302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1259</v>
      </c>
      <c r="B686" s="27" t="s">
        <v>1056</v>
      </c>
      <c r="C686" s="27" t="s">
        <v>982</v>
      </c>
      <c r="D686" s="27" t="s">
        <v>972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994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1303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999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1223</v>
      </c>
      <c r="B690" s="27" t="s">
        <v>997</v>
      </c>
      <c r="C690" s="27" t="s">
        <v>1004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1304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1224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994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1305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1223</v>
      </c>
      <c r="B695" s="27" t="s">
        <v>997</v>
      </c>
      <c r="C695" s="27" t="s">
        <v>1004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1259</v>
      </c>
      <c r="B696" s="27" t="s">
        <v>1034</v>
      </c>
      <c r="C696" s="27" t="s">
        <v>977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1285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1008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1306</v>
      </c>
    </row>
    <row r="701" spans="1:12">
      <c r="A701" s="20" t="s">
        <v>1010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1154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1173</v>
      </c>
      <c r="B703" s="27" t="s">
        <v>981</v>
      </c>
      <c r="C703" s="27" t="s">
        <v>1105</v>
      </c>
      <c r="D703" s="27" t="s">
        <v>972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1307</v>
      </c>
      <c r="B704" s="27" t="s">
        <v>1056</v>
      </c>
      <c r="C704" s="27" t="s">
        <v>1144</v>
      </c>
      <c r="D704" s="27" t="s">
        <v>972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996</v>
      </c>
      <c r="B706" s="27" t="s">
        <v>970</v>
      </c>
      <c r="C706" s="27" t="s">
        <v>971</v>
      </c>
      <c r="D706" s="27" t="s">
        <v>972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1002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994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999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1089</v>
      </c>
      <c r="B711" s="27" t="s">
        <v>997</v>
      </c>
      <c r="C711" s="27" t="s">
        <v>971</v>
      </c>
      <c r="D711" s="27" t="s">
        <v>972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1308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1002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1309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1100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994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1154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979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1310</v>
      </c>
      <c r="B719" s="27" t="s">
        <v>1056</v>
      </c>
      <c r="C719" s="27" t="s">
        <v>982</v>
      </c>
      <c r="D719" s="27" t="s">
        <v>972</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1002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994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983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999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1046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1311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1312</v>
      </c>
      <c r="B727" s="27" t="s">
        <v>1013</v>
      </c>
      <c r="C727" s="27" t="s">
        <v>982</v>
      </c>
      <c r="D727" s="27" t="s">
        <v>972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1216</v>
      </c>
      <c r="B729" s="27" t="s">
        <v>1016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1313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994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1314</v>
      </c>
      <c r="B733" s="27" t="s">
        <v>997</v>
      </c>
      <c r="C733" s="27" t="s">
        <v>1237</v>
      </c>
      <c r="D733" s="27" t="s">
        <v>972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1315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994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1316</v>
      </c>
      <c r="B736" s="27" t="s">
        <v>1006</v>
      </c>
      <c r="C736" s="27" t="s">
        <v>1004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1114</v>
      </c>
      <c r="B737" s="27" t="s">
        <v>997</v>
      </c>
      <c r="C737" s="27" t="s">
        <v>977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1024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1317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1002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1008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1063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1318</v>
      </c>
    </row>
    <row r="746" spans="1:12">
      <c r="A746" s="20" t="s">
        <v>1319</v>
      </c>
      <c r="B746" s="27" t="s">
        <v>981</v>
      </c>
      <c r="C746" s="27" t="s">
        <v>1014</v>
      </c>
      <c r="D746" s="27" t="s">
        <v>972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1320</v>
      </c>
      <c r="B747" s="27" t="s">
        <v>1056</v>
      </c>
      <c r="C747" s="27" t="s">
        <v>1021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1321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996</v>
      </c>
      <c r="B749" s="27" t="s">
        <v>970</v>
      </c>
      <c r="C749" s="27" t="s">
        <v>971</v>
      </c>
      <c r="D749" s="27" t="s">
        <v>972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1322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1025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983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1196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994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996</v>
      </c>
      <c r="B755" s="27" t="s">
        <v>1013</v>
      </c>
      <c r="C755" s="27" t="s">
        <v>971</v>
      </c>
      <c r="D755" s="27" t="s">
        <v>972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1262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1323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1113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1324</v>
      </c>
      <c r="B759" s="27" t="s">
        <v>1016</v>
      </c>
      <c r="C759" s="27" t="s">
        <v>1021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994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1325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996</v>
      </c>
      <c r="B762" s="27" t="s">
        <v>1013</v>
      </c>
      <c r="C762" s="27" t="s">
        <v>971</v>
      </c>
      <c r="D762" s="27" t="s">
        <v>972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1326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1327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978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1328</v>
      </c>
      <c r="B767" s="27" t="s">
        <v>981</v>
      </c>
      <c r="C767" s="27" t="s">
        <v>982</v>
      </c>
      <c r="D767" s="27" t="s">
        <v>972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1329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994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1330</v>
      </c>
      <c r="B771" s="27" t="s">
        <v>1013</v>
      </c>
      <c r="C771" s="27" t="s">
        <v>982</v>
      </c>
      <c r="D771" s="27" t="s">
        <v>972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1331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983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1196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1197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1332</v>
      </c>
      <c r="B777" s="27" t="s">
        <v>1013</v>
      </c>
      <c r="C777" s="27" t="s">
        <v>1004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1333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1024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983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996</v>
      </c>
      <c r="B781" s="27" t="s">
        <v>997</v>
      </c>
      <c r="C781" s="27" t="s">
        <v>971</v>
      </c>
      <c r="D781" s="27" t="s">
        <v>972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1334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1335</v>
      </c>
      <c r="B783" s="27" t="s">
        <v>1034</v>
      </c>
      <c r="C783" s="27" t="s">
        <v>977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1336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1008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968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1337</v>
      </c>
    </row>
    <row r="789" spans="1:12">
      <c r="A789" s="20" t="s">
        <v>969</v>
      </c>
      <c r="B789" s="27" t="s">
        <v>970</v>
      </c>
      <c r="C789" s="27" t="s">
        <v>971</v>
      </c>
      <c r="D789" s="27" t="s">
        <v>972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1088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1194</v>
      </c>
      <c r="B791" s="27" t="s">
        <v>981</v>
      </c>
      <c r="C791" s="27" t="s">
        <v>971</v>
      </c>
      <c r="D791" s="27" t="s">
        <v>972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1338</v>
      </c>
      <c r="B792" s="27" t="s">
        <v>976</v>
      </c>
      <c r="C792" s="27" t="s">
        <v>1038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1024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123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983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1027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1330</v>
      </c>
      <c r="B797" s="27" t="s">
        <v>1016</v>
      </c>
      <c r="C797" s="27" t="s">
        <v>982</v>
      </c>
      <c r="D797" s="27" t="s">
        <v>972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1339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983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1340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1341</v>
      </c>
    </row>
    <row r="804" spans="1:12">
      <c r="A804" s="20" t="s">
        <v>1342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996</v>
      </c>
      <c r="B805" s="27" t="s">
        <v>1013</v>
      </c>
      <c r="C805" s="27" t="s">
        <v>971</v>
      </c>
      <c r="D805" s="27" t="s">
        <v>972</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1343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1344</v>
      </c>
      <c r="B808" s="27" t="s">
        <v>1016</v>
      </c>
      <c r="C808" s="27" t="s">
        <v>1126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1345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983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1089</v>
      </c>
      <c r="B811" s="27" t="s">
        <v>1034</v>
      </c>
      <c r="C811" s="27" t="s">
        <v>971</v>
      </c>
      <c r="D811" s="27" t="s">
        <v>972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1346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1281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994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1347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1348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1330</v>
      </c>
      <c r="B818" s="27" t="s">
        <v>976</v>
      </c>
      <c r="C818" s="27" t="s">
        <v>982</v>
      </c>
      <c r="D818" s="27" t="s">
        <v>972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994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983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1349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1350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996</v>
      </c>
      <c r="B823" s="27" t="s">
        <v>1013</v>
      </c>
      <c r="C823" s="27" t="s">
        <v>971</v>
      </c>
      <c r="D823" s="27" t="s">
        <v>972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1089</v>
      </c>
      <c r="B824" s="27" t="s">
        <v>1016</v>
      </c>
      <c r="C824" s="27" t="s">
        <v>971</v>
      </c>
      <c r="D824" s="27" t="s">
        <v>972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1351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1063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1352</v>
      </c>
    </row>
    <row r="830" spans="1:12">
      <c r="A830" s="20" t="s">
        <v>1254</v>
      </c>
      <c r="B830" s="27" t="s">
        <v>970</v>
      </c>
      <c r="C830" s="27" t="s">
        <v>971</v>
      </c>
      <c r="D830" s="27" t="s">
        <v>972</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1181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1276</v>
      </c>
      <c r="B832" s="27" t="s">
        <v>1056</v>
      </c>
      <c r="C832" s="27" t="s">
        <v>991</v>
      </c>
      <c r="D832" s="27" t="s">
        <v>972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1353</v>
      </c>
      <c r="B833" s="27" t="s">
        <v>1056</v>
      </c>
      <c r="C833" s="27" t="s">
        <v>977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983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996</v>
      </c>
      <c r="B835" s="27" t="s">
        <v>1013</v>
      </c>
      <c r="C835" s="27" t="s">
        <v>971</v>
      </c>
      <c r="D835" s="27" t="s">
        <v>972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1354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1197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969</v>
      </c>
      <c r="B839" s="27" t="s">
        <v>997</v>
      </c>
      <c r="C839" s="27" t="s">
        <v>971</v>
      </c>
      <c r="D839" s="27" t="s">
        <v>972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1355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1356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1357</v>
      </c>
      <c r="B842" s="27" t="s">
        <v>1034</v>
      </c>
      <c r="C842" s="27" t="s">
        <v>977</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1008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1063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1358</v>
      </c>
    </row>
    <row r="847" spans="1:12">
      <c r="A847" s="20" t="s">
        <v>1080</v>
      </c>
      <c r="B847" s="27" t="s">
        <v>970</v>
      </c>
      <c r="C847" s="27" t="s">
        <v>1014</v>
      </c>
      <c r="D847" s="27" t="s">
        <v>972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1359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1360</v>
      </c>
      <c r="B849" s="27" t="s">
        <v>976</v>
      </c>
      <c r="C849" s="27" t="s">
        <v>1004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1008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968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1361</v>
      </c>
    </row>
    <row r="855" spans="1:12">
      <c r="A855" s="20" t="s">
        <v>1362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979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1363</v>
      </c>
      <c r="B858" s="27" t="s">
        <v>1056</v>
      </c>
      <c r="C858" s="27" t="s">
        <v>982</v>
      </c>
      <c r="D858" s="27" t="s">
        <v>972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1364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996</v>
      </c>
      <c r="B860" s="27" t="s">
        <v>970</v>
      </c>
      <c r="C860" s="27" t="s">
        <v>971</v>
      </c>
      <c r="D860" s="27" t="s">
        <v>972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1040</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1365</v>
      </c>
      <c r="B863" s="27" t="s">
        <v>1056</v>
      </c>
      <c r="C863" s="27" t="s">
        <v>982</v>
      </c>
      <c r="D863" s="27" t="s">
        <v>972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1366</v>
      </c>
      <c r="B866" s="27" t="s">
        <v>981</v>
      </c>
      <c r="C866" s="27" t="s">
        <v>982</v>
      </c>
      <c r="D866" s="27" t="s">
        <v>972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1154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1008</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1367</v>
      </c>
    </row>
    <row r="871" spans="1:12">
      <c r="A871" s="20" t="s">
        <v>1010</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996</v>
      </c>
      <c r="B872" s="27" t="s">
        <v>970</v>
      </c>
      <c r="C872" s="27" t="s">
        <v>971</v>
      </c>
      <c r="D872" s="27" t="s">
        <v>972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1045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1368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1029</v>
      </c>
      <c r="B875" s="27" t="s">
        <v>976</v>
      </c>
      <c r="C875" s="27" t="s">
        <v>971</v>
      </c>
      <c r="D875" s="27" t="s">
        <v>972</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1142</v>
      </c>
      <c r="B876" s="27" t="s">
        <v>985</v>
      </c>
      <c r="C876" s="27" t="s">
        <v>1105</v>
      </c>
      <c r="D876" s="27" t="s">
        <v>972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1369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172</v>
      </c>
      <c r="B878" s="27" t="s">
        <v>1016</v>
      </c>
      <c r="C878" s="27" t="s">
        <v>1144</v>
      </c>
      <c r="D878" s="27" t="s">
        <v>972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1002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340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1197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996</v>
      </c>
      <c r="B883" s="27" t="s">
        <v>1013</v>
      </c>
      <c r="C883" s="27" t="s">
        <v>971</v>
      </c>
      <c r="D883" s="27" t="s">
        <v>972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1024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988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1370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1371</v>
      </c>
      <c r="B887" s="27" t="s">
        <v>1056</v>
      </c>
      <c r="C887" s="27" t="s">
        <v>982</v>
      </c>
      <c r="D887" s="27" t="s">
        <v>972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1372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994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988</v>
      </c>
      <c r="B890" s="27" t="s">
        <v>997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1054</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1119</v>
      </c>
      <c r="B892" s="27" t="s">
        <v>1034</v>
      </c>
      <c r="C892" s="27" t="s">
        <v>1021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1373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1262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994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1374</v>
      </c>
      <c r="B896" s="27" t="s">
        <v>1000</v>
      </c>
      <c r="C896" s="27" t="s">
        <v>1375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1372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996</v>
      </c>
      <c r="B898" s="27" t="s">
        <v>1000</v>
      </c>
      <c r="C898" s="27" t="s">
        <v>971</v>
      </c>
      <c r="D898" s="27" t="s">
        <v>972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1044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1376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1377</v>
      </c>
    </row>
    <row r="903" spans="1:12">
      <c r="A903" s="20" t="s">
        <v>1010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1117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996</v>
      </c>
      <c r="B905" s="27" t="s">
        <v>1013</v>
      </c>
      <c r="C905" s="27" t="s">
        <v>971</v>
      </c>
      <c r="D905" s="27" t="s">
        <v>972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1378</v>
      </c>
      <c r="B906" s="27" t="s">
        <v>1016</v>
      </c>
      <c r="C906" s="27" t="s">
        <v>977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1379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1203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994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988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1378</v>
      </c>
      <c r="B912" s="27" t="s">
        <v>970</v>
      </c>
      <c r="C912" s="27" t="s">
        <v>982</v>
      </c>
      <c r="D912" s="27" t="s">
        <v>972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1110</v>
      </c>
      <c r="B913" s="27" t="s">
        <v>976</v>
      </c>
      <c r="C913" s="27" t="s">
        <v>971</v>
      </c>
      <c r="D913" s="27" t="s">
        <v>972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1161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1002</v>
      </c>
      <c r="B915" s="27" t="s">
        <v>981</v>
      </c>
      <c r="C915" s="27" t="s">
        <v>1004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1029</v>
      </c>
      <c r="B916" s="27" t="s">
        <v>1056</v>
      </c>
      <c r="C916" s="27" t="s">
        <v>971</v>
      </c>
      <c r="D916" s="27" t="s">
        <v>972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1108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1288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1012</v>
      </c>
      <c r="B920" s="27" t="s">
        <v>970</v>
      </c>
      <c r="C920" s="27" t="s">
        <v>1014</v>
      </c>
      <c r="D920" s="27" t="s">
        <v>972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1110</v>
      </c>
      <c r="B921" s="27" t="s">
        <v>976</v>
      </c>
      <c r="C921" s="27" t="s">
        <v>971</v>
      </c>
      <c r="D921" s="27" t="s">
        <v>972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1002</v>
      </c>
      <c r="B922" s="27" t="s">
        <v>981</v>
      </c>
      <c r="C922" s="27" t="s">
        <v>1004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1380</v>
      </c>
      <c r="B923" s="27" t="s">
        <v>1056</v>
      </c>
      <c r="C923" s="27" t="s">
        <v>1004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1381</v>
      </c>
      <c r="B924" s="27" t="s">
        <v>1056</v>
      </c>
      <c r="C924" s="27" t="s">
        <v>1004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1382</v>
      </c>
    </row>
    <row r="928" spans="1:12">
      <c r="A928" s="20" t="s">
        <v>1010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1180</v>
      </c>
      <c r="B929" s="27" t="s">
        <v>976</v>
      </c>
      <c r="C929" s="27" t="s">
        <v>1014</v>
      </c>
      <c r="D929" s="27" t="s">
        <v>972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1383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996</v>
      </c>
      <c r="B931" s="27" t="s">
        <v>970</v>
      </c>
      <c r="C931" s="27" t="s">
        <v>971</v>
      </c>
      <c r="D931" s="27" t="s">
        <v>972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1384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994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1117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1012</v>
      </c>
      <c r="B935" s="27" t="s">
        <v>1013</v>
      </c>
      <c r="C935" s="27" t="s">
        <v>1014</v>
      </c>
      <c r="D935" s="27" t="s">
        <v>972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1110</v>
      </c>
      <c r="B936" s="27" t="s">
        <v>1016</v>
      </c>
      <c r="C936" s="27" t="s">
        <v>971</v>
      </c>
      <c r="D936" s="27" t="s">
        <v>972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1002</v>
      </c>
      <c r="B937" s="27" t="s">
        <v>985</v>
      </c>
      <c r="C937" s="27" t="s">
        <v>1004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1385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1316</v>
      </c>
      <c r="B939" s="27" t="s">
        <v>981</v>
      </c>
      <c r="C939" s="27" t="s">
        <v>1014</v>
      </c>
      <c r="D939" s="27" t="s">
        <v>972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58</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1376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1386</v>
      </c>
    </row>
    <row r="944" spans="1:12">
      <c r="A944" s="20" t="s">
        <v>1254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1387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1388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1389</v>
      </c>
      <c r="B947" s="27" t="s">
        <v>1016</v>
      </c>
      <c r="C947" s="27" t="s">
        <v>1126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1111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1110</v>
      </c>
      <c r="B949" s="27" t="s">
        <v>1056</v>
      </c>
      <c r="C949" s="27" t="s">
        <v>971</v>
      </c>
      <c r="D949" s="27" t="s">
        <v>972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994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1049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996</v>
      </c>
      <c r="B952" s="27" t="s">
        <v>1013</v>
      </c>
      <c r="C952" s="27" t="s">
        <v>971</v>
      </c>
      <c r="D952" s="27" t="s">
        <v>972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1041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1390</v>
      </c>
      <c r="B954" s="27" t="s">
        <v>1016</v>
      </c>
      <c r="C954" s="27" t="s">
        <v>982</v>
      </c>
      <c r="D954" s="27" t="s">
        <v>972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1391</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1008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1392</v>
      </c>
    </row>
    <row r="959" spans="1:12">
      <c r="A959" s="20" t="s">
        <v>1393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1163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996</v>
      </c>
      <c r="B961" s="27" t="s">
        <v>970</v>
      </c>
      <c r="C961" s="27" t="s">
        <v>971</v>
      </c>
      <c r="D961" s="27" t="s">
        <v>972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994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1394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1395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994</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996</v>
      </c>
      <c r="B967" s="27" t="s">
        <v>997</v>
      </c>
      <c r="C967" s="27" t="s">
        <v>971</v>
      </c>
      <c r="D967" s="27" t="s">
        <v>972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1054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1396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1310</v>
      </c>
      <c r="B970" s="27" t="s">
        <v>1034</v>
      </c>
      <c r="C970" s="27" t="s">
        <v>1021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1281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983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1117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996</v>
      </c>
      <c r="B974" s="27" t="s">
        <v>1000</v>
      </c>
      <c r="C974" s="27" t="s">
        <v>971</v>
      </c>
      <c r="D974" s="27" t="s">
        <v>972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1397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1398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1116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994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1050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1399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1360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1154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979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1316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1400</v>
      </c>
      <c r="B985" s="27" t="s">
        <v>1401</v>
      </c>
      <c r="C985" s="27" t="s">
        <v>1402</v>
      </c>
      <c r="D985" s="27" t="s">
        <v>972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994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1027</v>
      </c>
      <c r="B987" s="27" t="s">
        <v>1297</v>
      </c>
      <c r="C987" s="27" t="s">
        <v>1014</v>
      </c>
      <c r="D987" s="27" t="s">
        <v>972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1403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1181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1008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1404</v>
      </c>
    </row>
    <row r="993" spans="1:12">
      <c r="A993" s="20" t="s">
        <v>1405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1406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1281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996</v>
      </c>
      <c r="B996" s="27" t="s">
        <v>970</v>
      </c>
      <c r="C996" s="27" t="s">
        <v>971</v>
      </c>
      <c r="D996" s="27" t="s">
        <v>972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1407</v>
      </c>
      <c r="B997" s="27" t="s">
        <v>976</v>
      </c>
      <c r="C997" s="27" t="s">
        <v>977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1002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1408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1409</v>
      </c>
      <c r="B1000" s="27" t="s">
        <v>981</v>
      </c>
      <c r="C1000" s="27" t="s">
        <v>977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1410</v>
      </c>
    </row>
    <row r="1004" spans="1:12">
      <c r="A1004" s="20" t="s">
        <v>1147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1411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1412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996</v>
      </c>
      <c r="B1007" s="27" t="s">
        <v>970</v>
      </c>
      <c r="C1007" s="27" t="s">
        <v>971</v>
      </c>
      <c r="D1007" s="27" t="s">
        <v>972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1110</v>
      </c>
      <c r="B1008" s="27" t="s">
        <v>976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1413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983</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1414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1415</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994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1412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1110</v>
      </c>
      <c r="B1015" s="27" t="s">
        <v>1016</v>
      </c>
      <c r="C1015" s="27" t="s">
        <v>971</v>
      </c>
      <c r="D1015" s="27" t="s">
        <v>972</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1413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983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1322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1416</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996</v>
      </c>
      <c r="B1020" s="27" t="s">
        <v>1013</v>
      </c>
      <c r="C1020" s="27" t="s">
        <v>971</v>
      </c>
      <c r="D1020" s="27" t="s">
        <v>972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994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999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996</v>
      </c>
      <c r="B1023" s="27" t="s">
        <v>997</v>
      </c>
      <c r="C1023" s="27" t="s">
        <v>971</v>
      </c>
      <c r="D1023" s="27" t="s">
        <v>972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1025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1417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978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1418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983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1419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1409</v>
      </c>
      <c r="B1030" s="27" t="s">
        <v>985</v>
      </c>
      <c r="C1030" s="27" t="s">
        <v>977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414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1420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1008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1063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1421</v>
      </c>
    </row>
    <row r="1037" spans="1:12">
      <c r="A1037" s="20" t="s">
        <v>969</v>
      </c>
      <c r="B1037" s="27" t="s">
        <v>970</v>
      </c>
      <c r="C1037" s="27" t="s">
        <v>971</v>
      </c>
      <c r="D1037" s="27" t="s">
        <v>972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1422</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1197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968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1423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1089</v>
      </c>
      <c r="B1042" s="27" t="s">
        <v>1013</v>
      </c>
      <c r="C1042" s="27" t="s">
        <v>971</v>
      </c>
      <c r="D1042" s="27" t="s">
        <v>972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1054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1288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1054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1425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1426</v>
      </c>
      <c r="B1048" s="27" t="s">
        <v>1056</v>
      </c>
      <c r="C1048" s="27" t="s">
        <v>1021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1376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1063</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1427</v>
      </c>
    </row>
    <row r="1053" spans="1:12">
      <c r="A1053" s="20" t="s">
        <v>1010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1203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1089</v>
      </c>
      <c r="B1055" s="27" t="s">
        <v>970</v>
      </c>
      <c r="C1055" s="27" t="s">
        <v>971</v>
      </c>
      <c r="D1055" s="27" t="s">
        <v>972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1025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1428</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1288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1429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1430</v>
      </c>
      <c r="B1061" s="27" t="s">
        <v>1056</v>
      </c>
      <c r="C1061" s="27" t="s">
        <v>977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1431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462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1376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968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1432</v>
      </c>
    </row>
    <row r="1068" spans="1:12">
      <c r="A1068" s="20" t="s">
        <v>969</v>
      </c>
      <c r="B1068" s="27" t="s">
        <v>970</v>
      </c>
      <c r="C1068" s="27" t="s">
        <v>971</v>
      </c>
      <c r="D1068" s="27" t="s">
        <v>972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1088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988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172</v>
      </c>
      <c r="B1071" s="27" t="s">
        <v>1056</v>
      </c>
      <c r="C1071" s="27" t="s">
        <v>982</v>
      </c>
      <c r="D1071" s="27" t="s">
        <v>972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994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1433</v>
      </c>
      <c r="B1073" s="27" t="s">
        <v>1013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1384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1089</v>
      </c>
      <c r="B1075" s="27" t="s">
        <v>1013</v>
      </c>
      <c r="C1075" s="27" t="s">
        <v>971</v>
      </c>
      <c r="D1075" s="27" t="s">
        <v>972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1181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994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1024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350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row>
    <row r="1082" spans="1:12">
      <c r="A1082" s="20" t="s">
        <v>1434</v>
      </c>
    </row>
    <row r="1083" spans="1:12">
      <c r="A1083" s="20" t="s">
        <v>1010</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1044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1416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996</v>
      </c>
      <c r="B1086" s="27" t="s">
        <v>970</v>
      </c>
      <c r="C1086" s="27" t="s">
        <v>971</v>
      </c>
      <c r="D1086" s="27" t="s">
        <v>972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1322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994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999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1435</v>
      </c>
      <c r="B1090" s="27" t="s">
        <v>1013</v>
      </c>
      <c r="C1090" s="27" t="s">
        <v>1014</v>
      </c>
      <c r="D1090" s="27" t="s">
        <v>972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978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1436</v>
      </c>
      <c r="B1092" s="27" t="s">
        <v>985</v>
      </c>
      <c r="C1092" s="27" t="s">
        <v>1014</v>
      </c>
      <c r="D1092" s="27" t="s">
        <v>972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1437</v>
      </c>
      <c r="B1093" s="27" t="s">
        <v>981</v>
      </c>
      <c r="C1093" s="27" t="s">
        <v>1126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1438</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1439</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994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1440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1441</v>
      </c>
      <c r="B1100" s="27" t="s">
        <v>1034</v>
      </c>
      <c r="C1100" s="27" t="s">
        <v>982</v>
      </c>
      <c r="D1100" s="27" t="s">
        <v>972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1442</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1002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514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1008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1443</v>
      </c>
    </row>
    <row r="1107" spans="1:12">
      <c r="A1107" s="20" t="s">
        <v>1096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1428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983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1444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1409</v>
      </c>
      <c r="B1111" s="27" t="s">
        <v>970</v>
      </c>
      <c r="C1111" s="27" t="s">
        <v>982</v>
      </c>
      <c r="D1111" s="27" t="s">
        <v>972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1445</v>
      </c>
      <c r="B1113" s="27" t="s">
        <v>1013</v>
      </c>
      <c r="C1113" s="27" t="s">
        <v>1004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1019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1446</v>
      </c>
      <c r="B1115" s="27" t="s">
        <v>976</v>
      </c>
      <c r="C1115" s="27" t="s">
        <v>1447</v>
      </c>
      <c r="D1115" s="27" t="s">
        <v>972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983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996</v>
      </c>
      <c r="B1118" s="27" t="s">
        <v>1013</v>
      </c>
      <c r="C1118" s="27" t="s">
        <v>971</v>
      </c>
      <c r="D1118" s="27" t="s">
        <v>972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1416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1368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994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999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1081</v>
      </c>
      <c r="B1123" s="27" t="s">
        <v>997</v>
      </c>
      <c r="C1123" s="27" t="s">
        <v>977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1360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1198</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994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1027</v>
      </c>
      <c r="B1127" s="27" t="s">
        <v>1000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1448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1449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1450</v>
      </c>
      <c r="B1131" s="27" t="s">
        <v>1006</v>
      </c>
      <c r="C1131" s="27" t="s">
        <v>1014</v>
      </c>
      <c r="D1131" s="27" t="s">
        <v>972</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1451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1100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994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999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1223</v>
      </c>
      <c r="B1136" s="27" t="s">
        <v>1000</v>
      </c>
      <c r="C1136" s="27" t="s">
        <v>1004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1012</v>
      </c>
      <c r="B1137" s="27" t="s">
        <v>1201</v>
      </c>
      <c r="C1137" s="27" t="s">
        <v>1014</v>
      </c>
      <c r="D1137" s="27" t="s">
        <v>972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1024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1098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1452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1453</v>
      </c>
      <c r="B1141" s="27" t="s">
        <v>1006</v>
      </c>
      <c r="C1141" s="27" t="s">
        <v>1038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983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1454</v>
      </c>
      <c r="B1143" s="27" t="s">
        <v>1401</v>
      </c>
      <c r="C1143" s="27" t="s">
        <v>991</v>
      </c>
      <c r="D1143" s="27" t="s">
        <v>972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1455</v>
      </c>
      <c r="B1144" s="27" t="s">
        <v>1003</v>
      </c>
      <c r="C1144" s="27" t="s">
        <v>977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1456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1457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1008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1458</v>
      </c>
    </row>
    <row r="1150" spans="1:12">
      <c r="A1150" s="20" t="s">
        <v>1459</v>
      </c>
      <c r="B1150" s="27" t="s">
        <v>970</v>
      </c>
      <c r="C1150" s="27" t="s">
        <v>1014</v>
      </c>
      <c r="D1150" s="27" t="s">
        <v>972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183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1460</v>
      </c>
      <c r="B1152" s="27" t="s">
        <v>1013</v>
      </c>
      <c r="C1152" s="27" t="s">
        <v>977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1081</v>
      </c>
      <c r="B1154" s="27" t="s">
        <v>985</v>
      </c>
      <c r="C1154" s="27" t="s">
        <v>977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1198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1461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1008</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1462</v>
      </c>
    </row>
    <row r="1160" spans="1:12">
      <c r="A1160" s="20" t="s">
        <v>1271</v>
      </c>
      <c r="B1160" s="27" t="s">
        <v>970</v>
      </c>
      <c r="C1160" s="27" t="s">
        <v>971</v>
      </c>
      <c r="D1160" s="27" t="s">
        <v>972</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1024</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1463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1464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1465</v>
      </c>
    </row>
    <row r="1168" spans="1:12">
      <c r="A1168" s="20" t="s">
        <v>1271</v>
      </c>
      <c r="B1168" s="27" t="s">
        <v>970</v>
      </c>
      <c r="C1168" s="27" t="s">
        <v>971</v>
      </c>
      <c r="D1168" s="27" t="s">
        <v>972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1198</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1466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1467</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1008</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row>
    <row r="1174" spans="1:12">
      <c r="A1174" s="20" t="s">
        <v>1468</v>
      </c>
    </row>
    <row r="1175" spans="1:12">
      <c r="A1175" s="20" t="s">
        <v>1271</v>
      </c>
      <c r="B1175" s="27" t="s">
        <v>970</v>
      </c>
      <c r="C1175" s="27" t="s">
        <v>971</v>
      </c>
      <c r="D1175" s="27" t="s">
        <v>972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1469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1470</v>
      </c>
      <c r="B1178" s="27" t="s">
        <v>976</v>
      </c>
      <c r="C1178" s="27" t="s">
        <v>977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1008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1471</v>
      </c>
    </row>
    <row r="1182" spans="1:12">
      <c r="A1182" s="20" t="s">
        <v>1271</v>
      </c>
      <c r="B1182" s="27" t="s">
        <v>970</v>
      </c>
      <c r="C1182" s="27" t="s">
        <v>971</v>
      </c>
      <c r="D1182" s="27" t="s">
        <v>972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1198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1054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1472</v>
      </c>
      <c r="B1185" s="27" t="s">
        <v>1056</v>
      </c>
      <c r="C1185" s="27" t="s">
        <v>1021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1473</v>
      </c>
    </row>
    <row r="1189" spans="1:12">
      <c r="A1189" s="20" t="s">
        <v>1147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996</v>
      </c>
      <c r="B1190" s="27" t="s">
        <v>970</v>
      </c>
      <c r="C1190" s="27" t="s">
        <v>971</v>
      </c>
      <c r="D1190" s="27" t="s">
        <v>972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1372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1448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1474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999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996</v>
      </c>
      <c r="B1196" s="27" t="s">
        <v>1013</v>
      </c>
      <c r="C1196" s="27" t="s">
        <v>971</v>
      </c>
      <c r="D1196" s="27" t="s">
        <v>972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1002</v>
      </c>
      <c r="B1197" s="27" t="s">
        <v>985</v>
      </c>
      <c r="C1197" s="27" t="s">
        <v>1004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1046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1475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1476</v>
      </c>
      <c r="B1200" s="27" t="s">
        <v>981</v>
      </c>
      <c r="C1200" s="27" t="s">
        <v>982</v>
      </c>
      <c r="D1200" s="27" t="s">
        <v>972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1477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983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1024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1478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197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1136</v>
      </c>
      <c r="B1206" s="27" t="s">
        <v>981</v>
      </c>
      <c r="C1206" s="27" t="s">
        <v>1126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994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1049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1479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1480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1160</v>
      </c>
      <c r="B1211" s="27" t="s">
        <v>1201</v>
      </c>
      <c r="C1211" s="27" t="s">
        <v>1014</v>
      </c>
      <c r="D1211" s="27" t="s">
        <v>972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1481</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462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1008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1482</v>
      </c>
    </row>
    <row r="1218" spans="1:12">
      <c r="A1218" s="20" t="s">
        <v>969</v>
      </c>
      <c r="B1218" s="27" t="s">
        <v>970</v>
      </c>
      <c r="C1218" s="27" t="s">
        <v>971</v>
      </c>
      <c r="D1218" s="27" t="s">
        <v>972</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1483</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994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978</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197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1136</v>
      </c>
      <c r="B1224" s="27" t="s">
        <v>981</v>
      </c>
      <c r="C1224" s="27" t="s">
        <v>1126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988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1114</v>
      </c>
      <c r="B1226" s="27" t="s">
        <v>1016</v>
      </c>
      <c r="C1226" s="27" t="s">
        <v>982</v>
      </c>
      <c r="D1226" s="27" t="s">
        <v>972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1098</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1194</v>
      </c>
      <c r="B1228" s="27" t="s">
        <v>985</v>
      </c>
      <c r="C1228" s="27" t="s">
        <v>991</v>
      </c>
      <c r="D1228" s="27" t="s">
        <v>972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1484</v>
      </c>
      <c r="B1229" s="27" t="s">
        <v>981</v>
      </c>
      <c r="C1229" s="27" t="s">
        <v>977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983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1485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462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994</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1486</v>
      </c>
      <c r="B1237" s="27" t="s">
        <v>997</v>
      </c>
      <c r="C1237" s="27" t="s">
        <v>1004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1448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1019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1487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1488</v>
      </c>
      <c r="B1241" s="27" t="s">
        <v>1034</v>
      </c>
      <c r="C1241" s="27" t="s">
        <v>1021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1489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1008</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row>
    <row r="1245" spans="1:12">
      <c r="A1245" s="20" t="s">
        <v>1490</v>
      </c>
    </row>
    <row r="1246" spans="1:12">
      <c r="A1246" s="20" t="s">
        <v>1081</v>
      </c>
      <c r="B1246" s="27" t="s">
        <v>970</v>
      </c>
      <c r="C1246" s="27" t="s">
        <v>977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1198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1027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1491</v>
      </c>
      <c r="B1249" s="27" t="s">
        <v>1056</v>
      </c>
      <c r="C1249" s="27" t="s">
        <v>982</v>
      </c>
      <c r="D1249" s="27" t="s">
        <v>972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1492</v>
      </c>
      <c r="B1251" s="27" t="s">
        <v>1056</v>
      </c>
      <c r="C1251" s="27" t="s">
        <v>982</v>
      </c>
      <c r="D1251" s="27" t="s">
        <v>972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1008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row>
    <row r="1254" spans="1:12">
      <c r="A1254" s="20" t="s">
        <v>1063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1493</v>
      </c>
    </row>
    <row r="1256" spans="1:12">
      <c r="A1256" s="20" t="s">
        <v>1494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1223</v>
      </c>
      <c r="B1257" s="27" t="s">
        <v>970</v>
      </c>
      <c r="C1257" s="27" t="s">
        <v>1004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1040</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1495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1496</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983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1116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241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1197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968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1185</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1036</v>
      </c>
      <c r="B1267" s="27" t="s">
        <v>1006</v>
      </c>
      <c r="C1267" s="27" t="s">
        <v>991</v>
      </c>
      <c r="D1267" s="27" t="s">
        <v>972</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669</v>
      </c>
      <c r="B1268" s="27" t="s">
        <v>997</v>
      </c>
      <c r="C1268" s="27" t="s">
        <v>977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1497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994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1498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996</v>
      </c>
      <c r="B1272" s="27" t="s">
        <v>1013</v>
      </c>
      <c r="C1272" s="27" t="s">
        <v>971</v>
      </c>
      <c r="D1272" s="27" t="s">
        <v>972</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1019</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1076</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968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994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1050</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1089</v>
      </c>
      <c r="B1278" s="27" t="s">
        <v>997</v>
      </c>
      <c r="C1278" s="27" t="s">
        <v>971</v>
      </c>
      <c r="D1278" s="27" t="s">
        <v>972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1024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988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1492</v>
      </c>
      <c r="B1281" s="27" t="s">
        <v>1016</v>
      </c>
      <c r="C1281" s="27" t="s">
        <v>1402</v>
      </c>
      <c r="D1281" s="27" t="s">
        <v>972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994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1217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1435</v>
      </c>
      <c r="B1284" s="27" t="s">
        <v>1000</v>
      </c>
      <c r="C1284" s="27" t="s">
        <v>1014</v>
      </c>
      <c r="D1284" s="27" t="s">
        <v>972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1012</v>
      </c>
      <c r="B1285" s="27" t="s">
        <v>1201</v>
      </c>
      <c r="C1285" s="27" t="s">
        <v>1014</v>
      </c>
      <c r="D1285" s="27" t="s">
        <v>972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1008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1499</v>
      </c>
    </row>
    <row r="1290" spans="1:12">
      <c r="A1290" s="20" t="s">
        <v>1254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1500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1240</v>
      </c>
      <c r="B1292" s="27" t="s">
        <v>981</v>
      </c>
      <c r="C1292" s="27" t="s">
        <v>1014</v>
      </c>
      <c r="D1292" s="27" t="s">
        <v>972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1492</v>
      </c>
      <c r="B1293" s="27" t="s">
        <v>970</v>
      </c>
      <c r="C1293" s="27" t="s">
        <v>1126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994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1303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1027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1501</v>
      </c>
      <c r="B1297" s="27" t="s">
        <v>981</v>
      </c>
      <c r="C1297" s="27" t="s">
        <v>982</v>
      </c>
      <c r="D1297" s="27" t="s">
        <v>972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1098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1502</v>
      </c>
      <c r="B1299" s="27" t="s">
        <v>985</v>
      </c>
      <c r="C1299" s="27" t="s">
        <v>977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994</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983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1283</v>
      </c>
      <c r="B1302" s="27" t="s">
        <v>985</v>
      </c>
      <c r="C1302" s="27" t="s">
        <v>1105</v>
      </c>
      <c r="D1302" s="27" t="s">
        <v>972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1503</v>
      </c>
      <c r="B1303" s="27" t="s">
        <v>1013</v>
      </c>
      <c r="C1303" s="27" t="s">
        <v>1144</v>
      </c>
      <c r="D1303" s="27" t="s">
        <v>972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1046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1504</v>
      </c>
      <c r="B1305" s="27" t="s">
        <v>985</v>
      </c>
      <c r="C1305" s="27" t="s">
        <v>982</v>
      </c>
      <c r="D1305" s="27" t="s">
        <v>972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1457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1505</v>
      </c>
      <c r="B1308" s="27" t="s">
        <v>1056</v>
      </c>
      <c r="C1308" s="27" t="s">
        <v>982</v>
      </c>
      <c r="D1308" s="27" t="s">
        <v>972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1111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1506</v>
      </c>
      <c r="B1310" s="27" t="s">
        <v>981</v>
      </c>
      <c r="C1310" s="27" t="s">
        <v>977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1008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row>
    <row r="1314" spans="1:12">
      <c r="A1314" s="20" t="s">
        <v>1507</v>
      </c>
    </row>
    <row r="1315" spans="1:12">
      <c r="A1315" s="20" t="s">
        <v>1254</v>
      </c>
      <c r="B1315" s="27" t="s">
        <v>970</v>
      </c>
      <c r="C1315" s="27" t="s">
        <v>971</v>
      </c>
      <c r="D1315" s="27" t="s">
        <v>972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1500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1149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1441</v>
      </c>
      <c r="B1318" s="27" t="s">
        <v>976</v>
      </c>
      <c r="C1318" s="27" t="s">
        <v>1126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994</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988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1114</v>
      </c>
      <c r="B1321" s="27" t="s">
        <v>997</v>
      </c>
      <c r="C1321" s="27" t="s">
        <v>982</v>
      </c>
      <c r="D1321" s="27" t="s">
        <v>972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1508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1509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1081</v>
      </c>
      <c r="B1325" s="27" t="s">
        <v>1056</v>
      </c>
      <c r="C1325" s="27" t="s">
        <v>977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1510</v>
      </c>
      <c r="B1327" s="27" t="s">
        <v>981</v>
      </c>
      <c r="C1327" s="27" t="s">
        <v>977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983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1511</v>
      </c>
      <c r="B1329" s="27" t="s">
        <v>981</v>
      </c>
      <c r="C1329" s="27" t="s">
        <v>977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1008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1512</v>
      </c>
    </row>
    <row r="1333" spans="1:12">
      <c r="A1333" s="20" t="s">
        <v>1510</v>
      </c>
      <c r="B1333" s="27" t="s">
        <v>970</v>
      </c>
      <c r="C1333" s="27" t="s">
        <v>977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1100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1513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1514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1008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1515</v>
      </c>
    </row>
    <row r="1340" spans="1:12">
      <c r="A1340" s="20" t="s">
        <v>1185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1271</v>
      </c>
      <c r="B1341" s="27" t="s">
        <v>1013</v>
      </c>
      <c r="C1341" s="27" t="s">
        <v>971</v>
      </c>
      <c r="D1341" s="27" t="s">
        <v>972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1113</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1502</v>
      </c>
      <c r="B1343" s="27" t="s">
        <v>1016</v>
      </c>
      <c r="C1343" s="27" t="s">
        <v>1021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983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1216</v>
      </c>
      <c r="B1346" s="27" t="s">
        <v>1034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1516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1517</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983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994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1299</v>
      </c>
      <c r="B1355" s="27" t="s">
        <v>1006</v>
      </c>
      <c r="C1355" s="27" t="s">
        <v>1126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1151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1198</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1271</v>
      </c>
      <c r="B1359" s="27" t="s">
        <v>997</v>
      </c>
      <c r="C1359" s="27" t="s">
        <v>971</v>
      </c>
      <c r="D1359" s="27" t="s">
        <v>972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1070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1518</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1519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1520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994</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1243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1271</v>
      </c>
      <c r="B1366" s="27" t="s">
        <v>997</v>
      </c>
      <c r="C1366" s="27" t="s">
        <v>971</v>
      </c>
      <c r="D1366" s="27" t="s">
        <v>972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1521</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1054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1522</v>
      </c>
      <c r="B1369" s="27" t="s">
        <v>1000</v>
      </c>
      <c r="C1369" s="27" t="s">
        <v>1004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1523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994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1100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1089</v>
      </c>
      <c r="B1373" s="27" t="s">
        <v>970</v>
      </c>
      <c r="C1373" s="27" t="s">
        <v>971</v>
      </c>
      <c r="D1373" s="27" t="s">
        <v>972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614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1510</v>
      </c>
      <c r="B1375" s="27" t="s">
        <v>1056</v>
      </c>
      <c r="C1375" s="27" t="s">
        <v>977</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994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983</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1089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1221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1216</v>
      </c>
      <c r="B1380" s="27" t="s">
        <v>1016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1524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978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1525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1526</v>
      </c>
      <c r="B1385" s="27" t="s">
        <v>981</v>
      </c>
      <c r="C1385" s="27" t="s">
        <v>977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1098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1527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1528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1008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1529</v>
      </c>
    </row>
    <row r="1392" spans="1:12">
      <c r="A1392" s="20" t="s">
        <v>1185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1271</v>
      </c>
      <c r="B1393" s="27" t="s">
        <v>1013</v>
      </c>
      <c r="C1393" s="27" t="s">
        <v>971</v>
      </c>
      <c r="D1393" s="27" t="s">
        <v>972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1113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1530</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1502</v>
      </c>
      <c r="B1396" s="27" t="s">
        <v>1016</v>
      </c>
      <c r="C1396" s="27" t="s">
        <v>1021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45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983</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1216</v>
      </c>
      <c r="B1399" s="27" t="s">
        <v>1034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1531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994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983</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1134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1264</v>
      </c>
      <c r="B1406" s="27" t="s">
        <v>1006</v>
      </c>
      <c r="C1406" s="27" t="s">
        <v>1126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1532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1521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1533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994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1044</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1198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1089</v>
      </c>
      <c r="B1413" s="27" t="s">
        <v>970</v>
      </c>
      <c r="C1413" s="27" t="s">
        <v>971</v>
      </c>
      <c r="D1413" s="27" t="s">
        <v>972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1323</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1081</v>
      </c>
      <c r="B1415" s="27" t="s">
        <v>1056</v>
      </c>
      <c r="C1415" s="27" t="s">
        <v>977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988</v>
      </c>
      <c r="B1417" s="27" t="s">
        <v>1013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1098</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1041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1530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1534</v>
      </c>
      <c r="B1421" s="27" t="s">
        <v>981</v>
      </c>
      <c r="C1421" s="27" t="s">
        <v>982</v>
      </c>
      <c r="D1421" s="27" t="s">
        <v>972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1535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1536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1008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1537</v>
      </c>
    </row>
    <row r="1427" spans="1:12">
      <c r="A1427" s="20" t="s">
        <v>1538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1539</v>
      </c>
      <c r="B1428" s="27" t="s">
        <v>970</v>
      </c>
      <c r="C1428" s="27" t="s">
        <v>982</v>
      </c>
      <c r="D1428" s="27" t="s">
        <v>972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1540</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1450</v>
      </c>
      <c r="B1430" s="27" t="s">
        <v>976</v>
      </c>
      <c r="C1430" s="27" t="s">
        <v>1014</v>
      </c>
      <c r="D1430" s="27" t="s">
        <v>972</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1019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1541</v>
      </c>
      <c r="B1432" s="27" t="s">
        <v>976</v>
      </c>
      <c r="C1432" s="27" t="s">
        <v>1021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1542</v>
      </c>
    </row>
    <row r="1436" spans="1:12">
      <c r="A1436" s="20" t="s">
        <v>1096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1114</v>
      </c>
      <c r="B1437" s="27" t="s">
        <v>970</v>
      </c>
      <c r="C1437" s="27" t="s">
        <v>982</v>
      </c>
      <c r="D1437" s="27" t="s">
        <v>972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994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1081</v>
      </c>
      <c r="B1440" s="27" t="s">
        <v>1013</v>
      </c>
      <c r="C1440" s="27" t="s">
        <v>977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1543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1308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1511</v>
      </c>
      <c r="B1443" s="27" t="s">
        <v>976</v>
      </c>
      <c r="C1443" s="27" t="s">
        <v>977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1008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1544</v>
      </c>
    </row>
    <row r="1447" spans="1:12">
      <c r="A1447" s="20" t="s">
        <v>1254</v>
      </c>
      <c r="B1447" s="27" t="s">
        <v>970</v>
      </c>
      <c r="C1447" s="27" t="s">
        <v>971</v>
      </c>
      <c r="D1447" s="27" t="s">
        <v>972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1100</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1182</v>
      </c>
      <c r="B1449" s="27" t="s">
        <v>970</v>
      </c>
      <c r="C1449" s="27" t="s">
        <v>1004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1002</v>
      </c>
      <c r="B1450" s="27" t="s">
        <v>1056</v>
      </c>
      <c r="C1450" s="27" t="s">
        <v>1004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1182</v>
      </c>
      <c r="B1451" s="27" t="s">
        <v>1056</v>
      </c>
      <c r="C1451" s="27" t="s">
        <v>1004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1511</v>
      </c>
      <c r="B1452" s="27" t="s">
        <v>1056</v>
      </c>
      <c r="C1452" s="27" t="s">
        <v>1126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994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1182</v>
      </c>
      <c r="B1454" s="27" t="s">
        <v>1056</v>
      </c>
      <c r="C1454" s="27" t="s">
        <v>1004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1002</v>
      </c>
      <c r="B1455" s="27" t="s">
        <v>985</v>
      </c>
      <c r="C1455" s="27" t="s">
        <v>1004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1182</v>
      </c>
      <c r="B1456" s="27" t="s">
        <v>985</v>
      </c>
      <c r="C1456" s="27" t="s">
        <v>1004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1510</v>
      </c>
      <c r="B1457" s="27" t="s">
        <v>981</v>
      </c>
      <c r="C1457" s="27" t="s">
        <v>1126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1175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1385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1182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1002</v>
      </c>
      <c r="B1461" s="27" t="s">
        <v>1006</v>
      </c>
      <c r="C1461" s="27" t="s">
        <v>1004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1545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1312</v>
      </c>
      <c r="B1463" s="27" t="s">
        <v>985</v>
      </c>
      <c r="C1463" s="27" t="s">
        <v>1021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1008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1546</v>
      </c>
    </row>
    <row r="1467" spans="1:12">
      <c r="A1467" s="20" t="s">
        <v>969</v>
      </c>
      <c r="B1467" s="27" t="s">
        <v>970</v>
      </c>
      <c r="C1467" s="27" t="s">
        <v>971</v>
      </c>
      <c r="D1467" s="27" t="s">
        <v>972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1547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1110</v>
      </c>
      <c r="B1469" s="27" t="s">
        <v>976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1548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994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1081</v>
      </c>
      <c r="B1472" s="27" t="s">
        <v>1016</v>
      </c>
      <c r="C1472" s="27" t="s">
        <v>977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1002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176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983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1114</v>
      </c>
      <c r="B1476" s="27" t="s">
        <v>1013</v>
      </c>
      <c r="C1476" s="27" t="s">
        <v>977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1002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1549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994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988</v>
      </c>
      <c r="B1480" s="27" t="s">
        <v>1013</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1027</v>
      </c>
      <c r="B1481" s="27" t="s">
        <v>1016</v>
      </c>
      <c r="C1481" s="27" t="s">
        <v>1105</v>
      </c>
      <c r="D1481" s="27" t="s">
        <v>972</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1229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1550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1008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1551</v>
      </c>
    </row>
    <row r="1487" spans="1:12">
      <c r="A1487" s="20" t="s">
        <v>969</v>
      </c>
      <c r="B1487" s="27" t="s">
        <v>970</v>
      </c>
      <c r="C1487" s="27" t="s">
        <v>971</v>
      </c>
      <c r="D1487" s="27" t="s">
        <v>972</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1552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1089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1114</v>
      </c>
      <c r="B1492" s="27" t="s">
        <v>1013</v>
      </c>
      <c r="C1492" s="27" t="s">
        <v>977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1500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994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988</v>
      </c>
      <c r="B1495" s="27" t="s">
        <v>1000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994</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1553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1554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994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1555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1556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1081</v>
      </c>
      <c r="B1502" s="27" t="s">
        <v>1016</v>
      </c>
      <c r="C1502" s="27" t="s">
        <v>977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994</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988</v>
      </c>
      <c r="B1505" s="27" t="s">
        <v>1013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1243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1384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1557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1558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1008</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1559</v>
      </c>
    </row>
    <row r="1515" spans="1:12">
      <c r="A1515" s="20" t="s">
        <v>1010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1089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1500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1076</v>
      </c>
      <c r="B1518" s="27" t="s">
        <v>981</v>
      </c>
      <c r="C1518" s="27" t="s">
        <v>1014</v>
      </c>
      <c r="D1518" s="27" t="s">
        <v>972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1114</v>
      </c>
      <c r="B1519" s="27" t="s">
        <v>970</v>
      </c>
      <c r="C1519" s="27" t="s">
        <v>977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994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988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994</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1448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1217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1089</v>
      </c>
      <c r="B1525" s="27" t="s">
        <v>1013</v>
      </c>
      <c r="C1525" s="27" t="s">
        <v>971</v>
      </c>
      <c r="D1525" s="27" t="s">
        <v>972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1560</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994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1561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1562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1081</v>
      </c>
      <c r="B1530" s="27" t="s">
        <v>1034</v>
      </c>
      <c r="C1530" s="27" t="s">
        <v>977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104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994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983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1244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1563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1245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1564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1565</v>
      </c>
      <c r="B1538" s="27" t="s">
        <v>1006</v>
      </c>
      <c r="C1538" s="27" t="s">
        <v>1038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1054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1396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1310</v>
      </c>
      <c r="B1541" s="27" t="s">
        <v>1201</v>
      </c>
      <c r="C1541" s="27" t="s">
        <v>1021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1550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1008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row>
    <row r="1545" spans="1:12">
      <c r="A1545" s="20" t="s">
        <v>1566</v>
      </c>
    </row>
    <row r="1546" spans="1:12">
      <c r="A1546" s="20" t="s">
        <v>969</v>
      </c>
      <c r="B1546" s="27" t="s">
        <v>970</v>
      </c>
      <c r="C1546" s="27" t="s">
        <v>971</v>
      </c>
      <c r="D1546" s="27" t="s">
        <v>972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1567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1568</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1569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994</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1164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1570</v>
      </c>
      <c r="B1552" s="27" t="s">
        <v>1006</v>
      </c>
      <c r="C1552" s="27" t="s">
        <v>1004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1114</v>
      </c>
      <c r="B1553" s="27" t="s">
        <v>997</v>
      </c>
      <c r="C1553" s="27" t="s">
        <v>1126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1571</v>
      </c>
      <c r="B1554" s="27" t="s">
        <v>1013</v>
      </c>
      <c r="C1554" s="27" t="s">
        <v>1014</v>
      </c>
      <c r="D1554" s="27" t="s">
        <v>972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1198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1049</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1076</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1008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1572</v>
      </c>
    </row>
    <row r="1561" spans="1:12">
      <c r="A1561" s="20" t="s">
        <v>1573</v>
      </c>
      <c r="B1561" s="27" t="s">
        <v>970</v>
      </c>
      <c r="C1561" s="27" t="s">
        <v>1014</v>
      </c>
      <c r="D1561" s="27" t="s">
        <v>972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1198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988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1574</v>
      </c>
      <c r="B1564" s="27" t="s">
        <v>1056</v>
      </c>
      <c r="C1564" s="27" t="s">
        <v>982</v>
      </c>
      <c r="D1564" s="27" t="s">
        <v>972</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988</v>
      </c>
      <c r="B1566" s="27" t="s">
        <v>1013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1089</v>
      </c>
      <c r="B1567" s="27" t="s">
        <v>1016</v>
      </c>
      <c r="C1567" s="27" t="s">
        <v>971</v>
      </c>
      <c r="D1567" s="27" t="s">
        <v>972</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1114</v>
      </c>
      <c r="B1568" s="27" t="s">
        <v>1016</v>
      </c>
      <c r="C1568" s="27" t="s">
        <v>977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1575</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994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1002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1115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1376</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row>
    <row r="1575" spans="1:12">
      <c r="A1575" s="20" t="s">
        <v>1576</v>
      </c>
    </row>
    <row r="1576" spans="1:12">
      <c r="A1576" s="20" t="s">
        <v>969</v>
      </c>
      <c r="B1576" s="27" t="s">
        <v>970</v>
      </c>
      <c r="C1576" s="27" t="s">
        <v>971</v>
      </c>
      <c r="D1576" s="27" t="s">
        <v>972</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1577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1568</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1578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983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1579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1113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1154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1081</v>
      </c>
      <c r="B1584" s="27" t="s">
        <v>1006</v>
      </c>
      <c r="C1584" s="27" t="s">
        <v>977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1580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1114</v>
      </c>
      <c r="B1586" s="27" t="s">
        <v>1016</v>
      </c>
      <c r="C1586" s="27" t="s">
        <v>1021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1134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979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1316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1008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1581</v>
      </c>
    </row>
    <row r="1593" spans="1:12">
      <c r="A1593" s="20" t="s">
        <v>1582</v>
      </c>
      <c r="B1593" s="27" t="s">
        <v>970</v>
      </c>
      <c r="C1593" s="27" t="s">
        <v>1004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1046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1583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1114</v>
      </c>
      <c r="B1596" s="27" t="s">
        <v>981</v>
      </c>
      <c r="C1596" s="27" t="s">
        <v>982</v>
      </c>
      <c r="D1596" s="27" t="s">
        <v>972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988</v>
      </c>
      <c r="B1598" s="27" t="s">
        <v>1201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996</v>
      </c>
      <c r="B1599" s="27" t="s">
        <v>1000</v>
      </c>
      <c r="C1599" s="27" t="s">
        <v>971</v>
      </c>
      <c r="D1599" s="27" t="s">
        <v>972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1579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994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1584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1081</v>
      </c>
      <c r="B1603" s="27" t="s">
        <v>976</v>
      </c>
      <c r="C1603" s="27" t="s">
        <v>977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1049</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1019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1076</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1255</v>
      </c>
      <c r="B1607" s="27" t="s">
        <v>1056</v>
      </c>
      <c r="C1607" s="27" t="s">
        <v>1021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1585</v>
      </c>
      <c r="B1608" s="27" t="s">
        <v>981</v>
      </c>
      <c r="C1608" s="27" t="s">
        <v>977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994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983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1181</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1586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994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999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996</v>
      </c>
      <c r="B1616" s="27" t="s">
        <v>1013</v>
      </c>
      <c r="C1616" s="27" t="s">
        <v>971</v>
      </c>
      <c r="D1616" s="27" t="s">
        <v>972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1027</v>
      </c>
      <c r="B1617" s="27" t="s">
        <v>1016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1448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1587</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1023</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994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1588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1089</v>
      </c>
      <c r="B1623" s="27" t="s">
        <v>997</v>
      </c>
      <c r="C1623" s="27" t="s">
        <v>971</v>
      </c>
      <c r="D1623" s="27" t="s">
        <v>972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1589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1110</v>
      </c>
      <c r="B1625" s="27" t="s">
        <v>1034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1548</v>
      </c>
      <c r="B1626" s="27" t="s">
        <v>997</v>
      </c>
      <c r="C1626" s="27" t="s">
        <v>1237</v>
      </c>
      <c r="D1626" s="27" t="s">
        <v>972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994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999</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1142</v>
      </c>
      <c r="B1629" s="27" t="s">
        <v>1401</v>
      </c>
      <c r="C1629" s="27" t="s">
        <v>1105</v>
      </c>
      <c r="D1629" s="27" t="s">
        <v>972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1255</v>
      </c>
      <c r="B1630" s="27" t="s">
        <v>1297</v>
      </c>
      <c r="C1630" s="27" t="s">
        <v>1144</v>
      </c>
      <c r="D1630" s="27" t="s">
        <v>972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1585</v>
      </c>
      <c r="B1631" s="27" t="s">
        <v>1300</v>
      </c>
      <c r="C1631" s="27" t="s">
        <v>977</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1002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979</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1590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1585</v>
      </c>
      <c r="B1635" s="27" t="s">
        <v>1003</v>
      </c>
      <c r="C1635" s="27" t="s">
        <v>982</v>
      </c>
      <c r="D1635" s="27" t="s">
        <v>972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534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1457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994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983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1548</v>
      </c>
      <c r="B1640" s="27" t="s">
        <v>1401</v>
      </c>
      <c r="C1640" s="27" t="s">
        <v>1237</v>
      </c>
      <c r="D1640" s="27" t="s">
        <v>972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994</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999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1089</v>
      </c>
      <c r="B1643" s="27" t="s">
        <v>1591</v>
      </c>
      <c r="C1643" s="27" t="s">
        <v>971</v>
      </c>
      <c r="D1643" s="27" t="s">
        <v>972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1019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1592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1593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1242</v>
      </c>
      <c r="B1647" s="27" t="s">
        <v>1003</v>
      </c>
      <c r="C1647" s="27" t="s">
        <v>1021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1100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1594</v>
      </c>
    </row>
    <row r="1652" spans="1:12">
      <c r="A1652" s="20" t="s">
        <v>1254</v>
      </c>
      <c r="B1652" s="27" t="s">
        <v>970</v>
      </c>
      <c r="C1652" s="27" t="s">
        <v>971</v>
      </c>
      <c r="D1652" s="27" t="s">
        <v>972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1100</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988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1154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979</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1595</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1596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1597</v>
      </c>
      <c r="B1659" s="27" t="s">
        <v>1056</v>
      </c>
      <c r="C1659" s="27" t="s">
        <v>982</v>
      </c>
      <c r="D1659" s="27" t="s">
        <v>972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983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1598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49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1114</v>
      </c>
      <c r="B1663" s="27" t="s">
        <v>1013</v>
      </c>
      <c r="C1663" s="27" t="s">
        <v>977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1548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1008</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1599</v>
      </c>
    </row>
    <row r="1668" spans="1:12">
      <c r="A1668" s="20" t="s">
        <v>1582</v>
      </c>
      <c r="B1668" s="27" t="s">
        <v>970</v>
      </c>
      <c r="C1668" s="27" t="s">
        <v>1004</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1114</v>
      </c>
      <c r="B1670" s="27" t="s">
        <v>981</v>
      </c>
      <c r="C1670" s="27" t="s">
        <v>982</v>
      </c>
      <c r="D1670" s="27" t="s">
        <v>972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994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1040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979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996</v>
      </c>
      <c r="B1674" s="27" t="s">
        <v>1000</v>
      </c>
      <c r="C1674" s="27" t="s">
        <v>971</v>
      </c>
      <c r="D1674" s="27" t="s">
        <v>972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1600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1049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996</v>
      </c>
      <c r="B1677" s="27" t="s">
        <v>1000</v>
      </c>
      <c r="C1677" s="27" t="s">
        <v>971</v>
      </c>
      <c r="D1677" s="27" t="s">
        <v>972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1027</v>
      </c>
      <c r="B1678" s="27" t="s">
        <v>1201</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1002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176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1567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994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1181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1019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1601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1602</v>
      </c>
      <c r="B1686" s="27" t="s">
        <v>1056</v>
      </c>
      <c r="C1686" s="27" t="s">
        <v>1021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988</v>
      </c>
      <c r="B1688" s="27" t="s">
        <v>1016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996</v>
      </c>
      <c r="B1689" s="27" t="s">
        <v>1013</v>
      </c>
      <c r="C1689" s="27" t="s">
        <v>971</v>
      </c>
      <c r="D1689" s="27" t="s">
        <v>972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1603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1604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1605</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1136</v>
      </c>
      <c r="B1693" s="27" t="s">
        <v>981</v>
      </c>
      <c r="C1693" s="27" t="s">
        <v>1126</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1606</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994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983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988</v>
      </c>
      <c r="B1697" s="27" t="s">
        <v>1013</v>
      </c>
      <c r="C1697" s="27" t="s">
        <v>1014</v>
      </c>
      <c r="D1697" s="27" t="s">
        <v>972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1019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1607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1608</v>
      </c>
      <c r="B1700" s="27" t="s">
        <v>1016</v>
      </c>
      <c r="C1700" s="27" t="s">
        <v>1021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978</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1609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1583</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1610</v>
      </c>
      <c r="B1704" s="27" t="s">
        <v>981</v>
      </c>
      <c r="C1704" s="27" t="s">
        <v>1038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1154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979</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1611</v>
      </c>
      <c r="B1707" s="27" t="s">
        <v>981</v>
      </c>
      <c r="C1707" s="27" t="s">
        <v>982</v>
      </c>
      <c r="D1707" s="27" t="s">
        <v>972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1612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1281</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994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983</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1044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1019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1613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1614</v>
      </c>
      <c r="B1716" s="27" t="s">
        <v>981</v>
      </c>
      <c r="C1716" s="27" t="s">
        <v>1021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1615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1181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1008</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1616</v>
      </c>
    </row>
    <row r="1722" spans="1:12">
      <c r="A1722" s="20" t="s">
        <v>1271</v>
      </c>
      <c r="B1722" s="27" t="s">
        <v>970</v>
      </c>
      <c r="C1722" s="27" t="s">
        <v>971</v>
      </c>
      <c r="D1722" s="27" t="s">
        <v>972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1281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1019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1617</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1618</v>
      </c>
      <c r="B1726" s="27" t="s">
        <v>976</v>
      </c>
      <c r="C1726" s="27" t="s">
        <v>1021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1288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1619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1614</v>
      </c>
      <c r="B1729" s="27" t="s">
        <v>981</v>
      </c>
      <c r="C1729" s="27" t="s">
        <v>977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994</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1217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1089</v>
      </c>
      <c r="B1732" s="27" t="s">
        <v>1000</v>
      </c>
      <c r="C1732" s="27" t="s">
        <v>971</v>
      </c>
      <c r="D1732" s="27" t="s">
        <v>972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1620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1621</v>
      </c>
      <c r="B1734" s="27" t="s">
        <v>985</v>
      </c>
      <c r="C1734" s="27" t="s">
        <v>977</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row>
    <row r="1737" spans="1:12">
      <c r="A1737" s="20" t="s">
        <v>1622</v>
      </c>
    </row>
    <row r="1738" spans="1:12">
      <c r="A1738" s="20" t="s">
        <v>1623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1199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1150</v>
      </c>
      <c r="B1740" s="27" t="s">
        <v>1056</v>
      </c>
      <c r="C1740" s="27" t="s">
        <v>1126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1624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1577</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1089</v>
      </c>
      <c r="B1743" s="27" t="s">
        <v>970</v>
      </c>
      <c r="C1743" s="27" t="s">
        <v>971</v>
      </c>
      <c r="D1743" s="27" t="s">
        <v>972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1625</v>
      </c>
      <c r="B1744" s="27" t="s">
        <v>970</v>
      </c>
      <c r="C1744" s="27" t="s">
        <v>1014</v>
      </c>
      <c r="D1744" s="27" t="s">
        <v>972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1040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1626</v>
      </c>
      <c r="B1746" s="27" t="s">
        <v>1056</v>
      </c>
      <c r="C1746" s="27" t="s">
        <v>977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1627</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1586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983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1322</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1414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1027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1626</v>
      </c>
      <c r="B1753" s="27" t="s">
        <v>1013</v>
      </c>
      <c r="C1753" s="27" t="s">
        <v>982</v>
      </c>
      <c r="D1753" s="27" t="s">
        <v>972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1628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994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1440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1002</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1629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994</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1217</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1012</v>
      </c>
      <c r="B1761" s="27" t="s">
        <v>1013</v>
      </c>
      <c r="C1761" s="27" t="s">
        <v>1014</v>
      </c>
      <c r="D1761" s="27" t="s">
        <v>972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1303</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1630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1631</v>
      </c>
      <c r="B1764" s="27" t="s">
        <v>1056</v>
      </c>
      <c r="C1764" s="27" t="s">
        <v>977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1008</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1632</v>
      </c>
    </row>
    <row r="1768" spans="1:12">
      <c r="A1768" s="20" t="s">
        <v>1271</v>
      </c>
      <c r="B1768" s="27" t="s">
        <v>970</v>
      </c>
      <c r="C1768" s="27" t="s">
        <v>971</v>
      </c>
      <c r="D1768" s="27" t="s">
        <v>972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1281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1019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1633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1634</v>
      </c>
      <c r="B1772" s="27" t="s">
        <v>976</v>
      </c>
      <c r="C1772" s="27" t="s">
        <v>1021</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994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983</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1635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1044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978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988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1636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1614</v>
      </c>
      <c r="B1780" s="27" t="s">
        <v>981</v>
      </c>
      <c r="C1780" s="27" t="s">
        <v>982</v>
      </c>
      <c r="D1780" s="27" t="s">
        <v>972</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994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988</v>
      </c>
      <c r="B1782" s="27" t="s">
        <v>1201</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996</v>
      </c>
      <c r="B1783" s="27" t="s">
        <v>1000</v>
      </c>
      <c r="C1783" s="27" t="s">
        <v>971</v>
      </c>
      <c r="D1783" s="27" t="s">
        <v>972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1637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1192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1008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row>
    <row r="1788" spans="1:12">
      <c r="A1788" s="20" t="s">
        <v>1638</v>
      </c>
    </row>
    <row r="1789" spans="1:12">
      <c r="A1789" s="20" t="s">
        <v>1271</v>
      </c>
      <c r="B1789" s="27" t="s">
        <v>970</v>
      </c>
      <c r="C1789" s="27" t="s">
        <v>971</v>
      </c>
      <c r="D1789" s="27" t="s">
        <v>972</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1639</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1363</v>
      </c>
      <c r="B1791" s="27" t="s">
        <v>981</v>
      </c>
      <c r="C1791" s="27" t="s">
        <v>977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1111</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1363</v>
      </c>
      <c r="B1793" s="27" t="s">
        <v>1056</v>
      </c>
      <c r="C1793" s="27" t="s">
        <v>977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1161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1288</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1252</v>
      </c>
      <c r="B1796" s="27" t="s">
        <v>981</v>
      </c>
      <c r="C1796" s="27" t="s">
        <v>1004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1640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983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978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979</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1641</v>
      </c>
      <c r="B1801" s="27" t="s">
        <v>1006</v>
      </c>
      <c r="C1801" s="27" t="s">
        <v>982</v>
      </c>
      <c r="D1801" s="27" t="s">
        <v>972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1642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978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1046</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1643</v>
      </c>
      <c r="B1805" s="27" t="s">
        <v>1056</v>
      </c>
      <c r="C1805" s="27" t="s">
        <v>982</v>
      </c>
      <c r="D1805" s="27" t="s">
        <v>972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1644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1645</v>
      </c>
      <c r="B1807" s="27" t="s">
        <v>981</v>
      </c>
      <c r="C1807" s="27" t="s">
        <v>1038</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1008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1063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1646</v>
      </c>
    </row>
    <row r="1812" spans="1:12">
      <c r="A1812" s="20" t="s">
        <v>1647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996</v>
      </c>
      <c r="B1813" s="27" t="s">
        <v>997</v>
      </c>
      <c r="C1813" s="27" t="s">
        <v>971</v>
      </c>
      <c r="D1813" s="27" t="s">
        <v>972</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1012</v>
      </c>
      <c r="B1814" s="27" t="s">
        <v>1034</v>
      </c>
      <c r="C1814" s="27" t="s">
        <v>1014</v>
      </c>
      <c r="D1814" s="27" t="s">
        <v>972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1150</v>
      </c>
      <c r="B1815" s="27" t="s">
        <v>1006</v>
      </c>
      <c r="C1815" s="27" t="s">
        <v>977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1151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1142</v>
      </c>
      <c r="B1818" s="27" t="s">
        <v>1006</v>
      </c>
      <c r="C1818" s="27" t="s">
        <v>1105</v>
      </c>
      <c r="D1818" s="27" t="s">
        <v>972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1648</v>
      </c>
      <c r="B1819" s="27" t="s">
        <v>985</v>
      </c>
      <c r="C1819" s="27" t="s">
        <v>1144</v>
      </c>
      <c r="D1819" s="27" t="s">
        <v>972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1649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1012</v>
      </c>
      <c r="B1822" s="27" t="s">
        <v>1013</v>
      </c>
      <c r="C1822" s="27" t="s">
        <v>1014</v>
      </c>
      <c r="D1822" s="27" t="s">
        <v>972</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1100</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988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1650</v>
      </c>
      <c r="B1825" s="27" t="s">
        <v>976</v>
      </c>
      <c r="C1825" s="27" t="s">
        <v>1651</v>
      </c>
      <c r="D1825" s="27" t="s">
        <v>972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1652</v>
      </c>
      <c r="B1827" s="27" t="s">
        <v>981</v>
      </c>
      <c r="C1827" s="27" t="s">
        <v>977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1653</v>
      </c>
      <c r="B1828" s="27" t="s">
        <v>981</v>
      </c>
      <c r="C1828" s="27" t="s">
        <v>1086</v>
      </c>
      <c r="D1828" s="27" t="s">
        <v>972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1654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1012</v>
      </c>
      <c r="B1832" s="27" t="s">
        <v>970</v>
      </c>
      <c r="C1832" s="27" t="s">
        <v>1014</v>
      </c>
      <c r="D1832" s="27" t="s">
        <v>972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1197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968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969</v>
      </c>
      <c r="B1835" s="27" t="s">
        <v>1013</v>
      </c>
      <c r="C1835" s="27" t="s">
        <v>971</v>
      </c>
      <c r="D1835" s="27" t="s">
        <v>972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1655</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1070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1001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974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1656</v>
      </c>
      <c r="B1840" s="27" t="s">
        <v>985</v>
      </c>
      <c r="C1840" s="27" t="s">
        <v>977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1657</v>
      </c>
      <c r="B1841" s="27" t="s">
        <v>997</v>
      </c>
      <c r="C1841" s="27" t="s">
        <v>1086</v>
      </c>
      <c r="D1841" s="27" t="s">
        <v>972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1658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1659</v>
      </c>
      <c r="B1843" s="27" t="s">
        <v>985</v>
      </c>
      <c r="C1843" s="27" t="s">
        <v>1086</v>
      </c>
      <c r="D1843" s="27" t="s">
        <v>972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1660</v>
      </c>
      <c r="B1844" s="27" t="s">
        <v>1016</v>
      </c>
      <c r="C1844" s="27" t="s">
        <v>1086</v>
      </c>
      <c r="D1844" s="27" t="s">
        <v>972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1661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974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994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1440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1194</v>
      </c>
      <c r="B1849" s="27" t="s">
        <v>1003</v>
      </c>
      <c r="C1849" s="27" t="s">
        <v>991</v>
      </c>
      <c r="D1849" s="27" t="s">
        <v>972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1662</v>
      </c>
      <c r="B1850" s="27" t="s">
        <v>1201</v>
      </c>
      <c r="C1850" s="27" t="s">
        <v>977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1002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1663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1008</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row>
    <row r="1855" spans="1:12">
      <c r="A1855" s="20" t="s">
        <v>1664</v>
      </c>
    </row>
    <row r="1856" spans="1:12">
      <c r="A1856" s="20" t="s">
        <v>969</v>
      </c>
      <c r="B1856" s="27" t="s">
        <v>970</v>
      </c>
      <c r="C1856" s="27" t="s">
        <v>971</v>
      </c>
      <c r="D1856" s="27" t="s">
        <v>972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1655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994</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1440</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988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1441</v>
      </c>
      <c r="B1861" s="27" t="s">
        <v>1016</v>
      </c>
      <c r="C1861" s="27" t="s">
        <v>982</v>
      </c>
      <c r="D1861" s="27" t="s">
        <v>972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1665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994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988</v>
      </c>
      <c r="B1864" s="27" t="s">
        <v>1013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1276</v>
      </c>
      <c r="B1865" s="27" t="s">
        <v>985</v>
      </c>
      <c r="C1865" s="27" t="s">
        <v>991</v>
      </c>
      <c r="D1865" s="27" t="s">
        <v>972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1666</v>
      </c>
      <c r="B1866" s="27" t="s">
        <v>1016</v>
      </c>
      <c r="C1866" s="27" t="s">
        <v>977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1029</v>
      </c>
      <c r="B1867" s="27" t="s">
        <v>1016</v>
      </c>
      <c r="C1867" s="27" t="s">
        <v>971</v>
      </c>
      <c r="D1867" s="27" t="s">
        <v>972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1354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994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1441</v>
      </c>
      <c r="B1870" s="27" t="s">
        <v>997</v>
      </c>
      <c r="C1870" s="27" t="s">
        <v>977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1217</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974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1667</v>
      </c>
      <c r="B1873" s="27" t="s">
        <v>1006</v>
      </c>
      <c r="C1873" s="27" t="s">
        <v>971</v>
      </c>
      <c r="D1873" s="27" t="s">
        <v>972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1668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1160</v>
      </c>
      <c r="B1875" s="27" t="s">
        <v>1034</v>
      </c>
      <c r="C1875" s="27" t="s">
        <v>1014</v>
      </c>
      <c r="D1875" s="27" t="s">
        <v>972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1008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1669</v>
      </c>
    </row>
    <row r="1879" spans="1:12">
      <c r="A1879" s="20" t="s">
        <v>1667</v>
      </c>
      <c r="B1879" s="27" t="s">
        <v>970</v>
      </c>
      <c r="C1879" s="27" t="s">
        <v>971</v>
      </c>
      <c r="D1879" s="27" t="s">
        <v>972</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1668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1054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1670</v>
      </c>
      <c r="B1882" s="27" t="s">
        <v>1056</v>
      </c>
      <c r="C1882" s="27" t="s">
        <v>1004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1008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1671</v>
      </c>
    </row>
    <row r="1886" spans="1:12">
      <c r="A1886" s="20" t="s">
        <v>1667</v>
      </c>
      <c r="B1886" s="27" t="s">
        <v>970</v>
      </c>
      <c r="C1886" s="27" t="s">
        <v>971</v>
      </c>
      <c r="D1886" s="27" t="s">
        <v>972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1672</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1089</v>
      </c>
      <c r="B1888" s="27" t="s">
        <v>970</v>
      </c>
      <c r="C1888" s="27" t="s">
        <v>971</v>
      </c>
      <c r="D1888" s="27" t="s">
        <v>972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1024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1673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1002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621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1008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974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1063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1674</v>
      </c>
    </row>
    <row r="1898" spans="1:12">
      <c r="A1898" s="20" t="s">
        <v>1010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1675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1364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996</v>
      </c>
      <c r="B1901" s="27" t="s">
        <v>970</v>
      </c>
      <c r="C1901" s="27" t="s">
        <v>971</v>
      </c>
      <c r="D1901" s="27" t="s">
        <v>972</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1676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1154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994</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1548</v>
      </c>
      <c r="B1905" s="27" t="s">
        <v>981</v>
      </c>
      <c r="C1905" s="27" t="s">
        <v>1237</v>
      </c>
      <c r="D1905" s="27" t="s">
        <v>972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1002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241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994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1110</v>
      </c>
      <c r="B1909" s="27" t="s">
        <v>1016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1313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1008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968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1677</v>
      </c>
    </row>
    <row r="1915" spans="1:12">
      <c r="A1915" s="20" t="s">
        <v>1678</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1046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1081</v>
      </c>
      <c r="B1917" s="27" t="s">
        <v>1056</v>
      </c>
      <c r="C1917" s="27" t="s">
        <v>982</v>
      </c>
      <c r="D1917" s="27" t="s">
        <v>972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1679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1223</v>
      </c>
      <c r="B1919" s="27" t="s">
        <v>970</v>
      </c>
      <c r="C1919" s="27" t="s">
        <v>1004</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1024</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999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1223</v>
      </c>
      <c r="B1923" s="27" t="s">
        <v>1013</v>
      </c>
      <c r="C1923" s="27" t="s">
        <v>1004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1113</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1680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1681</v>
      </c>
      <c r="B1926" s="27" t="s">
        <v>1016</v>
      </c>
      <c r="C1926" s="27" t="s">
        <v>1021</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1682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1285</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983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988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1077</v>
      </c>
      <c r="B1931" s="27" t="s">
        <v>1034</v>
      </c>
      <c r="C1931" s="27" t="s">
        <v>982</v>
      </c>
      <c r="D1931" s="27" t="s">
        <v>972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1082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1683</v>
      </c>
      <c r="B1933" s="27" t="s">
        <v>1006</v>
      </c>
      <c r="C1933" s="27" t="s">
        <v>1105</v>
      </c>
      <c r="D1933" s="27" t="s">
        <v>972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1681</v>
      </c>
      <c r="B1934" s="27" t="s">
        <v>985</v>
      </c>
      <c r="C1934" s="27" t="s">
        <v>1144</v>
      </c>
      <c r="D1934" s="27" t="s">
        <v>972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1098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1684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1685</v>
      </c>
      <c r="B1937" s="27" t="s">
        <v>1006</v>
      </c>
      <c r="C1937" s="27" t="s">
        <v>977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1686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1008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1687</v>
      </c>
    </row>
    <row r="1942" spans="1:12">
      <c r="A1942" s="20" t="s">
        <v>1227</v>
      </c>
      <c r="B1942" s="27" t="s">
        <v>970</v>
      </c>
      <c r="C1942" s="27" t="s">
        <v>1004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1688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994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999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1046</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1681</v>
      </c>
      <c r="B1947" s="27" t="s">
        <v>1013</v>
      </c>
      <c r="C1947" s="27" t="s">
        <v>982</v>
      </c>
      <c r="D1947" s="27" t="s">
        <v>972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1689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1414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994</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1046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1681</v>
      </c>
      <c r="B1952" s="27" t="s">
        <v>1056</v>
      </c>
      <c r="C1952" s="27" t="s">
        <v>982</v>
      </c>
      <c r="D1952" s="27" t="s">
        <v>972</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1690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1691</v>
      </c>
      <c r="B1954" s="27" t="s">
        <v>981</v>
      </c>
      <c r="C1954" s="27" t="s">
        <v>982</v>
      </c>
      <c r="D1954" s="27" t="s">
        <v>972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994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1223</v>
      </c>
      <c r="B1958" s="27" t="s">
        <v>1013</v>
      </c>
      <c r="C1958" s="27" t="s">
        <v>1004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1692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1693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1694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1686</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1008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row>
    <row r="1965" spans="1:12">
      <c r="A1965" s="20" t="s">
        <v>1695</v>
      </c>
    </row>
    <row r="1966" spans="1:12">
      <c r="A1966" s="20" t="s">
        <v>1254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1100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1696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1697</v>
      </c>
      <c r="B1969" s="27" t="s">
        <v>976</v>
      </c>
      <c r="C1969" s="27" t="s">
        <v>977</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1002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324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994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988</v>
      </c>
      <c r="B1973" s="27" t="s">
        <v>1013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1360</v>
      </c>
      <c r="B1974" s="27" t="s">
        <v>985</v>
      </c>
      <c r="C1974" s="27" t="s">
        <v>1014</v>
      </c>
      <c r="D1974" s="27" t="s">
        <v>972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1698</v>
      </c>
      <c r="B1975" s="27" t="s">
        <v>1016</v>
      </c>
      <c r="C1975" s="27" t="s">
        <v>1126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1216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1699</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994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1027</v>
      </c>
      <c r="B1981" s="27" t="s">
        <v>997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1700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462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1203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1008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1701</v>
      </c>
    </row>
    <row r="1988" spans="1:12">
      <c r="A1988" s="20" t="s">
        <v>1147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1040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1702</v>
      </c>
      <c r="B1990" s="27" t="s">
        <v>1056</v>
      </c>
      <c r="C1990" s="27" t="s">
        <v>977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1100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1089</v>
      </c>
      <c r="B1992" s="27" t="s">
        <v>970</v>
      </c>
      <c r="C1992" s="27" t="s">
        <v>971</v>
      </c>
      <c r="D1992" s="27" t="s">
        <v>972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1703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994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1588</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1435</v>
      </c>
      <c r="B1996" s="27" t="s">
        <v>1013</v>
      </c>
      <c r="C1996" s="27" t="s">
        <v>1014</v>
      </c>
      <c r="D1996" s="27" t="s">
        <v>972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241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994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999</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1435</v>
      </c>
      <c r="B2000" s="27" t="s">
        <v>997</v>
      </c>
      <c r="C2000" s="27" t="s">
        <v>1014</v>
      </c>
      <c r="D2000" s="27" t="s">
        <v>972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988</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1704</v>
      </c>
      <c r="B2002" s="27" t="s">
        <v>1034</v>
      </c>
      <c r="C2002" s="27" t="s">
        <v>982</v>
      </c>
      <c r="D2002" s="27" t="s">
        <v>972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1629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1008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1705</v>
      </c>
    </row>
    <row r="2007" spans="1:12">
      <c r="A2007" s="20" t="s">
        <v>1147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988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1704</v>
      </c>
      <c r="B2009" s="27" t="s">
        <v>970</v>
      </c>
      <c r="C2009" s="27" t="s">
        <v>982</v>
      </c>
      <c r="D2009" s="27" t="s">
        <v>972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1706</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1008</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1063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1707</v>
      </c>
    </row>
    <row r="2015" spans="1:12">
      <c r="A2015" s="20" t="s">
        <v>969</v>
      </c>
      <c r="B2015" s="27" t="s">
        <v>970</v>
      </c>
      <c r="C2015" s="27" t="s">
        <v>971</v>
      </c>
      <c r="D2015" s="27" t="s">
        <v>972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1181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1173</v>
      </c>
      <c r="B2018" s="27" t="s">
        <v>981</v>
      </c>
      <c r="C2018" s="27" t="s">
        <v>1105</v>
      </c>
      <c r="D2018" s="27" t="s">
        <v>972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1708</v>
      </c>
      <c r="B2019" s="27" t="s">
        <v>1056</v>
      </c>
      <c r="C2019" s="27" t="s">
        <v>1144</v>
      </c>
      <c r="D2019" s="27" t="s">
        <v>972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1709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1197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968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1147</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988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1704</v>
      </c>
      <c r="B2025" s="27" t="s">
        <v>1013</v>
      </c>
      <c r="C2025" s="27" t="s">
        <v>982</v>
      </c>
      <c r="D2025" s="27" t="s">
        <v>972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1706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1008</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968</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row>
    <row r="2030" spans="1:12">
      <c r="A2030" s="20" t="s">
        <v>1710</v>
      </c>
    </row>
    <row r="2031" spans="1:12">
      <c r="A2031" s="20" t="s">
        <v>1147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996</v>
      </c>
      <c r="B2032" s="27" t="s">
        <v>970</v>
      </c>
      <c r="C2032" s="27" t="s">
        <v>971</v>
      </c>
      <c r="D2032" s="27" t="s">
        <v>972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1711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1712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1049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996</v>
      </c>
      <c r="B2037" s="27" t="s">
        <v>1013</v>
      </c>
      <c r="C2037" s="27" t="s">
        <v>971</v>
      </c>
      <c r="D2037" s="27" t="s">
        <v>972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1040</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1564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1114</v>
      </c>
      <c r="B2040" s="27" t="s">
        <v>981</v>
      </c>
      <c r="C2040" s="27" t="s">
        <v>977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1600</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994</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999</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1012</v>
      </c>
      <c r="B2044" s="27" t="s">
        <v>997</v>
      </c>
      <c r="C2044" s="27" t="s">
        <v>1014</v>
      </c>
      <c r="D2044" s="27" t="s">
        <v>972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1199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1713</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1714</v>
      </c>
      <c r="B2047" s="27" t="s">
        <v>1034</v>
      </c>
      <c r="C2047" s="27" t="s">
        <v>1126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1008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row>
    <row r="2051" spans="1:12">
      <c r="A2051" s="20" t="s">
        <v>1063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1715</v>
      </c>
    </row>
    <row r="2053" spans="1:12">
      <c r="A2053" s="20" t="s">
        <v>1114</v>
      </c>
      <c r="B2053" s="27" t="s">
        <v>970</v>
      </c>
      <c r="C2053" s="27" t="s">
        <v>977</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100</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1716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1197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968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1670</v>
      </c>
      <c r="B2058" s="27" t="s">
        <v>1013</v>
      </c>
      <c r="C2058" s="27" t="s">
        <v>1004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1110</v>
      </c>
      <c r="B2060" s="27" t="s">
        <v>1016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1008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968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row>
    <row r="2064" spans="1:12">
      <c r="A2064" s="20" t="s">
        <v>1063</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1718</v>
      </c>
    </row>
    <row r="2066" spans="1:12">
      <c r="A2066" s="20" t="s">
        <v>1010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1223</v>
      </c>
      <c r="B2067" s="27" t="s">
        <v>970</v>
      </c>
      <c r="C2067" s="27" t="s">
        <v>1004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1719</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968</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969</v>
      </c>
      <c r="B2071" s="27" t="s">
        <v>1013</v>
      </c>
      <c r="C2071" s="27" t="s">
        <v>971</v>
      </c>
      <c r="D2071" s="27" t="s">
        <v>972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1720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1721</v>
      </c>
      <c r="B2073" s="27" t="s">
        <v>1016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1722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669</v>
      </c>
      <c r="B2076" s="27" t="s">
        <v>985</v>
      </c>
      <c r="C2076" s="27" t="s">
        <v>1038</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1717</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1721</v>
      </c>
      <c r="B2078" s="27" t="s">
        <v>1034</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994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1722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1129</v>
      </c>
      <c r="B2081" s="27" t="s">
        <v>1297</v>
      </c>
      <c r="C2081" s="27" t="s">
        <v>977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1717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1721</v>
      </c>
      <c r="B2083" s="27" t="s">
        <v>1300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1008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968</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1723</v>
      </c>
    </row>
    <row r="2088" spans="1:12">
      <c r="A2088" s="20" t="s">
        <v>1227</v>
      </c>
      <c r="B2088" s="27" t="s">
        <v>970</v>
      </c>
      <c r="C2088" s="27" t="s">
        <v>1004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1457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1027</v>
      </c>
      <c r="B2090" s="27" t="s">
        <v>970</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1724</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1725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350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994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1726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1073</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1041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1231</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1114</v>
      </c>
      <c r="B2099" s="27" t="s">
        <v>1056</v>
      </c>
      <c r="C2099" s="27" t="s">
        <v>982</v>
      </c>
      <c r="D2099" s="27" t="s">
        <v>972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1008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row>
    <row r="2102" spans="1:12">
      <c r="A2102" s="20" t="s">
        <v>1063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1727</v>
      </c>
    </row>
    <row r="2104" spans="1:12">
      <c r="A2104" s="20" t="s">
        <v>1147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1728</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1114</v>
      </c>
      <c r="B2106" s="27" t="s">
        <v>970</v>
      </c>
      <c r="C2106" s="27" t="s">
        <v>977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462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1368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1197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968</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1729</v>
      </c>
      <c r="B2112" s="27" t="s">
        <v>985</v>
      </c>
      <c r="C2112" s="27" t="s">
        <v>1086</v>
      </c>
      <c r="D2112" s="27" t="s">
        <v>972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994</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1180</v>
      </c>
      <c r="B2114" s="27" t="s">
        <v>1300</v>
      </c>
      <c r="C2114" s="27" t="s">
        <v>1014</v>
      </c>
      <c r="D2114" s="27" t="s">
        <v>972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1435</v>
      </c>
      <c r="B2115" s="27" t="s">
        <v>1297</v>
      </c>
      <c r="C2115" s="27" t="s">
        <v>1014</v>
      </c>
      <c r="D2115" s="27" t="s">
        <v>972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58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994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1154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979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1400</v>
      </c>
      <c r="B2120" s="27" t="s">
        <v>985</v>
      </c>
      <c r="C2120" s="27" t="s">
        <v>982</v>
      </c>
      <c r="D2120" s="27" t="s">
        <v>972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462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1435</v>
      </c>
      <c r="B2122" s="27" t="s">
        <v>997</v>
      </c>
      <c r="C2122" s="27" t="s">
        <v>1014</v>
      </c>
      <c r="D2122" s="27" t="s">
        <v>972</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1015</v>
      </c>
      <c r="B2123" s="27" t="s">
        <v>1034</v>
      </c>
      <c r="C2123" s="27" t="s">
        <v>1004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1008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968</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1063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1730</v>
      </c>
    </row>
    <row r="2130" spans="1:12">
      <c r="A2130" s="20" t="s">
        <v>1205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1012</v>
      </c>
      <c r="B2131" s="27" t="s">
        <v>970</v>
      </c>
      <c r="C2131" s="27" t="s">
        <v>1014</v>
      </c>
      <c r="D2131" s="27" t="s">
        <v>972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462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1197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968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1254</v>
      </c>
      <c r="B2136" s="27" t="s">
        <v>1013</v>
      </c>
      <c r="C2136" s="27" t="s">
        <v>971</v>
      </c>
      <c r="D2136" s="27" t="s">
        <v>972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1457</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1240</v>
      </c>
      <c r="B2138" s="27" t="s">
        <v>985</v>
      </c>
      <c r="C2138" s="27" t="s">
        <v>1014</v>
      </c>
      <c r="D2138" s="27" t="s">
        <v>972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1731</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1732</v>
      </c>
      <c r="B2140" s="27" t="s">
        <v>1016</v>
      </c>
      <c r="C2140" s="27" t="s">
        <v>1126</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1563</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1388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1114</v>
      </c>
      <c r="B2143" s="27" t="s">
        <v>981</v>
      </c>
      <c r="C2143" s="27" t="s">
        <v>1126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1008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1063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1733</v>
      </c>
    </row>
    <row r="2149" spans="1:12">
      <c r="A2149" s="20" t="s">
        <v>1734</v>
      </c>
      <c r="B2149" s="27" t="s">
        <v>970</v>
      </c>
      <c r="C2149" s="27" t="s">
        <v>1004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1098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1450</v>
      </c>
      <c r="B2151" s="27" t="s">
        <v>981</v>
      </c>
      <c r="C2151" s="27" t="s">
        <v>1014</v>
      </c>
      <c r="D2151" s="27" t="s">
        <v>972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1100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978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1735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1736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1737</v>
      </c>
      <c r="B2156" s="27" t="s">
        <v>1056</v>
      </c>
      <c r="C2156" s="27" t="s">
        <v>1038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1738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1008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row>
    <row r="2161" spans="1:12">
      <c r="A2161" s="20" t="s">
        <v>1063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1739</v>
      </c>
    </row>
    <row r="2163" spans="1:12">
      <c r="A2163" s="20" t="s">
        <v>1740</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1223</v>
      </c>
      <c r="B2164" s="27" t="s">
        <v>970</v>
      </c>
      <c r="C2164" s="27" t="s">
        <v>1004</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1203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1197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968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1166</v>
      </c>
      <c r="B2169" s="27" t="s">
        <v>1013</v>
      </c>
      <c r="C2169" s="27" t="s">
        <v>1105</v>
      </c>
      <c r="D2169" s="27" t="s">
        <v>972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1100</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1741</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994</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1243</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996</v>
      </c>
      <c r="B2174" s="27" t="s">
        <v>997</v>
      </c>
      <c r="C2174" s="27" t="s">
        <v>971</v>
      </c>
      <c r="D2174" s="27" t="s">
        <v>972</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1742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1435</v>
      </c>
      <c r="B2176" s="27" t="s">
        <v>1000</v>
      </c>
      <c r="C2176" s="27" t="s">
        <v>1014</v>
      </c>
      <c r="D2176" s="27" t="s">
        <v>972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1743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1450</v>
      </c>
      <c r="B2178" s="27" t="s">
        <v>1201</v>
      </c>
      <c r="C2178" s="27" t="s">
        <v>1014</v>
      </c>
      <c r="D2178" s="27" t="s">
        <v>972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1692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1744</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1745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994</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1180</v>
      </c>
      <c r="B2183" s="27" t="s">
        <v>1300</v>
      </c>
      <c r="C2183" s="27" t="s">
        <v>1014</v>
      </c>
      <c r="D2183" s="27" t="s">
        <v>972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1089</v>
      </c>
      <c r="B2184" s="27" t="s">
        <v>1297</v>
      </c>
      <c r="C2184" s="27" t="s">
        <v>971</v>
      </c>
      <c r="D2184" s="27" t="s">
        <v>972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1002</v>
      </c>
      <c r="B2185" s="27" t="s">
        <v>1401</v>
      </c>
      <c r="C2185" s="27" t="s">
        <v>1004</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979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1746</v>
      </c>
      <c r="B2187" s="27" t="s">
        <v>1003</v>
      </c>
      <c r="C2187" s="27" t="s">
        <v>982</v>
      </c>
      <c r="D2187" s="27" t="s">
        <v>972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150</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1747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1008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row>
    <row r="2193" spans="1:12">
      <c r="A2193" s="20" t="s">
        <v>1748</v>
      </c>
    </row>
    <row r="2194" spans="1:12">
      <c r="A2194" s="20" t="s">
        <v>1749</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1750</v>
      </c>
      <c r="B2195" s="27" t="s">
        <v>985</v>
      </c>
      <c r="C2195" s="27" t="s">
        <v>977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1751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1096</v>
      </c>
      <c r="B2197" s="27" t="s">
        <v>981</v>
      </c>
      <c r="C2197" s="27" t="s">
        <v>1014</v>
      </c>
      <c r="D2197" s="27" t="s">
        <v>972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1752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1476</v>
      </c>
      <c r="B2199" s="27" t="s">
        <v>976</v>
      </c>
      <c r="C2199" s="27" t="s">
        <v>982</v>
      </c>
      <c r="D2199" s="27" t="s">
        <v>972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367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1012</v>
      </c>
      <c r="B2201" s="27" t="s">
        <v>970</v>
      </c>
      <c r="C2201" s="27" t="s">
        <v>1014</v>
      </c>
      <c r="D2201" s="27" t="s">
        <v>972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1024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988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1753</v>
      </c>
      <c r="B2204" s="27" t="s">
        <v>976</v>
      </c>
      <c r="C2204" s="27" t="s">
        <v>982</v>
      </c>
      <c r="D2204" s="27" t="s">
        <v>972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994</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1169</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1754</v>
      </c>
      <c r="B2207" s="27" t="s">
        <v>1056</v>
      </c>
      <c r="C2207" s="27" t="s">
        <v>977</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1002</v>
      </c>
      <c r="B2208" s="27" t="s">
        <v>985</v>
      </c>
      <c r="C2208" s="27" t="s">
        <v>1004</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979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1755</v>
      </c>
      <c r="B2210" s="27" t="s">
        <v>981</v>
      </c>
      <c r="C2210" s="27" t="s">
        <v>982</v>
      </c>
      <c r="D2210" s="27" t="s">
        <v>972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1008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row>
    <row r="2213" spans="1:12">
      <c r="A2213" s="20" t="s">
        <v>1756</v>
      </c>
    </row>
    <row r="2214" spans="1:12">
      <c r="A2214" s="20" t="s">
        <v>1010</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1223</v>
      </c>
      <c r="B2215" s="27" t="s">
        <v>970</v>
      </c>
      <c r="C2215" s="27" t="s">
        <v>1004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1757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1002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241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1197</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1166</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1676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1758</v>
      </c>
      <c r="B2222" s="27" t="s">
        <v>1016</v>
      </c>
      <c r="C2222" s="27" t="s">
        <v>982</v>
      </c>
      <c r="D2222" s="27" t="s">
        <v>972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1100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994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999</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988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1231</v>
      </c>
      <c r="B2227" s="27" t="s">
        <v>997</v>
      </c>
      <c r="C2227" s="27" t="s">
        <v>1014</v>
      </c>
      <c r="D2227" s="27" t="s">
        <v>972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1098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1450</v>
      </c>
      <c r="B2229" s="27" t="s">
        <v>985</v>
      </c>
      <c r="C2229" s="27" t="s">
        <v>1014</v>
      </c>
      <c r="D2229" s="27" t="s">
        <v>972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1142</v>
      </c>
      <c r="B2230" s="27" t="s">
        <v>997</v>
      </c>
      <c r="C2230" s="27" t="s">
        <v>1105</v>
      </c>
      <c r="D2230" s="27" t="s">
        <v>972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1759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1760</v>
      </c>
      <c r="B2232" s="27" t="s">
        <v>1034</v>
      </c>
      <c r="C2232" s="27" t="s">
        <v>977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983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1012</v>
      </c>
      <c r="B2235" s="27" t="s">
        <v>1013</v>
      </c>
      <c r="C2235" s="27" t="s">
        <v>1014</v>
      </c>
      <c r="D2235" s="27" t="s">
        <v>972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1450</v>
      </c>
      <c r="B2236" s="27" t="s">
        <v>1016</v>
      </c>
      <c r="C2236" s="27" t="s">
        <v>1014</v>
      </c>
      <c r="D2236" s="27" t="s">
        <v>972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1024</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1463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1663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1008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1761</v>
      </c>
    </row>
    <row r="2243" spans="1:12">
      <c r="A2243" s="20" t="s">
        <v>1254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1387</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1019</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1762</v>
      </c>
      <c r="B2246" s="27" t="s">
        <v>970</v>
      </c>
      <c r="C2246" s="27" t="s">
        <v>1021</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994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988</v>
      </c>
      <c r="B2248" s="27" t="s">
        <v>1034</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996</v>
      </c>
      <c r="B2249" s="27" t="s">
        <v>997</v>
      </c>
      <c r="C2249" s="27" t="s">
        <v>971</v>
      </c>
      <c r="D2249" s="27" t="s">
        <v>972</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1463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1763</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994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978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1046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1019</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1764</v>
      </c>
      <c r="B2256" s="27" t="s">
        <v>1000</v>
      </c>
      <c r="C2256" s="27" t="s">
        <v>1021</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1765</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983</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1019</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1764</v>
      </c>
      <c r="B2260" s="27" t="s">
        <v>1003</v>
      </c>
      <c r="C2260" s="27" t="s">
        <v>1021</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1766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1114</v>
      </c>
      <c r="B2262" s="27" t="s">
        <v>1401</v>
      </c>
      <c r="C2262" s="27" t="s">
        <v>977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1767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1536</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994</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1019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1768</v>
      </c>
      <c r="B2267" s="27" t="s">
        <v>1300</v>
      </c>
      <c r="C2267" s="27" t="s">
        <v>1021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1769</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1054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1770</v>
      </c>
      <c r="B2270" s="27" t="s">
        <v>1003</v>
      </c>
      <c r="C2270" s="27" t="s">
        <v>1021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1002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1771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994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983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1154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979</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1400</v>
      </c>
      <c r="B2277" s="27" t="s">
        <v>981</v>
      </c>
      <c r="C2277" s="27" t="s">
        <v>982</v>
      </c>
      <c r="D2277" s="27" t="s">
        <v>972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1772</v>
      </c>
      <c r="B2278" s="27" t="s">
        <v>1006</v>
      </c>
      <c r="C2278" s="27" t="s">
        <v>1105</v>
      </c>
      <c r="D2278" s="27" t="s">
        <v>972</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1768</v>
      </c>
      <c r="B2279" s="27" t="s">
        <v>985</v>
      </c>
      <c r="C2279" s="27" t="s">
        <v>1144</v>
      </c>
      <c r="D2279" s="27" t="s">
        <v>972</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1536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1012</v>
      </c>
      <c r="B2281" s="27" t="s">
        <v>1013</v>
      </c>
      <c r="C2281" s="27" t="s">
        <v>1014</v>
      </c>
      <c r="D2281" s="27" t="s">
        <v>972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1773</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994</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1217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1199</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1774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1775</v>
      </c>
      <c r="B2287" s="27" t="s">
        <v>997</v>
      </c>
      <c r="C2287" s="27" t="s">
        <v>1126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1012</v>
      </c>
      <c r="B2288" s="27" t="s">
        <v>1034</v>
      </c>
      <c r="C2288" s="27" t="s">
        <v>1014</v>
      </c>
      <c r="D2288" s="27" t="s">
        <v>972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1776</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1777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1002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1008</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row>
    <row r="2295" spans="1:12">
      <c r="A2295" s="20" t="s">
        <v>1778</v>
      </c>
    </row>
    <row r="2296" spans="1:12">
      <c r="A2296" s="20" t="s">
        <v>1096</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1728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1764</v>
      </c>
      <c r="B2298" s="27" t="s">
        <v>970</v>
      </c>
      <c r="C2298" s="27" t="s">
        <v>982</v>
      </c>
      <c r="D2298" s="27" t="s">
        <v>972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1181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1779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994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1040</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1780</v>
      </c>
      <c r="B2303" s="27" t="s">
        <v>1056</v>
      </c>
      <c r="C2303" s="27" t="s">
        <v>977</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1098</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1781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48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1782</v>
      </c>
      <c r="B2307" s="27" t="s">
        <v>981</v>
      </c>
      <c r="C2307" s="27" t="s">
        <v>1126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994</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1783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983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1784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1114</v>
      </c>
      <c r="B2313" s="27" t="s">
        <v>1300</v>
      </c>
      <c r="C2313" s="27" t="s">
        <v>982</v>
      </c>
      <c r="D2313" s="27" t="s">
        <v>972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1785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983</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87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1786</v>
      </c>
      <c r="B2319" s="27" t="s">
        <v>1003</v>
      </c>
      <c r="C2319" s="27" t="s">
        <v>1126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1161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1774</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1775</v>
      </c>
      <c r="B2322" s="27" t="s">
        <v>985</v>
      </c>
      <c r="C2322" s="27" t="s">
        <v>977</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1749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1750</v>
      </c>
      <c r="B2325" s="27" t="s">
        <v>985</v>
      </c>
      <c r="C2325" s="27" t="s">
        <v>977</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1751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1049</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1012</v>
      </c>
      <c r="B2329" s="27" t="s">
        <v>1000</v>
      </c>
      <c r="C2329" s="27" t="s">
        <v>1014</v>
      </c>
      <c r="D2329" s="27" t="s">
        <v>972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1787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1777</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1550</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1008</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1788</v>
      </c>
    </row>
    <row r="2336" spans="1:12">
      <c r="A2336" s="20" t="s">
        <v>1647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996</v>
      </c>
      <c r="B2337" s="27" t="s">
        <v>1013</v>
      </c>
      <c r="C2337" s="27" t="s">
        <v>971</v>
      </c>
      <c r="D2337" s="27" t="s">
        <v>972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1789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994</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1035</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1036</v>
      </c>
      <c r="B2341" s="27" t="s">
        <v>1006</v>
      </c>
      <c r="C2341" s="27" t="s">
        <v>991</v>
      </c>
      <c r="D2341" s="27" t="s">
        <v>972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1081</v>
      </c>
      <c r="B2342" s="27" t="s">
        <v>985</v>
      </c>
      <c r="C2342" s="27" t="s">
        <v>977</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1002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1790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994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1791</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1199</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1114</v>
      </c>
      <c r="B2348" s="27" t="s">
        <v>970</v>
      </c>
      <c r="C2348" s="27" t="s">
        <v>1126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994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999</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1089</v>
      </c>
      <c r="B2351" s="27" t="s">
        <v>1013</v>
      </c>
      <c r="C2351" s="27" t="s">
        <v>971</v>
      </c>
      <c r="D2351" s="27" t="s">
        <v>972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1627</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1703</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37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1792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994</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1216</v>
      </c>
      <c r="B2357" s="27" t="s">
        <v>1034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1793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1236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1002</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1794</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994</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1089</v>
      </c>
      <c r="B2363" s="27" t="s">
        <v>1016</v>
      </c>
      <c r="C2363" s="27" t="s">
        <v>971</v>
      </c>
      <c r="D2363" s="27" t="s">
        <v>972</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988</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1200</v>
      </c>
      <c r="B2365" s="27" t="s">
        <v>1013</v>
      </c>
      <c r="C2365" s="27" t="s">
        <v>982</v>
      </c>
      <c r="D2365" s="27" t="s">
        <v>972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1002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541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1008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1063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1795</v>
      </c>
    </row>
    <row r="2373" spans="1:12">
      <c r="A2373" s="20" t="s">
        <v>1271</v>
      </c>
      <c r="B2373" s="27" t="s">
        <v>970</v>
      </c>
      <c r="C2373" s="27" t="s">
        <v>971</v>
      </c>
      <c r="D2373" s="27" t="s">
        <v>972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1791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968</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1796</v>
      </c>
      <c r="B2377" s="27" t="s">
        <v>1056</v>
      </c>
      <c r="C2377" s="27" t="s">
        <v>977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988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1200</v>
      </c>
      <c r="B2379" s="27" t="s">
        <v>1013</v>
      </c>
      <c r="C2379" s="27" t="s">
        <v>982</v>
      </c>
      <c r="D2379" s="27" t="s">
        <v>972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1797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1040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1798</v>
      </c>
      <c r="B2382" s="27" t="s">
        <v>981</v>
      </c>
      <c r="C2382" s="27" t="s">
        <v>971</v>
      </c>
      <c r="D2382" s="27" t="s">
        <v>972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1376</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968</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row>
    <row r="2386" spans="1:12">
      <c r="A2386" s="20" t="s">
        <v>1063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1799</v>
      </c>
    </row>
    <row r="2388" spans="1:12">
      <c r="A2388" s="20" t="s">
        <v>1010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996</v>
      </c>
      <c r="B2389" s="27" t="s">
        <v>970</v>
      </c>
      <c r="C2389" s="27" t="s">
        <v>971</v>
      </c>
      <c r="D2389" s="27" t="s">
        <v>972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1197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968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1800</v>
      </c>
      <c r="B2393" s="27" t="s">
        <v>1016</v>
      </c>
      <c r="C2393" s="27" t="s">
        <v>1086</v>
      </c>
      <c r="D2393" s="27" t="s">
        <v>972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994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1114</v>
      </c>
      <c r="B2395" s="27" t="s">
        <v>1013</v>
      </c>
      <c r="C2395" s="27" t="s">
        <v>977</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391</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1797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1040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1029</v>
      </c>
      <c r="B2399" s="27" t="s">
        <v>981</v>
      </c>
      <c r="C2399" s="27" t="s">
        <v>971</v>
      </c>
      <c r="D2399" s="27" t="s">
        <v>972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1008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1801</v>
      </c>
    </row>
    <row r="2403" spans="1:12">
      <c r="A2403" s="20" t="s">
        <v>1271</v>
      </c>
      <c r="B2403" s="27" t="s">
        <v>970</v>
      </c>
      <c r="C2403" s="27" t="s">
        <v>971</v>
      </c>
      <c r="D2403" s="27" t="s">
        <v>972</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391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1802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1797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1040</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1029</v>
      </c>
      <c r="B2408" s="27" t="s">
        <v>1056</v>
      </c>
      <c r="C2408" s="27" t="s">
        <v>971</v>
      </c>
      <c r="D2408" s="27" t="s">
        <v>972</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994</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999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1012</v>
      </c>
      <c r="B2411" s="27" t="s">
        <v>1013</v>
      </c>
      <c r="C2411" s="27" t="s">
        <v>1014</v>
      </c>
      <c r="D2411" s="27" t="s">
        <v>972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1803</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994</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1029</v>
      </c>
      <c r="B2414" s="27" t="s">
        <v>1034</v>
      </c>
      <c r="C2414" s="27" t="s">
        <v>971</v>
      </c>
      <c r="D2414" s="27" t="s">
        <v>972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1098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1644</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1648</v>
      </c>
      <c r="B2417" s="27" t="s">
        <v>985</v>
      </c>
      <c r="C2417" s="27" t="s">
        <v>1038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1002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237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1288</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1046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1648</v>
      </c>
      <c r="B2422" s="27" t="s">
        <v>981</v>
      </c>
      <c r="C2422" s="27" t="s">
        <v>982</v>
      </c>
      <c r="D2422" s="27" t="s">
        <v>972</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1644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1804</v>
      </c>
      <c r="B2424" s="27" t="s">
        <v>985</v>
      </c>
      <c r="C2424" s="27" t="s">
        <v>1038</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994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1288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1046</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1648</v>
      </c>
      <c r="B2428" s="27" t="s">
        <v>1006</v>
      </c>
      <c r="C2428" s="27" t="s">
        <v>982</v>
      </c>
      <c r="D2428" s="27" t="s">
        <v>972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1093</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1805</v>
      </c>
      <c r="B2430" s="27" t="s">
        <v>1006</v>
      </c>
      <c r="C2430" s="27" t="s">
        <v>1021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1008</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1806</v>
      </c>
    </row>
    <row r="2434" spans="1:12">
      <c r="A2434" s="20" t="s">
        <v>1096</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1441</v>
      </c>
      <c r="B2435" s="27" t="s">
        <v>970</v>
      </c>
      <c r="C2435" s="27" t="s">
        <v>982</v>
      </c>
      <c r="D2435" s="27" t="s">
        <v>972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1198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1797</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994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1588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1692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1224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996</v>
      </c>
      <c r="B2442" s="27" t="s">
        <v>1013</v>
      </c>
      <c r="C2442" s="27" t="s">
        <v>971</v>
      </c>
      <c r="D2442" s="27" t="s">
        <v>972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994</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1081</v>
      </c>
      <c r="B2445" s="27" t="s">
        <v>1000</v>
      </c>
      <c r="C2445" s="27" t="s">
        <v>977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1054</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1807</v>
      </c>
      <c r="B2447" s="27" t="s">
        <v>985</v>
      </c>
      <c r="C2447" s="27" t="s">
        <v>1021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1198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994</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1027</v>
      </c>
      <c r="B2450" s="27" t="s">
        <v>1034</v>
      </c>
      <c r="C2450" s="27" t="s">
        <v>1105</v>
      </c>
      <c r="D2450" s="27" t="s">
        <v>972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1808</v>
      </c>
      <c r="B2451" s="27" t="s">
        <v>997</v>
      </c>
      <c r="C2451" s="27" t="s">
        <v>1004</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1285</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1008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row>
    <row r="2455" spans="1:12">
      <c r="A2455" s="20" t="s">
        <v>1063</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1809</v>
      </c>
    </row>
    <row r="2457" spans="1:12">
      <c r="A2457" s="20" t="s">
        <v>1810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1054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1811</v>
      </c>
      <c r="B2459" s="27" t="s">
        <v>981</v>
      </c>
      <c r="C2459" s="27" t="s">
        <v>1004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1136</v>
      </c>
      <c r="B2460" s="27" t="s">
        <v>1056</v>
      </c>
      <c r="C2460" s="27" t="s">
        <v>1021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996</v>
      </c>
      <c r="B2462" s="27" t="s">
        <v>970</v>
      </c>
      <c r="C2462" s="27" t="s">
        <v>971</v>
      </c>
      <c r="D2462" s="27" t="s">
        <v>972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1002</v>
      </c>
      <c r="B2463" s="27" t="s">
        <v>981</v>
      </c>
      <c r="C2463" s="27" t="s">
        <v>1004</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1812</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1813</v>
      </c>
      <c r="B2465" s="27" t="s">
        <v>1056</v>
      </c>
      <c r="C2465" s="27" t="s">
        <v>1021</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983</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1154</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979</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1814</v>
      </c>
      <c r="B2469" s="27" t="s">
        <v>981</v>
      </c>
      <c r="C2469" s="27" t="s">
        <v>982</v>
      </c>
      <c r="D2469" s="27" t="s">
        <v>972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1772</v>
      </c>
      <c r="B2470" s="27" t="s">
        <v>1006</v>
      </c>
      <c r="C2470" s="27" t="s">
        <v>1105</v>
      </c>
      <c r="D2470" s="27" t="s">
        <v>972</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1815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1813</v>
      </c>
      <c r="B2472" s="27" t="s">
        <v>985</v>
      </c>
      <c r="C2472" s="27" t="s">
        <v>1144</v>
      </c>
      <c r="D2472" s="27" t="s">
        <v>972</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1816</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1019</v>
      </c>
      <c r="B2474" s="27" t="s">
        <v>1013</v>
      </c>
      <c r="C2474" s="27" t="s">
        <v>1004</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1046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1817</v>
      </c>
      <c r="B2476" s="27" t="s">
        <v>985</v>
      </c>
      <c r="C2476" s="27" t="s">
        <v>982</v>
      </c>
      <c r="D2476" s="27" t="s">
        <v>972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1110</v>
      </c>
      <c r="B2477" s="27" t="s">
        <v>1016</v>
      </c>
      <c r="C2477" s="27" t="s">
        <v>971</v>
      </c>
      <c r="D2477" s="27" t="s">
        <v>972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1002</v>
      </c>
      <c r="B2478" s="27" t="s">
        <v>985</v>
      </c>
      <c r="C2478" s="27" t="s">
        <v>1004</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1046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1818</v>
      </c>
      <c r="B2480" s="27" t="s">
        <v>981</v>
      </c>
      <c r="C2480" s="27" t="s">
        <v>982</v>
      </c>
      <c r="D2480" s="27" t="s">
        <v>972</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983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1012</v>
      </c>
      <c r="B2482" s="27" t="s">
        <v>1013</v>
      </c>
      <c r="C2482" s="27" t="s">
        <v>1014</v>
      </c>
      <c r="D2482" s="27" t="s">
        <v>972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1354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1002</v>
      </c>
      <c r="B2484" s="27" t="s">
        <v>985</v>
      </c>
      <c r="C2484" s="27" t="s">
        <v>1004</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1029</v>
      </c>
      <c r="B2485" s="27" t="s">
        <v>981</v>
      </c>
      <c r="C2485" s="27" t="s">
        <v>971</v>
      </c>
      <c r="D2485" s="27" t="s">
        <v>972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1197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968</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969</v>
      </c>
      <c r="B2488" s="27" t="s">
        <v>997</v>
      </c>
      <c r="C2488" s="27" t="s">
        <v>971</v>
      </c>
      <c r="D2488" s="27" t="s">
        <v>972</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1819</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1154</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1081</v>
      </c>
      <c r="B2491" s="27" t="s">
        <v>985</v>
      </c>
      <c r="C2491" s="27" t="s">
        <v>977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983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996</v>
      </c>
      <c r="B2493" s="27" t="s">
        <v>1006</v>
      </c>
      <c r="C2493" s="27" t="s">
        <v>971</v>
      </c>
      <c r="D2493" s="27" t="s">
        <v>972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1820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1110</v>
      </c>
      <c r="B2495" s="27" t="s">
        <v>1034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1054</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1522</v>
      </c>
      <c r="B2497" s="27" t="s">
        <v>1034</v>
      </c>
      <c r="C2497" s="27" t="s">
        <v>1004</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1209</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994</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1243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996</v>
      </c>
      <c r="B2501" s="27" t="s">
        <v>1000</v>
      </c>
      <c r="C2501" s="27" t="s">
        <v>971</v>
      </c>
      <c r="D2501" s="27" t="s">
        <v>972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1821</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1142</v>
      </c>
      <c r="B2503" s="27" t="s">
        <v>1003</v>
      </c>
      <c r="C2503" s="27" t="s">
        <v>1105</v>
      </c>
      <c r="D2503" s="27" t="s">
        <v>972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1378</v>
      </c>
      <c r="B2504" s="27" t="s">
        <v>1201</v>
      </c>
      <c r="C2504" s="27" t="s">
        <v>1144</v>
      </c>
      <c r="D2504" s="27" t="s">
        <v>972</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996</v>
      </c>
      <c r="B2506" s="27" t="s">
        <v>1013</v>
      </c>
      <c r="C2506" s="27" t="s">
        <v>971</v>
      </c>
      <c r="D2506" s="27" t="s">
        <v>972</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1822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1271</v>
      </c>
      <c r="B2508" s="27" t="s">
        <v>1016</v>
      </c>
      <c r="C2508" s="27" t="s">
        <v>971</v>
      </c>
      <c r="D2508" s="27" t="s">
        <v>972</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470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994</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1180</v>
      </c>
      <c r="B2511" s="27" t="s">
        <v>1201</v>
      </c>
      <c r="C2511" s="27" t="s">
        <v>1014</v>
      </c>
      <c r="D2511" s="27" t="s">
        <v>972</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1271</v>
      </c>
      <c r="B2512" s="27" t="s">
        <v>1000</v>
      </c>
      <c r="C2512" s="27" t="s">
        <v>971</v>
      </c>
      <c r="D2512" s="27" t="s">
        <v>972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1823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241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1376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968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row>
    <row r="2518" spans="1:12">
      <c r="A2518" s="20" t="s">
        <v>1824</v>
      </c>
    </row>
    <row r="2519" spans="1:12">
      <c r="A2519" s="20" t="s">
        <v>1010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996</v>
      </c>
      <c r="B2520" s="27" t="s">
        <v>970</v>
      </c>
      <c r="C2520" s="27" t="s">
        <v>971</v>
      </c>
      <c r="D2520" s="27" t="s">
        <v>972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1825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1110</v>
      </c>
      <c r="B2522" s="27" t="s">
        <v>976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994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1448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1826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996</v>
      </c>
      <c r="B2526" s="27" t="s">
        <v>1013</v>
      </c>
      <c r="C2526" s="27" t="s">
        <v>971</v>
      </c>
      <c r="D2526" s="27" t="s">
        <v>972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1088</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994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1625</v>
      </c>
      <c r="B2529" s="27" t="s">
        <v>1016</v>
      </c>
      <c r="C2529" s="27" t="s">
        <v>971</v>
      </c>
      <c r="D2529" s="27" t="s">
        <v>972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1113</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1827</v>
      </c>
      <c r="B2531" s="27" t="s">
        <v>1016</v>
      </c>
      <c r="C2531" s="27" t="s">
        <v>1021</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1002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1008</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1063</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1828</v>
      </c>
    </row>
    <row r="2538" spans="1:12">
      <c r="A2538" s="20" t="s">
        <v>1010</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1044</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1354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1012</v>
      </c>
      <c r="B2541" s="27" t="s">
        <v>970</v>
      </c>
      <c r="C2541" s="27" t="s">
        <v>1014</v>
      </c>
      <c r="D2541" s="27" t="s">
        <v>972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1197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968</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1829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1271</v>
      </c>
      <c r="B2545" s="27" t="s">
        <v>1013</v>
      </c>
      <c r="C2545" s="27" t="s">
        <v>971</v>
      </c>
      <c r="D2545" s="27" t="s">
        <v>972</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994</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1276</v>
      </c>
      <c r="B2547" s="27" t="s">
        <v>985</v>
      </c>
      <c r="C2547" s="27" t="s">
        <v>991</v>
      </c>
      <c r="D2547" s="27" t="s">
        <v>972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1830</v>
      </c>
      <c r="B2548" s="27" t="s">
        <v>1013</v>
      </c>
      <c r="C2548" s="27" t="s">
        <v>977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1027</v>
      </c>
      <c r="B2550" s="27" t="s">
        <v>1016</v>
      </c>
      <c r="C2550" s="27" t="s">
        <v>1014</v>
      </c>
      <c r="D2550" s="27" t="s">
        <v>972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1831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1008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1832</v>
      </c>
    </row>
    <row r="2556" spans="1:12">
      <c r="A2556" s="20" t="s">
        <v>1833</v>
      </c>
      <c r="B2556" s="27" t="s">
        <v>970</v>
      </c>
      <c r="C2556" s="27" t="s">
        <v>971</v>
      </c>
      <c r="D2556" s="27" t="s">
        <v>972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1100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1676</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1054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1834</v>
      </c>
      <c r="B2560" s="27" t="s">
        <v>1056</v>
      </c>
      <c r="C2560" s="27" t="s">
        <v>1021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1111</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1041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1027</v>
      </c>
      <c r="B2564" s="27" t="s">
        <v>1013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1835</v>
      </c>
      <c r="B2565" s="27" t="s">
        <v>985</v>
      </c>
      <c r="C2565" s="27" t="s">
        <v>1014</v>
      </c>
      <c r="D2565" s="27" t="s">
        <v>972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1836</v>
      </c>
      <c r="B2566" s="27" t="s">
        <v>1016</v>
      </c>
      <c r="C2566" s="27" t="s">
        <v>1126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1837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1116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1008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row>
    <row r="2571" spans="1:12">
      <c r="A2571" s="20" t="s">
        <v>1063</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1838</v>
      </c>
    </row>
    <row r="2573" spans="1:12">
      <c r="A2573" s="20" t="s">
        <v>1839</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994</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1027</v>
      </c>
      <c r="B2575" s="27" t="s">
        <v>970</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1334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1840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1450</v>
      </c>
      <c r="B2578" s="27" t="s">
        <v>1056</v>
      </c>
      <c r="C2578" s="27" t="s">
        <v>1014</v>
      </c>
      <c r="D2578" s="27" t="s">
        <v>972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414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1008</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968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row>
    <row r="2583" spans="1:12">
      <c r="A2583" s="20" t="s">
        <v>1063</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1841</v>
      </c>
    </row>
    <row r="2585" spans="1:12">
      <c r="A2585" s="20" t="s">
        <v>1010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996</v>
      </c>
      <c r="B2586" s="27" t="s">
        <v>970</v>
      </c>
      <c r="C2586" s="27" t="s">
        <v>971</v>
      </c>
      <c r="D2586" s="27" t="s">
        <v>972</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1354</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1197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968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1800</v>
      </c>
      <c r="B2590" s="27" t="s">
        <v>976</v>
      </c>
      <c r="C2590" s="27" t="s">
        <v>1086</v>
      </c>
      <c r="D2590" s="27" t="s">
        <v>972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994</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1027</v>
      </c>
      <c r="B2592" s="27" t="s">
        <v>1013</v>
      </c>
      <c r="C2592" s="27" t="s">
        <v>1105</v>
      </c>
      <c r="D2592" s="27" t="s">
        <v>972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1100</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978</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1842</v>
      </c>
      <c r="B2595" s="27" t="s">
        <v>981</v>
      </c>
      <c r="C2595" s="27" t="s">
        <v>977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1008</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968</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row>
    <row r="2599" spans="1:12">
      <c r="A2599" s="20" t="s">
        <v>1063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1843</v>
      </c>
    </row>
    <row r="2601" spans="1:12">
      <c r="A2601" s="20" t="s">
        <v>1362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979</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1844</v>
      </c>
      <c r="B2603" s="27" t="s">
        <v>1056</v>
      </c>
      <c r="C2603" s="27" t="s">
        <v>1086</v>
      </c>
      <c r="D2603" s="27" t="s">
        <v>972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1845</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1813</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1816</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1110</v>
      </c>
      <c r="B2607" s="27" t="s">
        <v>976</v>
      </c>
      <c r="C2607" s="27" t="s">
        <v>971</v>
      </c>
      <c r="D2607" s="27" t="s">
        <v>972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1846</v>
      </c>
      <c r="B2609" s="27" t="s">
        <v>970</v>
      </c>
      <c r="C2609" s="27" t="s">
        <v>1038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1002</v>
      </c>
      <c r="B2610" s="27" t="s">
        <v>981</v>
      </c>
      <c r="C2610" s="27" t="s">
        <v>1004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1046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1818</v>
      </c>
      <c r="B2612" s="27" t="s">
        <v>1056</v>
      </c>
      <c r="C2612" s="27" t="s">
        <v>982</v>
      </c>
      <c r="D2612" s="27" t="s">
        <v>972</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983</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1354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1002</v>
      </c>
      <c r="B2615" s="27" t="s">
        <v>985</v>
      </c>
      <c r="C2615" s="27" t="s">
        <v>1004</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1029</v>
      </c>
      <c r="B2616" s="27" t="s">
        <v>981</v>
      </c>
      <c r="C2616" s="27" t="s">
        <v>971</v>
      </c>
      <c r="D2616" s="27" t="s">
        <v>972</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1197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968</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1128</v>
      </c>
      <c r="B2619" s="27" t="s">
        <v>1006</v>
      </c>
      <c r="C2619" s="27" t="s">
        <v>991</v>
      </c>
      <c r="D2619" s="27" t="s">
        <v>972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669</v>
      </c>
      <c r="B2620" s="27" t="s">
        <v>997</v>
      </c>
      <c r="C2620" s="27" t="s">
        <v>977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1116</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241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994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999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996</v>
      </c>
      <c r="B2625" s="27" t="s">
        <v>1000</v>
      </c>
      <c r="C2625" s="27" t="s">
        <v>971</v>
      </c>
      <c r="D2625" s="27" t="s">
        <v>972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1847</v>
      </c>
      <c r="B2626" s="27" t="s">
        <v>1006</v>
      </c>
      <c r="C2626" s="27" t="s">
        <v>1014</v>
      </c>
      <c r="D2626" s="27" t="s">
        <v>972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1848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1849</v>
      </c>
      <c r="B2628" s="27" t="s">
        <v>985</v>
      </c>
      <c r="C2628" s="27" t="s">
        <v>1126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1050</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994</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1117</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1012</v>
      </c>
      <c r="B2632" s="27" t="s">
        <v>1297</v>
      </c>
      <c r="C2632" s="27" t="s">
        <v>1014</v>
      </c>
      <c r="D2632" s="27" t="s">
        <v>972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1027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1850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1008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row>
    <row r="2637" spans="1:12">
      <c r="A2637" s="20" t="s">
        <v>1063</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1851</v>
      </c>
    </row>
    <row r="2639" spans="1:12">
      <c r="A2639" s="20" t="s">
        <v>1147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996</v>
      </c>
      <c r="B2640" s="27" t="s">
        <v>970</v>
      </c>
      <c r="C2640" s="27" t="s">
        <v>971</v>
      </c>
      <c r="D2640" s="27" t="s">
        <v>972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1355</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1040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1081</v>
      </c>
      <c r="B2643" s="27" t="s">
        <v>1056</v>
      </c>
      <c r="C2643" s="27" t="s">
        <v>977</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1002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160</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983</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996</v>
      </c>
      <c r="B2647" s="27" t="s">
        <v>1013</v>
      </c>
      <c r="C2647" s="27" t="s">
        <v>971</v>
      </c>
      <c r="D2647" s="27" t="s">
        <v>972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1821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1852</v>
      </c>
      <c r="B2649" s="27" t="s">
        <v>985</v>
      </c>
      <c r="C2649" s="27" t="s">
        <v>1004</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1378</v>
      </c>
      <c r="B2650" s="27" t="s">
        <v>1016</v>
      </c>
      <c r="C2650" s="27" t="s">
        <v>1126</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994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983</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1853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996</v>
      </c>
      <c r="B2654" s="27" t="s">
        <v>1013</v>
      </c>
      <c r="C2654" s="27" t="s">
        <v>971</v>
      </c>
      <c r="D2654" s="27" t="s">
        <v>972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1110</v>
      </c>
      <c r="B2655" s="27" t="s">
        <v>1016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994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1180</v>
      </c>
      <c r="B2657" s="27" t="s">
        <v>1016</v>
      </c>
      <c r="C2657" s="27" t="s">
        <v>1014</v>
      </c>
      <c r="D2657" s="27" t="s">
        <v>972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1271</v>
      </c>
      <c r="B2658" s="27" t="s">
        <v>1013</v>
      </c>
      <c r="C2658" s="27" t="s">
        <v>971</v>
      </c>
      <c r="D2658" s="27" t="s">
        <v>972</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241</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1008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968</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1854</v>
      </c>
    </row>
    <row r="2664" spans="1:12">
      <c r="A2664" s="20" t="s">
        <v>1271</v>
      </c>
      <c r="B2664" s="27" t="s">
        <v>970</v>
      </c>
      <c r="C2664" s="27" t="s">
        <v>971</v>
      </c>
      <c r="D2664" s="27" t="s">
        <v>972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1855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988</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1042</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1378</v>
      </c>
      <c r="B2668" s="27" t="s">
        <v>976</v>
      </c>
      <c r="C2668" s="27" t="s">
        <v>982</v>
      </c>
      <c r="D2668" s="27" t="s">
        <v>972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1154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1388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1856</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1857</v>
      </c>
      <c r="B2672" s="27" t="s">
        <v>981</v>
      </c>
      <c r="C2672" s="27" t="s">
        <v>1126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978</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979</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1858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1859</v>
      </c>
      <c r="B2676" s="27" t="s">
        <v>985</v>
      </c>
      <c r="C2676" s="27" t="s">
        <v>982</v>
      </c>
      <c r="D2676" s="27" t="s">
        <v>972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1008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row>
    <row r="2679" spans="1:12">
      <c r="A2679" s="20" t="s">
        <v>1860</v>
      </c>
    </row>
    <row r="2680" spans="1:12">
      <c r="A2680" s="20" t="s">
        <v>969</v>
      </c>
      <c r="B2680" s="27" t="s">
        <v>970</v>
      </c>
      <c r="C2680" s="27" t="s">
        <v>971</v>
      </c>
      <c r="D2680" s="27" t="s">
        <v>972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1354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994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999</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996</v>
      </c>
      <c r="B2684" s="27" t="s">
        <v>1013</v>
      </c>
      <c r="C2684" s="27" t="s">
        <v>971</v>
      </c>
      <c r="D2684" s="27" t="s">
        <v>972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1742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994</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999</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988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1861</v>
      </c>
      <c r="B2689" s="27" t="s">
        <v>997</v>
      </c>
      <c r="C2689" s="27" t="s">
        <v>982</v>
      </c>
      <c r="D2689" s="27" t="s">
        <v>972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978</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1046</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1862</v>
      </c>
      <c r="B2692" s="27" t="s">
        <v>985</v>
      </c>
      <c r="C2692" s="27" t="s">
        <v>982</v>
      </c>
      <c r="D2692" s="27" t="s">
        <v>972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1852</v>
      </c>
      <c r="B2693" s="27" t="s">
        <v>997</v>
      </c>
      <c r="C2693" s="27" t="s">
        <v>1004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1644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1357</v>
      </c>
      <c r="B2695" s="27" t="s">
        <v>1006</v>
      </c>
      <c r="C2695" s="27" t="s">
        <v>1038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1863</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1864</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1008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1865</v>
      </c>
    </row>
    <row r="2701" spans="1:12">
      <c r="A2701" s="20" t="s">
        <v>1147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1029</v>
      </c>
      <c r="B2702" s="27" t="s">
        <v>976</v>
      </c>
      <c r="C2702" s="27" t="s">
        <v>971</v>
      </c>
      <c r="D2702" s="27" t="s">
        <v>972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1414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1368</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1867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994</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1217</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1868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1448</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1019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1869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1870</v>
      </c>
      <c r="B2713" s="27" t="s">
        <v>1056</v>
      </c>
      <c r="C2713" s="27" t="s">
        <v>1021</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1100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row>
    <row r="2717" spans="1:12">
      <c r="A2717" s="20" t="s">
        <v>1871</v>
      </c>
    </row>
    <row r="2718" spans="1:12">
      <c r="A2718" s="20" t="s">
        <v>1081</v>
      </c>
      <c r="B2718" s="27" t="s">
        <v>970</v>
      </c>
      <c r="C2718" s="27" t="s">
        <v>977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1198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1872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1008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row>
    <row r="2724" spans="1:12">
      <c r="A2724" s="20" t="s">
        <v>1873</v>
      </c>
    </row>
    <row r="2725" spans="1:12">
      <c r="A2725" s="20" t="s">
        <v>1271</v>
      </c>
      <c r="B2725" s="27" t="s">
        <v>970</v>
      </c>
      <c r="C2725" s="27" t="s">
        <v>971</v>
      </c>
      <c r="D2725" s="27" t="s">
        <v>972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440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1448</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1182</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1476</v>
      </c>
      <c r="B2729" s="27" t="s">
        <v>976</v>
      </c>
      <c r="C2729" s="27" t="s">
        <v>1126</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983</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1874</v>
      </c>
      <c r="B2731" s="27" t="s">
        <v>981</v>
      </c>
      <c r="C2731" s="27" t="s">
        <v>977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994</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983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1823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1002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1875</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1876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988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1081</v>
      </c>
      <c r="B2739" s="27" t="s">
        <v>976</v>
      </c>
      <c r="C2739" s="27" t="s">
        <v>982</v>
      </c>
      <c r="D2739" s="27" t="s">
        <v>972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1518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1008</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1877</v>
      </c>
    </row>
    <row r="2744" spans="1:12">
      <c r="A2744" s="20" t="s">
        <v>1010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1044</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1196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996</v>
      </c>
      <c r="B2747" s="27" t="s">
        <v>970</v>
      </c>
      <c r="C2747" s="27" t="s">
        <v>971</v>
      </c>
      <c r="D2747" s="27" t="s">
        <v>972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1035</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1141</v>
      </c>
      <c r="B2749" s="27" t="s">
        <v>981</v>
      </c>
      <c r="C2749" s="27" t="s">
        <v>1004</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988</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1878</v>
      </c>
      <c r="B2751" s="27" t="s">
        <v>1056</v>
      </c>
      <c r="C2751" s="27" t="s">
        <v>982</v>
      </c>
      <c r="D2751" s="27" t="s">
        <v>972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1134</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994</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1114</v>
      </c>
      <c r="B2755" s="27" t="s">
        <v>981</v>
      </c>
      <c r="C2755" s="27" t="s">
        <v>977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1216</v>
      </c>
      <c r="B2756" s="27" t="s">
        <v>1016</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1108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1879</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1880</v>
      </c>
    </row>
    <row r="2762" spans="1:12">
      <c r="A2762" s="20" t="s">
        <v>969</v>
      </c>
      <c r="B2762" s="27" t="s">
        <v>970</v>
      </c>
      <c r="C2762" s="27" t="s">
        <v>971</v>
      </c>
      <c r="D2762" s="27" t="s">
        <v>972</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1045</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1049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1881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1882</v>
      </c>
      <c r="B2766" s="27" t="s">
        <v>1056</v>
      </c>
      <c r="C2766" s="27" t="s">
        <v>977</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1008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row>
    <row r="2769" spans="1:12">
      <c r="A2769" s="20" t="s">
        <v>1883</v>
      </c>
    </row>
    <row r="2770" spans="1:12">
      <c r="A2770" s="20" t="s">
        <v>969</v>
      </c>
      <c r="B2770" s="27" t="s">
        <v>970</v>
      </c>
      <c r="C2770" s="27" t="s">
        <v>971</v>
      </c>
      <c r="D2770" s="27" t="s">
        <v>972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1196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999</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1089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1054</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1811</v>
      </c>
      <c r="B2776" s="27" t="s">
        <v>985</v>
      </c>
      <c r="C2776" s="27" t="s">
        <v>1004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1366</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1878</v>
      </c>
      <c r="B2779" s="27" t="s">
        <v>1013</v>
      </c>
      <c r="C2779" s="27" t="s">
        <v>1021</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994</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988</v>
      </c>
      <c r="B2782" s="27" t="s">
        <v>1013</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1884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994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983</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1089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1181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1630</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994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1885</v>
      </c>
      <c r="B2790" s="27" t="s">
        <v>1013</v>
      </c>
      <c r="C2790" s="27" t="s">
        <v>1014</v>
      </c>
      <c r="D2790" s="27" t="s">
        <v>972</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1027</v>
      </c>
      <c r="B2791" s="27" t="s">
        <v>1013</v>
      </c>
      <c r="C2791" s="27" t="s">
        <v>1105</v>
      </c>
      <c r="D2791" s="27" t="s">
        <v>972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1886</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1089</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1387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1378</v>
      </c>
      <c r="B2796" s="27" t="s">
        <v>1013</v>
      </c>
      <c r="C2796" s="27" t="s">
        <v>977</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994</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1089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1387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1887</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1888</v>
      </c>
      <c r="B2801" s="27" t="s">
        <v>1013</v>
      </c>
      <c r="C2801" s="27" t="s">
        <v>977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994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1089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1387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1889</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988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1890</v>
      </c>
      <c r="B2807" s="27" t="s">
        <v>1013</v>
      </c>
      <c r="C2807" s="27" t="s">
        <v>982</v>
      </c>
      <c r="D2807" s="27" t="s">
        <v>972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983</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999</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1891</v>
      </c>
      <c r="B2810" s="27" t="s">
        <v>985</v>
      </c>
      <c r="C2810" s="27" t="s">
        <v>1004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1076</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1892</v>
      </c>
      <c r="B2812" s="27" t="s">
        <v>1013</v>
      </c>
      <c r="C2812" s="27" t="s">
        <v>1126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1050</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1008</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1893</v>
      </c>
    </row>
    <row r="2817" spans="1:12">
      <c r="A2817" s="20" t="s">
        <v>1147</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1044</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1552</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996</v>
      </c>
      <c r="B2820" s="27" t="s">
        <v>970</v>
      </c>
      <c r="C2820" s="27" t="s">
        <v>971</v>
      </c>
      <c r="D2820" s="27" t="s">
        <v>972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1360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1008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1894</v>
      </c>
    </row>
    <row r="2825" spans="1:12">
      <c r="A2825" s="20" t="s">
        <v>1185</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1223</v>
      </c>
      <c r="B2826" s="27" t="s">
        <v>1013</v>
      </c>
      <c r="C2826" s="27" t="s">
        <v>1004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1113</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1895</v>
      </c>
      <c r="B2828" s="27" t="s">
        <v>1016</v>
      </c>
      <c r="C2828" s="27" t="s">
        <v>1021</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1285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983</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1223</v>
      </c>
      <c r="B2831" s="27" t="s">
        <v>997</v>
      </c>
      <c r="C2831" s="27" t="s">
        <v>1004</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1719</v>
      </c>
      <c r="B2832" s="27" t="s">
        <v>981</v>
      </c>
      <c r="C2832" s="27" t="s">
        <v>1086</v>
      </c>
      <c r="D2832" s="27" t="s">
        <v>972</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994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999</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1089</v>
      </c>
      <c r="B2835" s="27" t="s">
        <v>1000</v>
      </c>
      <c r="C2835" s="27" t="s">
        <v>971</v>
      </c>
      <c r="D2835" s="27" t="s">
        <v>972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1385</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1523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1896</v>
      </c>
      <c r="B2838" s="27" t="s">
        <v>985</v>
      </c>
      <c r="C2838" s="27" t="s">
        <v>1021</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994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1117</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1223</v>
      </c>
      <c r="B2841" s="27" t="s">
        <v>997</v>
      </c>
      <c r="C2841" s="27" t="s">
        <v>1004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1897</v>
      </c>
      <c r="B2842" s="27" t="s">
        <v>1006</v>
      </c>
      <c r="C2842" s="27" t="s">
        <v>1004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1898</v>
      </c>
      <c r="B2843" s="27" t="s">
        <v>1034</v>
      </c>
      <c r="C2843" s="27" t="s">
        <v>977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1899</v>
      </c>
      <c r="B2845" s="27" t="s">
        <v>1003</v>
      </c>
      <c r="C2845" s="27" t="s">
        <v>1126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1025</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979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1900</v>
      </c>
      <c r="B2848" s="27" t="s">
        <v>1006</v>
      </c>
      <c r="C2848" s="27" t="s">
        <v>982</v>
      </c>
      <c r="D2848" s="27" t="s">
        <v>972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1901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994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1221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1223</v>
      </c>
      <c r="B2852" s="27" t="s">
        <v>970</v>
      </c>
      <c r="C2852" s="27" t="s">
        <v>1004</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1216</v>
      </c>
      <c r="B2853" s="27" t="s">
        <v>976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1523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994</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1243</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1223</v>
      </c>
      <c r="B2858" s="27" t="s">
        <v>1013</v>
      </c>
      <c r="C2858" s="27" t="s">
        <v>1004</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1285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1070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1518</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1113</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1895</v>
      </c>
      <c r="B2863" s="27" t="s">
        <v>1016</v>
      </c>
      <c r="C2863" s="27" t="s">
        <v>1021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994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983</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1223</v>
      </c>
      <c r="B2866" s="27" t="s">
        <v>1013</v>
      </c>
      <c r="C2866" s="27" t="s">
        <v>1004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1221</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614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1070</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1518</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1548</v>
      </c>
      <c r="B2871" s="27" t="s">
        <v>981</v>
      </c>
      <c r="C2871" s="27" t="s">
        <v>1237</v>
      </c>
      <c r="D2871" s="27" t="s">
        <v>972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1008</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1902</v>
      </c>
    </row>
    <row r="2876" spans="1:12">
      <c r="A2876" s="20" t="s">
        <v>1147</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1117</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1223</v>
      </c>
      <c r="B2878" s="27" t="s">
        <v>970</v>
      </c>
      <c r="C2878" s="27" t="s">
        <v>1004</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1081</v>
      </c>
      <c r="B2879" s="27" t="s">
        <v>976</v>
      </c>
      <c r="C2879" s="27" t="s">
        <v>977</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1285</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983</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1903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1899</v>
      </c>
      <c r="B2883" s="27" t="s">
        <v>985</v>
      </c>
      <c r="C2883" s="27" t="s">
        <v>1126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1904</v>
      </c>
      <c r="B2884" s="27" t="s">
        <v>1016</v>
      </c>
      <c r="C2884" s="27" t="s">
        <v>977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1154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979</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1363</v>
      </c>
      <c r="B2887" s="27" t="s">
        <v>985</v>
      </c>
      <c r="C2887" s="27" t="s">
        <v>982</v>
      </c>
      <c r="D2887" s="27" t="s">
        <v>972</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1236</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534</v>
      </c>
      <c r="B2889" s="27" t="s">
        <v>1013</v>
      </c>
      <c r="C2889" s="27" t="s">
        <v>977</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994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999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1223</v>
      </c>
      <c r="B2892" s="27" t="s">
        <v>1013</v>
      </c>
      <c r="C2892" s="27" t="s">
        <v>1004</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1216</v>
      </c>
      <c r="B2893" s="27" t="s">
        <v>1016</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1523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994</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1044</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1905</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1089</v>
      </c>
      <c r="B2899" s="27" t="s">
        <v>997</v>
      </c>
      <c r="C2899" s="27" t="s">
        <v>971</v>
      </c>
      <c r="D2899" s="27" t="s">
        <v>972</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994</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1588</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1073</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1081</v>
      </c>
      <c r="B2903" s="27" t="s">
        <v>1006</v>
      </c>
      <c r="C2903" s="27" t="s">
        <v>977</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1198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988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1906</v>
      </c>
      <c r="B2906" s="27" t="s">
        <v>1000</v>
      </c>
      <c r="C2906" s="27" t="s">
        <v>982</v>
      </c>
      <c r="D2906" s="27" t="s">
        <v>972</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1907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983</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1117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1223</v>
      </c>
      <c r="B2910" s="27" t="s">
        <v>1591</v>
      </c>
      <c r="C2910" s="27" t="s">
        <v>1004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1216</v>
      </c>
      <c r="B2911" s="27" t="s">
        <v>1908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1523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973</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994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1044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1100</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1223</v>
      </c>
      <c r="B2917" s="27" t="s">
        <v>1297</v>
      </c>
      <c r="C2917" s="27" t="s">
        <v>1004</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1909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1024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1161</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1265</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1008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row>
    <row r="2924" spans="1:12">
      <c r="A2924" s="20" t="s">
        <v>1910</v>
      </c>
    </row>
    <row r="2925" spans="1:12">
      <c r="A2925" s="20" t="s">
        <v>1911</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1414</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996</v>
      </c>
      <c r="B2927" s="27" t="s">
        <v>1013</v>
      </c>
      <c r="C2927" s="27" t="s">
        <v>971</v>
      </c>
      <c r="D2927" s="27" t="s">
        <v>972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1912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1913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1046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1914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1077</v>
      </c>
      <c r="B2932" s="27" t="s">
        <v>985</v>
      </c>
      <c r="C2932" s="27" t="s">
        <v>982</v>
      </c>
      <c r="D2932" s="27" t="s">
        <v>972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1915</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1916</v>
      </c>
      <c r="B2934" s="27" t="s">
        <v>1056</v>
      </c>
      <c r="C2934" s="27" t="s">
        <v>977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1008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row>
    <row r="2937" spans="1:12">
      <c r="A2937" s="20" t="s">
        <v>1917</v>
      </c>
    </row>
    <row r="2938" spans="1:12">
      <c r="A2938" s="20" t="s">
        <v>1010</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996</v>
      </c>
      <c r="B2939" s="27" t="s">
        <v>970</v>
      </c>
      <c r="C2939" s="27" t="s">
        <v>971</v>
      </c>
      <c r="D2939" s="27" t="s">
        <v>972</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1918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1919</v>
      </c>
      <c r="B2941" s="27" t="s">
        <v>976</v>
      </c>
      <c r="C2941" s="27" t="s">
        <v>977</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994</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1920</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1098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1921</v>
      </c>
      <c r="B2945" s="27" t="s">
        <v>981</v>
      </c>
      <c r="C2945" s="27" t="s">
        <v>977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994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1098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1114</v>
      </c>
      <c r="B2948" s="27" t="s">
        <v>985</v>
      </c>
      <c r="C2948" s="27" t="s">
        <v>977</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994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988</v>
      </c>
      <c r="B2950" s="27" t="s">
        <v>1297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1029</v>
      </c>
      <c r="B2951" s="27" t="s">
        <v>1300</v>
      </c>
      <c r="C2951" s="27" t="s">
        <v>971</v>
      </c>
      <c r="D2951" s="27" t="s">
        <v>972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1790</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994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1180</v>
      </c>
      <c r="B2954" s="27" t="s">
        <v>1591</v>
      </c>
      <c r="C2954" s="27" t="s">
        <v>1014</v>
      </c>
      <c r="D2954" s="27" t="s">
        <v>972</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1922</v>
      </c>
      <c r="B2955" s="27" t="s">
        <v>1908</v>
      </c>
      <c r="C2955" s="27" t="s">
        <v>971</v>
      </c>
      <c r="D2955" s="27" t="s">
        <v>972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1923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1285</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1008</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row>
    <row r="2960" spans="1:12">
      <c r="A2960" s="20" t="s">
        <v>1924</v>
      </c>
    </row>
    <row r="2961" spans="1:12">
      <c r="A2961" s="20" t="s">
        <v>1925</v>
      </c>
      <c r="B2961" s="27" t="s">
        <v>970</v>
      </c>
      <c r="C2961" s="27" t="s">
        <v>1004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1926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1110</v>
      </c>
      <c r="B2963" s="27" t="s">
        <v>976</v>
      </c>
      <c r="C2963" s="27" t="s">
        <v>971</v>
      </c>
      <c r="D2963" s="27" t="s">
        <v>972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1927</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1928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1929</v>
      </c>
      <c r="B2967" s="27" t="s">
        <v>1056</v>
      </c>
      <c r="C2967" s="27" t="s">
        <v>982</v>
      </c>
      <c r="D2967" s="27" t="s">
        <v>972</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1134</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1930</v>
      </c>
      <c r="B2969" s="27" t="s">
        <v>1056</v>
      </c>
      <c r="C2969" s="27" t="s">
        <v>977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1008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row>
    <row r="2972" spans="1:12">
      <c r="A2972" s="20" t="s">
        <v>1931</v>
      </c>
    </row>
    <row r="2973" spans="1:12">
      <c r="A2973" s="20" t="s">
        <v>1932</v>
      </c>
      <c r="B2973" s="27" t="s">
        <v>981</v>
      </c>
      <c r="C2973" s="27" t="s">
        <v>1086</v>
      </c>
      <c r="D2973" s="27" t="s">
        <v>972</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1933</v>
      </c>
      <c r="B2974" s="27" t="s">
        <v>970</v>
      </c>
      <c r="C2974" s="27" t="s">
        <v>1086</v>
      </c>
      <c r="D2974" s="27" t="s">
        <v>972</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1840</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1041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1934</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1921</v>
      </c>
      <c r="B2978" s="27" t="s">
        <v>1056</v>
      </c>
      <c r="C2978" s="27" t="s">
        <v>982</v>
      </c>
      <c r="D2978" s="27" t="s">
        <v>972</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1181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1812</v>
      </c>
      <c r="B2980" s="27" t="s">
        <v>970</v>
      </c>
      <c r="C2980" s="27" t="s">
        <v>1014</v>
      </c>
      <c r="D2980" s="27" t="s">
        <v>972</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994</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1046</v>
      </c>
      <c r="B2982" s="27" t="s">
        <v>997</v>
      </c>
      <c r="C2982" s="27" t="s">
        <v>1014</v>
      </c>
      <c r="D2982" s="27" t="s">
        <v>972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1098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1812</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669</v>
      </c>
      <c r="B2985" s="27" t="s">
        <v>985</v>
      </c>
      <c r="C2985" s="27" t="s">
        <v>1021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1007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994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988</v>
      </c>
      <c r="B2988" s="27" t="s">
        <v>970</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1935</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983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1354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994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1012</v>
      </c>
      <c r="B2993" s="27" t="s">
        <v>1013</v>
      </c>
      <c r="C2993" s="27" t="s">
        <v>1014</v>
      </c>
      <c r="D2993" s="27" t="s">
        <v>972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1262</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1089</v>
      </c>
      <c r="B2995" s="27" t="s">
        <v>1013</v>
      </c>
      <c r="C2995" s="27" t="s">
        <v>971</v>
      </c>
      <c r="D2995" s="27" t="s">
        <v>972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1040</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1812</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1366</v>
      </c>
      <c r="B2998" s="27" t="s">
        <v>981</v>
      </c>
      <c r="C2998" s="27" t="s">
        <v>1021</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1936</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994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1012</v>
      </c>
      <c r="B3001" s="27" t="s">
        <v>1013</v>
      </c>
      <c r="C3001" s="27" t="s">
        <v>1014</v>
      </c>
      <c r="D3001" s="27" t="s">
        <v>972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1262</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1378</v>
      </c>
      <c r="B3003" s="27" t="s">
        <v>1013</v>
      </c>
      <c r="C3003" s="27" t="s">
        <v>977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1936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994</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1012</v>
      </c>
      <c r="B3006" s="27" t="s">
        <v>1013</v>
      </c>
      <c r="C3006" s="27" t="s">
        <v>1014</v>
      </c>
      <c r="D3006" s="27" t="s">
        <v>972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1281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1448</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1724</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1891</v>
      </c>
      <c r="B3010" s="27" t="s">
        <v>976</v>
      </c>
      <c r="C3010" s="27" t="s">
        <v>1004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1937</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1008</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row r="3014" spans="1:12">
      <c r="A3014" s="20" t="s">
        <v>1938</v>
      </c>
    </row>
    <row r="3015" spans="1:12">
      <c r="A3015" s="20" t="s">
        <v>1271</v>
      </c>
      <c r="B3015" s="27" t="s">
        <v>1013</v>
      </c>
      <c r="C3015" s="27" t="s">
        <v>971</v>
      </c>
      <c r="D3015" s="27" t="s">
        <v>972</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1281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1019</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1939</v>
      </c>
      <c r="B3018" s="27" t="s">
        <v>976</v>
      </c>
      <c r="C3018" s="27" t="s">
        <v>1021</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1940</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983</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1941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994</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996</v>
      </c>
      <c r="B3023" s="27" t="s">
        <v>1013</v>
      </c>
      <c r="C3023" s="27" t="s">
        <v>971</v>
      </c>
      <c r="D3023" s="27" t="s">
        <v>972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1116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1089</v>
      </c>
      <c r="B3025" s="27" t="s">
        <v>1016</v>
      </c>
      <c r="C3025" s="27" t="s">
        <v>971</v>
      </c>
      <c r="D3025" s="27" t="s">
        <v>972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1046</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1077</v>
      </c>
      <c r="B3027" s="27" t="s">
        <v>1016</v>
      </c>
      <c r="C3027" s="27" t="s">
        <v>982</v>
      </c>
      <c r="D3027" s="27" t="s">
        <v>972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237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994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1942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1774</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1441</v>
      </c>
      <c r="B3032" s="27" t="s">
        <v>1034</v>
      </c>
      <c r="C3032" s="27" t="s">
        <v>977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1175</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1943</v>
      </c>
      <c r="B3034" s="27" t="s">
        <v>1006</v>
      </c>
      <c r="C3034" s="27" t="s">
        <v>977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1002</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58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1008</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row>
    <row r="3039" spans="1:12">
      <c r="A3039" s="20" t="s">
        <v>1944</v>
      </c>
    </row>
    <row r="3040" spans="1:12">
      <c r="A3040" s="20" t="s">
        <v>1271</v>
      </c>
      <c r="B3040" s="27" t="s">
        <v>970</v>
      </c>
      <c r="C3040" s="27" t="s">
        <v>971</v>
      </c>
      <c r="D3040" s="27" t="s">
        <v>972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1945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1029</v>
      </c>
      <c r="B3042" s="27" t="s">
        <v>976</v>
      </c>
      <c r="C3042" s="27" t="s">
        <v>971</v>
      </c>
      <c r="D3042" s="27" t="s">
        <v>972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1054</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1811</v>
      </c>
      <c r="B3044" s="27" t="s">
        <v>976</v>
      </c>
      <c r="C3044" s="27" t="s">
        <v>1004</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1384</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1008</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1946</v>
      </c>
    </row>
    <row r="3049" spans="1:12">
      <c r="A3049" s="20" t="s">
        <v>1010</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996</v>
      </c>
      <c r="B3050" s="27" t="s">
        <v>970</v>
      </c>
      <c r="C3050" s="27" t="s">
        <v>971</v>
      </c>
      <c r="D3050" s="27" t="s">
        <v>972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1947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1012</v>
      </c>
      <c r="B3052" s="27" t="s">
        <v>976</v>
      </c>
      <c r="C3052" s="27" t="s">
        <v>1014</v>
      </c>
      <c r="D3052" s="27" t="s">
        <v>972</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1171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1024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1008</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row>
    <row r="3057" spans="1:12">
      <c r="A3057" s="20" t="s">
        <v>1948</v>
      </c>
    </row>
    <row r="3058" spans="1:12">
      <c r="A3058" s="20" t="s">
        <v>969</v>
      </c>
      <c r="B3058" s="27" t="s">
        <v>970</v>
      </c>
      <c r="C3058" s="27" t="s">
        <v>971</v>
      </c>
      <c r="D3058" s="27" t="s">
        <v>972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1026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1625</v>
      </c>
      <c r="B3060" s="27" t="s">
        <v>976</v>
      </c>
      <c r="C3060" s="27" t="s">
        <v>971</v>
      </c>
      <c r="D3060" s="27" t="s">
        <v>972</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1478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994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999</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1012</v>
      </c>
      <c r="B3064" s="27" t="s">
        <v>1013</v>
      </c>
      <c r="C3064" s="27" t="s">
        <v>1014</v>
      </c>
      <c r="D3064" s="27" t="s">
        <v>972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1368</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1949</v>
      </c>
      <c r="B3066" s="27" t="s">
        <v>1016</v>
      </c>
      <c r="C3066" s="27" t="s">
        <v>977</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978</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979</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1950</v>
      </c>
      <c r="B3069" s="27" t="s">
        <v>985</v>
      </c>
      <c r="C3069" s="27" t="s">
        <v>1086</v>
      </c>
      <c r="D3069" s="27" t="s">
        <v>972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1951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1334</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1008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1952</v>
      </c>
    </row>
    <row r="3075" spans="1:12">
      <c r="A3075" s="20" t="s">
        <v>1953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1954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996</v>
      </c>
      <c r="B3077" s="27" t="s">
        <v>970</v>
      </c>
      <c r="C3077" s="27" t="s">
        <v>971</v>
      </c>
      <c r="D3077" s="27" t="s">
        <v>972</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1029</v>
      </c>
      <c r="B3078" s="27" t="s">
        <v>976</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1955</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1916</v>
      </c>
      <c r="B3080" s="27" t="s">
        <v>976</v>
      </c>
      <c r="C3080" s="27" t="s">
        <v>977</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1154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994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983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1192</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1076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1916</v>
      </c>
      <c r="B3086" s="27" t="s">
        <v>1016</v>
      </c>
      <c r="C3086" s="27" t="s">
        <v>977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978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1956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1188</v>
      </c>
      <c r="B3089" s="27" t="s">
        <v>985</v>
      </c>
      <c r="C3089" s="27" t="s">
        <v>977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1008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1957</v>
      </c>
    </row>
    <row r="3093" spans="1:12">
      <c r="A3093" s="20" t="s">
        <v>969</v>
      </c>
      <c r="B3093" s="27" t="s">
        <v>970</v>
      </c>
      <c r="C3093" s="27" t="s">
        <v>971</v>
      </c>
      <c r="D3093" s="27" t="s">
        <v>972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1958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1110</v>
      </c>
      <c r="B3095" s="27" t="s">
        <v>976</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1385</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1959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1960</v>
      </c>
      <c r="B3099" s="27" t="s">
        <v>976</v>
      </c>
      <c r="C3099" s="27" t="s">
        <v>1021</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978</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979</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1961</v>
      </c>
      <c r="B3102" s="27" t="s">
        <v>1056</v>
      </c>
      <c r="C3102" s="27" t="s">
        <v>982</v>
      </c>
      <c r="D3102" s="27" t="s">
        <v>972</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994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1046</v>
      </c>
      <c r="B3104" s="27" t="s">
        <v>997</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1724</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1182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1962</v>
      </c>
      <c r="B3107" s="27" t="s">
        <v>1034</v>
      </c>
      <c r="C3107" s="27" t="s">
        <v>1126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1963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1008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row>
    <row r="3111" spans="1:12">
      <c r="A3111" s="20" t="s">
        <v>1063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1964</v>
      </c>
    </row>
    <row r="3113" spans="1:12">
      <c r="A3113" s="20" t="s">
        <v>969</v>
      </c>
      <c r="B3113" s="27" t="s">
        <v>970</v>
      </c>
      <c r="C3113" s="27" t="s">
        <v>971</v>
      </c>
      <c r="D3113" s="27" t="s">
        <v>972</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1965</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1692</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1024</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978</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1027</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1966</v>
      </c>
      <c r="B3119" s="27" t="s">
        <v>1056</v>
      </c>
      <c r="C3119" s="27" t="s">
        <v>982</v>
      </c>
      <c r="D3119" s="27" t="s">
        <v>972</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267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994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1243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1054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1811</v>
      </c>
      <c r="B3124" s="27" t="s">
        <v>1006</v>
      </c>
      <c r="C3124" s="27" t="s">
        <v>1004</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1150</v>
      </c>
      <c r="B3125" s="27" t="s">
        <v>985</v>
      </c>
      <c r="C3125" s="27" t="s">
        <v>1021</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1744</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1181</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996</v>
      </c>
      <c r="B3128" s="27" t="s">
        <v>997</v>
      </c>
      <c r="C3128" s="27" t="s">
        <v>971</v>
      </c>
      <c r="D3128" s="27" t="s">
        <v>972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978</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1967</v>
      </c>
      <c r="B3130" s="27" t="s">
        <v>981</v>
      </c>
      <c r="C3130" s="27" t="s">
        <v>1086</v>
      </c>
      <c r="D3130" s="27" t="s">
        <v>972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983</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1968</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1399</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1154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1385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1316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1969</v>
      </c>
      <c r="B3137" s="27" t="s">
        <v>985</v>
      </c>
      <c r="C3137" s="27" t="s">
        <v>1021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994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983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996</v>
      </c>
      <c r="B3140" s="27" t="s">
        <v>1013</v>
      </c>
      <c r="C3140" s="27" t="s">
        <v>971</v>
      </c>
      <c r="D3140" s="27" t="s">
        <v>972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1584</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1648</v>
      </c>
      <c r="B3143" s="27" t="s">
        <v>1016</v>
      </c>
      <c r="C3143" s="27" t="s">
        <v>1038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1495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983</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1118</v>
      </c>
      <c r="B3146" s="27" t="s">
        <v>1013</v>
      </c>
      <c r="C3146" s="27" t="s">
        <v>971</v>
      </c>
      <c r="D3146" s="27" t="s">
        <v>972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1354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1197</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968</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1970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1971</v>
      </c>
      <c r="B3151" s="27" t="s">
        <v>997</v>
      </c>
      <c r="C3151" s="27" t="s">
        <v>971</v>
      </c>
      <c r="D3151" s="27" t="s">
        <v>972</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994</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1027</v>
      </c>
      <c r="B3153" s="27" t="s">
        <v>1000</v>
      </c>
      <c r="C3153" s="27" t="s">
        <v>1014</v>
      </c>
      <c r="D3153" s="27" t="s">
        <v>972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1100</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1972</v>
      </c>
      <c r="B3155" s="27" t="s">
        <v>1034</v>
      </c>
      <c r="C3155" s="27" t="s">
        <v>1086</v>
      </c>
      <c r="D3155" s="27" t="s">
        <v>972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994</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983</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1435</v>
      </c>
      <c r="B3158" s="27" t="s">
        <v>1000</v>
      </c>
      <c r="C3158" s="27" t="s">
        <v>1014</v>
      </c>
      <c r="D3158" s="27" t="s">
        <v>972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1198</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978</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1973</v>
      </c>
      <c r="B3161" s="27" t="s">
        <v>1006</v>
      </c>
      <c r="C3161" s="27" t="s">
        <v>1086</v>
      </c>
      <c r="D3161" s="27" t="s">
        <v>972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994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983</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1974</v>
      </c>
      <c r="B3164" s="27" t="s">
        <v>1003</v>
      </c>
      <c r="C3164" s="27" t="s">
        <v>991</v>
      </c>
      <c r="D3164" s="27" t="s">
        <v>972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1975</v>
      </c>
      <c r="B3165" s="27" t="s">
        <v>1000</v>
      </c>
      <c r="C3165" s="27" t="s">
        <v>977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1198</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1349</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1627</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1976</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994</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1243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1435</v>
      </c>
      <c r="B3172" s="27" t="s">
        <v>1000</v>
      </c>
      <c r="C3172" s="27" t="s">
        <v>1014</v>
      </c>
      <c r="D3172" s="27" t="s">
        <v>972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104</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1852</v>
      </c>
      <c r="B3174" s="27" t="s">
        <v>1003</v>
      </c>
      <c r="C3174" s="27" t="s">
        <v>1004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1975</v>
      </c>
      <c r="B3175" s="27" t="s">
        <v>1201</v>
      </c>
      <c r="C3175" s="27" t="s">
        <v>1126</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994</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988</v>
      </c>
      <c r="B3177" s="27" t="s">
        <v>1591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1040</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979</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1098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1977</v>
      </c>
      <c r="B3181" s="27" t="s">
        <v>1401</v>
      </c>
      <c r="C3181" s="27" t="s">
        <v>1014</v>
      </c>
      <c r="D3181" s="27" t="s">
        <v>972</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1978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994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1360</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1979</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104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968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row>
    <row r="3190" spans="1:12">
      <c r="A3190" s="20" t="s">
        <v>1063</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1980</v>
      </c>
    </row>
    <row r="3192" spans="1:12">
      <c r="A3192" s="20" t="s">
        <v>1010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996</v>
      </c>
      <c r="B3193" s="27" t="s">
        <v>970</v>
      </c>
      <c r="C3193" s="27" t="s">
        <v>971</v>
      </c>
      <c r="D3193" s="27" t="s">
        <v>972</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1354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1197</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968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1981</v>
      </c>
      <c r="B3197" s="27" t="s">
        <v>1056</v>
      </c>
      <c r="C3197" s="27" t="s">
        <v>1086</v>
      </c>
      <c r="D3197" s="27" t="s">
        <v>972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1008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968</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1063</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1982</v>
      </c>
    </row>
    <row r="3203" spans="1:12">
      <c r="A3203" s="20" t="s">
        <v>1010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1118</v>
      </c>
      <c r="B3204" s="27" t="s">
        <v>970</v>
      </c>
      <c r="C3204" s="27" t="s">
        <v>971</v>
      </c>
      <c r="D3204" s="27" t="s">
        <v>972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1354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1197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968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1800</v>
      </c>
      <c r="B3208" s="27" t="s">
        <v>1013</v>
      </c>
      <c r="C3208" s="27" t="s">
        <v>1086</v>
      </c>
      <c r="D3208" s="27" t="s">
        <v>972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994</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1243</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1435</v>
      </c>
      <c r="B3211" s="27" t="s">
        <v>1013</v>
      </c>
      <c r="C3211" s="27" t="s">
        <v>1014</v>
      </c>
      <c r="D3211" s="27" t="s">
        <v>972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1550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1182</v>
      </c>
      <c r="B3213" s="27" t="s">
        <v>985</v>
      </c>
      <c r="C3213" s="27" t="s">
        <v>1004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1983</v>
      </c>
      <c r="B3214" s="27" t="s">
        <v>1016</v>
      </c>
      <c r="C3214" s="27" t="s">
        <v>1126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1040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1984</v>
      </c>
      <c r="B3216" s="27" t="s">
        <v>985</v>
      </c>
      <c r="C3216" s="27" t="s">
        <v>977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1175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979</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1985</v>
      </c>
      <c r="B3219" s="27" t="s">
        <v>1006</v>
      </c>
      <c r="C3219" s="27" t="s">
        <v>982</v>
      </c>
      <c r="D3219" s="27" t="s">
        <v>972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994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1463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1040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1986</v>
      </c>
      <c r="B3223" s="27" t="s">
        <v>981</v>
      </c>
      <c r="C3223" s="27" t="s">
        <v>1105</v>
      </c>
      <c r="D3223" s="27" t="s">
        <v>972</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994</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988</v>
      </c>
      <c r="B3225" s="27" t="s">
        <v>1000</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1987</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1134</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979</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1988</v>
      </c>
      <c r="B3229" s="27" t="s">
        <v>1006</v>
      </c>
      <c r="C3229" s="27" t="s">
        <v>982</v>
      </c>
      <c r="D3229" s="27" t="s">
        <v>972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1989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1008</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968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1063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1990</v>
      </c>
    </row>
    <row r="3236" spans="1:12">
      <c r="A3236" s="20" t="s">
        <v>969</v>
      </c>
      <c r="B3236" s="27" t="s">
        <v>970</v>
      </c>
      <c r="C3236" s="27" t="s">
        <v>971</v>
      </c>
      <c r="D3236" s="27" t="s">
        <v>972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1926</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1197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968</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1991</v>
      </c>
      <c r="B3240" s="27" t="s">
        <v>985</v>
      </c>
      <c r="C3240" s="27" t="s">
        <v>1004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1357</v>
      </c>
      <c r="B3241" s="27" t="s">
        <v>1016</v>
      </c>
      <c r="C3241" s="27" t="s">
        <v>977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1387</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1089</v>
      </c>
      <c r="B3243" s="27" t="s">
        <v>1013</v>
      </c>
      <c r="C3243" s="27" t="s">
        <v>971</v>
      </c>
      <c r="D3243" s="27" t="s">
        <v>972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1376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968</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1063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1992</v>
      </c>
    </row>
    <row r="3249" spans="1:12">
      <c r="A3249" s="20" t="s">
        <v>1833</v>
      </c>
      <c r="B3249" s="27" t="s">
        <v>970</v>
      </c>
      <c r="C3249" s="27" t="s">
        <v>971</v>
      </c>
      <c r="D3249" s="27" t="s">
        <v>972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1993</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1197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968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1994</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1995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994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1012</v>
      </c>
      <c r="B3256" s="27" t="s">
        <v>1013</v>
      </c>
      <c r="C3256" s="27" t="s">
        <v>1014</v>
      </c>
      <c r="D3256" s="27" t="s">
        <v>972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1996</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1360</v>
      </c>
      <c r="B3258" s="27" t="s">
        <v>997</v>
      </c>
      <c r="C3258" s="27" t="s">
        <v>1004</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1627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1997</v>
      </c>
      <c r="B3260" s="27" t="s">
        <v>1016</v>
      </c>
      <c r="C3260" s="27" t="s">
        <v>1126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1008</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1998</v>
      </c>
    </row>
    <row r="3264" spans="1:12">
      <c r="A3264" s="20" t="s">
        <v>1271</v>
      </c>
      <c r="B3264" s="27" t="s">
        <v>970</v>
      </c>
      <c r="C3264" s="27" t="s">
        <v>971</v>
      </c>
      <c r="D3264" s="27" t="s">
        <v>972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1999</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978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979</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2000</v>
      </c>
      <c r="B3269" s="27" t="s">
        <v>1056</v>
      </c>
      <c r="C3269" s="27" t="s">
        <v>982</v>
      </c>
      <c r="D3269" s="27" t="s">
        <v>972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1040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1041</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2001</v>
      </c>
      <c r="B3272" s="27" t="s">
        <v>981</v>
      </c>
      <c r="C3272" s="27" t="s">
        <v>982</v>
      </c>
      <c r="D3272" s="27" t="s">
        <v>972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994</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2002</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1223</v>
      </c>
      <c r="B3275" s="27" t="s">
        <v>1000</v>
      </c>
      <c r="C3275" s="27" t="s">
        <v>1004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1757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994</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1216</v>
      </c>
      <c r="B3278" s="27" t="s">
        <v>1300</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1523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1002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1008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row>
    <row r="3284" spans="1:12">
      <c r="A3284" s="20" t="s">
        <v>2003</v>
      </c>
    </row>
    <row r="3285" spans="1:12">
      <c r="A3285" s="20" t="s">
        <v>1271</v>
      </c>
      <c r="B3285" s="27" t="s">
        <v>970</v>
      </c>
      <c r="C3285" s="27" t="s">
        <v>971</v>
      </c>
      <c r="D3285" s="27" t="s">
        <v>972</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2004</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2005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2006</v>
      </c>
      <c r="B3288" s="27" t="s">
        <v>1056</v>
      </c>
      <c r="C3288" s="27" t="s">
        <v>977</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1518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2007</v>
      </c>
      <c r="B3290" s="27" t="s">
        <v>981</v>
      </c>
      <c r="C3290" s="27" t="s">
        <v>977</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1054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994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1440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1027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2008</v>
      </c>
      <c r="B3295" s="27" t="s">
        <v>1016</v>
      </c>
      <c r="C3295" s="27" t="s">
        <v>982</v>
      </c>
      <c r="D3295" s="27" t="s">
        <v>972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978</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2009</v>
      </c>
      <c r="B3297" s="27" t="s">
        <v>981</v>
      </c>
      <c r="C3297" s="27" t="s">
        <v>977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1002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367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row>
    <row r="3302" spans="1:12">
      <c r="A3302" s="20" t="s">
        <v>2010</v>
      </c>
    </row>
    <row r="3303" spans="1:12">
      <c r="A3303" s="20" t="s">
        <v>1271</v>
      </c>
      <c r="B3303" s="27" t="s">
        <v>970</v>
      </c>
      <c r="C3303" s="27" t="s">
        <v>971</v>
      </c>
      <c r="D3303" s="27" t="s">
        <v>972</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2011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1024</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988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2012</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1732</v>
      </c>
      <c r="B3308" s="27" t="s">
        <v>976</v>
      </c>
      <c r="C3308" s="27" t="s">
        <v>982</v>
      </c>
      <c r="D3308" s="27" t="s">
        <v>972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1008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2013</v>
      </c>
    </row>
    <row r="3312" spans="1:12">
      <c r="A3312" s="20" t="s">
        <v>1271</v>
      </c>
      <c r="B3312" s="27" t="s">
        <v>970</v>
      </c>
      <c r="C3312" s="27" t="s">
        <v>971</v>
      </c>
      <c r="D3312" s="27" t="s">
        <v>972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530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1081</v>
      </c>
      <c r="B3315" s="27" t="s">
        <v>970</v>
      </c>
      <c r="C3315" s="27" t="s">
        <v>982</v>
      </c>
      <c r="D3315" s="27" t="s">
        <v>972</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1024</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1049</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1113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2014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1662</v>
      </c>
      <c r="B3320" s="27" t="s">
        <v>1056</v>
      </c>
      <c r="C3320" s="27" t="s">
        <v>1021</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1008</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row>
    <row r="3323" spans="1:12">
      <c r="A3323" s="20" t="s">
        <v>1063</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2015</v>
      </c>
    </row>
    <row r="3325" spans="1:12">
      <c r="A3325" s="20" t="s">
        <v>2016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2017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1012</v>
      </c>
      <c r="B3327" s="27" t="s">
        <v>970</v>
      </c>
      <c r="C3327" s="27" t="s">
        <v>1014</v>
      </c>
      <c r="D3327" s="27" t="s">
        <v>972</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988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1114</v>
      </c>
      <c r="B3329" s="27" t="s">
        <v>970</v>
      </c>
      <c r="C3329" s="27" t="s">
        <v>982</v>
      </c>
      <c r="D3329" s="27" t="s">
        <v>972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2018</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978</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2019</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994</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1774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2020</v>
      </c>
      <c r="B3335" s="27" t="s">
        <v>1056</v>
      </c>
      <c r="C3335" s="27" t="s">
        <v>977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983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2021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1012</v>
      </c>
      <c r="B3338" s="27" t="s">
        <v>1013</v>
      </c>
      <c r="C3338" s="27" t="s">
        <v>1014</v>
      </c>
      <c r="D3338" s="27" t="s">
        <v>972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1019</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1768</v>
      </c>
      <c r="B3340" s="27" t="s">
        <v>985</v>
      </c>
      <c r="C3340" s="27" t="s">
        <v>1021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1769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1035</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2022</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1441</v>
      </c>
      <c r="B3344" s="27" t="s">
        <v>985</v>
      </c>
      <c r="C3344" s="27" t="s">
        <v>977</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391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994</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988</v>
      </c>
      <c r="B3347" s="27" t="s">
        <v>1013</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1922</v>
      </c>
      <c r="B3348" s="27" t="s">
        <v>1016</v>
      </c>
      <c r="C3348" s="27" t="s">
        <v>971</v>
      </c>
      <c r="D3348" s="27" t="s">
        <v>972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2023</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1886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1008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968</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1063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2024</v>
      </c>
    </row>
    <row r="3356" spans="1:12">
      <c r="A3356" s="20" t="s">
        <v>1749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1750</v>
      </c>
      <c r="B3357" s="27" t="s">
        <v>981</v>
      </c>
      <c r="C3357" s="27" t="s">
        <v>977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1751</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1749</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953</v>
      </c>
      <c r="B3360" s="27" t="s">
        <v>985</v>
      </c>
      <c r="C3360" s="27" t="s">
        <v>1086</v>
      </c>
      <c r="D3360" s="27" t="s">
        <v>972</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1751</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1833</v>
      </c>
      <c r="B3362" s="27" t="s">
        <v>970</v>
      </c>
      <c r="C3362" s="27" t="s">
        <v>971</v>
      </c>
      <c r="D3362" s="27" t="s">
        <v>972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1354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1197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968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1080</v>
      </c>
      <c r="B3366" s="27" t="s">
        <v>1013</v>
      </c>
      <c r="C3366" s="27" t="s">
        <v>1014</v>
      </c>
      <c r="D3366" s="27" t="s">
        <v>972</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2025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1012</v>
      </c>
      <c r="B3368" s="27" t="s">
        <v>1013</v>
      </c>
      <c r="C3368" s="27" t="s">
        <v>1014</v>
      </c>
      <c r="D3368" s="27" t="s">
        <v>972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722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994</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1027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2026</v>
      </c>
      <c r="B3372" s="27" t="s">
        <v>1034</v>
      </c>
      <c r="C3372" s="27" t="s">
        <v>982</v>
      </c>
      <c r="D3372" s="27" t="s">
        <v>972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1002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2027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1008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968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row>
    <row r="3378" spans="1:12">
      <c r="A3378" s="20" t="s">
        <v>2028</v>
      </c>
    </row>
    <row r="3379" spans="1:12">
      <c r="A3379" s="20" t="s">
        <v>2029</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1798</v>
      </c>
      <c r="B3380" s="27" t="s">
        <v>1016</v>
      </c>
      <c r="C3380" s="27" t="s">
        <v>971</v>
      </c>
      <c r="D3380" s="27" t="s">
        <v>972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1027</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1076</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1400</v>
      </c>
      <c r="B3383" s="27" t="s">
        <v>1016</v>
      </c>
      <c r="C3383" s="27" t="s">
        <v>1402</v>
      </c>
      <c r="D3383" s="27" t="s">
        <v>972</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1046</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2030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1916</v>
      </c>
      <c r="B3386" s="27" t="s">
        <v>985</v>
      </c>
      <c r="C3386" s="27" t="s">
        <v>982</v>
      </c>
      <c r="D3386" s="27" t="s">
        <v>972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1002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2031</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994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541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1271</v>
      </c>
      <c r="B3391" s="27" t="s">
        <v>970</v>
      </c>
      <c r="C3391" s="27" t="s">
        <v>971</v>
      </c>
      <c r="D3391" s="27" t="s">
        <v>972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1110</v>
      </c>
      <c r="B3392" s="27" t="s">
        <v>1016</v>
      </c>
      <c r="C3392" s="27" t="s">
        <v>971</v>
      </c>
      <c r="D3392" s="27" t="s">
        <v>972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1798</v>
      </c>
      <c r="B3393" s="27" t="s">
        <v>1016</v>
      </c>
      <c r="C3393" s="27" t="s">
        <v>971</v>
      </c>
      <c r="D3393" s="27" t="s">
        <v>972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1098</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2032</v>
      </c>
      <c r="B3395" s="27" t="s">
        <v>985</v>
      </c>
      <c r="C3395" s="27" t="s">
        <v>1086</v>
      </c>
      <c r="D3395" s="27" t="s">
        <v>972</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2033</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237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1008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row>
    <row r="3400" spans="1:12">
      <c r="A3400" s="20" t="s">
        <v>2034</v>
      </c>
    </row>
    <row r="3401" spans="1:12">
      <c r="A3401" s="20" t="s">
        <v>2032</v>
      </c>
      <c r="B3401" s="27" t="s">
        <v>970</v>
      </c>
      <c r="C3401" s="27" t="s">
        <v>1086</v>
      </c>
      <c r="D3401" s="27" t="s">
        <v>972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2033</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1281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988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2035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1081</v>
      </c>
      <c r="B3406" s="27" t="s">
        <v>976</v>
      </c>
      <c r="C3406" s="27" t="s">
        <v>982</v>
      </c>
      <c r="D3406" s="27" t="s">
        <v>972</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994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988</v>
      </c>
      <c r="B3408" s="27" t="s">
        <v>1034</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996</v>
      </c>
      <c r="B3409" s="27" t="s">
        <v>997</v>
      </c>
      <c r="C3409" s="27" t="s">
        <v>971</v>
      </c>
      <c r="D3409" s="27" t="s">
        <v>972</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2036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2037</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1073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1385</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1830</v>
      </c>
      <c r="B3414" s="27" t="s">
        <v>985</v>
      </c>
      <c r="C3414" s="27" t="s">
        <v>1021</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2038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1355</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1008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row>
    <row r="3419" spans="1:12">
      <c r="A3419" s="20" t="s">
        <v>2039</v>
      </c>
    </row>
    <row r="3420" spans="1:12">
      <c r="A3420" s="20" t="s">
        <v>1833</v>
      </c>
      <c r="B3420" s="27" t="s">
        <v>970</v>
      </c>
      <c r="C3420" s="27" t="s">
        <v>971</v>
      </c>
      <c r="D3420" s="27" t="s">
        <v>972</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1181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1282</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1265</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1008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2040</v>
      </c>
    </row>
    <row r="3427" spans="1:12">
      <c r="A3427" s="20" t="s">
        <v>1647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996</v>
      </c>
      <c r="B3428" s="27" t="s">
        <v>1013</v>
      </c>
      <c r="C3428" s="27" t="s">
        <v>971</v>
      </c>
      <c r="D3428" s="27" t="s">
        <v>972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2041</v>
      </c>
      <c r="B3429" s="27" t="s">
        <v>1016</v>
      </c>
      <c r="C3429" s="27" t="s">
        <v>971</v>
      </c>
      <c r="D3429" s="27" t="s">
        <v>972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2042</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1181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1118</v>
      </c>
      <c r="B3432" s="27" t="s">
        <v>970</v>
      </c>
      <c r="C3432" s="27" t="s">
        <v>971</v>
      </c>
      <c r="D3432" s="27" t="s">
        <v>972</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1154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1385</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1307</v>
      </c>
      <c r="B3435" s="27" t="s">
        <v>1056</v>
      </c>
      <c r="C3435" s="27" t="s">
        <v>1021</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994</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2002</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1118</v>
      </c>
      <c r="B3438" s="27" t="s">
        <v>997</v>
      </c>
      <c r="C3438" s="27" t="s">
        <v>971</v>
      </c>
      <c r="D3438" s="27" t="s">
        <v>972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1897</v>
      </c>
      <c r="B3439" s="27" t="s">
        <v>1006</v>
      </c>
      <c r="C3439" s="27" t="s">
        <v>1004</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1272</v>
      </c>
      <c r="B3440" s="27" t="s">
        <v>985</v>
      </c>
      <c r="C3440" s="27" t="s">
        <v>977</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1019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2043</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1409</v>
      </c>
      <c r="B3444" s="27" t="s">
        <v>1034</v>
      </c>
      <c r="C3444" s="27" t="s">
        <v>1021</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2044</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1008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row>
    <row r="3448" spans="1:12">
      <c r="A3448" s="20" t="s">
        <v>2045</v>
      </c>
    </row>
    <row r="3449" spans="1:12">
      <c r="A3449" s="20" t="s">
        <v>2046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998</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1118</v>
      </c>
      <c r="B3451" s="27" t="s">
        <v>970</v>
      </c>
      <c r="C3451" s="27" t="s">
        <v>971</v>
      </c>
      <c r="D3451" s="27" t="s">
        <v>972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1216</v>
      </c>
      <c r="B3452" s="27" t="s">
        <v>976</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1019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2047</v>
      </c>
      <c r="B3454" s="27" t="s">
        <v>981</v>
      </c>
      <c r="C3454" s="27" t="s">
        <v>1021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1769</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1360</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983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1044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1019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2047</v>
      </c>
      <c r="B3461" s="27" t="s">
        <v>985</v>
      </c>
      <c r="C3461" s="27" t="s">
        <v>1021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1769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2049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1008</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row>
    <row r="3466" spans="1:12">
      <c r="A3466" s="20" t="s">
        <v>2050</v>
      </c>
    </row>
    <row r="3467" spans="1:12">
      <c r="A3467" s="20" t="s">
        <v>2046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1577</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1089</v>
      </c>
      <c r="B3469" s="27" t="s">
        <v>970</v>
      </c>
      <c r="C3469" s="27" t="s">
        <v>971</v>
      </c>
      <c r="D3469" s="27" t="s">
        <v>972</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1019</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2047</v>
      </c>
      <c r="B3471" s="27" t="s">
        <v>981</v>
      </c>
      <c r="C3471" s="27" t="s">
        <v>1021</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1769</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2051</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1008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2052</v>
      </c>
    </row>
    <row r="3477" spans="1:12">
      <c r="A3477" s="20" t="s">
        <v>1010</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1044</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2044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1118</v>
      </c>
      <c r="B3480" s="27" t="s">
        <v>970</v>
      </c>
      <c r="C3480" s="27" t="s">
        <v>971</v>
      </c>
      <c r="D3480" s="27" t="s">
        <v>972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1019</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1633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2043</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1409</v>
      </c>
      <c r="B3485" s="27" t="s">
        <v>976</v>
      </c>
      <c r="C3485" s="27" t="s">
        <v>1021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1008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1063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2053</v>
      </c>
    </row>
    <row r="3490" spans="1:12">
      <c r="A3490" s="20" t="s">
        <v>1647</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996</v>
      </c>
      <c r="B3491" s="27" t="s">
        <v>1013</v>
      </c>
      <c r="C3491" s="27" t="s">
        <v>971</v>
      </c>
      <c r="D3491" s="27" t="s">
        <v>972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2041</v>
      </c>
      <c r="B3492" s="27" t="s">
        <v>1016</v>
      </c>
      <c r="C3492" s="27" t="s">
        <v>971</v>
      </c>
      <c r="D3492" s="27" t="s">
        <v>972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2042</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994</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1354</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1118</v>
      </c>
      <c r="B3496" s="27" t="s">
        <v>970</v>
      </c>
      <c r="C3496" s="27" t="s">
        <v>971</v>
      </c>
      <c r="D3496" s="27" t="s">
        <v>972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1002</v>
      </c>
      <c r="B3497" s="27" t="s">
        <v>981</v>
      </c>
      <c r="C3497" s="27" t="s">
        <v>1004</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1029</v>
      </c>
      <c r="B3498" s="27" t="s">
        <v>1056</v>
      </c>
      <c r="C3498" s="27" t="s">
        <v>971</v>
      </c>
      <c r="D3498" s="27" t="s">
        <v>972</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1197</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968</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1254</v>
      </c>
      <c r="B3501" s="27" t="s">
        <v>1013</v>
      </c>
      <c r="C3501" s="27" t="s">
        <v>971</v>
      </c>
      <c r="D3501" s="27" t="s">
        <v>972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1100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2054</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994</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1036</v>
      </c>
      <c r="B3505" s="27" t="s">
        <v>1006</v>
      </c>
      <c r="C3505" s="27" t="s">
        <v>991</v>
      </c>
      <c r="D3505" s="27" t="s">
        <v>972</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2055</v>
      </c>
      <c r="B3506" s="27" t="s">
        <v>985</v>
      </c>
      <c r="C3506" s="27" t="s">
        <v>977</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1448</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1002</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2056</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1008</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row>
    <row r="3512" spans="1:12">
      <c r="A3512" s="20" t="s">
        <v>2057</v>
      </c>
    </row>
    <row r="3513" spans="1:12">
      <c r="A3513" s="20" t="s">
        <v>969</v>
      </c>
      <c r="B3513" s="27" t="s">
        <v>970</v>
      </c>
      <c r="C3513" s="27" t="s">
        <v>971</v>
      </c>
      <c r="D3513" s="27" t="s">
        <v>972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1457</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1448</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1024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2058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58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994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983</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996</v>
      </c>
      <c r="B3521" s="27" t="s">
        <v>1013</v>
      </c>
      <c r="C3521" s="27" t="s">
        <v>971</v>
      </c>
      <c r="D3521" s="27" t="s">
        <v>972</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1355</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2059</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994</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999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996</v>
      </c>
      <c r="B3526" s="27" t="s">
        <v>997</v>
      </c>
      <c r="C3526" s="27" t="s">
        <v>971</v>
      </c>
      <c r="D3526" s="27" t="s">
        <v>972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1089</v>
      </c>
      <c r="B3527" s="27" t="s">
        <v>1034</v>
      </c>
      <c r="C3527" s="27" t="s">
        <v>971</v>
      </c>
      <c r="D3527" s="27" t="s">
        <v>972</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2060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994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1117</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1089</v>
      </c>
      <c r="B3531" s="27" t="s">
        <v>1000</v>
      </c>
      <c r="C3531" s="27" t="s">
        <v>971</v>
      </c>
      <c r="D3531" s="27" t="s">
        <v>972</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1029</v>
      </c>
      <c r="B3532" s="27" t="s">
        <v>1201</v>
      </c>
      <c r="C3532" s="27" t="s">
        <v>971</v>
      </c>
      <c r="D3532" s="27" t="s">
        <v>972</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1024</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1523</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1896</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1008</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row>
    <row r="3538" spans="1:12">
      <c r="A3538" s="20" t="s">
        <v>1063</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2061</v>
      </c>
    </row>
    <row r="3540" spans="1:12">
      <c r="A3540" s="20" t="s">
        <v>1147</v>
      </c>
      <c r="B3540" s="27" t="s">
        <v>976</v>
      </c>
      <c r="C3540" s="27" t="s">
        <v>1086</v>
      </c>
      <c r="D3540" s="27" t="s">
        <v>972</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994</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968</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1354</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1118</v>
      </c>
      <c r="B3544" s="27" t="s">
        <v>970</v>
      </c>
      <c r="C3544" s="27" t="s">
        <v>971</v>
      </c>
      <c r="D3544" s="27" t="s">
        <v>972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1029</v>
      </c>
      <c r="B3545" s="27" t="s">
        <v>976</v>
      </c>
      <c r="C3545" s="27" t="s">
        <v>971</v>
      </c>
      <c r="D3545" s="27" t="s">
        <v>972</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994</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968</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996</v>
      </c>
      <c r="B3548" s="27" t="s">
        <v>1013</v>
      </c>
      <c r="C3548" s="27" t="s">
        <v>971</v>
      </c>
      <c r="D3548" s="27" t="s">
        <v>972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1355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1098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1385</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2062</v>
      </c>
      <c r="B3552" s="27" t="s">
        <v>981</v>
      </c>
      <c r="C3552" s="27" t="s">
        <v>1021</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1073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2063</v>
      </c>
      <c r="B3554" s="27" t="s">
        <v>981</v>
      </c>
      <c r="C3554" s="27" t="s">
        <v>1086</v>
      </c>
      <c r="D3554" s="27" t="s">
        <v>972</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2064</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2065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994</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1054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2066</v>
      </c>
      <c r="B3559" s="27" t="s">
        <v>981</v>
      </c>
      <c r="C3559" s="27" t="s">
        <v>1021</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2067</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2068</v>
      </c>
      <c r="B3561" s="27" t="s">
        <v>985</v>
      </c>
      <c r="C3561" s="27" t="s">
        <v>977</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994</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1019</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2069</v>
      </c>
      <c r="B3564" s="27" t="s">
        <v>981</v>
      </c>
      <c r="C3564" s="27" t="s">
        <v>1021</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994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983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996</v>
      </c>
      <c r="B3567" s="27" t="s">
        <v>1000</v>
      </c>
      <c r="C3567" s="27" t="s">
        <v>971</v>
      </c>
      <c r="D3567" s="27" t="s">
        <v>972</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2070</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1027</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1175</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1008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968</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row>
    <row r="3574" spans="1:12">
      <c r="A3574" s="20" t="s">
        <v>2071</v>
      </c>
    </row>
    <row r="3575" spans="1:12">
      <c r="A3575" s="20" t="s">
        <v>1010</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996</v>
      </c>
      <c r="B3576" s="27" t="s">
        <v>970</v>
      </c>
      <c r="C3576" s="27" t="s">
        <v>971</v>
      </c>
      <c r="D3576" s="27" t="s">
        <v>972</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2072</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1110</v>
      </c>
      <c r="B3578" s="27" t="s">
        <v>976</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994</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1110</v>
      </c>
      <c r="B3580" s="27" t="s">
        <v>1016</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1154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1173</v>
      </c>
      <c r="B3582" s="27" t="s">
        <v>985</v>
      </c>
      <c r="C3582" s="27" t="s">
        <v>1105</v>
      </c>
      <c r="D3582" s="27" t="s">
        <v>972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1307</v>
      </c>
      <c r="B3583" s="27" t="s">
        <v>981</v>
      </c>
      <c r="C3583" s="27" t="s">
        <v>1144</v>
      </c>
      <c r="D3583" s="27" t="s">
        <v>972</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2073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1002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994</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999</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1380</v>
      </c>
      <c r="B3589" s="27" t="s">
        <v>1013</v>
      </c>
      <c r="C3589" s="27" t="s">
        <v>1004</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994</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1046</v>
      </c>
      <c r="B3591" s="27" t="s">
        <v>1013</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1676</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1448</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1199</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2074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1143</v>
      </c>
      <c r="B3596" s="27" t="s">
        <v>1016</v>
      </c>
      <c r="C3596" s="27" t="s">
        <v>1126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1612</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1281</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1040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1448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1605</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1856</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1916</v>
      </c>
      <c r="B3603" s="27" t="s">
        <v>1056</v>
      </c>
      <c r="C3603" s="27" t="s">
        <v>1126</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994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1216</v>
      </c>
      <c r="B3605" s="27" t="s">
        <v>997</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1439</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2075</v>
      </c>
      <c r="B3607" s="27" t="s">
        <v>1034</v>
      </c>
      <c r="C3607" s="27" t="s">
        <v>977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2076</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1281</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994</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1440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1518</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1019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1409</v>
      </c>
      <c r="B3614" s="27" t="s">
        <v>1201</v>
      </c>
      <c r="C3614" s="27" t="s">
        <v>1021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2077</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1008</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2078</v>
      </c>
    </row>
    <row r="3619" spans="1:12">
      <c r="A3619" s="20" t="s">
        <v>1096</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2068</v>
      </c>
      <c r="B3620" s="27" t="s">
        <v>970</v>
      </c>
      <c r="C3620" s="27" t="s">
        <v>982</v>
      </c>
      <c r="D3620" s="27" t="s">
        <v>972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1414</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2079</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983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1089</v>
      </c>
      <c r="B3624" s="27" t="s">
        <v>1013</v>
      </c>
      <c r="C3624" s="27" t="s">
        <v>971</v>
      </c>
      <c r="D3624" s="27" t="s">
        <v>972</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1181</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1054</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2080</v>
      </c>
      <c r="B3627" s="27" t="s">
        <v>1056</v>
      </c>
      <c r="C3627" s="27" t="s">
        <v>1021</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1025</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1046</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2081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2082</v>
      </c>
      <c r="B3631" s="27" t="s">
        <v>981</v>
      </c>
      <c r="C3631" s="27" t="s">
        <v>982</v>
      </c>
      <c r="D3631" s="27" t="s">
        <v>972</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1008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row>
    <row r="3634" spans="1:12">
      <c r="A3634" s="20" t="s">
        <v>2083</v>
      </c>
    </row>
    <row r="3635" spans="1:12">
      <c r="A3635" s="20" t="s">
        <v>1080</v>
      </c>
      <c r="B3635" s="27" t="s">
        <v>970</v>
      </c>
      <c r="C3635" s="27" t="s">
        <v>1014</v>
      </c>
      <c r="D3635" s="27" t="s">
        <v>972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1198</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2084</v>
      </c>
      <c r="B3637" s="27" t="s">
        <v>970</v>
      </c>
      <c r="C3637" s="27" t="s">
        <v>977</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2085</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1008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row>
    <row r="3641" spans="1:12">
      <c r="A3641" s="20" t="s">
        <v>2086</v>
      </c>
    </row>
    <row r="3642" spans="1:12">
      <c r="A3642" s="20" t="s">
        <v>1833</v>
      </c>
      <c r="B3642" s="27" t="s">
        <v>970</v>
      </c>
      <c r="C3642" s="27" t="s">
        <v>971</v>
      </c>
      <c r="D3642" s="27" t="s">
        <v>972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1285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1019</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2087</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669</v>
      </c>
      <c r="B3646" s="27" t="s">
        <v>976</v>
      </c>
      <c r="C3646" s="27" t="s">
        <v>1021</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1388</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2088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2089</v>
      </c>
      <c r="B3650" s="27" t="s">
        <v>981</v>
      </c>
      <c r="C3650" s="27" t="s">
        <v>1126</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1008</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1063</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2090</v>
      </c>
    </row>
    <row r="3655" spans="1:12">
      <c r="A3655" s="20" t="s">
        <v>1833</v>
      </c>
      <c r="B3655" s="27" t="s">
        <v>970</v>
      </c>
      <c r="C3655" s="27" t="s">
        <v>971</v>
      </c>
      <c r="D3655" s="27" t="s">
        <v>972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1935</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1029</v>
      </c>
      <c r="B3657" s="27" t="s">
        <v>976</v>
      </c>
      <c r="C3657" s="27" t="s">
        <v>971</v>
      </c>
      <c r="D3657" s="27" t="s">
        <v>972</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1154</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2091</v>
      </c>
      <c r="B3659" s="27" t="s">
        <v>1056</v>
      </c>
      <c r="C3659" s="27" t="s">
        <v>977</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1134</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1046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2092</v>
      </c>
      <c r="B3662" s="27" t="s">
        <v>1056</v>
      </c>
      <c r="C3662" s="27" t="s">
        <v>982</v>
      </c>
      <c r="D3662" s="27" t="s">
        <v>972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1113</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2093</v>
      </c>
      <c r="B3664" s="27" t="s">
        <v>976</v>
      </c>
      <c r="C3664" s="27" t="s">
        <v>1021</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983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1354</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1197</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968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1932</v>
      </c>
      <c r="B3669" s="27" t="s">
        <v>1006</v>
      </c>
      <c r="C3669" s="27" t="s">
        <v>1086</v>
      </c>
      <c r="D3669" s="27" t="s">
        <v>972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1353</v>
      </c>
      <c r="B3670" s="27" t="s">
        <v>997</v>
      </c>
      <c r="C3670" s="27" t="s">
        <v>1086</v>
      </c>
      <c r="D3670" s="27" t="s">
        <v>972</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1945</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1029</v>
      </c>
      <c r="B3672" s="27" t="s">
        <v>1034</v>
      </c>
      <c r="C3672" s="27" t="s">
        <v>971</v>
      </c>
      <c r="D3672" s="27" t="s">
        <v>972</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1283</v>
      </c>
      <c r="B3673" s="27" t="s">
        <v>1006</v>
      </c>
      <c r="C3673" s="27" t="s">
        <v>1105</v>
      </c>
      <c r="D3673" s="27" t="s">
        <v>972</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1610</v>
      </c>
      <c r="B3674" s="27" t="s">
        <v>985</v>
      </c>
      <c r="C3674" s="27" t="s">
        <v>1144</v>
      </c>
      <c r="D3674" s="27" t="s">
        <v>972</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1388</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2094</v>
      </c>
      <c r="B3676" s="27" t="s">
        <v>1034</v>
      </c>
      <c r="C3676" s="27" t="s">
        <v>1126</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1008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row>
    <row r="3679" spans="1:12">
      <c r="A3679" s="20" t="s">
        <v>2095</v>
      </c>
    </row>
    <row r="3680" spans="1:12">
      <c r="A3680" s="20" t="s">
        <v>1393</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1113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2096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2097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12</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2098</v>
      </c>
      <c r="B3685" s="27" t="s">
        <v>970</v>
      </c>
      <c r="C3685" s="27" t="s">
        <v>1021</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1098</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974</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1659</v>
      </c>
      <c r="B3688" s="27" t="s">
        <v>981</v>
      </c>
      <c r="C3688" s="27" t="s">
        <v>1086</v>
      </c>
      <c r="D3688" s="27" t="s">
        <v>972</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2099</v>
      </c>
      <c r="B3689" s="27" t="s">
        <v>1056</v>
      </c>
      <c r="C3689" s="27" t="s">
        <v>1086</v>
      </c>
      <c r="D3689" s="27" t="s">
        <v>972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2100</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974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994</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1041</v>
      </c>
      <c r="B3693" s="27" t="s">
        <v>976</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996</v>
      </c>
      <c r="B3694" s="27" t="s">
        <v>970</v>
      </c>
      <c r="C3694" s="27" t="s">
        <v>971</v>
      </c>
      <c r="D3694" s="27" t="s">
        <v>972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1024</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1676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2101</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994</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1243</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996</v>
      </c>
      <c r="B3700" s="27" t="s">
        <v>1013</v>
      </c>
      <c r="C3700" s="27" t="s">
        <v>971</v>
      </c>
      <c r="D3700" s="27" t="s">
        <v>972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1224</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994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999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1118</v>
      </c>
      <c r="B3704" s="27" t="s">
        <v>1013</v>
      </c>
      <c r="C3704" s="27" t="s">
        <v>971</v>
      </c>
      <c r="D3704" s="27" t="s">
        <v>972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2041</v>
      </c>
      <c r="B3705" s="27" t="s">
        <v>1016</v>
      </c>
      <c r="C3705" s="27" t="s">
        <v>971</v>
      </c>
      <c r="D3705" s="27" t="s">
        <v>972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1029</v>
      </c>
      <c r="B3706" s="27" t="s">
        <v>1016</v>
      </c>
      <c r="C3706" s="27" t="s">
        <v>971</v>
      </c>
      <c r="D3706" s="27" t="s">
        <v>972</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2102</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1285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994</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1440</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2103</v>
      </c>
      <c r="B3712" s="27" t="s">
        <v>1034</v>
      </c>
      <c r="C3712" s="27" t="s">
        <v>982</v>
      </c>
      <c r="D3712" s="27" t="s">
        <v>972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1002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2104</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994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999</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996</v>
      </c>
      <c r="B3717" s="27" t="s">
        <v>1013</v>
      </c>
      <c r="C3717" s="27" t="s">
        <v>971</v>
      </c>
      <c r="D3717" s="27" t="s">
        <v>972</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2105</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2106</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983</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1019</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1183</v>
      </c>
      <c r="B3722" s="27" t="s">
        <v>1034</v>
      </c>
      <c r="C3722" s="27" t="s">
        <v>1021</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1355</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994</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988</v>
      </c>
      <c r="B3725" s="27" t="s">
        <v>1016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996</v>
      </c>
      <c r="B3726" s="27" t="s">
        <v>1013</v>
      </c>
      <c r="C3726" s="27" t="s">
        <v>971</v>
      </c>
      <c r="D3726" s="27" t="s">
        <v>972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2107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1720</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1008</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2108</v>
      </c>
    </row>
    <row r="3732" spans="1:12">
      <c r="A3732" s="20" t="s">
        <v>1010</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1027</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1076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2109</v>
      </c>
      <c r="B3735" s="27" t="s">
        <v>970</v>
      </c>
      <c r="C3735" s="27" t="s">
        <v>1402</v>
      </c>
      <c r="D3735" s="27" t="s">
        <v>972</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1181</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1054</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2110</v>
      </c>
      <c r="B3738" s="27" t="s">
        <v>1056</v>
      </c>
      <c r="C3738" s="27" t="s">
        <v>1021</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1098</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2111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2112</v>
      </c>
      <c r="B3741" s="27" t="s">
        <v>1056</v>
      </c>
      <c r="C3741" s="27" t="s">
        <v>1038</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994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988</v>
      </c>
      <c r="B3743" s="27" t="s">
        <v>1013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2113</v>
      </c>
      <c r="B3744" s="27" t="s">
        <v>1016</v>
      </c>
      <c r="C3744" s="27" t="s">
        <v>977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2114</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1008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row>
    <row r="3748" spans="1:12">
      <c r="A3748" s="20" t="s">
        <v>2115</v>
      </c>
    </row>
    <row r="3749" spans="1:12">
      <c r="A3749" s="20" t="s">
        <v>1647</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996</v>
      </c>
      <c r="B3750" s="27" t="s">
        <v>1013</v>
      </c>
      <c r="C3750" s="27" t="s">
        <v>971</v>
      </c>
      <c r="D3750" s="27" t="s">
        <v>972</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1089</v>
      </c>
      <c r="B3751" s="27" t="s">
        <v>1016</v>
      </c>
      <c r="C3751" s="27" t="s">
        <v>971</v>
      </c>
      <c r="D3751" s="27" t="s">
        <v>972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2116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994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1045</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996</v>
      </c>
      <c r="B3755" s="27" t="s">
        <v>970</v>
      </c>
      <c r="C3755" s="27" t="s">
        <v>971</v>
      </c>
      <c r="D3755" s="27" t="s">
        <v>972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1002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703</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994</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983</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1036</v>
      </c>
      <c r="B3760" s="27" t="s">
        <v>985</v>
      </c>
      <c r="C3760" s="27" t="s">
        <v>991</v>
      </c>
      <c r="D3760" s="27" t="s">
        <v>972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1129</v>
      </c>
      <c r="B3761" s="27" t="s">
        <v>1013</v>
      </c>
      <c r="C3761" s="27" t="s">
        <v>977</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1007</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2117</v>
      </c>
      <c r="B3763" s="27" t="s">
        <v>981</v>
      </c>
      <c r="C3763" s="27" t="s">
        <v>1237</v>
      </c>
      <c r="D3763" s="27" t="s">
        <v>972</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983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1354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1197</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974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2118</v>
      </c>
      <c r="B3768" s="27" t="s">
        <v>981</v>
      </c>
      <c r="C3768" s="27" t="s">
        <v>977</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1971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2119</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2120</v>
      </c>
      <c r="B3771" s="27" t="s">
        <v>981</v>
      </c>
      <c r="C3771" s="27" t="s">
        <v>977</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994</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988</v>
      </c>
      <c r="B3773" s="27" t="s">
        <v>1000</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1971</v>
      </c>
      <c r="B3774" s="27" t="s">
        <v>1000</v>
      </c>
      <c r="C3774" s="27" t="s">
        <v>971</v>
      </c>
      <c r="D3774" s="27" t="s">
        <v>972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1831</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2121</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1376</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974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row>
    <row r="3780" spans="1:12">
      <c r="A3780" s="20" t="s">
        <v>2122</v>
      </c>
    </row>
    <row r="3781" spans="1:12">
      <c r="A3781" s="20" t="s">
        <v>1010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996</v>
      </c>
      <c r="B3782" s="27" t="s">
        <v>970</v>
      </c>
      <c r="C3782" s="27" t="s">
        <v>971</v>
      </c>
      <c r="D3782" s="27" t="s">
        <v>972</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1354</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1197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974</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1271</v>
      </c>
      <c r="B3786" s="27" t="s">
        <v>1013</v>
      </c>
      <c r="C3786" s="27" t="s">
        <v>971</v>
      </c>
      <c r="D3786" s="27" t="s">
        <v>972</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1281</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2123</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1753</v>
      </c>
      <c r="B3790" s="27" t="s">
        <v>1034</v>
      </c>
      <c r="C3790" s="27" t="s">
        <v>982</v>
      </c>
      <c r="D3790" s="27" t="s">
        <v>972</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1217</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996</v>
      </c>
      <c r="B3792" s="27" t="s">
        <v>1013</v>
      </c>
      <c r="C3792" s="27" t="s">
        <v>971</v>
      </c>
      <c r="D3792" s="27" t="s">
        <v>972</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1008</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974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2124</v>
      </c>
    </row>
    <row r="3797" spans="1:12">
      <c r="A3797" s="20" t="s">
        <v>1678</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996</v>
      </c>
      <c r="B3798" s="27" t="s">
        <v>970</v>
      </c>
      <c r="C3798" s="27" t="s">
        <v>971</v>
      </c>
      <c r="D3798" s="27" t="s">
        <v>972</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1977</v>
      </c>
      <c r="B3799" s="27" t="s">
        <v>976</v>
      </c>
      <c r="C3799" s="27" t="s">
        <v>971</v>
      </c>
      <c r="D3799" s="27" t="s">
        <v>972</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1027</v>
      </c>
      <c r="B3800" s="27" t="s">
        <v>970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2125</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994</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2126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996</v>
      </c>
      <c r="B3804" s="27" t="s">
        <v>1013</v>
      </c>
      <c r="C3804" s="27" t="s">
        <v>971</v>
      </c>
      <c r="D3804" s="27" t="s">
        <v>972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1024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row>
    <row r="3808" spans="1:12">
      <c r="A3808" s="20" t="s">
        <v>2127</v>
      </c>
    </row>
    <row r="3809" spans="1:12">
      <c r="A3809" s="20" t="s">
        <v>969</v>
      </c>
      <c r="B3809" s="27" t="s">
        <v>970</v>
      </c>
      <c r="C3809" s="27" t="s">
        <v>971</v>
      </c>
      <c r="D3809" s="27" t="s">
        <v>972</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1372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1024</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1463</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1520</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994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1169</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1275</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2128</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1008</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row>
    <row r="3820" spans="1:12">
      <c r="A3820" s="20" t="s">
        <v>2129</v>
      </c>
    </row>
    <row r="3821" spans="1:12">
      <c r="A3821" s="20" t="s">
        <v>2130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994</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1325</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996</v>
      </c>
      <c r="B3824" s="27" t="s">
        <v>1013</v>
      </c>
      <c r="C3824" s="27" t="s">
        <v>971</v>
      </c>
      <c r="D3824" s="27" t="s">
        <v>972</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1110</v>
      </c>
      <c r="B3825" s="27" t="s">
        <v>1016</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2131</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1533</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994</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1243</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1036</v>
      </c>
      <c r="B3831" s="27" t="s">
        <v>1006</v>
      </c>
      <c r="C3831" s="27" t="s">
        <v>991</v>
      </c>
      <c r="D3831" s="27" t="s">
        <v>972</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1645</v>
      </c>
      <c r="B3832" s="27" t="s">
        <v>997</v>
      </c>
      <c r="C3832" s="27" t="s">
        <v>977</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2132</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1029</v>
      </c>
      <c r="B3834" s="27" t="s">
        <v>1034</v>
      </c>
      <c r="C3834" s="27" t="s">
        <v>971</v>
      </c>
      <c r="D3834" s="27" t="s">
        <v>972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2133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994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2134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1217</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988</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2135</v>
      </c>
      <c r="B3840" s="27" t="s">
        <v>1006</v>
      </c>
      <c r="C3840" s="27" t="s">
        <v>982</v>
      </c>
      <c r="D3840" s="27" t="s">
        <v>972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994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983</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996</v>
      </c>
      <c r="B3843" s="27" t="s">
        <v>1297</v>
      </c>
      <c r="C3843" s="27" t="s">
        <v>971</v>
      </c>
      <c r="D3843" s="27" t="s">
        <v>972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2136</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1110</v>
      </c>
      <c r="B3845" s="27" t="s">
        <v>1300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2137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1008</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2138</v>
      </c>
    </row>
    <row r="3850" spans="1:12">
      <c r="A3850" s="20" t="s">
        <v>969</v>
      </c>
      <c r="B3850" s="27" t="s">
        <v>970</v>
      </c>
      <c r="C3850" s="27" t="s">
        <v>971</v>
      </c>
      <c r="D3850" s="27" t="s">
        <v>972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1372</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979</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1310</v>
      </c>
      <c r="B3854" s="27" t="s">
        <v>1056</v>
      </c>
      <c r="C3854" s="27" t="s">
        <v>982</v>
      </c>
      <c r="D3854" s="27" t="s">
        <v>972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983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1474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1008</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1063</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2139</v>
      </c>
    </row>
    <row r="3861" spans="1:12">
      <c r="A3861" s="20" t="s">
        <v>1080</v>
      </c>
      <c r="B3861" s="27" t="s">
        <v>970</v>
      </c>
      <c r="C3861" s="27" t="s">
        <v>1014</v>
      </c>
      <c r="D3861" s="27" t="s">
        <v>972</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621</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1002</v>
      </c>
      <c r="B3863" s="27" t="s">
        <v>981</v>
      </c>
      <c r="C3863" s="27" t="s">
        <v>1004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2140</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1476</v>
      </c>
      <c r="B3866" s="27" t="s">
        <v>1056</v>
      </c>
      <c r="C3866" s="27" t="s">
        <v>982</v>
      </c>
      <c r="D3866" s="27" t="s">
        <v>972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994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1368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1117</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1089</v>
      </c>
      <c r="B3870" s="27" t="s">
        <v>1013</v>
      </c>
      <c r="C3870" s="27" t="s">
        <v>971</v>
      </c>
      <c r="D3870" s="27" t="s">
        <v>972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1216</v>
      </c>
      <c r="B3871" s="27" t="s">
        <v>1016</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1024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1070</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1448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2141</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1008</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968</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row>
    <row r="3879" spans="1:12">
      <c r="A3879" s="20" t="s">
        <v>2142</v>
      </c>
    </row>
    <row r="3880" spans="1:12">
      <c r="A3880" s="20" t="s">
        <v>2143</v>
      </c>
      <c r="B3880" s="27" t="s">
        <v>976</v>
      </c>
      <c r="C3880" s="27" t="s">
        <v>971</v>
      </c>
      <c r="D3880" s="27" t="s">
        <v>972</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2144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988</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2103</v>
      </c>
      <c r="B3883" s="27" t="s">
        <v>970</v>
      </c>
      <c r="C3883" s="27" t="s">
        <v>982</v>
      </c>
      <c r="D3883" s="27" t="s">
        <v>972</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994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999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1081</v>
      </c>
      <c r="B3886" s="27" t="s">
        <v>997</v>
      </c>
      <c r="C3886" s="27" t="s">
        <v>977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2145</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1049</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2146</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994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2147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2148</v>
      </c>
      <c r="B3892" s="27" t="s">
        <v>985</v>
      </c>
      <c r="C3892" s="27" t="s">
        <v>977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1046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2149</v>
      </c>
      <c r="B3894" s="27" t="s">
        <v>1006</v>
      </c>
      <c r="C3894" s="27" t="s">
        <v>982</v>
      </c>
      <c r="D3894" s="27" t="s">
        <v>972</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2150</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1221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1008</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row>
    <row r="3899" spans="1:12">
      <c r="A3899" s="20" t="s">
        <v>2151</v>
      </c>
    </row>
    <row r="3900" spans="1:12">
      <c r="A3900" s="20" t="s">
        <v>969</v>
      </c>
      <c r="B3900" s="27" t="s">
        <v>970</v>
      </c>
      <c r="C3900" s="27" t="s">
        <v>971</v>
      </c>
      <c r="D3900" s="27" t="s">
        <v>972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1954</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1029</v>
      </c>
      <c r="B3902" s="27" t="s">
        <v>976</v>
      </c>
      <c r="C3902" s="27" t="s">
        <v>971</v>
      </c>
      <c r="D3902" s="27" t="s">
        <v>972</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1154</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994</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1217</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1012</v>
      </c>
      <c r="B3906" s="27" t="s">
        <v>1013</v>
      </c>
      <c r="C3906" s="27" t="s">
        <v>1014</v>
      </c>
      <c r="D3906" s="27" t="s">
        <v>972</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978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2152</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2153</v>
      </c>
      <c r="B3909" s="27" t="s">
        <v>981</v>
      </c>
      <c r="C3909" s="27" t="s">
        <v>977</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2154</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994</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983</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1019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1242</v>
      </c>
      <c r="B3914" s="27" t="s">
        <v>1056</v>
      </c>
      <c r="C3914" s="27" t="s">
        <v>1021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994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988</v>
      </c>
      <c r="B3916" s="27" t="s">
        <v>997</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1110</v>
      </c>
      <c r="B3917" s="27" t="s">
        <v>1034</v>
      </c>
      <c r="C3917" s="27" t="s">
        <v>971</v>
      </c>
      <c r="D3917" s="27" t="s">
        <v>972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1154</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979</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1231</v>
      </c>
      <c r="B3920" s="27" t="s">
        <v>985</v>
      </c>
      <c r="C3920" s="27" t="s">
        <v>1014</v>
      </c>
      <c r="D3920" s="27" t="s">
        <v>972</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2155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994</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1886</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1081</v>
      </c>
      <c r="B3924" s="27" t="s">
        <v>970</v>
      </c>
      <c r="C3924" s="27" t="s">
        <v>977</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1840</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1041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2156</v>
      </c>
      <c r="B3927" s="27" t="s">
        <v>1056</v>
      </c>
      <c r="C3927" s="27" t="s">
        <v>982</v>
      </c>
      <c r="D3927" s="27" t="s">
        <v>972</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1008</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row>
    <row r="3930" spans="1:12">
      <c r="A3930" s="20" t="s">
        <v>2157</v>
      </c>
    </row>
    <row r="3931" spans="1:12">
      <c r="A3931" s="20" t="s">
        <v>2158</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1547</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996</v>
      </c>
      <c r="B3933" s="27" t="s">
        <v>970</v>
      </c>
      <c r="C3933" s="27" t="s">
        <v>971</v>
      </c>
      <c r="D3933" s="27" t="s">
        <v>972</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1110</v>
      </c>
      <c r="B3934" s="27" t="s">
        <v>976</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1025</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994</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1440</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1002</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2159</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994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1180</v>
      </c>
      <c r="B3941" s="27" t="s">
        <v>1013</v>
      </c>
      <c r="C3941" s="27" t="s">
        <v>1014</v>
      </c>
      <c r="D3941" s="27" t="s">
        <v>972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1111</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2160</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1114</v>
      </c>
      <c r="B3944" s="27" t="s">
        <v>981</v>
      </c>
      <c r="C3944" s="27" t="s">
        <v>977</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1040</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1081</v>
      </c>
      <c r="B3946" s="27" t="s">
        <v>981</v>
      </c>
      <c r="C3946" s="27" t="s">
        <v>977</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1481</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1414</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1008</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row>
    <row r="3951" spans="1:12">
      <c r="A3951" s="20" t="s">
        <v>2161</v>
      </c>
    </row>
    <row r="3952" spans="1:12">
      <c r="A3952" s="20" t="s">
        <v>1010</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996</v>
      </c>
      <c r="B3953" s="27" t="s">
        <v>970</v>
      </c>
      <c r="C3953" s="27" t="s">
        <v>971</v>
      </c>
      <c r="D3953" s="27" t="s">
        <v>972</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2162</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1176</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994</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999</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2160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1114</v>
      </c>
      <c r="B3959" s="27" t="s">
        <v>1013</v>
      </c>
      <c r="C3959" s="27" t="s">
        <v>977</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1073</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1081</v>
      </c>
      <c r="B3961" s="27" t="s">
        <v>981</v>
      </c>
      <c r="C3961" s="27" t="s">
        <v>977</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2163</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1024</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2164</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462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1008</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2165</v>
      </c>
    </row>
    <row r="3969" spans="1:12">
      <c r="A3969" s="20" t="s">
        <v>1081</v>
      </c>
      <c r="B3969" s="27" t="s">
        <v>970</v>
      </c>
      <c r="C3969" s="27" t="s">
        <v>977</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1198</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1027</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2166</v>
      </c>
      <c r="B3972" s="27" t="s">
        <v>1056</v>
      </c>
      <c r="C3972" s="27" t="s">
        <v>982</v>
      </c>
      <c r="D3972" s="27" t="s">
        <v>972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1812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2167</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2168</v>
      </c>
      <c r="B3975" s="27" t="s">
        <v>1056</v>
      </c>
      <c r="C3975" s="27" t="s">
        <v>1021</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994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988</v>
      </c>
      <c r="B3977" s="27" t="s">
        <v>997</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2169</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2170</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978</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1046</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2171</v>
      </c>
      <c r="B3982" s="27" t="s">
        <v>985</v>
      </c>
      <c r="C3982" s="27" t="s">
        <v>982</v>
      </c>
      <c r="D3982" s="27" t="s">
        <v>972</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2172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1100</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994</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983</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1098</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2173</v>
      </c>
      <c r="B3988" s="27" t="s">
        <v>1056</v>
      </c>
      <c r="C3988" s="27" t="s">
        <v>977</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994</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988</v>
      </c>
      <c r="B3990" s="27" t="s">
        <v>997</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614</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1073</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2174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1114</v>
      </c>
      <c r="B3994" s="27" t="s">
        <v>985</v>
      </c>
      <c r="C3994" s="27" t="s">
        <v>977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1182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2175</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1198</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1008</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row>
    <row r="4000" spans="1:12">
      <c r="A4000" s="20" t="s">
        <v>1063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2176</v>
      </c>
    </row>
    <row r="4002" spans="1:12">
      <c r="A4002" s="20" t="s">
        <v>1953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2177</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1216</v>
      </c>
      <c r="B4004" s="27" t="s">
        <v>976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994</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999</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1223</v>
      </c>
      <c r="B4007" s="27" t="s">
        <v>997</v>
      </c>
      <c r="C4007" s="27" t="s">
        <v>1004</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994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1117</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1223</v>
      </c>
      <c r="B4010" s="27" t="s">
        <v>1000</v>
      </c>
      <c r="C4010" s="27" t="s">
        <v>1004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1054</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1676</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1396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1310</v>
      </c>
      <c r="B4014" s="27" t="s">
        <v>1201</v>
      </c>
      <c r="C4014" s="27" t="s">
        <v>1021</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1285</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994</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1216</v>
      </c>
      <c r="B4017" s="27" t="s">
        <v>997</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1243</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988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2178</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1476</v>
      </c>
      <c r="B4021" s="27" t="s">
        <v>985</v>
      </c>
      <c r="C4021" s="27" t="s">
        <v>982</v>
      </c>
      <c r="D4021" s="27" t="s">
        <v>972</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2179</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973</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994</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1688</v>
      </c>
      <c r="B4025" s="27" t="s">
        <v>970</v>
      </c>
      <c r="C4025" s="27" t="s">
        <v>977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1197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968</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2180</v>
      </c>
      <c r="B4028" s="27" t="s">
        <v>1034</v>
      </c>
      <c r="C4028" s="27" t="s">
        <v>1375</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2181</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996</v>
      </c>
      <c r="B4030" s="27" t="s">
        <v>997</v>
      </c>
      <c r="C4030" s="27" t="s">
        <v>971</v>
      </c>
      <c r="D4030" s="27" t="s">
        <v>972</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1110</v>
      </c>
      <c r="B4031" s="27" t="s">
        <v>1034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1448</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1376</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row>
    <row r="4035" spans="1:12">
      <c r="A4035" s="20" t="s">
        <v>1063</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2182</v>
      </c>
    </row>
    <row r="4037" spans="1:12">
      <c r="A4037" s="20" t="s">
        <v>969</v>
      </c>
      <c r="B4037" s="27" t="s">
        <v>970</v>
      </c>
      <c r="C4037" s="27" t="s">
        <v>971</v>
      </c>
      <c r="D4037" s="27" t="s">
        <v>972</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1203</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1081</v>
      </c>
      <c r="B4039" s="27" t="s">
        <v>976</v>
      </c>
      <c r="C4039" s="27" t="s">
        <v>977</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104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1008</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968</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row>
    <row r="4044" spans="1:12">
      <c r="A4044" s="20" t="s">
        <v>2183</v>
      </c>
    </row>
    <row r="4045" spans="1:12">
      <c r="A4045" s="20" t="s">
        <v>1010</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1223</v>
      </c>
      <c r="B4046" s="27" t="s">
        <v>970</v>
      </c>
      <c r="C4046" s="27" t="s">
        <v>1004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2184</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1019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1409</v>
      </c>
      <c r="B4049" s="27" t="s">
        <v>976</v>
      </c>
      <c r="C4049" s="27" t="s">
        <v>1021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1209</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1008</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row>
    <row r="4053" spans="1:12">
      <c r="A4053" s="20" t="s">
        <v>1063</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2185</v>
      </c>
    </row>
    <row r="4055" spans="1:12">
      <c r="A4055" s="20" t="s">
        <v>1147</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1117</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1223</v>
      </c>
      <c r="B4057" s="27" t="s">
        <v>1013</v>
      </c>
      <c r="C4057" s="27" t="s">
        <v>1004</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1054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2186</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2187</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1310</v>
      </c>
      <c r="B4061" s="27" t="s">
        <v>1016</v>
      </c>
      <c r="C4061" s="27" t="s">
        <v>1021</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1285</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983</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1216</v>
      </c>
      <c r="B4064" s="27" t="s">
        <v>1034</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2188</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2179</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973</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994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1901</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1283</v>
      </c>
      <c r="B4070" s="27" t="s">
        <v>981</v>
      </c>
      <c r="C4070" s="27" t="s">
        <v>1105</v>
      </c>
      <c r="D4070" s="27" t="s">
        <v>972</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1284</v>
      </c>
      <c r="B4071" s="27" t="s">
        <v>970</v>
      </c>
      <c r="C4071" s="27" t="s">
        <v>1144</v>
      </c>
      <c r="D4071" s="27" t="s">
        <v>972</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978</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979</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2189</v>
      </c>
      <c r="B4074" s="27" t="s">
        <v>1056</v>
      </c>
      <c r="C4074" s="27" t="s">
        <v>982</v>
      </c>
      <c r="D4074" s="27" t="s">
        <v>972</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1040</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979</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1736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1310</v>
      </c>
      <c r="B4078" s="27" t="s">
        <v>981</v>
      </c>
      <c r="C4078" s="27" t="s">
        <v>982</v>
      </c>
      <c r="D4078" s="27" t="s">
        <v>972</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994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983</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1223</v>
      </c>
      <c r="B4081" s="27" t="s">
        <v>1013</v>
      </c>
      <c r="C4081" s="27" t="s">
        <v>1004</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2190</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1024</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1744</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994</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1002</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241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1197</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968</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2191</v>
      </c>
      <c r="B4090" s="27" t="s">
        <v>1013</v>
      </c>
      <c r="C4090" s="27" t="s">
        <v>977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1100</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1027</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2192</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1008</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968</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2193</v>
      </c>
    </row>
    <row r="4098" spans="1:12">
      <c r="A4098" s="20" t="s">
        <v>2158</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104</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1435</v>
      </c>
      <c r="B4100" s="27" t="s">
        <v>970</v>
      </c>
      <c r="C4100" s="27" t="s">
        <v>1014</v>
      </c>
      <c r="D4100" s="27" t="s">
        <v>972</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978</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1173</v>
      </c>
      <c r="B4102" s="27" t="s">
        <v>981</v>
      </c>
      <c r="C4102" s="27" t="s">
        <v>1105</v>
      </c>
      <c r="D4102" s="27" t="s">
        <v>972</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2026</v>
      </c>
      <c r="B4103" s="27" t="s">
        <v>1056</v>
      </c>
      <c r="C4103" s="27" t="s">
        <v>1144</v>
      </c>
      <c r="D4103" s="27" t="s">
        <v>972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1019</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2194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2195</v>
      </c>
      <c r="B4107" s="27" t="s">
        <v>970</v>
      </c>
      <c r="C4107" s="27" t="s">
        <v>1021</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1840</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2174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1114</v>
      </c>
      <c r="B4110" s="27" t="s">
        <v>1056</v>
      </c>
      <c r="C4110" s="27" t="s">
        <v>977</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994</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988</v>
      </c>
      <c r="B4112" s="27" t="s">
        <v>1013</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1024</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2196</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983</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2164</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1221</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983</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988</v>
      </c>
      <c r="B4119" s="27" t="s">
        <v>997</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1024</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2197</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1221</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994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983</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1027</v>
      </c>
      <c r="B4125" s="27" t="s">
        <v>1013</v>
      </c>
      <c r="C4125" s="27" t="s">
        <v>1105</v>
      </c>
      <c r="D4125" s="27" t="s">
        <v>972</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1100</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1019</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2198</v>
      </c>
      <c r="B4128" s="27" t="s">
        <v>1056</v>
      </c>
      <c r="C4128" s="27" t="s">
        <v>1021</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2199</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2200</v>
      </c>
      <c r="B4130" s="27" t="s">
        <v>981</v>
      </c>
      <c r="C4130" s="27" t="s">
        <v>977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1008</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row>
    <row r="4133" spans="1:12">
      <c r="A4133" s="20" t="s">
        <v>2201</v>
      </c>
    </row>
    <row r="4134" spans="1:12">
      <c r="A4134" s="20" t="s">
        <v>969</v>
      </c>
      <c r="B4134" s="27" t="s">
        <v>970</v>
      </c>
      <c r="C4134" s="27" t="s">
        <v>971</v>
      </c>
      <c r="D4134" s="27" t="s">
        <v>972</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2162</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1568</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1054</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2202</v>
      </c>
      <c r="B4138" s="27" t="s">
        <v>976</v>
      </c>
      <c r="C4138" s="27" t="s">
        <v>1021</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994</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988</v>
      </c>
      <c r="B4140" s="27" t="s">
        <v>997</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1054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2203</v>
      </c>
      <c r="B4142" s="27" t="s">
        <v>1034</v>
      </c>
      <c r="C4142" s="27" t="s">
        <v>1021</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978</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1041</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2204</v>
      </c>
      <c r="B4145" s="27" t="s">
        <v>985</v>
      </c>
      <c r="C4145" s="27" t="s">
        <v>982</v>
      </c>
      <c r="D4145" s="27" t="s">
        <v>972</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2205</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1098</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2206</v>
      </c>
      <c r="B4148" s="27" t="s">
        <v>985</v>
      </c>
      <c r="C4148" s="27" t="s">
        <v>1086</v>
      </c>
      <c r="D4148" s="27" t="s">
        <v>972</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2207</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2208</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994</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2002</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1012</v>
      </c>
      <c r="B4153" s="27" t="s">
        <v>1000</v>
      </c>
      <c r="C4153" s="27" t="s">
        <v>1014</v>
      </c>
      <c r="D4153" s="27" t="s">
        <v>972</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2209</v>
      </c>
      <c r="B4154" s="27" t="s">
        <v>1201</v>
      </c>
      <c r="C4154" s="27" t="s">
        <v>977</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1391</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994</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988</v>
      </c>
      <c r="B4157" s="27" t="s">
        <v>1297</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2119</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2210</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2211</v>
      </c>
      <c r="B4160" s="27" t="s">
        <v>1003</v>
      </c>
      <c r="C4160" s="27" t="s">
        <v>977</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2212</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1886</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983</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1081</v>
      </c>
      <c r="B4164" s="27" t="s">
        <v>1908</v>
      </c>
      <c r="C4164" s="27" t="s">
        <v>977</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1073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1922</v>
      </c>
      <c r="B4166" s="27" t="s">
        <v>2213</v>
      </c>
      <c r="C4166" s="27" t="s">
        <v>971</v>
      </c>
      <c r="D4166" s="27" t="s">
        <v>972</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2214</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994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983</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1044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1054</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2215</v>
      </c>
      <c r="B4172" s="27" t="s">
        <v>1300</v>
      </c>
      <c r="C4172" s="27" t="s">
        <v>1021</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2216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1008</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row>
    <row r="4176" spans="1:12">
      <c r="A4176" s="20" t="s">
        <v>2217</v>
      </c>
    </row>
    <row r="4177" spans="1:12">
      <c r="A4177" s="20" t="s">
        <v>2218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1098</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1922</v>
      </c>
      <c r="B4179" s="27" t="s">
        <v>981</v>
      </c>
      <c r="C4179" s="27" t="s">
        <v>971</v>
      </c>
      <c r="D4179" s="27" t="s">
        <v>972</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994</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2219</v>
      </c>
      <c r="B4181" s="27" t="s">
        <v>970</v>
      </c>
      <c r="C4181" s="27" t="s">
        <v>1086</v>
      </c>
      <c r="D4181" s="27" t="s">
        <v>972</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994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1007</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2220</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994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983</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1012</v>
      </c>
      <c r="B4187" s="27" t="s">
        <v>1013</v>
      </c>
      <c r="C4187" s="27" t="s">
        <v>1014</v>
      </c>
      <c r="D4187" s="27" t="s">
        <v>972</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1354</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2221</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994</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1049</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1012</v>
      </c>
      <c r="B4192" s="27" t="s">
        <v>997</v>
      </c>
      <c r="C4192" s="27" t="s">
        <v>1014</v>
      </c>
      <c r="D4192" s="27" t="s">
        <v>972</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2222</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1008</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row>
    <row r="4196" spans="1:12">
      <c r="A4196" s="20" t="s">
        <v>2223</v>
      </c>
    </row>
    <row r="4197" spans="1:12">
      <c r="A4197" s="20" t="s">
        <v>2224</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1019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669</v>
      </c>
      <c r="B4199" s="27" t="s">
        <v>1056</v>
      </c>
      <c r="C4199" s="27" t="s">
        <v>1021</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994</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988</v>
      </c>
      <c r="B4201" s="27" t="s">
        <v>1013</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2225</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2089</v>
      </c>
      <c r="B4203" s="27" t="s">
        <v>1016</v>
      </c>
      <c r="C4203" s="27" t="s">
        <v>1126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1285</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1008</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1063</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2226</v>
      </c>
    </row>
    <row r="4209" spans="1:12">
      <c r="A4209" s="20" t="s">
        <v>1271</v>
      </c>
      <c r="B4209" s="27" t="s">
        <v>970</v>
      </c>
      <c r="C4209" s="27" t="s">
        <v>971</v>
      </c>
      <c r="D4209" s="27" t="s">
        <v>972</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1354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1197</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968</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969</v>
      </c>
      <c r="B4213" s="27" t="s">
        <v>1013</v>
      </c>
      <c r="C4213" s="27" t="s">
        <v>971</v>
      </c>
      <c r="D4213" s="27" t="s">
        <v>972</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1281</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1113</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2227</v>
      </c>
      <c r="B4216" s="27" t="s">
        <v>1016</v>
      </c>
      <c r="C4216" s="27" t="s">
        <v>1021</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994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1243</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996</v>
      </c>
      <c r="B4219" s="27" t="s">
        <v>997</v>
      </c>
      <c r="C4219" s="27" t="s">
        <v>971</v>
      </c>
      <c r="D4219" s="27" t="s">
        <v>972</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2228</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2041</v>
      </c>
      <c r="B4221" s="27" t="s">
        <v>1034</v>
      </c>
      <c r="C4221" s="27" t="s">
        <v>971</v>
      </c>
      <c r="D4221" s="27" t="s">
        <v>972</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2229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994</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1325</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996</v>
      </c>
      <c r="B4225" s="27" t="s">
        <v>1000</v>
      </c>
      <c r="C4225" s="27" t="s">
        <v>971</v>
      </c>
      <c r="D4225" s="27" t="s">
        <v>972</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1024</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1175</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979</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1239</v>
      </c>
      <c r="B4229" s="27" t="s">
        <v>1006</v>
      </c>
      <c r="C4229" s="27" t="s">
        <v>982</v>
      </c>
      <c r="D4229" s="27" t="s">
        <v>972</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267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1088</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1008</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row>
    <row r="4234" spans="1:12">
      <c r="A4234" s="20" t="s">
        <v>2230</v>
      </c>
    </row>
    <row r="4235" spans="1:12">
      <c r="A4235" s="20" t="s">
        <v>969</v>
      </c>
      <c r="B4235" s="27" t="s">
        <v>970</v>
      </c>
      <c r="C4235" s="27" t="s">
        <v>971</v>
      </c>
      <c r="D4235" s="27" t="s">
        <v>972</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1355</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1194</v>
      </c>
      <c r="B4237" s="27" t="s">
        <v>981</v>
      </c>
      <c r="C4237" s="27" t="s">
        <v>991</v>
      </c>
      <c r="D4237" s="27" t="s">
        <v>972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2231</v>
      </c>
      <c r="B4238" s="27" t="s">
        <v>976</v>
      </c>
      <c r="C4238" s="27" t="s">
        <v>977</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1160</v>
      </c>
      <c r="B4239" s="27" t="s">
        <v>976</v>
      </c>
      <c r="C4239" s="27" t="s">
        <v>1014</v>
      </c>
      <c r="D4239" s="27" t="s">
        <v>972</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1002</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100</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1008</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1063</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2232</v>
      </c>
    </row>
    <row r="4246" spans="1:12">
      <c r="A4246" s="20" t="s">
        <v>2233</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1457</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996</v>
      </c>
      <c r="B4248" s="27" t="s">
        <v>970</v>
      </c>
      <c r="C4248" s="27" t="s">
        <v>971</v>
      </c>
      <c r="D4248" s="27" t="s">
        <v>972</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1089</v>
      </c>
      <c r="B4249" s="27" t="s">
        <v>976</v>
      </c>
      <c r="C4249" s="27" t="s">
        <v>971</v>
      </c>
      <c r="D4249" s="27" t="s">
        <v>972</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1024</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679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994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999</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1012</v>
      </c>
      <c r="B4254" s="27" t="s">
        <v>1013</v>
      </c>
      <c r="C4254" s="27" t="s">
        <v>1014</v>
      </c>
      <c r="D4254" s="27" t="s">
        <v>972</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2234</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994</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1044</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2235</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996</v>
      </c>
      <c r="B4260" s="27" t="s">
        <v>1013</v>
      </c>
      <c r="C4260" s="27" t="s">
        <v>971</v>
      </c>
      <c r="D4260" s="27" t="s">
        <v>972</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1110</v>
      </c>
      <c r="B4261" s="27" t="s">
        <v>1016</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978</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1027</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1328</v>
      </c>
      <c r="B4264" s="27" t="s">
        <v>981</v>
      </c>
      <c r="C4264" s="27" t="s">
        <v>982</v>
      </c>
      <c r="D4264" s="27" t="s">
        <v>972</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983</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2236</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988</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2237</v>
      </c>
      <c r="B4268" s="27" t="s">
        <v>1016</v>
      </c>
      <c r="C4268" s="27" t="s">
        <v>982</v>
      </c>
      <c r="D4268" s="27" t="s">
        <v>972</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1035</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1194</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1900</v>
      </c>
      <c r="B4271" s="27" t="s">
        <v>985</v>
      </c>
      <c r="C4271" s="27" t="s">
        <v>1038</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994</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983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1117</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1012</v>
      </c>
      <c r="B4275" s="27" t="s">
        <v>1013</v>
      </c>
      <c r="C4275" s="27" t="s">
        <v>1014</v>
      </c>
      <c r="D4275" s="27" t="s">
        <v>972</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1440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2238</v>
      </c>
      <c r="B4278" s="27" t="s">
        <v>981</v>
      </c>
      <c r="C4278" s="27" t="s">
        <v>1126</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1134</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1239</v>
      </c>
      <c r="B4280" s="27" t="s">
        <v>981</v>
      </c>
      <c r="C4280" s="27" t="s">
        <v>1086</v>
      </c>
      <c r="D4280" s="27" t="s">
        <v>972</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665</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994</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2190</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1027</v>
      </c>
      <c r="B4284" s="27" t="s">
        <v>997</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1448</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1725</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1008</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968</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row>
    <row r="4290" spans="1:12">
      <c r="A4290" s="20" t="s">
        <v>1063</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2239</v>
      </c>
    </row>
    <row r="4292" spans="1:12">
      <c r="A4292" s="20" t="s">
        <v>1271</v>
      </c>
      <c r="B4292" s="27" t="s">
        <v>970</v>
      </c>
      <c r="C4292" s="27" t="s">
        <v>971</v>
      </c>
      <c r="D4292" s="27" t="s">
        <v>972</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1354</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1197</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968</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969</v>
      </c>
      <c r="B4296" s="27" t="s">
        <v>1013</v>
      </c>
      <c r="C4296" s="27" t="s">
        <v>971</v>
      </c>
      <c r="D4296" s="27" t="s">
        <v>972</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1355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1182</v>
      </c>
      <c r="B4298" s="27" t="s">
        <v>985</v>
      </c>
      <c r="C4298" s="27" t="s">
        <v>1004</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2240</v>
      </c>
      <c r="B4299" s="27" t="s">
        <v>1016</v>
      </c>
      <c r="C4299" s="27" t="s">
        <v>1126</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2241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994</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1891</v>
      </c>
      <c r="B4302" s="27" t="s">
        <v>1016</v>
      </c>
      <c r="C4302" s="27" t="s">
        <v>1004</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1180</v>
      </c>
      <c r="B4303" s="27" t="s">
        <v>1000</v>
      </c>
      <c r="C4303" s="27" t="s">
        <v>1014</v>
      </c>
      <c r="D4303" s="27" t="s">
        <v>972</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1110</v>
      </c>
      <c r="B4304" s="27" t="s">
        <v>1201</v>
      </c>
      <c r="C4304" s="27" t="s">
        <v>971</v>
      </c>
      <c r="D4304" s="27" t="s">
        <v>972</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1161</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2242</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2243</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1008</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2244</v>
      </c>
    </row>
    <row r="4311" spans="1:12">
      <c r="A4311" s="20" t="s">
        <v>1932</v>
      </c>
      <c r="B4311" s="27" t="s">
        <v>981</v>
      </c>
      <c r="C4311" s="27" t="s">
        <v>1086</v>
      </c>
      <c r="D4311" s="27" t="s">
        <v>972</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1830</v>
      </c>
      <c r="B4312" s="27" t="s">
        <v>970</v>
      </c>
      <c r="C4312" s="27" t="s">
        <v>1086</v>
      </c>
      <c r="D4312" s="27" t="s">
        <v>972</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1354</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1029</v>
      </c>
      <c r="B4314" s="27" t="s">
        <v>976</v>
      </c>
      <c r="C4314" s="27" t="s">
        <v>971</v>
      </c>
      <c r="D4314" s="27" t="s">
        <v>972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1282</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994</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999</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996</v>
      </c>
      <c r="B4318" s="27" t="s">
        <v>1013</v>
      </c>
      <c r="C4318" s="27" t="s">
        <v>971</v>
      </c>
      <c r="D4318" s="27" t="s">
        <v>972</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2245</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983</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2246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1372</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1008</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row>
    <row r="4325" spans="1:12">
      <c r="A4325" s="20" t="s">
        <v>1063</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2247</v>
      </c>
    </row>
    <row r="4327" spans="1:12">
      <c r="A4327" s="20" t="s">
        <v>969</v>
      </c>
      <c r="B4327" s="27" t="s">
        <v>970</v>
      </c>
      <c r="C4327" s="27" t="s">
        <v>971</v>
      </c>
      <c r="D4327" s="27" t="s">
        <v>972</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2248</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994</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996</v>
      </c>
      <c r="B4330" s="27" t="s">
        <v>1013</v>
      </c>
      <c r="C4330" s="27" t="s">
        <v>971</v>
      </c>
      <c r="D4330" s="27" t="s">
        <v>972</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1864</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1041</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2249</v>
      </c>
      <c r="B4333" s="27" t="s">
        <v>1016</v>
      </c>
      <c r="C4333" s="27" t="s">
        <v>982</v>
      </c>
      <c r="D4333" s="27" t="s">
        <v>972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2250</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1008</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968</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row>
    <row r="4338" spans="1:12">
      <c r="A4338" s="20" t="s">
        <v>1063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2251</v>
      </c>
    </row>
    <row r="4340" spans="1:12">
      <c r="A4340" s="20" t="s">
        <v>1271</v>
      </c>
      <c r="B4340" s="27" t="s">
        <v>970</v>
      </c>
      <c r="C4340" s="27" t="s">
        <v>971</v>
      </c>
      <c r="D4340" s="27" t="s">
        <v>972</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1414</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978</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1142</v>
      </c>
      <c r="B4343" s="27" t="s">
        <v>981</v>
      </c>
      <c r="C4343" s="27" t="s">
        <v>1105</v>
      </c>
      <c r="D4343" s="27" t="s">
        <v>972</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2252</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2253</v>
      </c>
      <c r="B4345" s="27" t="s">
        <v>1056</v>
      </c>
      <c r="C4345" s="27" t="s">
        <v>1144</v>
      </c>
      <c r="D4345" s="27" t="s">
        <v>972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2254</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983</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1049</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996</v>
      </c>
      <c r="B4349" s="27" t="s">
        <v>997</v>
      </c>
      <c r="C4349" s="27" t="s">
        <v>971</v>
      </c>
      <c r="D4349" s="27" t="s">
        <v>972</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1012</v>
      </c>
      <c r="B4350" s="27" t="s">
        <v>1034</v>
      </c>
      <c r="C4350" s="27" t="s">
        <v>1014</v>
      </c>
      <c r="D4350" s="27" t="s">
        <v>972</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1298</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1299</v>
      </c>
      <c r="B4352" s="27" t="s">
        <v>1006</v>
      </c>
      <c r="C4352" s="27" t="s">
        <v>1126</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1151</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1579</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994</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1281</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1012</v>
      </c>
      <c r="B4357" s="27" t="s">
        <v>1013</v>
      </c>
      <c r="C4357" s="27" t="s">
        <v>1014</v>
      </c>
      <c r="D4357" s="27" t="s">
        <v>972</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1113</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2227</v>
      </c>
      <c r="B4359" s="27" t="s">
        <v>1016</v>
      </c>
      <c r="C4359" s="27" t="s">
        <v>1021</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978</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1046</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2255</v>
      </c>
      <c r="B4362" s="27" t="s">
        <v>985</v>
      </c>
      <c r="C4362" s="27" t="s">
        <v>982</v>
      </c>
      <c r="D4362" s="27" t="s">
        <v>972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1111</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988</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2256</v>
      </c>
      <c r="B4365" s="27" t="s">
        <v>1006</v>
      </c>
      <c r="C4365" s="27" t="s">
        <v>1086</v>
      </c>
      <c r="D4365" s="27" t="s">
        <v>972</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2257</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2254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994</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1281</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1245</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1830</v>
      </c>
      <c r="B4372" s="27" t="s">
        <v>1034</v>
      </c>
      <c r="C4372" s="27" t="s">
        <v>1038</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994</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1046</v>
      </c>
      <c r="B4374" s="27" t="s">
        <v>1297</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1012</v>
      </c>
      <c r="B4375" s="27" t="s">
        <v>1300</v>
      </c>
      <c r="C4375" s="27" t="s">
        <v>1014</v>
      </c>
      <c r="D4375" s="27" t="s">
        <v>972</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1070</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2258</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1281</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994</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2027</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994</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983</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1012</v>
      </c>
      <c r="B4383" s="27" t="s">
        <v>1013</v>
      </c>
      <c r="C4383" s="27" t="s">
        <v>1014</v>
      </c>
      <c r="D4383" s="27" t="s">
        <v>972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1354</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1002</v>
      </c>
      <c r="B4385" s="27" t="s">
        <v>985</v>
      </c>
      <c r="C4385" s="27" t="s">
        <v>1004</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1029</v>
      </c>
      <c r="B4386" s="27" t="s">
        <v>981</v>
      </c>
      <c r="C4386" s="27" t="s">
        <v>971</v>
      </c>
      <c r="D4386" s="27" t="s">
        <v>972</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1197</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968</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1128</v>
      </c>
      <c r="B4389" s="27" t="s">
        <v>1006</v>
      </c>
      <c r="C4389" s="27" t="s">
        <v>991</v>
      </c>
      <c r="D4389" s="27" t="s">
        <v>972</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2089</v>
      </c>
      <c r="B4390" s="27" t="s">
        <v>997</v>
      </c>
      <c r="C4390" s="27" t="s">
        <v>977</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1198</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1692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1448</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1182</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2259</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1008</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968</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1063</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2260</v>
      </c>
    </row>
    <row r="4401" spans="1:12">
      <c r="A4401" s="20" t="s">
        <v>1271</v>
      </c>
      <c r="B4401" s="27" t="s">
        <v>970</v>
      </c>
      <c r="C4401" s="27" t="s">
        <v>971</v>
      </c>
      <c r="D4401" s="27" t="s">
        <v>972</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1354</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1197</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968</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1254</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1500</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1113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1047</v>
      </c>
      <c r="B4408" s="27" t="s">
        <v>1016</v>
      </c>
      <c r="C4408" s="27" t="s">
        <v>1021</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978</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2111</v>
      </c>
      <c r="B4410" s="27" t="s">
        <v>1006</v>
      </c>
      <c r="C4410" s="27" t="s">
        <v>991</v>
      </c>
      <c r="D4410" s="27" t="s">
        <v>972</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2261</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1643</v>
      </c>
      <c r="B4412" s="27" t="s">
        <v>985</v>
      </c>
      <c r="C4412" s="27" t="s">
        <v>977</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1111</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988</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2262</v>
      </c>
      <c r="B4415" s="27" t="s">
        <v>981</v>
      </c>
      <c r="C4415" s="27" t="s">
        <v>982</v>
      </c>
      <c r="D4415" s="27" t="s">
        <v>972</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983</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1113</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1047</v>
      </c>
      <c r="B4418" s="27" t="s">
        <v>985</v>
      </c>
      <c r="C4418" s="27" t="s">
        <v>1021</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1111</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988</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2263</v>
      </c>
      <c r="B4421" s="27" t="s">
        <v>985</v>
      </c>
      <c r="C4421" s="27" t="s">
        <v>982</v>
      </c>
      <c r="D4421" s="27" t="s">
        <v>972</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994</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1243</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2264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1198</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1012</v>
      </c>
      <c r="B4426" s="27" t="s">
        <v>997</v>
      </c>
      <c r="C4426" s="27" t="s">
        <v>1014</v>
      </c>
      <c r="D4426" s="27" t="s">
        <v>972</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1015</v>
      </c>
      <c r="B4427" s="27" t="s">
        <v>985</v>
      </c>
      <c r="C4427" s="27" t="s">
        <v>1004</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1025</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990</v>
      </c>
      <c r="B4429" s="27" t="s">
        <v>985</v>
      </c>
      <c r="C4429" s="27" t="s">
        <v>991</v>
      </c>
      <c r="D4429" s="27" t="s">
        <v>972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1328</v>
      </c>
      <c r="B4430" s="27" t="s">
        <v>981</v>
      </c>
      <c r="C4430" s="27" t="s">
        <v>1126</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983</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1435</v>
      </c>
      <c r="B4432" s="27" t="s">
        <v>997</v>
      </c>
      <c r="C4432" s="27" t="s">
        <v>1014</v>
      </c>
      <c r="D4432" s="27" t="s">
        <v>972</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58</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988</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2265</v>
      </c>
      <c r="B4435" s="27" t="s">
        <v>1034</v>
      </c>
      <c r="C4435" s="27" t="s">
        <v>982</v>
      </c>
      <c r="D4435" s="27" t="s">
        <v>972</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2266</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1008</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row>
    <row r="4439" spans="1:12">
      <c r="A4439" s="20" t="s">
        <v>2267</v>
      </c>
    </row>
    <row r="4440" spans="1:12">
      <c r="A4440" s="20" t="s">
        <v>1582</v>
      </c>
      <c r="B4440" s="27" t="s">
        <v>1013</v>
      </c>
      <c r="C4440" s="27" t="s">
        <v>1004</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1098</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1922</v>
      </c>
      <c r="B4442" s="27" t="s">
        <v>985</v>
      </c>
      <c r="C4442" s="27" t="s">
        <v>971</v>
      </c>
      <c r="D4442" s="27" t="s">
        <v>972</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2268</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2269</v>
      </c>
      <c r="B4444" s="27" t="s">
        <v>1016</v>
      </c>
      <c r="C4444" s="27" t="s">
        <v>977</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983</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1812</v>
      </c>
      <c r="B4446" s="27" t="s">
        <v>997</v>
      </c>
      <c r="C4446" s="27" t="s">
        <v>1004</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2268</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2270</v>
      </c>
      <c r="B4448" s="27" t="s">
        <v>985</v>
      </c>
      <c r="C4448" s="27" t="s">
        <v>1086</v>
      </c>
      <c r="D4448" s="27" t="s">
        <v>972</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462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994</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983</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1093</v>
      </c>
      <c r="B4452" s="27" t="s">
        <v>981</v>
      </c>
      <c r="C4452" s="27" t="s">
        <v>1004</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1046</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2263</v>
      </c>
      <c r="B4454" s="27" t="s">
        <v>985</v>
      </c>
      <c r="C4454" s="27" t="s">
        <v>982</v>
      </c>
      <c r="D4454" s="27" t="s">
        <v>972</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1719</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994</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999</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1012</v>
      </c>
      <c r="B4458" s="27" t="s">
        <v>1013</v>
      </c>
      <c r="C4458" s="27" t="s">
        <v>1014</v>
      </c>
      <c r="D4458" s="27" t="s">
        <v>972</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2271</v>
      </c>
      <c r="B4459" s="27" t="s">
        <v>981</v>
      </c>
      <c r="C4459" s="27" t="s">
        <v>977</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462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1221</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1008</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row>
    <row r="4464" spans="1:12">
      <c r="A4464" s="20" t="s">
        <v>2272</v>
      </c>
    </row>
    <row r="4465" spans="1:12">
      <c r="A4465" s="20" t="s">
        <v>1271</v>
      </c>
      <c r="B4465" s="27" t="s">
        <v>970</v>
      </c>
      <c r="C4465" s="27" t="s">
        <v>971</v>
      </c>
      <c r="D4465" s="27" t="s">
        <v>972</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703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1024</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1161</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994</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1448</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1217</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2273</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983</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1012</v>
      </c>
      <c r="B4474" s="27" t="s">
        <v>1013</v>
      </c>
      <c r="C4474" s="27" t="s">
        <v>1014</v>
      </c>
      <c r="D4474" s="27" t="s">
        <v>972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2274</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1216</v>
      </c>
      <c r="B4476" s="27" t="s">
        <v>1016</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1024</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1161</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1217</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1162</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1008</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row>
    <row r="4483" spans="1:12">
      <c r="A4483" s="20" t="s">
        <v>2275</v>
      </c>
    </row>
    <row r="4484" spans="1:12">
      <c r="A4484" s="20" t="s">
        <v>1179</v>
      </c>
      <c r="B4484" s="27" t="s">
        <v>970</v>
      </c>
      <c r="C4484" s="27" t="s">
        <v>1004</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994</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1180</v>
      </c>
      <c r="B4486" s="27" t="s">
        <v>1034</v>
      </c>
      <c r="C4486" s="27" t="s">
        <v>1014</v>
      </c>
      <c r="D4486" s="27" t="s">
        <v>972</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996</v>
      </c>
      <c r="B4487" s="27" t="s">
        <v>997</v>
      </c>
      <c r="C4487" s="27" t="s">
        <v>971</v>
      </c>
      <c r="D4487" s="27" t="s">
        <v>972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1692</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2101</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994</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1198</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1036</v>
      </c>
      <c r="B4492" s="27" t="s">
        <v>1056</v>
      </c>
      <c r="C4492" s="27" t="s">
        <v>991</v>
      </c>
      <c r="D4492" s="27" t="s">
        <v>972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2089</v>
      </c>
      <c r="B4493" s="27" t="s">
        <v>1056</v>
      </c>
      <c r="C4493" s="27" t="s">
        <v>1126</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1008</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row>
    <row r="4496" spans="1:12">
      <c r="A4496" s="20" t="s">
        <v>2276</v>
      </c>
    </row>
    <row r="4497" spans="1:12">
      <c r="A4497" s="20" t="s">
        <v>1441</v>
      </c>
      <c r="B4497" s="27" t="s">
        <v>970</v>
      </c>
      <c r="C4497" s="27" t="s">
        <v>1086</v>
      </c>
      <c r="D4497" s="27" t="s">
        <v>972</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711</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1216</v>
      </c>
      <c r="B4499" s="27" t="s">
        <v>976</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994</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988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1255</v>
      </c>
      <c r="B4502" s="27" t="s">
        <v>970</v>
      </c>
      <c r="C4502" s="27" t="s">
        <v>982</v>
      </c>
      <c r="D4502" s="27" t="s">
        <v>972</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994</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1217</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996</v>
      </c>
      <c r="B4505" s="27" t="s">
        <v>997</v>
      </c>
      <c r="C4505" s="27" t="s">
        <v>971</v>
      </c>
      <c r="D4505" s="27" t="s">
        <v>972</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1110</v>
      </c>
      <c r="B4506" s="27" t="s">
        <v>1034</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2277</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994</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1217</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996</v>
      </c>
      <c r="B4510" s="27" t="s">
        <v>1000</v>
      </c>
      <c r="C4510" s="27" t="s">
        <v>971</v>
      </c>
      <c r="D4510" s="27" t="s">
        <v>972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1110</v>
      </c>
      <c r="B4511" s="27" t="s">
        <v>1201</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2181</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1217</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996</v>
      </c>
      <c r="B4515" s="27" t="s">
        <v>1297</v>
      </c>
      <c r="C4515" s="27" t="s">
        <v>971</v>
      </c>
      <c r="D4515" s="27" t="s">
        <v>972</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2278</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1008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row>
    <row r="4519" spans="1:12">
      <c r="A4519" s="20" t="s">
        <v>2279</v>
      </c>
    </row>
    <row r="4520" spans="1:12">
      <c r="A4520" s="20" t="s">
        <v>969</v>
      </c>
      <c r="B4520" s="27" t="s">
        <v>970</v>
      </c>
      <c r="C4520" s="27" t="s">
        <v>971</v>
      </c>
      <c r="D4520" s="27" t="s">
        <v>972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1457</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1692</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715</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994</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1303</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1110</v>
      </c>
      <c r="B4526" s="27" t="s">
        <v>1016</v>
      </c>
      <c r="C4526" s="27" t="s">
        <v>971</v>
      </c>
      <c r="D4526" s="27" t="s">
        <v>972</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1002</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2280</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994</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983</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996</v>
      </c>
      <c r="B4531" s="27" t="s">
        <v>1013</v>
      </c>
      <c r="C4531" s="27" t="s">
        <v>971</v>
      </c>
      <c r="D4531" s="27" t="s">
        <v>972</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2281</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1024</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994</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999</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1142</v>
      </c>
      <c r="B4536" s="27" t="s">
        <v>1006</v>
      </c>
      <c r="C4536" s="27" t="s">
        <v>1105</v>
      </c>
      <c r="D4536" s="27" t="s">
        <v>972</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2282</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1906</v>
      </c>
      <c r="B4538" s="27" t="s">
        <v>997</v>
      </c>
      <c r="C4538" s="27" t="s">
        <v>1144</v>
      </c>
      <c r="D4538" s="27" t="s">
        <v>972</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2283</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462</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994</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983</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1117</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2284</v>
      </c>
      <c r="B4544" s="27" t="s">
        <v>1056</v>
      </c>
      <c r="C4544" s="27" t="s">
        <v>977</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row>
    <row r="4546" spans="1:12">
      <c r="A4546" s="20" t="s">
        <v>2285</v>
      </c>
    </row>
    <row r="4547" spans="1:12">
      <c r="A4547" s="20" t="s">
        <v>2286</v>
      </c>
      <c r="B4547" s="27" t="s">
        <v>997</v>
      </c>
      <c r="C4547" s="27" t="s">
        <v>1086</v>
      </c>
      <c r="D4547" s="27" t="s">
        <v>972</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1024</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2287</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1050</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994</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1050</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996</v>
      </c>
      <c r="B4553" s="27" t="s">
        <v>970</v>
      </c>
      <c r="C4553" s="27" t="s">
        <v>971</v>
      </c>
      <c r="D4553" s="27" t="s">
        <v>972</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1070</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1518</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1002</v>
      </c>
      <c r="B4556" s="27" t="s">
        <v>981</v>
      </c>
      <c r="C4556" s="27" t="s">
        <v>1004</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1186</v>
      </c>
      <c r="B4557" s="27" t="s">
        <v>1056</v>
      </c>
      <c r="C4557" s="27" t="s">
        <v>977</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1040</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1046</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2237</v>
      </c>
      <c r="B4560" s="27" t="s">
        <v>1056</v>
      </c>
      <c r="C4560" s="27" t="s">
        <v>982</v>
      </c>
      <c r="D4560" s="27" t="s">
        <v>972</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1035</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990</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1900</v>
      </c>
      <c r="B4563" s="27" t="s">
        <v>981</v>
      </c>
      <c r="C4563" s="27" t="s">
        <v>1038</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994</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1117</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996</v>
      </c>
      <c r="B4566" s="27" t="s">
        <v>1013</v>
      </c>
      <c r="C4566" s="27" t="s">
        <v>971</v>
      </c>
      <c r="D4566" s="27" t="s">
        <v>972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1304</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1518</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1154</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979</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1310</v>
      </c>
      <c r="B4571" s="27" t="s">
        <v>981</v>
      </c>
      <c r="C4571" s="27" t="s">
        <v>982</v>
      </c>
      <c r="D4571" s="27" t="s">
        <v>972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1050</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1008</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row>
    <row r="4575" spans="1:12">
      <c r="A4575" s="20" t="s">
        <v>1063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2288</v>
      </c>
    </row>
    <row r="4577" spans="1:12">
      <c r="A4577" s="20" t="s">
        <v>969</v>
      </c>
      <c r="B4577" s="27" t="s">
        <v>970</v>
      </c>
      <c r="C4577" s="27" t="s">
        <v>971</v>
      </c>
      <c r="D4577" s="27" t="s">
        <v>972</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2289</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2290</v>
      </c>
      <c r="B4579" s="27" t="s">
        <v>976</v>
      </c>
      <c r="C4579" s="27" t="s">
        <v>977</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994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1029</v>
      </c>
      <c r="B4581" s="27" t="s">
        <v>1016</v>
      </c>
      <c r="C4581" s="27" t="s">
        <v>971</v>
      </c>
      <c r="D4581" s="27" t="s">
        <v>972</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1113</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2291</v>
      </c>
      <c r="B4583" s="27" t="s">
        <v>1016</v>
      </c>
      <c r="C4583" s="27" t="s">
        <v>1021</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1002</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482</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983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1118</v>
      </c>
      <c r="B4587" s="27" t="s">
        <v>1013</v>
      </c>
      <c r="C4587" s="27" t="s">
        <v>971</v>
      </c>
      <c r="D4587" s="27" t="s">
        <v>972</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2292</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1036</v>
      </c>
      <c r="B4589" s="27" t="s">
        <v>985</v>
      </c>
      <c r="C4589" s="27" t="s">
        <v>991</v>
      </c>
      <c r="D4589" s="27" t="s">
        <v>972</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2293</v>
      </c>
      <c r="B4590" s="27" t="s">
        <v>1016</v>
      </c>
      <c r="C4590" s="27" t="s">
        <v>977</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1008</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968</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row>
    <row r="4594" spans="1:12">
      <c r="A4594" s="20" t="s">
        <v>2294</v>
      </c>
    </row>
    <row r="4595" spans="1:12">
      <c r="A4595" s="20" t="s">
        <v>2143</v>
      </c>
      <c r="B4595" s="27" t="s">
        <v>976</v>
      </c>
      <c r="C4595" s="27" t="s">
        <v>971</v>
      </c>
      <c r="D4595" s="27" t="s">
        <v>972</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104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1142</v>
      </c>
      <c r="B4597" s="27" t="s">
        <v>981</v>
      </c>
      <c r="C4597" s="27" t="s">
        <v>1105</v>
      </c>
      <c r="D4597" s="27" t="s">
        <v>972</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1143</v>
      </c>
      <c r="B4598" s="27" t="s">
        <v>970</v>
      </c>
      <c r="C4598" s="27" t="s">
        <v>1144</v>
      </c>
      <c r="D4598" s="27" t="s">
        <v>972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1676</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2295</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994</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983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996</v>
      </c>
      <c r="B4603" s="27" t="s">
        <v>1013</v>
      </c>
      <c r="C4603" s="27" t="s">
        <v>971</v>
      </c>
      <c r="D4603" s="27" t="s">
        <v>972</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1206</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994</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999</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996</v>
      </c>
      <c r="B4607" s="27" t="s">
        <v>1297</v>
      </c>
      <c r="C4607" s="27" t="s">
        <v>971</v>
      </c>
      <c r="D4607" s="27" t="s">
        <v>972</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1823</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1790</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1159</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994</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1024</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1397</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978</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1385</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2296</v>
      </c>
      <c r="B4616" s="27" t="s">
        <v>1016</v>
      </c>
      <c r="C4616" s="27" t="s">
        <v>1021</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994</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1154</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979</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996</v>
      </c>
      <c r="B4620" s="27" t="s">
        <v>1000</v>
      </c>
      <c r="C4620" s="27" t="s">
        <v>971</v>
      </c>
      <c r="D4620" s="27" t="s">
        <v>972</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1968</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994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1169</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1368</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978</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1385</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2297</v>
      </c>
      <c r="B4627" s="27" t="s">
        <v>1006</v>
      </c>
      <c r="C4627" s="27" t="s">
        <v>1021</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994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983</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1448</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2044</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996</v>
      </c>
      <c r="B4632" s="27" t="s">
        <v>1013</v>
      </c>
      <c r="C4632" s="27" t="s">
        <v>971</v>
      </c>
      <c r="D4632" s="27" t="s">
        <v>972</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1098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979</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2298</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2299</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2300</v>
      </c>
      <c r="B4637" s="27" t="s">
        <v>981</v>
      </c>
      <c r="C4637" s="27" t="s">
        <v>1086</v>
      </c>
      <c r="D4637" s="27" t="s">
        <v>972</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2301</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1113</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2302</v>
      </c>
      <c r="B4640" s="27" t="s">
        <v>1016</v>
      </c>
      <c r="C4640" s="27" t="s">
        <v>1021</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994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1035</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1081</v>
      </c>
      <c r="B4643" s="27" t="s">
        <v>1006</v>
      </c>
      <c r="C4643" s="27" t="s">
        <v>977</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1840</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2156</v>
      </c>
      <c r="B4645" s="27" t="s">
        <v>1006</v>
      </c>
      <c r="C4645" s="27" t="s">
        <v>977</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1002</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1790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1008</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row>
    <row r="4650" spans="1:12">
      <c r="A4650" s="20" t="s">
        <v>1063</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2303</v>
      </c>
    </row>
    <row r="4652" spans="1:12">
      <c r="A4652" s="20" t="s">
        <v>969</v>
      </c>
      <c r="B4652" s="27" t="s">
        <v>970</v>
      </c>
      <c r="C4652" s="27" t="s">
        <v>971</v>
      </c>
      <c r="D4652" s="27" t="s">
        <v>972</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2304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1036</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2305</v>
      </c>
      <c r="B4655" s="27" t="s">
        <v>976</v>
      </c>
      <c r="C4655" s="27" t="s">
        <v>1038</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1054</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983</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1036</v>
      </c>
      <c r="B4658" s="27" t="s">
        <v>985</v>
      </c>
      <c r="C4658" s="27" t="s">
        <v>991</v>
      </c>
      <c r="D4658" s="27" t="s">
        <v>972</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2306</v>
      </c>
      <c r="B4659" s="27" t="s">
        <v>1013</v>
      </c>
      <c r="C4659" s="27" t="s">
        <v>977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2307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1110</v>
      </c>
      <c r="B4661" s="27" t="s">
        <v>1016</v>
      </c>
      <c r="C4661" s="27" t="s">
        <v>971</v>
      </c>
      <c r="D4661" s="27" t="s">
        <v>972</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1154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968</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1166</v>
      </c>
      <c r="B4664" s="27" t="s">
        <v>997</v>
      </c>
      <c r="C4664" s="27" t="s">
        <v>1014</v>
      </c>
      <c r="D4664" s="27" t="s">
        <v>972</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1533</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1435</v>
      </c>
      <c r="B4666" s="27" t="s">
        <v>997</v>
      </c>
      <c r="C4666" s="27" t="s">
        <v>1014</v>
      </c>
      <c r="D4666" s="27" t="s">
        <v>972</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1676</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1024</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2308</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1008</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968</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row>
    <row r="4673" spans="1:12">
      <c r="A4673" s="20" t="s">
        <v>1063</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2309</v>
      </c>
    </row>
    <row r="4675" spans="1:12">
      <c r="A4675" s="20" t="s">
        <v>969</v>
      </c>
      <c r="B4675" s="27" t="s">
        <v>970</v>
      </c>
      <c r="C4675" s="27" t="s">
        <v>971</v>
      </c>
      <c r="D4675" s="27" t="s">
        <v>972</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1926</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1197</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968</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2180</v>
      </c>
      <c r="B4679" s="27" t="s">
        <v>1056</v>
      </c>
      <c r="C4679" s="27" t="s">
        <v>1375</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1024</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1376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968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row>
    <row r="4684" spans="1:12">
      <c r="A4684" s="20" t="s">
        <v>1063</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2310</v>
      </c>
    </row>
    <row r="4686" spans="1:12">
      <c r="A4686" s="20" t="s">
        <v>1010</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1012</v>
      </c>
      <c r="B4687" s="27" t="s">
        <v>970</v>
      </c>
      <c r="C4687" s="27" t="s">
        <v>1014</v>
      </c>
      <c r="D4687" s="27" t="s">
        <v>972</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1354</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1197</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968</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1254</v>
      </c>
      <c r="B4691" s="27" t="s">
        <v>1013</v>
      </c>
      <c r="C4691" s="27" t="s">
        <v>971</v>
      </c>
      <c r="D4691" s="27" t="s">
        <v>972</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1100</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1308</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1002</v>
      </c>
      <c r="B4694" s="27" t="s">
        <v>981</v>
      </c>
      <c r="C4694" s="27" t="s">
        <v>1004</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1826</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2311</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1008</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row>
    <row r="4699" spans="1:12">
      <c r="A4699" s="20" t="s">
        <v>2312</v>
      </c>
    </row>
    <row r="4700" spans="1:12">
      <c r="A4700" s="20" t="s">
        <v>2313</v>
      </c>
      <c r="B4700" s="27" t="s">
        <v>981</v>
      </c>
      <c r="C4700" s="27" t="s">
        <v>1105</v>
      </c>
      <c r="D4700" s="27" t="s">
        <v>972</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1114</v>
      </c>
      <c r="B4701" s="27" t="s">
        <v>970</v>
      </c>
      <c r="C4701" s="27" t="s">
        <v>1144</v>
      </c>
      <c r="D4701" s="27" t="s">
        <v>972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654</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1025</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1046</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2314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2315</v>
      </c>
      <c r="B4706" s="27" t="s">
        <v>981</v>
      </c>
      <c r="C4706" s="27" t="s">
        <v>982</v>
      </c>
      <c r="D4706" s="27" t="s">
        <v>972</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983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1044</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466</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1012</v>
      </c>
      <c r="B4710" s="27" t="s">
        <v>1013</v>
      </c>
      <c r="C4710" s="27" t="s">
        <v>1014</v>
      </c>
      <c r="D4710" s="27" t="s">
        <v>972</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1054</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1811</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1299</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1409</v>
      </c>
      <c r="B4714" s="27" t="s">
        <v>1016</v>
      </c>
      <c r="C4714" s="27" t="s">
        <v>1021</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994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983</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1198</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1044</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1909</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978</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1046</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2316</v>
      </c>
      <c r="B4722" s="27" t="s">
        <v>981</v>
      </c>
      <c r="C4722" s="27" t="s">
        <v>982</v>
      </c>
      <c r="D4722" s="27" t="s">
        <v>972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2317</v>
      </c>
      <c r="B4723" s="27" t="s">
        <v>1016</v>
      </c>
      <c r="C4723" s="27" t="s">
        <v>1086</v>
      </c>
      <c r="D4723" s="27" t="s">
        <v>972</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2318</v>
      </c>
      <c r="B4724" s="27" t="s">
        <v>1016</v>
      </c>
      <c r="C4724" s="27" t="s">
        <v>1086</v>
      </c>
      <c r="D4724" s="27" t="s">
        <v>972</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1002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2319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1376</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row>
    <row r="4729" spans="1:12">
      <c r="A4729" s="20" t="s">
        <v>1063</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2320</v>
      </c>
    </row>
    <row r="4731" spans="1:12">
      <c r="A4731" s="20" t="s">
        <v>1166</v>
      </c>
      <c r="B4731" s="27" t="s">
        <v>970</v>
      </c>
      <c r="C4731" s="27" t="s">
        <v>1105</v>
      </c>
      <c r="D4731" s="27" t="s">
        <v>972</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1100</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1308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1002</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2321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1008</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968</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row>
    <row r="4739" spans="1:12">
      <c r="A4739" s="20" t="s">
        <v>1063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2322</v>
      </c>
    </row>
    <row r="4741" spans="1:12">
      <c r="A4741" s="20" t="s">
        <v>1271</v>
      </c>
      <c r="B4741" s="27" t="s">
        <v>970</v>
      </c>
      <c r="C4741" s="27" t="s">
        <v>971</v>
      </c>
      <c r="D4741" s="27" t="s">
        <v>972</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1354</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1197</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968</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969</v>
      </c>
      <c r="B4745" s="27" t="s">
        <v>1013</v>
      </c>
      <c r="C4745" s="27" t="s">
        <v>971</v>
      </c>
      <c r="D4745" s="27" t="s">
        <v>972</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1355</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1098</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1448</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1360</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1518</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1831</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2065</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1008</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968</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row>
    <row r="4756" spans="1:12">
      <c r="A4756" s="20" t="s">
        <v>1063</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2323</v>
      </c>
    </row>
    <row r="4758" spans="1:12">
      <c r="A4758" s="20" t="s">
        <v>969</v>
      </c>
      <c r="B4758" s="27" t="s">
        <v>970</v>
      </c>
      <c r="C4758" s="27" t="s">
        <v>971</v>
      </c>
      <c r="D4758" s="27" t="s">
        <v>972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2324</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1197</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968</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1096</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2103</v>
      </c>
      <c r="B4763" s="27" t="s">
        <v>1013</v>
      </c>
      <c r="C4763" s="27" t="s">
        <v>982</v>
      </c>
      <c r="D4763" s="27" t="s">
        <v>972</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994</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999</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1271</v>
      </c>
      <c r="B4766" s="27" t="s">
        <v>1000</v>
      </c>
      <c r="C4766" s="27" t="s">
        <v>971</v>
      </c>
      <c r="D4766" s="27" t="s">
        <v>972</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1518</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1831</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1384</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2065</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104</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994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1100</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1054</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2325</v>
      </c>
      <c r="B4775" s="27" t="s">
        <v>1056</v>
      </c>
      <c r="C4775" s="27" t="s">
        <v>1021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1744</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994</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999</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1089</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1234</v>
      </c>
      <c r="B4780" s="27" t="s">
        <v>997</v>
      </c>
      <c r="C4780" s="27" t="s">
        <v>977</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1198</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1008</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968</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row>
    <row r="4785" spans="1:12">
      <c r="A4785" s="20" t="s">
        <v>1063</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2326</v>
      </c>
    </row>
    <row r="4787" spans="1:12">
      <c r="A4787" s="20" t="s">
        <v>968</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1010</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1271</v>
      </c>
      <c r="B4789" s="27" t="s">
        <v>970</v>
      </c>
      <c r="C4789" s="27" t="s">
        <v>971</v>
      </c>
      <c r="D4789" s="27" t="s">
        <v>972</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1198</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1054</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2327</v>
      </c>
      <c r="B4792" s="27" t="s">
        <v>1056</v>
      </c>
      <c r="C4792" s="27" t="s">
        <v>1021</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1008</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968</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row>
    <row r="4796" spans="1:12">
      <c r="A4796" s="20" t="s">
        <v>2328</v>
      </c>
    </row>
    <row r="4797" spans="1:12">
      <c r="A4797" s="20" t="s">
        <v>2329</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1385</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2330</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2331</v>
      </c>
      <c r="B4800" s="27" t="s">
        <v>1056</v>
      </c>
      <c r="C4800" s="27" t="s">
        <v>1021</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1154</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2332</v>
      </c>
      <c r="B4802" s="27" t="s">
        <v>981</v>
      </c>
      <c r="C4802" s="27" t="s">
        <v>977</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994</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2333</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1012</v>
      </c>
      <c r="B4805" s="27" t="s">
        <v>970</v>
      </c>
      <c r="C4805" s="27" t="s">
        <v>1014</v>
      </c>
      <c r="D4805" s="27" t="s">
        <v>972</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1002</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1008</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row>
    <row r="4809" spans="1:12">
      <c r="A4809" s="20" t="s">
        <v>2334</v>
      </c>
    </row>
    <row r="4810" spans="1:12">
      <c r="A4810" s="20" t="s">
        <v>1147</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996</v>
      </c>
      <c r="B4811" s="27" t="s">
        <v>970</v>
      </c>
      <c r="C4811" s="27" t="s">
        <v>971</v>
      </c>
      <c r="D4811" s="27" t="s">
        <v>972</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1742</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994</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999</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2335</v>
      </c>
      <c r="B4815" s="27" t="s">
        <v>1013</v>
      </c>
      <c r="C4815" s="27" t="s">
        <v>1004</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1098</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979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994</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1180</v>
      </c>
      <c r="B4819" s="27" t="s">
        <v>1300</v>
      </c>
      <c r="C4819" s="27" t="s">
        <v>1014</v>
      </c>
      <c r="D4819" s="27" t="s">
        <v>972</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1012</v>
      </c>
      <c r="B4820" s="27" t="s">
        <v>1297</v>
      </c>
      <c r="C4820" s="27" t="s">
        <v>1014</v>
      </c>
      <c r="D4820" s="27" t="s">
        <v>972</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1791</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994</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1025</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2336</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1430</v>
      </c>
      <c r="B4825" s="27" t="s">
        <v>981</v>
      </c>
      <c r="C4825" s="27" t="s">
        <v>982</v>
      </c>
      <c r="D4825" s="27" t="s">
        <v>972</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1040</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1046</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2337</v>
      </c>
      <c r="B4828" s="27" t="s">
        <v>981</v>
      </c>
      <c r="C4828" s="27" t="s">
        <v>982</v>
      </c>
      <c r="D4828" s="27" t="s">
        <v>972</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2338</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1181</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994</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988</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1114</v>
      </c>
      <c r="B4833" s="27" t="s">
        <v>1013</v>
      </c>
      <c r="C4833" s="27" t="s">
        <v>982</v>
      </c>
      <c r="D4833" s="27" t="s">
        <v>972</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1070</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1518</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104</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994</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1913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1046</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2339</v>
      </c>
      <c r="B4840" s="27" t="s">
        <v>981</v>
      </c>
      <c r="C4840" s="27" t="s">
        <v>982</v>
      </c>
      <c r="D4840" s="27" t="s">
        <v>972</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1098</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1409</v>
      </c>
      <c r="B4842" s="27" t="s">
        <v>985</v>
      </c>
      <c r="C4842" s="27" t="s">
        <v>977</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994</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1046</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2340</v>
      </c>
      <c r="B4845" s="27" t="s">
        <v>1006</v>
      </c>
      <c r="C4845" s="27" t="s">
        <v>982</v>
      </c>
      <c r="D4845" s="27" t="s">
        <v>972</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994</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999</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1089</v>
      </c>
      <c r="B4848" s="27" t="s">
        <v>1591</v>
      </c>
      <c r="C4848" s="27" t="s">
        <v>971</v>
      </c>
      <c r="D4848" s="27" t="s">
        <v>972</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1054</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2341</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2342</v>
      </c>
      <c r="B4851" s="27" t="s">
        <v>1297</v>
      </c>
      <c r="C4851" s="27" t="s">
        <v>1021</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1050</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994</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1117</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1435</v>
      </c>
      <c r="B4855" s="27" t="s">
        <v>1591</v>
      </c>
      <c r="C4855" s="27" t="s">
        <v>1014</v>
      </c>
      <c r="D4855" s="27" t="s">
        <v>972</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2343</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2344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983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1114</v>
      </c>
      <c r="B4859" s="27" t="s">
        <v>2345</v>
      </c>
      <c r="C4859" s="27" t="s">
        <v>977</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978</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2346</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2347</v>
      </c>
      <c r="B4862" s="27" t="s">
        <v>2213</v>
      </c>
      <c r="C4862" s="27" t="s">
        <v>977</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2348</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2344</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994</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1588</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1435</v>
      </c>
      <c r="B4867" s="27" t="s">
        <v>2349</v>
      </c>
      <c r="C4867" s="27" t="s">
        <v>1014</v>
      </c>
      <c r="D4867" s="27" t="s">
        <v>972</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2344</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1012</v>
      </c>
      <c r="B4869" s="27" t="s">
        <v>2349</v>
      </c>
      <c r="C4869" s="27" t="s">
        <v>1014</v>
      </c>
      <c r="D4869" s="27" t="s">
        <v>972</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2350</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1008</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row>
    <row r="4873" spans="1:12">
      <c r="A4873" s="20" t="s">
        <v>2351</v>
      </c>
    </row>
    <row r="4874" spans="1:12">
      <c r="A4874" s="20" t="s">
        <v>1254</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1500</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1283</v>
      </c>
      <c r="B4876" s="27" t="s">
        <v>981</v>
      </c>
      <c r="C4876" s="27" t="s">
        <v>1105</v>
      </c>
      <c r="D4876" s="27" t="s">
        <v>972</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2352</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2353</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2354</v>
      </c>
      <c r="B4879" s="27" t="s">
        <v>970</v>
      </c>
      <c r="C4879" s="27" t="s">
        <v>1144</v>
      </c>
      <c r="D4879" s="27" t="s">
        <v>972</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994</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1027</v>
      </c>
      <c r="B4881" s="27" t="s">
        <v>997</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1089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2355</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1002</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150</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2356</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994</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999</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988</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1409</v>
      </c>
      <c r="B4890" s="27" t="s">
        <v>1013</v>
      </c>
      <c r="C4890" s="27" t="s">
        <v>982</v>
      </c>
      <c r="D4890" s="27" t="s">
        <v>972</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1098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1081</v>
      </c>
      <c r="B4892" s="27" t="s">
        <v>985</v>
      </c>
      <c r="C4892" s="27" t="s">
        <v>977</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994</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988</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2357</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1409</v>
      </c>
      <c r="B4896" s="27" t="s">
        <v>1006</v>
      </c>
      <c r="C4896" s="27" t="s">
        <v>982</v>
      </c>
      <c r="D4896" s="27" t="s">
        <v>972</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983</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1448</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2058</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994</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1054</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2358</v>
      </c>
      <c r="B4902" s="27" t="s">
        <v>1056</v>
      </c>
      <c r="C4902" s="27" t="s">
        <v>1021</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2359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994</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983</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999</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1089</v>
      </c>
      <c r="B4907" s="27" t="s">
        <v>997</v>
      </c>
      <c r="C4907" s="27" t="s">
        <v>971</v>
      </c>
      <c r="D4907" s="27" t="s">
        <v>972</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1024</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2360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1100</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1008</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row>
    <row r="4913" spans="1:12">
      <c r="A4913" s="20" t="s">
        <v>2361</v>
      </c>
    </row>
    <row r="4914" spans="1:12">
      <c r="A4914" s="20" t="s">
        <v>969</v>
      </c>
      <c r="B4914" s="27" t="s">
        <v>970</v>
      </c>
      <c r="C4914" s="27" t="s">
        <v>971</v>
      </c>
      <c r="D4914" s="27" t="s">
        <v>972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1742</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994</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999</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1027</v>
      </c>
      <c r="B4918" s="27" t="s">
        <v>1013</v>
      </c>
      <c r="C4918" s="27" t="s">
        <v>1014</v>
      </c>
      <c r="D4918" s="27" t="s">
        <v>972</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2362</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2363</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1100</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1008</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row>
    <row r="4924" spans="1:12">
      <c r="A4924" s="20" t="s">
        <v>2364</v>
      </c>
    </row>
    <row r="4925" spans="1:12">
      <c r="A4925" s="20" t="s">
        <v>1254</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1050</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2360</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994</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999</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1041</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1114</v>
      </c>
      <c r="B4931" s="27" t="s">
        <v>1013</v>
      </c>
      <c r="C4931" s="27" t="s">
        <v>982</v>
      </c>
      <c r="D4931" s="27" t="s">
        <v>972</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988</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2365</v>
      </c>
      <c r="B4933" s="27" t="s">
        <v>1016</v>
      </c>
      <c r="C4933" s="27" t="s">
        <v>982</v>
      </c>
      <c r="D4933" s="27" t="s">
        <v>972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2366</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994</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1243</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1089</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1500</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2367</v>
      </c>
      <c r="B4939" s="27" t="s">
        <v>1013</v>
      </c>
      <c r="C4939" s="27" t="s">
        <v>1004</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994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1046</v>
      </c>
      <c r="B4941" s="27" t="s">
        <v>1000</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1216</v>
      </c>
      <c r="B4942" s="27" t="s">
        <v>1201</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2368</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2369</v>
      </c>
      <c r="B4944" s="27" t="s">
        <v>1006</v>
      </c>
      <c r="C4944" s="27" t="s">
        <v>1086</v>
      </c>
      <c r="D4944" s="27" t="s">
        <v>972</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2370</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994</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1726</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1024</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978</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1194</v>
      </c>
      <c r="B4950" s="27" t="s">
        <v>985</v>
      </c>
      <c r="C4950" s="27" t="s">
        <v>991</v>
      </c>
      <c r="D4950" s="27" t="s">
        <v>972</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2371</v>
      </c>
      <c r="B4951" s="27" t="s">
        <v>981</v>
      </c>
      <c r="C4951" s="27" t="s">
        <v>977</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1008</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row>
    <row r="4954" spans="1:12">
      <c r="A4954" s="20" t="s">
        <v>1063</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2372</v>
      </c>
    </row>
    <row r="4956" spans="1:12">
      <c r="A4956" s="20" t="s">
        <v>1010</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1044</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100</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1114</v>
      </c>
      <c r="B4959" s="27" t="s">
        <v>970</v>
      </c>
      <c r="C4959" s="27" t="s">
        <v>977</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1197</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968</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2373</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1081</v>
      </c>
      <c r="B4963" s="27" t="s">
        <v>997</v>
      </c>
      <c r="C4963" s="27" t="s">
        <v>977</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1024</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1054</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2374</v>
      </c>
      <c r="B4966" s="27" t="s">
        <v>981</v>
      </c>
      <c r="C4966" s="27" t="s">
        <v>1651</v>
      </c>
      <c r="D4966" s="27" t="s">
        <v>972</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2375</v>
      </c>
      <c r="B4967" s="27" t="s">
        <v>985</v>
      </c>
      <c r="C4967" s="27" t="s">
        <v>1105</v>
      </c>
      <c r="D4967" s="27" t="s">
        <v>972</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994</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1180</v>
      </c>
      <c r="B4969" s="27" t="s">
        <v>1201</v>
      </c>
      <c r="C4969" s="27" t="s">
        <v>1014</v>
      </c>
      <c r="D4969" s="27" t="s">
        <v>972</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1114</v>
      </c>
      <c r="B4970" s="27" t="s">
        <v>1000</v>
      </c>
      <c r="C4970" s="27" t="s">
        <v>977</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2376</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2377</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1376</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row>
    <row r="4975" spans="1:12">
      <c r="A4975" s="20" t="s">
        <v>2378</v>
      </c>
    </row>
    <row r="4976" spans="1:12">
      <c r="A4976" s="20" t="s">
        <v>2379</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1435</v>
      </c>
      <c r="B4977" s="27" t="s">
        <v>970</v>
      </c>
      <c r="C4977" s="27" t="s">
        <v>1014</v>
      </c>
      <c r="D4977" s="27" t="s">
        <v>972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1450</v>
      </c>
      <c r="B4978" s="27" t="s">
        <v>976</v>
      </c>
      <c r="C4978" s="27" t="s">
        <v>1014</v>
      </c>
      <c r="D4978" s="27" t="s">
        <v>972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1024</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1236</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2380</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994</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1081</v>
      </c>
      <c r="B4983" s="27" t="s">
        <v>1016</v>
      </c>
      <c r="C4983" s="27" t="s">
        <v>977</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1002</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104</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1376</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row>
    <row r="4988" spans="1:12">
      <c r="A4988" s="20" t="s">
        <v>1063</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2381</v>
      </c>
    </row>
    <row r="4990" spans="1:12">
      <c r="A4990" s="20" t="s">
        <v>1423</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1027</v>
      </c>
      <c r="B4991" s="27" t="s">
        <v>970</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1024</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2374</v>
      </c>
      <c r="B4993" s="27" t="s">
        <v>1056</v>
      </c>
      <c r="C4993" s="27" t="s">
        <v>977</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1454</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1455</v>
      </c>
      <c r="B4995" s="27" t="s">
        <v>1056</v>
      </c>
      <c r="C4995" s="27" t="s">
        <v>1038</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1376</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968</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row>
    <row r="4999" spans="1:12">
      <c r="A4999" s="20" t="s">
        <v>2382</v>
      </c>
    </row>
    <row r="5000" spans="1:12">
      <c r="A5000" s="20" t="s">
        <v>2383</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1116</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996</v>
      </c>
      <c r="B5002" s="27" t="s">
        <v>970</v>
      </c>
      <c r="C5002" s="27" t="s">
        <v>971</v>
      </c>
      <c r="D5002" s="27" t="s">
        <v>972</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100</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994</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2384</v>
      </c>
      <c r="B5005" s="27" t="s">
        <v>1013</v>
      </c>
      <c r="C5005" s="27" t="s">
        <v>977</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1100</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2385</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1008</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row>
    <row r="5010" spans="1:12">
      <c r="A5010" s="20" t="s">
        <v>2386</v>
      </c>
    </row>
    <row r="5011" spans="1:12">
      <c r="A5011" s="20" t="s">
        <v>2387</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1046</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2316</v>
      </c>
      <c r="B5013" s="27" t="s">
        <v>985</v>
      </c>
      <c r="C5013" s="27" t="s">
        <v>982</v>
      </c>
      <c r="D5013" s="27" t="s">
        <v>972</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1002</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37</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994</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1511</v>
      </c>
      <c r="B5017" s="27" t="s">
        <v>1003</v>
      </c>
      <c r="C5017" s="27" t="s">
        <v>977</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983</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2388</v>
      </c>
      <c r="B5019" s="27" t="s">
        <v>1003</v>
      </c>
      <c r="C5019" s="27" t="s">
        <v>977</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994</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2084</v>
      </c>
      <c r="B5021" s="27" t="s">
        <v>1003</v>
      </c>
      <c r="C5021" s="27" t="s">
        <v>977</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983</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2389</v>
      </c>
      <c r="B5023" s="27" t="s">
        <v>1003</v>
      </c>
      <c r="C5023" s="27" t="s">
        <v>977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983</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1141</v>
      </c>
      <c r="B5025" s="27" t="s">
        <v>1003</v>
      </c>
      <c r="C5025" s="27" t="s">
        <v>1004</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988</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1316</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2390</v>
      </c>
      <c r="B5028" s="27" t="s">
        <v>1908</v>
      </c>
      <c r="C5028" s="27" t="s">
        <v>1402</v>
      </c>
      <c r="D5028" s="27" t="s">
        <v>972</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994</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988</v>
      </c>
      <c r="B5030" s="27" t="s">
        <v>2391</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1435</v>
      </c>
      <c r="B5031" s="27" t="s">
        <v>2349</v>
      </c>
      <c r="C5031" s="27" t="s">
        <v>1014</v>
      </c>
      <c r="D5031" s="27" t="s">
        <v>972</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104</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994</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1002</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13</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994</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1100</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1516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2392</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1008</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row>
    <row r="5042" spans="1:12">
      <c r="A5042" s="20" t="s">
        <v>2393</v>
      </c>
    </row>
    <row r="5043" spans="1:12">
      <c r="A5043" s="20" t="s">
        <v>1010</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1562</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1081</v>
      </c>
      <c r="B5045" s="27" t="s">
        <v>970</v>
      </c>
      <c r="C5045" s="27" t="s">
        <v>977</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1198</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1360</v>
      </c>
      <c r="B5047" s="27" t="s">
        <v>1056</v>
      </c>
      <c r="C5047" s="27" t="s">
        <v>1014</v>
      </c>
      <c r="D5047" s="27" t="s">
        <v>972</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994</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1027</v>
      </c>
      <c r="B5049" s="27" t="s">
        <v>1013</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2394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994</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1117</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1283</v>
      </c>
      <c r="B5053" s="27" t="s">
        <v>1006</v>
      </c>
      <c r="C5053" s="27" t="s">
        <v>1105</v>
      </c>
      <c r="D5053" s="27" t="s">
        <v>972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2395</v>
      </c>
      <c r="B5054" s="27" t="s">
        <v>997</v>
      </c>
      <c r="C5054" s="27" t="s">
        <v>1144</v>
      </c>
      <c r="D5054" s="27" t="s">
        <v>972</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2396</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1008</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row>
    <row r="5058" spans="1:12">
      <c r="A5058" s="20" t="s">
        <v>2397</v>
      </c>
    </row>
    <row r="5059" spans="1:12">
      <c r="A5059" s="20" t="s">
        <v>1254</v>
      </c>
      <c r="B5059" s="27" t="s">
        <v>970</v>
      </c>
      <c r="C5059" s="27" t="s">
        <v>971</v>
      </c>
      <c r="D5059" s="27" t="s">
        <v>972</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1100</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2179</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2398</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1008</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row>
    <row r="5065" spans="1:12">
      <c r="A5065" s="20" t="s">
        <v>1063</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2399</v>
      </c>
    </row>
    <row r="5067" spans="1:12">
      <c r="A5067" s="20" t="s">
        <v>1114</v>
      </c>
      <c r="B5067" s="27" t="s">
        <v>970</v>
      </c>
      <c r="C5067" s="27" t="s">
        <v>977</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665</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1002</v>
      </c>
      <c r="B5069" s="27" t="s">
        <v>981</v>
      </c>
      <c r="C5069" s="27" t="s">
        <v>1004</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1029</v>
      </c>
      <c r="B5070" s="27" t="s">
        <v>1056</v>
      </c>
      <c r="C5070" s="27" t="s">
        <v>971</v>
      </c>
      <c r="D5070" s="27" t="s">
        <v>972</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983</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100</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1197</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968</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969</v>
      </c>
      <c r="B5075" s="27" t="s">
        <v>1013</v>
      </c>
      <c r="C5075" s="27" t="s">
        <v>971</v>
      </c>
      <c r="D5075" s="27" t="s">
        <v>972</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1742</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994</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1117</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996</v>
      </c>
      <c r="B5079" s="27" t="s">
        <v>997</v>
      </c>
      <c r="C5079" s="27" t="s">
        <v>971</v>
      </c>
      <c r="D5079" s="27" t="s">
        <v>972</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1397</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1054</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1610</v>
      </c>
      <c r="B5082" s="27" t="s">
        <v>985</v>
      </c>
      <c r="C5082" s="27" t="s">
        <v>1021</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2400</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994</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2401</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996</v>
      </c>
      <c r="B5086" s="27" t="s">
        <v>997</v>
      </c>
      <c r="C5086" s="27" t="s">
        <v>971</v>
      </c>
      <c r="D5086" s="27" t="s">
        <v>972</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1675</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1349</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1082</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1008</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968</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row>
    <row r="5093" spans="1:12">
      <c r="A5093" s="20" t="s">
        <v>1063</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2402</v>
      </c>
    </row>
    <row r="5095" spans="1:12">
      <c r="A5095" s="20" t="s">
        <v>1010</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996</v>
      </c>
      <c r="B5096" s="27" t="s">
        <v>970</v>
      </c>
      <c r="C5096" s="27" t="s">
        <v>971</v>
      </c>
      <c r="D5096" s="27" t="s">
        <v>972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2403</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1922</v>
      </c>
      <c r="B5098" s="27" t="s">
        <v>976</v>
      </c>
      <c r="C5098" s="27" t="s">
        <v>971</v>
      </c>
      <c r="D5098" s="27" t="s">
        <v>972</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1070</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1197</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968</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1271</v>
      </c>
      <c r="B5102" s="27" t="s">
        <v>1013</v>
      </c>
      <c r="C5102" s="27" t="s">
        <v>971</v>
      </c>
      <c r="D5102" s="27" t="s">
        <v>972</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1533</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1675</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2404</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994</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1243</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1271</v>
      </c>
      <c r="B5108" s="27" t="s">
        <v>997</v>
      </c>
      <c r="C5108" s="27" t="s">
        <v>971</v>
      </c>
      <c r="D5108" s="27" t="s">
        <v>972</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462</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1831</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1161</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149</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37</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1008</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row>
    <row r="5116" spans="1:12">
      <c r="A5116" s="20" t="s">
        <v>2405</v>
      </c>
    </row>
    <row r="5117" spans="1:12">
      <c r="A5117" s="20" t="s">
        <v>1166</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1310</v>
      </c>
      <c r="B5118" s="27" t="s">
        <v>970</v>
      </c>
      <c r="C5118" s="27" t="s">
        <v>982</v>
      </c>
      <c r="D5118" s="27" t="s">
        <v>972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1100</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2406</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983</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1027</v>
      </c>
      <c r="B5122" s="27" t="s">
        <v>1013</v>
      </c>
      <c r="C5122" s="27" t="s">
        <v>1105</v>
      </c>
      <c r="D5122" s="27" t="s">
        <v>972</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1100</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1054</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2407</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1610</v>
      </c>
      <c r="B5126" s="27" t="s">
        <v>1056</v>
      </c>
      <c r="C5126" s="27" t="s">
        <v>1021</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994</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1027</v>
      </c>
      <c r="B5128" s="27" t="s">
        <v>1034</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1271</v>
      </c>
      <c r="B5129" s="27" t="s">
        <v>997</v>
      </c>
      <c r="C5129" s="27" t="s">
        <v>971</v>
      </c>
      <c r="D5129" s="27" t="s">
        <v>972</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2229</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2408</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1008</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row>
    <row r="5134" spans="1:12">
      <c r="A5134" s="20" t="s">
        <v>1063</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2409</v>
      </c>
    </row>
    <row r="5136" spans="1:12">
      <c r="A5136" s="20" t="s">
        <v>811</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1271</v>
      </c>
      <c r="B5137" s="27" t="s">
        <v>970</v>
      </c>
      <c r="C5137" s="27" t="s">
        <v>971</v>
      </c>
      <c r="D5137" s="27" t="s">
        <v>972</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1027</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1008</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968</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row>
    <row r="5142" spans="1:12">
      <c r="A5142" s="20" t="s">
        <v>2410</v>
      </c>
    </row>
    <row r="5143" spans="1:12">
      <c r="A5143" s="20" t="s">
        <v>1254</v>
      </c>
      <c r="B5143" s="27" t="s">
        <v>970</v>
      </c>
      <c r="C5143" s="27" t="s">
        <v>971</v>
      </c>
      <c r="D5143" s="27" t="s">
        <v>972</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1100</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1019</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1058</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2411</v>
      </c>
      <c r="B5147" s="27" t="s">
        <v>1056</v>
      </c>
      <c r="C5147" s="27" t="s">
        <v>1021</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1046</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2412</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1090</v>
      </c>
      <c r="B5150" s="27" t="s">
        <v>1056</v>
      </c>
      <c r="C5150" s="27" t="s">
        <v>982</v>
      </c>
      <c r="D5150" s="27" t="s">
        <v>972</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994</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983</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1368</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2413</v>
      </c>
      <c r="B5154" s="27" t="s">
        <v>981</v>
      </c>
      <c r="C5154" s="27" t="s">
        <v>1004</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2210</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2414</v>
      </c>
      <c r="B5156" s="27" t="s">
        <v>1056</v>
      </c>
      <c r="C5156" s="27" t="s">
        <v>1126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994</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999</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1435</v>
      </c>
      <c r="B5159" s="27" t="s">
        <v>1013</v>
      </c>
      <c r="C5159" s="27" t="s">
        <v>1014</v>
      </c>
      <c r="D5159" s="27" t="s">
        <v>972</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2415</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2416</v>
      </c>
      <c r="B5161" s="27" t="s">
        <v>1016</v>
      </c>
      <c r="C5161" s="27" t="s">
        <v>1144</v>
      </c>
      <c r="D5161" s="27" t="s">
        <v>972</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994</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1081</v>
      </c>
      <c r="B5163" s="27" t="s">
        <v>985</v>
      </c>
      <c r="C5163" s="27" t="s">
        <v>977</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994</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2417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994</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1440</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1002</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1106</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994</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1217</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2089</v>
      </c>
      <c r="B5172" s="27" t="s">
        <v>985</v>
      </c>
      <c r="C5172" s="27" t="s">
        <v>977</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1216</v>
      </c>
      <c r="B5173" s="27" t="s">
        <v>1034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13</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994</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1117</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1089</v>
      </c>
      <c r="B5177" s="27" t="s">
        <v>997</v>
      </c>
      <c r="C5177" s="27" t="s">
        <v>971</v>
      </c>
      <c r="D5177" s="27" t="s">
        <v>972</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1154</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1609</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2418</v>
      </c>
      <c r="B5180" s="27" t="s">
        <v>985</v>
      </c>
      <c r="C5180" s="27" t="s">
        <v>1038</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2419</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994</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983</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1440</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1002</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1106</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994</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1217</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1216</v>
      </c>
      <c r="B5189" s="27" t="s">
        <v>1201</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1380</v>
      </c>
      <c r="B5190" s="27" t="s">
        <v>1000</v>
      </c>
      <c r="C5190" s="27" t="s">
        <v>1004</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973</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994</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1019</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2420</v>
      </c>
      <c r="B5194" s="27" t="s">
        <v>981</v>
      </c>
      <c r="C5194" s="27" t="s">
        <v>1021</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994</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2421</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1118</v>
      </c>
      <c r="B5197" s="27" t="s">
        <v>1000</v>
      </c>
      <c r="C5197" s="27" t="s">
        <v>971</v>
      </c>
      <c r="D5197" s="27" t="s">
        <v>972</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2113</v>
      </c>
      <c r="B5198" s="27" t="s">
        <v>1201</v>
      </c>
      <c r="C5198" s="27" t="s">
        <v>977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2422</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1008</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row>
    <row r="5202" spans="1:12">
      <c r="A5202" s="20" t="s">
        <v>1063</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2423</v>
      </c>
    </row>
    <row r="5204" spans="1:12">
      <c r="A5204" s="20" t="s">
        <v>969</v>
      </c>
      <c r="B5204" s="27" t="s">
        <v>970</v>
      </c>
      <c r="C5204" s="27" t="s">
        <v>971</v>
      </c>
      <c r="D5204" s="27" t="s">
        <v>972</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1414</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1773</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1197</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968</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1423</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1089</v>
      </c>
      <c r="B5210" s="27" t="s">
        <v>1013</v>
      </c>
      <c r="C5210" s="27" t="s">
        <v>971</v>
      </c>
      <c r="D5210" s="27" t="s">
        <v>972</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1040</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2424</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1511</v>
      </c>
      <c r="B5213" s="27" t="s">
        <v>981</v>
      </c>
      <c r="C5213" s="27" t="s">
        <v>977</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2425</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1376</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968</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row>
    <row r="5218" spans="1:12">
      <c r="A5218" s="20" t="s">
        <v>2426</v>
      </c>
    </row>
    <row r="5219" spans="1:12">
      <c r="A5219" s="20" t="s">
        <v>969</v>
      </c>
      <c r="B5219" s="27" t="s">
        <v>970</v>
      </c>
      <c r="C5219" s="27" t="s">
        <v>971</v>
      </c>
      <c r="D5219" s="27" t="s">
        <v>972</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1993</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994</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999</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1089</v>
      </c>
      <c r="B5223" s="27" t="s">
        <v>1013</v>
      </c>
      <c r="C5223" s="27" t="s">
        <v>971</v>
      </c>
      <c r="D5223" s="27" t="s">
        <v>972</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2427</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1040</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2424</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1511</v>
      </c>
      <c r="B5227" s="27" t="s">
        <v>981</v>
      </c>
      <c r="C5227" s="27" t="s">
        <v>977</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2425</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1100</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1008</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row>
    <row r="5232" spans="1:12">
      <c r="A5232" s="20" t="s">
        <v>2428</v>
      </c>
    </row>
    <row r="5233" spans="1:12">
      <c r="A5233" s="20" t="s">
        <v>1254</v>
      </c>
      <c r="B5233" s="27" t="s">
        <v>970</v>
      </c>
      <c r="C5233" s="27" t="s">
        <v>971</v>
      </c>
      <c r="D5233" s="27" t="s">
        <v>972</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1500</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1054</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2429</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2331</v>
      </c>
      <c r="B5237" s="27" t="s">
        <v>976</v>
      </c>
      <c r="C5237" s="27" t="s">
        <v>1021</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1154</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2430</v>
      </c>
      <c r="B5239" s="27" t="s">
        <v>981</v>
      </c>
      <c r="C5239" s="27" t="s">
        <v>977</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994</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1243</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1089</v>
      </c>
      <c r="B5242" s="27" t="s">
        <v>1013</v>
      </c>
      <c r="C5242" s="27" t="s">
        <v>971</v>
      </c>
      <c r="D5242" s="27" t="s">
        <v>972</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1100</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988</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2123</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1255</v>
      </c>
      <c r="B5246" s="27" t="s">
        <v>1056</v>
      </c>
      <c r="C5246" s="27" t="s">
        <v>982</v>
      </c>
      <c r="D5246" s="27" t="s">
        <v>972</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1098</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2430</v>
      </c>
      <c r="B5248" s="27" t="s">
        <v>981</v>
      </c>
      <c r="C5248" s="27" t="s">
        <v>977</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1563</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1385</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2431</v>
      </c>
      <c r="B5251" s="27" t="s">
        <v>1006</v>
      </c>
      <c r="C5251" s="27" t="s">
        <v>1021</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2205</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1690</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2432</v>
      </c>
      <c r="B5254" s="27" t="s">
        <v>1003</v>
      </c>
      <c r="C5254" s="27" t="s">
        <v>982</v>
      </c>
      <c r="D5254" s="27" t="s">
        <v>972</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994</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1046</v>
      </c>
      <c r="B5256" s="27" t="s">
        <v>2345</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1054</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1811</v>
      </c>
      <c r="B5258" s="27" t="s">
        <v>2433</v>
      </c>
      <c r="C5258" s="27" t="s">
        <v>1004</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2434</v>
      </c>
      <c r="B5259" s="27" t="s">
        <v>2435</v>
      </c>
      <c r="C5259" s="27" t="s">
        <v>1021</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1285</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994</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988</v>
      </c>
      <c r="B5262" s="27" t="s">
        <v>1297</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1223</v>
      </c>
      <c r="B5263" s="27" t="s">
        <v>1297</v>
      </c>
      <c r="C5263" s="27" t="s">
        <v>1004</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2436</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983</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2437</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1203</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994</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983</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979</v>
      </c>
      <c r="B5270" s="27" t="s">
        <v>985</v>
      </c>
      <c r="C5270" s="27" t="s">
        <v>1105</v>
      </c>
      <c r="D5270" s="27" t="s">
        <v>972</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994</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1180</v>
      </c>
      <c r="B5272" s="27" t="s">
        <v>1297</v>
      </c>
      <c r="C5272" s="27" t="s">
        <v>1014</v>
      </c>
      <c r="D5272" s="27" t="s">
        <v>972</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2023</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994</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1117</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1223</v>
      </c>
      <c r="B5276" s="27" t="s">
        <v>1591</v>
      </c>
      <c r="C5276" s="27" t="s">
        <v>1004</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1027</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1239</v>
      </c>
      <c r="B5278" s="27" t="s">
        <v>1908</v>
      </c>
      <c r="C5278" s="27" t="s">
        <v>982</v>
      </c>
      <c r="D5278" s="27" t="s">
        <v>972</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384</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1150</v>
      </c>
      <c r="B5280" s="27" t="s">
        <v>1401</v>
      </c>
      <c r="C5280" s="27" t="s">
        <v>1126</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2438</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983</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1089</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2439</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994</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995</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1089</v>
      </c>
      <c r="B5287" s="27" t="s">
        <v>2349</v>
      </c>
      <c r="C5287" s="27" t="s">
        <v>971</v>
      </c>
      <c r="D5287" s="27" t="s">
        <v>972</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1397</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1518</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1054</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2440</v>
      </c>
      <c r="B5291" s="27" t="s">
        <v>2213</v>
      </c>
      <c r="C5291" s="27" t="s">
        <v>1021</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1098</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2441</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2442</v>
      </c>
      <c r="B5294" s="27" t="s">
        <v>2433</v>
      </c>
      <c r="C5294" s="27" t="s">
        <v>977</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1100</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1008</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row>
    <row r="5298" spans="1:12">
      <c r="A5298" s="20" t="s">
        <v>2443</v>
      </c>
    </row>
    <row r="5299" spans="1:12">
      <c r="A5299" s="20" t="s">
        <v>1254</v>
      </c>
      <c r="B5299" s="27" t="s">
        <v>970</v>
      </c>
      <c r="C5299" s="27" t="s">
        <v>971</v>
      </c>
      <c r="D5299" s="27" t="s">
        <v>972</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1100</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1772</v>
      </c>
      <c r="B5301" s="27" t="s">
        <v>1056</v>
      </c>
      <c r="C5301" s="27" t="s">
        <v>1105</v>
      </c>
      <c r="D5301" s="27" t="s">
        <v>972</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2444</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2445</v>
      </c>
      <c r="B5303" s="27" t="s">
        <v>1056</v>
      </c>
      <c r="C5303" s="27" t="s">
        <v>1144</v>
      </c>
      <c r="D5303" s="27" t="s">
        <v>972</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994</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1283</v>
      </c>
      <c r="B5305" s="27" t="s">
        <v>981</v>
      </c>
      <c r="C5305" s="27" t="s">
        <v>1105</v>
      </c>
      <c r="D5305" s="27" t="s">
        <v>972</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2444</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2446</v>
      </c>
      <c r="B5307" s="27" t="s">
        <v>1056</v>
      </c>
      <c r="C5307" s="27" t="s">
        <v>1144</v>
      </c>
      <c r="D5307" s="27" t="s">
        <v>972</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994</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1027</v>
      </c>
      <c r="B5309" s="27" t="s">
        <v>1034</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1435</v>
      </c>
      <c r="B5310" s="27" t="s">
        <v>997</v>
      </c>
      <c r="C5310" s="27" t="s">
        <v>1014</v>
      </c>
      <c r="D5310" s="27" t="s">
        <v>972</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2447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2408</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1008</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row>
    <row r="5315" spans="1:12">
      <c r="A5315" s="20" t="s">
        <v>1063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2448</v>
      </c>
    </row>
    <row r="5317" spans="1:12">
      <c r="A5317" s="20" t="s">
        <v>1096</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1114</v>
      </c>
      <c r="B5318" s="27" t="s">
        <v>970</v>
      </c>
      <c r="C5318" s="27" t="s">
        <v>982</v>
      </c>
      <c r="D5318" s="27" t="s">
        <v>972</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100</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1692</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1568</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1197</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968</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1667</v>
      </c>
      <c r="B5324" s="27" t="s">
        <v>1013</v>
      </c>
      <c r="C5324" s="27" t="s">
        <v>971</v>
      </c>
      <c r="D5324" s="27" t="s">
        <v>972</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2449</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1692</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1142</v>
      </c>
      <c r="B5327" s="27" t="s">
        <v>985</v>
      </c>
      <c r="C5327" s="27" t="s">
        <v>1105</v>
      </c>
      <c r="D5327" s="27" t="s">
        <v>972</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2450</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2451</v>
      </c>
      <c r="B5329" s="27" t="s">
        <v>1016</v>
      </c>
      <c r="C5329" s="27" t="s">
        <v>1086</v>
      </c>
      <c r="D5329" s="27" t="s">
        <v>972</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1008</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row>
    <row r="5332" spans="1:12">
      <c r="A5332" s="20" t="s">
        <v>1063</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2452</v>
      </c>
    </row>
    <row r="5334" spans="1:12">
      <c r="A5334" s="20" t="s">
        <v>2453</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1971</v>
      </c>
      <c r="B5335" s="27" t="s">
        <v>970</v>
      </c>
      <c r="C5335" s="27" t="s">
        <v>971</v>
      </c>
      <c r="D5335" s="27" t="s">
        <v>972</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1721</v>
      </c>
      <c r="B5336" s="27" t="s">
        <v>970</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835</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1376</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968</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row>
    <row r="5341" spans="1:12">
      <c r="A5341" s="20" t="s">
        <v>2454</v>
      </c>
    </row>
    <row r="5342" spans="1:12">
      <c r="A5342" s="20" t="s">
        <v>1166</v>
      </c>
      <c r="B5342" s="27" t="s">
        <v>970</v>
      </c>
      <c r="C5342" s="27" t="s">
        <v>1014</v>
      </c>
      <c r="D5342" s="27" t="s">
        <v>972</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2455</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996</v>
      </c>
      <c r="B5344" s="27" t="s">
        <v>970</v>
      </c>
      <c r="C5344" s="27" t="s">
        <v>971</v>
      </c>
      <c r="D5344" s="27" t="s">
        <v>972</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1024</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1008</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row>
    <row r="5348" spans="1:12">
      <c r="A5348" s="20" t="s">
        <v>2456</v>
      </c>
    </row>
    <row r="5349" spans="1:12">
      <c r="A5349" s="20" t="s">
        <v>1147</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996</v>
      </c>
      <c r="B5350" s="27" t="s">
        <v>970</v>
      </c>
      <c r="C5350" s="27" t="s">
        <v>971</v>
      </c>
      <c r="D5350" s="27" t="s">
        <v>972</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1372</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1024</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1520</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994</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999</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996</v>
      </c>
      <c r="B5356" s="27" t="s">
        <v>1013</v>
      </c>
      <c r="C5356" s="27" t="s">
        <v>971</v>
      </c>
      <c r="D5356" s="27" t="s">
        <v>972</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1002</v>
      </c>
      <c r="B5357" s="27" t="s">
        <v>985</v>
      </c>
      <c r="C5357" s="27" t="s">
        <v>1004</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1207</v>
      </c>
      <c r="B5358" s="27" t="s">
        <v>981</v>
      </c>
      <c r="C5358" s="27" t="s">
        <v>1086</v>
      </c>
      <c r="D5358" s="27" t="s">
        <v>972</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1208</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1203</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994</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983</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996</v>
      </c>
      <c r="B5363" s="27" t="s">
        <v>1013</v>
      </c>
      <c r="C5363" s="27" t="s">
        <v>971</v>
      </c>
      <c r="D5363" s="27" t="s">
        <v>972</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1372</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1024</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1520</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1035</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1194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2457</v>
      </c>
      <c r="B5369" s="27" t="s">
        <v>1056</v>
      </c>
      <c r="C5369" s="27" t="s">
        <v>1038</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994</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983</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996</v>
      </c>
      <c r="B5372" s="27" t="s">
        <v>1013</v>
      </c>
      <c r="C5372" s="27" t="s">
        <v>971</v>
      </c>
      <c r="D5372" s="27" t="s">
        <v>972</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1372</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1024</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1520</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994</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1117</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996</v>
      </c>
      <c r="B5378" s="27" t="s">
        <v>1013</v>
      </c>
      <c r="C5378" s="27" t="s">
        <v>971</v>
      </c>
      <c r="D5378" s="27" t="s">
        <v>972</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1238</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1203</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1008</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row>
    <row r="5383" spans="1:12">
      <c r="A5383" s="20" t="s">
        <v>2458</v>
      </c>
    </row>
    <row r="5384" spans="1:12">
      <c r="A5384" s="20" t="s">
        <v>969</v>
      </c>
      <c r="B5384" s="27" t="s">
        <v>970</v>
      </c>
      <c r="C5384" s="27" t="s">
        <v>971</v>
      </c>
      <c r="D5384" s="27" t="s">
        <v>972</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2181</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1787</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1161</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994</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1325</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996</v>
      </c>
      <c r="B5390" s="27" t="s">
        <v>1013</v>
      </c>
      <c r="C5390" s="27" t="s">
        <v>971</v>
      </c>
      <c r="D5390" s="27" t="s">
        <v>972</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1511</v>
      </c>
      <c r="B5391" s="27" t="s">
        <v>1016</v>
      </c>
      <c r="C5391" s="27" t="s">
        <v>977</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1303</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1256</v>
      </c>
      <c r="B5393" s="27" t="s">
        <v>985</v>
      </c>
      <c r="C5393" s="27" t="s">
        <v>977</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13</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1457</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1008</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row>
    <row r="5398" spans="1:12">
      <c r="A5398" s="20" t="s">
        <v>2459</v>
      </c>
    </row>
    <row r="5399" spans="1:12">
      <c r="A5399" s="20" t="s">
        <v>969</v>
      </c>
      <c r="B5399" s="27" t="s">
        <v>970</v>
      </c>
      <c r="C5399" s="27" t="s">
        <v>971</v>
      </c>
      <c r="D5399" s="27" t="s">
        <v>972</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1372</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1520</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1035</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2460</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2461</v>
      </c>
      <c r="B5404" s="27" t="s">
        <v>1056</v>
      </c>
      <c r="C5404" s="27" t="s">
        <v>977</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994</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1035</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2462</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2463</v>
      </c>
      <c r="B5408" s="27" t="s">
        <v>981</v>
      </c>
      <c r="C5408" s="27" t="s">
        <v>977</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994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1035</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2464</v>
      </c>
      <c r="B5411" s="27" t="s">
        <v>981</v>
      </c>
      <c r="C5411" s="27" t="s">
        <v>977</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1008</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row>
    <row r="5414" spans="1:12">
      <c r="A5414" s="20" t="s">
        <v>2465</v>
      </c>
    </row>
    <row r="5415" spans="1:12">
      <c r="A5415" s="20" t="s">
        <v>1623</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1142</v>
      </c>
      <c r="B5416" s="27" t="s">
        <v>981</v>
      </c>
      <c r="C5416" s="27" t="s">
        <v>1105</v>
      </c>
      <c r="D5416" s="27" t="s">
        <v>972</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1441</v>
      </c>
      <c r="B5417" s="27" t="s">
        <v>1056</v>
      </c>
      <c r="C5417" s="27" t="s">
        <v>1144</v>
      </c>
      <c r="D5417" s="27" t="s">
        <v>972</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1372</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996</v>
      </c>
      <c r="B5419" s="27" t="s">
        <v>970</v>
      </c>
      <c r="C5419" s="27" t="s">
        <v>971</v>
      </c>
      <c r="D5419" s="27" t="s">
        <v>972</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1692</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1520</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1008</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row>
    <row r="5424" spans="1:12">
      <c r="A5424" s="20" t="s">
        <v>2466</v>
      </c>
    </row>
    <row r="5425" spans="1:12">
      <c r="A5425" s="20" t="s">
        <v>969</v>
      </c>
      <c r="B5425" s="27" t="s">
        <v>970</v>
      </c>
      <c r="C5425" s="27" t="s">
        <v>971</v>
      </c>
      <c r="D5425" s="27" t="s">
        <v>972</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1853</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1110</v>
      </c>
      <c r="B5427" s="27" t="s">
        <v>976</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12</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1180</v>
      </c>
      <c r="B5429" s="27" t="s">
        <v>1013</v>
      </c>
      <c r="C5429" s="27" t="s">
        <v>1014</v>
      </c>
      <c r="D5429" s="27" t="s">
        <v>972</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1100</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1027</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2467</v>
      </c>
      <c r="B5432" s="27" t="s">
        <v>1056</v>
      </c>
      <c r="C5432" s="27" t="s">
        <v>982</v>
      </c>
      <c r="D5432" s="27" t="s">
        <v>972</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1376</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row>
    <row r="5435" spans="1:12">
      <c r="A5435" s="20" t="s">
        <v>2468</v>
      </c>
    </row>
    <row r="5436" spans="1:12">
      <c r="A5436" s="20" t="s">
        <v>2469</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104</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1027</v>
      </c>
      <c r="B5438" s="27" t="s">
        <v>976</v>
      </c>
      <c r="C5438" s="27" t="s">
        <v>1105</v>
      </c>
      <c r="D5438" s="27" t="s">
        <v>972</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988</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1114</v>
      </c>
      <c r="B5440" s="27" t="s">
        <v>970</v>
      </c>
      <c r="C5440" s="27" t="s">
        <v>982</v>
      </c>
      <c r="D5440" s="27" t="s">
        <v>972</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994</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988</v>
      </c>
      <c r="B5442" s="27" t="s">
        <v>997</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1054</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2470</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1310</v>
      </c>
      <c r="B5445" s="27" t="s">
        <v>1034</v>
      </c>
      <c r="C5445" s="27" t="s">
        <v>1021</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104</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994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2471</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1040</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2472</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1081</v>
      </c>
      <c r="B5451" s="27" t="s">
        <v>1056</v>
      </c>
      <c r="C5451" s="27" t="s">
        <v>977</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2473</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1376</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row>
    <row r="5455" spans="1:12">
      <c r="A5455" s="20" t="s">
        <v>2474</v>
      </c>
    </row>
    <row r="5456" spans="1:12">
      <c r="A5456" s="20" t="s">
        <v>1573</v>
      </c>
      <c r="B5456" s="27" t="s">
        <v>970</v>
      </c>
      <c r="C5456" s="27" t="s">
        <v>1014</v>
      </c>
      <c r="D5456" s="27" t="s">
        <v>972</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1100</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1046</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2475</v>
      </c>
      <c r="B5459" s="27" t="s">
        <v>1056</v>
      </c>
      <c r="C5459" s="27" t="s">
        <v>982</v>
      </c>
      <c r="D5459" s="27" t="s">
        <v>972</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1098</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2476</v>
      </c>
      <c r="B5461" s="27" t="s">
        <v>1056</v>
      </c>
      <c r="C5461" s="27" t="s">
        <v>1086</v>
      </c>
      <c r="D5461" s="27" t="s">
        <v>972</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1376</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row>
    <row r="5464" spans="1:12">
      <c r="A5464" s="20" t="s">
        <v>1063</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2477</v>
      </c>
    </row>
    <row r="5466" spans="1:12">
      <c r="A5466" s="20" t="s">
        <v>2478</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1046</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1476</v>
      </c>
      <c r="B5468" s="27" t="s">
        <v>1056</v>
      </c>
      <c r="C5468" s="27" t="s">
        <v>982</v>
      </c>
      <c r="D5468" s="27" t="s">
        <v>972</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2162</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996</v>
      </c>
      <c r="B5470" s="27" t="s">
        <v>970</v>
      </c>
      <c r="C5470" s="27" t="s">
        <v>971</v>
      </c>
      <c r="D5470" s="27" t="s">
        <v>972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1176</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994</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999</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988</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1114</v>
      </c>
      <c r="B5475" s="27" t="s">
        <v>1013</v>
      </c>
      <c r="C5475" s="27" t="s">
        <v>982</v>
      </c>
      <c r="D5475" s="27" t="s">
        <v>972</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994</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988</v>
      </c>
      <c r="B5477" s="27" t="s">
        <v>1000</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1233</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1143</v>
      </c>
      <c r="B5479" s="27" t="s">
        <v>1201</v>
      </c>
      <c r="C5479" s="27" t="s">
        <v>1038</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2479</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994</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988</v>
      </c>
      <c r="B5482" s="27" t="s">
        <v>1013</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100</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1197</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968</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969</v>
      </c>
      <c r="B5486" s="27" t="s">
        <v>1000</v>
      </c>
      <c r="C5486" s="27" t="s">
        <v>971</v>
      </c>
      <c r="D5486" s="27" t="s">
        <v>972</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1181</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1478</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2480</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1476</v>
      </c>
      <c r="B5490" s="27" t="s">
        <v>985</v>
      </c>
      <c r="C5490" s="27" t="s">
        <v>977</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1265</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983</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996</v>
      </c>
      <c r="B5493" s="27" t="s">
        <v>1000</v>
      </c>
      <c r="C5493" s="27" t="s">
        <v>971</v>
      </c>
      <c r="D5493" s="27" t="s">
        <v>972</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2268</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1831</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1161</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1823</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518</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983</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996</v>
      </c>
      <c r="B5500" s="27" t="s">
        <v>1000</v>
      </c>
      <c r="C5500" s="27" t="s">
        <v>971</v>
      </c>
      <c r="D5500" s="27" t="s">
        <v>972</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1965</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1024</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1161</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1548</v>
      </c>
      <c r="B5504" s="27" t="s">
        <v>1201</v>
      </c>
      <c r="C5504" s="27" t="s">
        <v>1237</v>
      </c>
      <c r="D5504" s="27" t="s">
        <v>972</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241</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994</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996</v>
      </c>
      <c r="B5507" s="27" t="s">
        <v>1000</v>
      </c>
      <c r="C5507" s="27" t="s">
        <v>971</v>
      </c>
      <c r="D5507" s="27" t="s">
        <v>972</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1965</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1308</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1040</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990</v>
      </c>
      <c r="B5511" s="27" t="s">
        <v>1003</v>
      </c>
      <c r="C5511" s="27" t="s">
        <v>991</v>
      </c>
      <c r="D5511" s="27" t="s">
        <v>972</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1310</v>
      </c>
      <c r="B5512" s="27" t="s">
        <v>1006</v>
      </c>
      <c r="C5512" s="27" t="s">
        <v>977</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2481</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1008</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968</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994</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2482</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988</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1114</v>
      </c>
      <c r="B5519" s="27" t="s">
        <v>1000</v>
      </c>
      <c r="C5519" s="27" t="s">
        <v>982</v>
      </c>
      <c r="D5519" s="27" t="s">
        <v>972</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1198</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994</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988</v>
      </c>
      <c r="B5522" s="27" t="s">
        <v>1000</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2483</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1098</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979</v>
      </c>
      <c r="B5525" s="27" t="s">
        <v>1003</v>
      </c>
      <c r="C5525" s="27" t="s">
        <v>1014</v>
      </c>
      <c r="D5525" s="27" t="s">
        <v>972</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994</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1180</v>
      </c>
      <c r="B5527" s="27" t="s">
        <v>1908</v>
      </c>
      <c r="C5527" s="27" t="s">
        <v>1014</v>
      </c>
      <c r="D5527" s="27" t="s">
        <v>972</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1012</v>
      </c>
      <c r="B5528" s="27" t="s">
        <v>1591</v>
      </c>
      <c r="C5528" s="27" t="s">
        <v>1014</v>
      </c>
      <c r="D5528" s="27" t="s">
        <v>972</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104</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994</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2484</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462</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1008</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row>
    <row r="5535" spans="1:12">
      <c r="A5535" s="20" t="s">
        <v>2485</v>
      </c>
    </row>
    <row r="5536" spans="1:12">
      <c r="A5536" s="20" t="s">
        <v>1081</v>
      </c>
      <c r="B5536" s="27" t="s">
        <v>970</v>
      </c>
      <c r="C5536" s="27" t="s">
        <v>977</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2486</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994</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870</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1012</v>
      </c>
      <c r="B5540" s="27" t="s">
        <v>976</v>
      </c>
      <c r="C5540" s="27" t="s">
        <v>1014</v>
      </c>
      <c r="D5540" s="27" t="s">
        <v>972</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t="s">
        <v>1397</v>
      </c>
      <c r="E5541" s="21">
        <f>IF(D5541="?OLD","!!!","")</f>
        <v/>
      </c>
      <c r="F5541" s="22" t="str">
        <f>IF(OR(E5541="",E5541="!!!"),"",IF(NOT(ISNA(VLOOKUP(E5541,E$1:E5540,1,FALSE()))),"OLD",IF(AND(E5541&lt;&gt;"",E5541&lt;&gt;"!!!"),"NEW","")))</f>
        <v> </v>
      </c>
      <c r="G5541" s="23" t="str">
        <f>IF(OR(E5541="",E5541="!!!"),"",IF(OR(J5541=0,AND(J5541=1,K5541=1),AND(J5541=1,I5541="SBJ"),AND(J5541=1,I5541=0)),"?IN_FOCUS",IF(J5541&lt;=2,"?ACTIVATED",IF(J5541&lt;&gt;"","?FAMILIAR",IF(F5541="NEW",IF(ISNA(VLOOKUP(E5541,#REF!,1,FALSE())),"?TYPE_IDENTIFIABLE","?REFERENTIAL"),"_")))))</f>
        <v> </v>
      </c>
      <c r="H5541" s="24" t="str">
        <f>IF(J5541&lt;&gt;1,"",IF(I5541="SBJ","CB","?"))</f>
        <v> </v>
      </c>
      <c r="I5541" s="25" t="str">
        <f>IF(OR(E5541="",E5541="!!!",F5541="NEW"),"",INDEX(B5540:B$2,-1+SUMPRODUCT(MAX(ROW(E5540:E$2)*(E5541=E5540:E$2)))))</f>
        <v> </v>
      </c>
      <c r="J5541" s="25" t="str">
        <f>IF(OR(E5541="",E5541="!!!",F5541="NEW"),"",COUNTBLANK(OFFSET(A$1,,,SUMPRODUCT(MAX(ROW(E$2:E5541)*(E5541=E$2:E5541)))))-COUNTBLANK(OFFSET(A$1,,,SUMPRODUCT(MAX(ROW(E$1:E5540)*(E2=E$1:E5540))))))</f>
        <v> </v>
      </c>
      <c r="K5541" s="25" t="str">
        <f>IF(OR(E5541="",E5541="!!!",F5541="NEW"),"",INDEX(J$1:J5540,SUMPRODUCT(MAX(ROW(E$1:E5540)*(E5541=E$1:E5540)))))</f>
        <v> </v>
      </c>
      <c r="L5541" s="26"/>
    </row>
    <row r="5542" spans="1:12">
      <c r="A5542" s="20" t="s">
        <v>1008</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row>
    <row r="5544" spans="1:12">
      <c r="A5544" s="20" t="s">
        <v>2487</v>
      </c>
    </row>
    <row r="5545" spans="1:12">
      <c r="A5545" s="20" t="s">
        <v>1185</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1223</v>
      </c>
      <c r="B5546" s="27" t="s">
        <v>1013</v>
      </c>
      <c r="C5546" s="27" t="s">
        <v>1004</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1216</v>
      </c>
      <c r="B5547" s="27" t="s">
        <v>1016</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1478</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1922</v>
      </c>
      <c r="B5549" s="27" t="s">
        <v>981</v>
      </c>
      <c r="C5549" s="27" t="s">
        <v>971</v>
      </c>
      <c r="D5549" s="27" t="s">
        <v>972</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2488</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994</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874</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1012</v>
      </c>
      <c r="B5553" s="27" t="s">
        <v>970</v>
      </c>
      <c r="C5553" s="27" t="s">
        <v>1014</v>
      </c>
      <c r="D5553" s="27" t="s">
        <v>972</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1008</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row>
    <row r="5556" spans="1:12">
      <c r="A5556" s="20" t="s">
        <v>2489</v>
      </c>
    </row>
    <row r="5557" spans="1:12">
      <c r="A5557" s="20" t="s">
        <v>1010</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988</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1114</v>
      </c>
      <c r="B5559" s="27" t="s">
        <v>970</v>
      </c>
      <c r="C5559" s="27" t="s">
        <v>982</v>
      </c>
      <c r="D5559" s="27" t="s">
        <v>972</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994</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2490</v>
      </c>
      <c r="B5561" s="27" t="s">
        <v>1034</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1089</v>
      </c>
      <c r="B5562" s="27" t="s">
        <v>997</v>
      </c>
      <c r="C5562" s="27" t="s">
        <v>971</v>
      </c>
      <c r="D5562" s="27" t="s">
        <v>972</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t="s">
        <v>1523</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1896</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994</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1198</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2491</v>
      </c>
      <c r="B5567" s="27" t="s">
        <v>1056</v>
      </c>
      <c r="C5567" s="27" t="s">
        <v>1105</v>
      </c>
      <c r="D5567" s="27" t="s">
        <v>972</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994</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988</v>
      </c>
      <c r="B5569" s="27" t="s">
        <v>1013</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988</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2103</v>
      </c>
      <c r="B5571" s="27" t="s">
        <v>1016</v>
      </c>
      <c r="C5571" s="27" t="s">
        <v>982</v>
      </c>
      <c r="D5571" s="27" t="s">
        <v>972</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2492</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994</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999</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1012</v>
      </c>
      <c r="B5575" s="27" t="s">
        <v>997</v>
      </c>
      <c r="C5575" s="27" t="s">
        <v>1014</v>
      </c>
      <c r="D5575" s="27" t="s">
        <v>972</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1283</v>
      </c>
      <c r="B5576" s="27" t="s">
        <v>1006</v>
      </c>
      <c r="C5576" s="27" t="s">
        <v>1105</v>
      </c>
      <c r="D5576" s="27" t="s">
        <v>972</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1426</v>
      </c>
      <c r="B5577" s="27" t="s">
        <v>1034</v>
      </c>
      <c r="C5577" s="27" t="s">
        <v>1144</v>
      </c>
      <c r="D5577" s="27" t="s">
        <v>972</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104</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1008</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row>
    <row r="5581" spans="1:12">
      <c r="A5581" s="20" t="s">
        <v>2493</v>
      </c>
    </row>
    <row r="5582" spans="1:12">
      <c r="A5582" s="20" t="s">
        <v>2494</v>
      </c>
      <c r="B5582" s="27" t="s">
        <v>970</v>
      </c>
      <c r="C5582" s="27" t="s">
        <v>1105</v>
      </c>
      <c r="D5582" s="27" t="s">
        <v>972</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994</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988</v>
      </c>
      <c r="B5584" s="27" t="s">
        <v>997</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1233</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1081</v>
      </c>
      <c r="B5586" s="27" t="s">
        <v>1034</v>
      </c>
      <c r="C5586" s="27" t="s">
        <v>1038</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2492</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1533</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994</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1198</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2491</v>
      </c>
      <c r="B5591" s="27" t="s">
        <v>1056</v>
      </c>
      <c r="C5591" s="27" t="s">
        <v>1105</v>
      </c>
      <c r="D5591" s="27" t="s">
        <v>972</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994</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988</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2476</v>
      </c>
      <c r="B5594" s="27" t="s">
        <v>1016</v>
      </c>
      <c r="C5594" s="27" t="s">
        <v>982</v>
      </c>
      <c r="D5594" s="27" t="s">
        <v>972</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2495</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1008</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row>
    <row r="5598" spans="1:12">
      <c r="A5598" s="20" t="s">
        <v>1063</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2496</v>
      </c>
    </row>
    <row r="5600" spans="1:12">
      <c r="A5600" s="20" t="s">
        <v>2158</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1354</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2032</v>
      </c>
      <c r="B5602" s="27" t="s">
        <v>970</v>
      </c>
      <c r="C5602" s="27" t="s">
        <v>1086</v>
      </c>
      <c r="D5602" s="27" t="s">
        <v>972</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2033</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1002</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1029</v>
      </c>
      <c r="B5605" s="27" t="s">
        <v>1056</v>
      </c>
      <c r="C5605" s="27" t="s">
        <v>971</v>
      </c>
      <c r="D5605" s="27" t="s">
        <v>972</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1197</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968</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1185</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996</v>
      </c>
      <c r="B5609" s="27" t="s">
        <v>997</v>
      </c>
      <c r="C5609" s="27" t="s">
        <v>971</v>
      </c>
      <c r="D5609" s="27" t="s">
        <v>972</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1089</v>
      </c>
      <c r="B5610" s="27" t="s">
        <v>1034</v>
      </c>
      <c r="C5610" s="27" t="s">
        <v>971</v>
      </c>
      <c r="D5610" s="27" t="s">
        <v>972</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2497</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2056</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1420</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994</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1116</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996</v>
      </c>
      <c r="B5616" s="27" t="s">
        <v>1013</v>
      </c>
      <c r="C5616" s="27" t="s">
        <v>971</v>
      </c>
      <c r="D5616" s="27" t="s">
        <v>972</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1089</v>
      </c>
      <c r="B5617" s="27" t="s">
        <v>1016</v>
      </c>
      <c r="C5617" s="27" t="s">
        <v>971</v>
      </c>
      <c r="D5617" s="27" t="s">
        <v>972</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614</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1024</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1448</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58</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994</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1243</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1025</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1058</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1430</v>
      </c>
      <c r="B5626" s="27" t="s">
        <v>981</v>
      </c>
      <c r="C5626" s="27" t="s">
        <v>977</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1372</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996</v>
      </c>
      <c r="B5628" s="27" t="s">
        <v>1013</v>
      </c>
      <c r="C5628" s="27" t="s">
        <v>971</v>
      </c>
      <c r="D5628" s="27" t="s">
        <v>972</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1474</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994</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999</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996</v>
      </c>
      <c r="B5632" s="27" t="s">
        <v>997</v>
      </c>
      <c r="C5632" s="27" t="s">
        <v>971</v>
      </c>
      <c r="D5632" s="27" t="s">
        <v>972</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1027</v>
      </c>
      <c r="B5633" s="27" t="s">
        <v>1034</v>
      </c>
      <c r="C5633" s="27" t="s">
        <v>1105</v>
      </c>
      <c r="D5633" s="27" t="s">
        <v>972</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1229</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1355</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1008</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row>
    <row r="5638" spans="1:12">
      <c r="A5638" s="20" t="s">
        <v>2498</v>
      </c>
    </row>
    <row r="5639" spans="1:12">
      <c r="A5639" s="20" t="s">
        <v>969</v>
      </c>
      <c r="B5639" s="27" t="s">
        <v>970</v>
      </c>
      <c r="C5639" s="27" t="s">
        <v>971</v>
      </c>
      <c r="D5639" s="27" t="s">
        <v>972</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1372</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2499</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994</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159</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1786</v>
      </c>
      <c r="B5644" s="27" t="s">
        <v>1056</v>
      </c>
      <c r="C5644" s="27" t="s">
        <v>1126</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978</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1046</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2500</v>
      </c>
      <c r="B5647" s="27" t="s">
        <v>1056</v>
      </c>
      <c r="C5647" s="27" t="s">
        <v>982</v>
      </c>
      <c r="D5647" s="27" t="s">
        <v>972</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2287</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1002</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t="s">
        <v>37</v>
      </c>
      <c r="E5650" s="21">
        <f>IF(D5650="?OLD","!!!","")</f>
        <v/>
      </c>
      <c r="F5650" s="22" t="str">
        <f>IF(OR(E5650="",E5650="!!!"),"",IF(NOT(ISNA(VLOOKUP(E5650,E$1:E5649,1,FALSE()))),"OLD",IF(AND(E5650&lt;&gt;"",E5650&lt;&gt;"!!!"),"NEW","")))</f>
        <v> </v>
      </c>
      <c r="G5650" s="23" t="str">
        <f>IF(OR(E5650="",E5650="!!!"),"",IF(OR(J5650=0,AND(J5650=1,K5650=1),AND(J5650=1,I5650="SBJ"),AND(J5650=1,I5650=0)),"?IN_FOCUS",IF(J5650&lt;=2,"?ACTIVATED",IF(J5650&lt;&gt;"","?FAMILIAR",IF(F5650="NEW",IF(ISNA(VLOOKUP(E5650,#REF!,1,FALSE())),"?TYPE_IDENTIFIABLE","?REFERENTIAL"),"_")))))</f>
        <v> </v>
      </c>
      <c r="H5650" s="24" t="str">
        <f>IF(J5650&lt;&gt;1,"",IF(I5650="SBJ","CB","?"))</f>
        <v> </v>
      </c>
      <c r="I5650" s="25" t="str">
        <f>IF(OR(E5650="",E5650="!!!",F5650="NEW"),"",INDEX(B5649:B$2,-1+SUMPRODUCT(MAX(ROW(E5649:E$2)*(E5650=E5649:E$2)))))</f>
        <v> </v>
      </c>
      <c r="J5650" s="25" t="str">
        <f>IF(OR(E5650="",E5650="!!!",F5650="NEW"),"",COUNTBLANK(OFFSET(A$1,,,SUMPRODUCT(MAX(ROW(E$2:E5650)*(E5650=E$2:E5650)))))-COUNTBLANK(OFFSET(A$1,,,SUMPRODUCT(MAX(ROW(E$1:E5649)*(E2=E$1:E5649))))))</f>
        <v> </v>
      </c>
      <c r="K5650" s="25" t="str">
        <f>IF(OR(E5650="",E5650="!!!",F5650="NEW"),"",INDEX(J$1:J5649,SUMPRODUCT(MAX(ROW(E$1:E5649)*(E5650=E$1:E5649)))))</f>
        <v> </v>
      </c>
      <c r="L5650" s="26"/>
    </row>
    <row r="5651" spans="1:12">
      <c r="A5651" s="20" t="s">
        <v>1008</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row>
    <row r="5653" spans="1:12">
      <c r="A5653" s="20" t="s">
        <v>1063</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2501</v>
      </c>
    </row>
    <row r="5655" spans="1:12">
      <c r="A5655" s="20" t="s">
        <v>1254</v>
      </c>
      <c r="B5655" s="27" t="s">
        <v>970</v>
      </c>
      <c r="C5655" s="27" t="s">
        <v>971</v>
      </c>
      <c r="D5655" s="27" t="s">
        <v>972</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2502</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1110</v>
      </c>
      <c r="B5657" s="27" t="s">
        <v>976</v>
      </c>
      <c r="C5657" s="27" t="s">
        <v>971</v>
      </c>
      <c r="D5657" s="27" t="s">
        <v>972</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1448</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1182</v>
      </c>
      <c r="B5659" s="27" t="s">
        <v>981</v>
      </c>
      <c r="C5659" s="27" t="s">
        <v>1014</v>
      </c>
      <c r="D5659" s="27" t="s">
        <v>972</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1035</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1492</v>
      </c>
      <c r="B5661" s="27" t="s">
        <v>1056</v>
      </c>
      <c r="C5661" s="27" t="s">
        <v>1126</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994</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983</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1036</v>
      </c>
      <c r="B5664" s="27" t="s">
        <v>985</v>
      </c>
      <c r="C5664" s="27" t="s">
        <v>991</v>
      </c>
      <c r="D5664" s="27" t="s">
        <v>972</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1131</v>
      </c>
      <c r="B5665" s="27" t="s">
        <v>1013</v>
      </c>
      <c r="C5665" s="27" t="s">
        <v>977</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1002</v>
      </c>
      <c r="B5666" s="27" t="s">
        <v>1006</v>
      </c>
      <c r="C5666" s="27" t="s">
        <v>1004</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1194</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1645</v>
      </c>
      <c r="B5668" s="27" t="s">
        <v>985</v>
      </c>
      <c r="C5668" s="27" t="s">
        <v>1038</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983</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1194</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2503</v>
      </c>
      <c r="B5671" s="27" t="s">
        <v>1006</v>
      </c>
      <c r="C5671" s="27" t="s">
        <v>1038</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1181</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1448</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2504</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1111</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1110</v>
      </c>
      <c r="B5676" s="27" t="s">
        <v>981</v>
      </c>
      <c r="C5676" s="27" t="s">
        <v>971</v>
      </c>
      <c r="D5676" s="27" t="s">
        <v>972</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994</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983</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1012</v>
      </c>
      <c r="B5679" s="27" t="s">
        <v>1013</v>
      </c>
      <c r="C5679" s="27" t="s">
        <v>1014</v>
      </c>
      <c r="D5679" s="27" t="s">
        <v>972</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1221</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1089</v>
      </c>
      <c r="B5681" s="27" t="s">
        <v>997</v>
      </c>
      <c r="C5681" s="27" t="s">
        <v>971</v>
      </c>
      <c r="D5681" s="27" t="s">
        <v>972</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1070</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37</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t="s">
        <v>1008</v>
      </c>
      <c r="E5684" s="21">
        <f>IF(D5684="?OLD","!!!","")</f>
        <v/>
      </c>
      <c r="F5684" s="22" t="str">
        <f>IF(OR(E5684="",E5684="!!!"),"",IF(NOT(ISNA(VLOOKUP(E5684,E$1:E5683,1,FALSE()))),"OLD",IF(AND(E5684&lt;&gt;"",E5684&lt;&gt;"!!!"),"NEW","")))</f>
        <v> </v>
      </c>
      <c r="G5684" s="23" t="str">
        <f>IF(OR(E5684="",E5684="!!!"),"",IF(OR(J5684=0,AND(J5684=1,K5684=1),AND(J5684=1,I5684="SBJ"),AND(J5684=1,I5684=0)),"?IN_FOCUS",IF(J5684&lt;=2,"?ACTIVATED",IF(J5684&lt;&gt;"","?FAMILIAR",IF(F5684="NEW",IF(ISNA(VLOOKUP(E5684,#REF!,1,FALSE())),"?TYPE_IDENTIFIABLE","?REFERENTIAL"),"_")))))</f>
        <v> </v>
      </c>
      <c r="H5684" s="24" t="str">
        <f>IF(J5684&lt;&gt;1,"",IF(I5684="SBJ","CB","?"))</f>
        <v> </v>
      </c>
      <c r="I5684" s="25" t="str">
        <f>IF(OR(E5684="",E5684="!!!",F5684="NEW"),"",INDEX(B5683:B$2,-1+SUMPRODUCT(MAX(ROW(E5683:E$2)*(E5684=E5683:E$2)))))</f>
        <v> </v>
      </c>
      <c r="J5684" s="25" t="str">
        <f>IF(OR(E5684="",E5684="!!!",F5684="NEW"),"",COUNTBLANK(OFFSET(A$1,,,SUMPRODUCT(MAX(ROW(E$2:E5684)*(E5684=E$2:E5684)))))-COUNTBLANK(OFFSET(A$1,,,SUMPRODUCT(MAX(ROW(E$1:E5683)*(E2=E$1:E5683))))))</f>
        <v> </v>
      </c>
      <c r="K5684" s="25" t="str">
        <f>IF(OR(E5684="",E5684="!!!",F5684="NEW"),"",INDEX(J$1:J5683,SUMPRODUCT(MAX(ROW(E$1:E5683)*(E5684=E$1:E5683)))))</f>
        <v> </v>
      </c>
      <c r="L5684" s="26"/>
    </row>
    <row r="5685" spans="1:12">
      <c r="A5685" s="20" t="s">
        <v>968</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row>
    <row r="5687" spans="1:12">
      <c r="A5687" s="20" t="s">
        <v>1063</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2505</v>
      </c>
    </row>
    <row r="5689" spans="1:12">
      <c r="A5689" s="20" t="s">
        <v>1010</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1653</v>
      </c>
      <c r="B5690" s="27" t="s">
        <v>970</v>
      </c>
      <c r="C5690" s="27" t="s">
        <v>1086</v>
      </c>
      <c r="D5690" s="27" t="s">
        <v>972</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1654</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1354</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1197</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968</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969</v>
      </c>
      <c r="B5695" s="27" t="s">
        <v>997</v>
      </c>
      <c r="C5695" s="27" t="s">
        <v>971</v>
      </c>
      <c r="D5695" s="27" t="s">
        <v>972</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2506</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2507</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978</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1812</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2508</v>
      </c>
      <c r="B5700" s="27" t="s">
        <v>1056</v>
      </c>
      <c r="C5700" s="27" t="s">
        <v>1086</v>
      </c>
      <c r="D5700" s="27" t="s">
        <v>972</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12</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2500</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994</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983</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996</v>
      </c>
      <c r="B5705" s="27" t="s">
        <v>1013</v>
      </c>
      <c r="C5705" s="27" t="s">
        <v>971</v>
      </c>
      <c r="D5705" s="27" t="s">
        <v>972</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2509</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983</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2509</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983</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2509</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994</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983</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988</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1114</v>
      </c>
      <c r="B5714" s="27" t="s">
        <v>997</v>
      </c>
      <c r="C5714" s="27" t="s">
        <v>982</v>
      </c>
      <c r="D5714" s="27" t="s">
        <v>972</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994</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1040</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2490</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996</v>
      </c>
      <c r="B5718" s="27" t="s">
        <v>1591</v>
      </c>
      <c r="C5718" s="27" t="s">
        <v>971</v>
      </c>
      <c r="D5718" s="27" t="s">
        <v>972</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1002</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136</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1281</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994</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1886</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1024</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1627</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2510</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994</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983</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996</v>
      </c>
      <c r="B5729" s="27" t="s">
        <v>1013</v>
      </c>
      <c r="C5729" s="27" t="s">
        <v>971</v>
      </c>
      <c r="D5729" s="27" t="s">
        <v>972</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1196</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1197</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974</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1166</v>
      </c>
      <c r="B5733" s="27" t="s">
        <v>1006</v>
      </c>
      <c r="C5733" s="27" t="s">
        <v>1105</v>
      </c>
      <c r="D5733" s="27" t="s">
        <v>972</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1100</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1024</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1627</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2511</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1288</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2512</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1098</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1922</v>
      </c>
      <c r="B5741" s="27" t="s">
        <v>1006</v>
      </c>
      <c r="C5741" s="27" t="s">
        <v>971</v>
      </c>
      <c r="D5741" s="27" t="s">
        <v>972</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1008</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974</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row>
    <row r="5745" spans="1:12">
      <c r="A5745" s="20" t="s">
        <v>2513</v>
      </c>
    </row>
    <row r="5746" spans="1:12">
      <c r="A5746" s="20" t="s">
        <v>1010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1044</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2514</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996</v>
      </c>
      <c r="B5749" s="27" t="s">
        <v>970</v>
      </c>
      <c r="C5749" s="27" t="s">
        <v>971</v>
      </c>
      <c r="D5749" s="27" t="s">
        <v>972</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994</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999</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1012</v>
      </c>
      <c r="B5752" s="27" t="s">
        <v>1013</v>
      </c>
      <c r="C5752" s="27" t="s">
        <v>1014</v>
      </c>
      <c r="D5752" s="27" t="s">
        <v>972</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1024</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1161</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58</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2344</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1049</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1142</v>
      </c>
      <c r="B5758" s="27" t="s">
        <v>1006</v>
      </c>
      <c r="C5758" s="27" t="s">
        <v>1105</v>
      </c>
      <c r="D5758" s="27" t="s">
        <v>972</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1811</v>
      </c>
      <c r="B5759" s="27" t="s">
        <v>1006</v>
      </c>
      <c r="C5759" s="27" t="s">
        <v>1004</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1899</v>
      </c>
      <c r="B5760" s="27" t="s">
        <v>985</v>
      </c>
      <c r="C5760" s="27" t="s">
        <v>1144</v>
      </c>
      <c r="D5760" s="27" t="s">
        <v>972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2515</v>
      </c>
      <c r="B5761" s="27" t="s">
        <v>981</v>
      </c>
      <c r="C5761" s="27" t="s">
        <v>1086</v>
      </c>
      <c r="D5761" s="27" t="s">
        <v>972</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2516</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1008</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row>
    <row r="5765" spans="1:12">
      <c r="A5765" s="20" t="s">
        <v>2517</v>
      </c>
    </row>
    <row r="5766" spans="1:12">
      <c r="A5766" s="20" t="s">
        <v>1254</v>
      </c>
      <c r="B5766" s="27" t="s">
        <v>970</v>
      </c>
      <c r="C5766" s="27" t="s">
        <v>971</v>
      </c>
      <c r="D5766" s="27" t="s">
        <v>972</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1050</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1308</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1019</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2518</v>
      </c>
      <c r="B5770" s="27" t="s">
        <v>1056</v>
      </c>
      <c r="C5770" s="27" t="s">
        <v>1021</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994</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2002</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996</v>
      </c>
      <c r="B5773" s="27" t="s">
        <v>1013</v>
      </c>
      <c r="C5773" s="27" t="s">
        <v>971</v>
      </c>
      <c r="D5773" s="27" t="s">
        <v>972</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1847</v>
      </c>
      <c r="B5774" s="27" t="s">
        <v>985</v>
      </c>
      <c r="C5774" s="27" t="s">
        <v>1014</v>
      </c>
      <c r="D5774" s="27" t="s">
        <v>972</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2508</v>
      </c>
      <c r="B5775" s="27" t="s">
        <v>1016</v>
      </c>
      <c r="C5775" s="27" t="s">
        <v>1126</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1281</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983</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1024</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49</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1116</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994</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1243</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988</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2103</v>
      </c>
      <c r="B5784" s="27" t="s">
        <v>1016</v>
      </c>
      <c r="C5784" s="27" t="s">
        <v>982</v>
      </c>
      <c r="D5784" s="27" t="s">
        <v>972</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2492</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1088</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994</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999</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1012</v>
      </c>
      <c r="B5789" s="27" t="s">
        <v>997</v>
      </c>
      <c r="C5789" s="27" t="s">
        <v>1014</v>
      </c>
      <c r="D5789" s="27" t="s">
        <v>972</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t="s">
        <v>1089</v>
      </c>
      <c r="B5790" s="27" t="s">
        <v>1034</v>
      </c>
      <c r="C5790" s="27" t="s">
        <v>971</v>
      </c>
      <c r="D5790" s="27" t="s">
        <v>972</v>
      </c>
      <c r="E5790" s="21">
        <f>IF(D5790="?OLD","!!!","")</f>
        <v/>
      </c>
      <c r="F5790" s="22" t="str">
        <f>IF(OR(E5790="",E5790="!!!"),"",IF(NOT(ISNA(VLOOKUP(E5790,E$1:E5789,1,FALSE()))),"OLD",IF(AND(E5790&lt;&gt;"",E5790&lt;&gt;"!!!"),"NEW","")))</f>
        <v> </v>
      </c>
      <c r="G5790" s="23" t="str">
        <f>IF(OR(E5790="",E5790="!!!"),"",IF(OR(J5790=0,AND(J5790=1,K5790=1),AND(J5790=1,I5790="SBJ"),AND(J5790=1,I5790=0)),"?IN_FOCUS",IF(J5790&lt;=2,"?ACTIVATED",IF(J5790&lt;&gt;"","?FAMILIAR",IF(F5790="NEW",IF(ISNA(VLOOKUP(E5790,#REF!,1,FALSE())),"?TYPE_IDENTIFIABLE","?REFERENTIAL"),"_")))))</f>
        <v> </v>
      </c>
      <c r="H5790" s="24" t="str">
        <f>IF(J5790&lt;&gt;1,"",IF(I5790="SBJ","CB","?"))</f>
        <v> </v>
      </c>
      <c r="I5790" s="25" t="str">
        <f>IF(OR(E5790="",E5790="!!!",F5790="NEW"),"",INDEX(B5789:B$2,-1+SUMPRODUCT(MAX(ROW(E5789:E$2)*(E5790=E5789:E$2)))))</f>
        <v> </v>
      </c>
      <c r="J5790" s="25" t="str">
        <f>IF(OR(E5790="",E5790="!!!",F5790="NEW"),"",COUNTBLANK(OFFSET(A$1,,,SUMPRODUCT(MAX(ROW(E$2:E5790)*(E5790=E$2:E5790)))))-COUNTBLANK(OFFSET(A$1,,,SUMPRODUCT(MAX(ROW(E$1:E5789)*(E2=E$1:E5789))))))</f>
        <v> </v>
      </c>
      <c r="K5790" s="25" t="str">
        <f>IF(OR(E5790="",E5790="!!!",F5790="NEW"),"",INDEX(J$1:J5789,SUMPRODUCT(MAX(ROW(E$1:E5789)*(E5790=E$1:E5789)))))</f>
        <v> </v>
      </c>
      <c r="L5790" s="26"/>
    </row>
    <row r="5791" spans="1:12">
      <c r="A5791" s="20" t="s">
        <v>1550</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983</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1027</v>
      </c>
      <c r="B5793" s="27" t="s">
        <v>1201</v>
      </c>
      <c r="C5793" s="27" t="s">
        <v>1014</v>
      </c>
      <c r="D5793" s="27" t="s">
        <v>972</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1012</v>
      </c>
      <c r="B5794" s="27" t="s">
        <v>1000</v>
      </c>
      <c r="C5794" s="27" t="s">
        <v>1014</v>
      </c>
      <c r="D5794" s="27" t="s">
        <v>972</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49</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2344</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1008</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row>
    <row r="5799" spans="1:12">
      <c r="A5799" s="20" t="s">
        <v>2519</v>
      </c>
    </row>
    <row r="5800" spans="1:12">
      <c r="A5800" s="20" t="s">
        <v>1459</v>
      </c>
      <c r="B5800" s="27" t="s">
        <v>981</v>
      </c>
      <c r="C5800" s="27" t="s">
        <v>991</v>
      </c>
      <c r="D5800" s="27" t="s">
        <v>972</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2520</v>
      </c>
      <c r="B5801" s="27" t="s">
        <v>970</v>
      </c>
      <c r="C5801" s="27" t="s">
        <v>977</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1198</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2521</v>
      </c>
      <c r="B5803" s="27" t="s">
        <v>1056</v>
      </c>
      <c r="C5803" s="27" t="s">
        <v>991</v>
      </c>
      <c r="D5803" s="27" t="s">
        <v>972</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2522</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2523</v>
      </c>
      <c r="B5805" s="27" t="s">
        <v>1056</v>
      </c>
      <c r="C5805" s="27" t="s">
        <v>977</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1008</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row>
    <row r="5808" spans="1:12">
      <c r="A5808" s="20" t="s">
        <v>1063</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2524</v>
      </c>
    </row>
    <row r="5810" spans="1:12">
      <c r="A5810" s="20" t="s">
        <v>1254</v>
      </c>
      <c r="B5810" s="27" t="s">
        <v>970</v>
      </c>
      <c r="C5810" s="27" t="s">
        <v>971</v>
      </c>
      <c r="D5810" s="27" t="s">
        <v>972</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2177</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1216</v>
      </c>
      <c r="B5812" s="27" t="s">
        <v>976</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994</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999</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996</v>
      </c>
      <c r="B5815" s="27" t="s">
        <v>1013</v>
      </c>
      <c r="C5815" s="27" t="s">
        <v>971</v>
      </c>
      <c r="D5815" s="27" t="s">
        <v>972</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2525</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1355</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994</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1891</v>
      </c>
      <c r="B5819" s="27" t="s">
        <v>1034</v>
      </c>
      <c r="C5819" s="27" t="s">
        <v>1004</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1002</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150</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994</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1180</v>
      </c>
      <c r="B5823" s="27" t="s">
        <v>1016</v>
      </c>
      <c r="C5823" s="27" t="s">
        <v>1014</v>
      </c>
      <c r="D5823" s="27" t="s">
        <v>972</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996</v>
      </c>
      <c r="B5824" s="27" t="s">
        <v>1013</v>
      </c>
      <c r="C5824" s="27" t="s">
        <v>971</v>
      </c>
      <c r="D5824" s="27" t="s">
        <v>972</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2101</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1008</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968</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row>
    <row r="5829" spans="1:12">
      <c r="A5829" s="20" t="s">
        <v>2526</v>
      </c>
    </row>
    <row r="5830" spans="1:12">
      <c r="A5830" s="20" t="s">
        <v>1096</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1736</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1081</v>
      </c>
      <c r="B5832" s="27" t="s">
        <v>970</v>
      </c>
      <c r="C5832" s="27" t="s">
        <v>982</v>
      </c>
      <c r="D5832" s="27" t="s">
        <v>972</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1002</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2527</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994</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2528</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1835</v>
      </c>
      <c r="B5837" s="27" t="s">
        <v>981</v>
      </c>
      <c r="C5837" s="27" t="s">
        <v>1014</v>
      </c>
      <c r="D5837" s="27" t="s">
        <v>972</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2529</v>
      </c>
      <c r="B5838" s="27" t="s">
        <v>976</v>
      </c>
      <c r="C5838" s="27" t="s">
        <v>1126</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994</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1243</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1089</v>
      </c>
      <c r="B5841" s="27" t="s">
        <v>1013</v>
      </c>
      <c r="C5841" s="27" t="s">
        <v>971</v>
      </c>
      <c r="D5841" s="27" t="s">
        <v>972</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1457</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988</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2530</v>
      </c>
      <c r="B5844" s="27" t="s">
        <v>1056</v>
      </c>
      <c r="C5844" s="27" t="s">
        <v>982</v>
      </c>
      <c r="D5844" s="27" t="s">
        <v>972</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1025</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1113</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2529</v>
      </c>
      <c r="B5847" s="27" t="s">
        <v>981</v>
      </c>
      <c r="C5847" s="27" t="s">
        <v>1021</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983</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2471</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1041</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2529</v>
      </c>
      <c r="B5851" s="27" t="s">
        <v>1201</v>
      </c>
      <c r="C5851" s="27" t="s">
        <v>982</v>
      </c>
      <c r="D5851" s="27" t="s">
        <v>972</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1108</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2531</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2532</v>
      </c>
      <c r="B5854" s="27" t="s">
        <v>1201</v>
      </c>
      <c r="C5854" s="27" t="s">
        <v>1014</v>
      </c>
      <c r="D5854" s="27" t="s">
        <v>972</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58</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1008</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row>
    <row r="5858" spans="1:12">
      <c r="A5858" s="20" t="s">
        <v>2533</v>
      </c>
    </row>
    <row r="5859" spans="1:12">
      <c r="A5859" s="20" t="s">
        <v>1254</v>
      </c>
      <c r="B5859" s="27" t="s">
        <v>970</v>
      </c>
      <c r="C5859" s="27" t="s">
        <v>971</v>
      </c>
      <c r="D5859" s="27" t="s">
        <v>972</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1896</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1024</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1448</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1627</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2534</v>
      </c>
      <c r="B5864" s="27" t="s">
        <v>1013</v>
      </c>
      <c r="C5864" s="27" t="s">
        <v>1237</v>
      </c>
      <c r="D5864" s="27" t="s">
        <v>972</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994</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1113</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2535</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1836</v>
      </c>
      <c r="B5868" s="27" t="s">
        <v>1016</v>
      </c>
      <c r="C5868" s="27" t="s">
        <v>1021</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1002</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635</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983</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1002</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2536</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994</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999</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2537</v>
      </c>
      <c r="B5876" s="27" t="s">
        <v>1006</v>
      </c>
      <c r="C5876" s="27" t="s">
        <v>991</v>
      </c>
      <c r="D5876" s="27" t="s">
        <v>972</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1081</v>
      </c>
      <c r="B5877" s="27" t="s">
        <v>997</v>
      </c>
      <c r="C5877" s="27" t="s">
        <v>977</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1019</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2538</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2539</v>
      </c>
      <c r="B5880" s="27" t="s">
        <v>1034</v>
      </c>
      <c r="C5880" s="27" t="s">
        <v>1021</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1771</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1008</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row>
    <row r="5884" spans="1:12">
      <c r="A5884" s="20" t="s">
        <v>1063</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2540</v>
      </c>
    </row>
    <row r="5886" spans="1:12">
      <c r="A5886" s="20" t="s">
        <v>1254</v>
      </c>
      <c r="B5886" s="27" t="s">
        <v>970</v>
      </c>
      <c r="C5886" s="27" t="s">
        <v>971</v>
      </c>
      <c r="D5886" s="27" t="s">
        <v>972</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1896</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2534</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994</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1142</v>
      </c>
      <c r="B5890" s="27" t="s">
        <v>985</v>
      </c>
      <c r="C5890" s="27" t="s">
        <v>1105</v>
      </c>
      <c r="D5890" s="27" t="s">
        <v>972</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2541</v>
      </c>
      <c r="B5891" s="27" t="s">
        <v>1016</v>
      </c>
      <c r="C5891" s="27" t="s">
        <v>1144</v>
      </c>
      <c r="D5891" s="27" t="s">
        <v>972</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1002</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650</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994</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1117</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1012</v>
      </c>
      <c r="B5896" s="27" t="s">
        <v>1013</v>
      </c>
      <c r="C5896" s="27" t="s">
        <v>1014</v>
      </c>
      <c r="D5896" s="27" t="s">
        <v>972</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2542</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665</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994</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983</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1002</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241</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1197</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968</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1166</v>
      </c>
      <c r="B5905" s="27" t="s">
        <v>1013</v>
      </c>
      <c r="C5905" s="27" t="s">
        <v>1105</v>
      </c>
      <c r="D5905" s="27" t="s">
        <v>972</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1221</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988</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2543</v>
      </c>
      <c r="B5908" s="27" t="s">
        <v>981</v>
      </c>
      <c r="C5908" s="27" t="s">
        <v>982</v>
      </c>
      <c r="D5908" s="27" t="s">
        <v>972</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994</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1243</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2544</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1965</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996</v>
      </c>
      <c r="B5913" s="27" t="s">
        <v>1000</v>
      </c>
      <c r="C5913" s="27" t="s">
        <v>971</v>
      </c>
      <c r="D5913" s="27" t="s">
        <v>972</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1360</v>
      </c>
      <c r="B5914" s="27" t="s">
        <v>1201</v>
      </c>
      <c r="C5914" s="27" t="s">
        <v>1014</v>
      </c>
      <c r="D5914" s="27" t="s">
        <v>972</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924</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1008</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968</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row>
    <row r="5919" spans="1:12">
      <c r="A5919" s="20" t="s">
        <v>2545</v>
      </c>
    </row>
    <row r="5920" spans="1:12">
      <c r="A5920" s="20" t="s">
        <v>969</v>
      </c>
      <c r="B5920" s="27" t="s">
        <v>970</v>
      </c>
      <c r="C5920" s="27" t="s">
        <v>971</v>
      </c>
      <c r="D5920" s="27" t="s">
        <v>972</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1355</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1228</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2111</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1736</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1081</v>
      </c>
      <c r="B5925" s="27" t="s">
        <v>1056</v>
      </c>
      <c r="C5925" s="27" t="s">
        <v>1038</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2525</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994</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1435</v>
      </c>
      <c r="B5928" s="27" t="s">
        <v>1013</v>
      </c>
      <c r="C5928" s="27" t="s">
        <v>1014</v>
      </c>
      <c r="D5928" s="27" t="s">
        <v>972</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2546</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1019</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2547</v>
      </c>
      <c r="B5931" s="27" t="s">
        <v>1016</v>
      </c>
      <c r="C5931" s="27" t="s">
        <v>1021</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37</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1457</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994</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1217</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1012</v>
      </c>
      <c r="B5936" s="27" t="s">
        <v>997</v>
      </c>
      <c r="C5936" s="27" t="s">
        <v>1014</v>
      </c>
      <c r="D5936" s="27" t="s">
        <v>972</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2548</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37</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1457</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1049</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2549</v>
      </c>
      <c r="B5941" s="27" t="s">
        <v>981</v>
      </c>
      <c r="C5941" s="27" t="s">
        <v>977</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994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983</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996</v>
      </c>
      <c r="B5944" s="27" t="s">
        <v>997</v>
      </c>
      <c r="C5944" s="27" t="s">
        <v>971</v>
      </c>
      <c r="D5944" s="27" t="s">
        <v>972</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2550</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994</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999</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1142</v>
      </c>
      <c r="B5948" s="27" t="s">
        <v>1006</v>
      </c>
      <c r="C5948" s="27" t="s">
        <v>1105</v>
      </c>
      <c r="D5948" s="27" t="s">
        <v>972</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1648</v>
      </c>
      <c r="B5949" s="27" t="s">
        <v>997</v>
      </c>
      <c r="C5949" s="27" t="s">
        <v>1144</v>
      </c>
      <c r="D5949" s="27" t="s">
        <v>972</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1029</v>
      </c>
      <c r="B5950" s="27" t="s">
        <v>1034</v>
      </c>
      <c r="C5950" s="27" t="s">
        <v>971</v>
      </c>
      <c r="D5950" s="27" t="s">
        <v>972</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2551</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994</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2552</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2553</v>
      </c>
      <c r="B5954" s="27" t="s">
        <v>1201</v>
      </c>
      <c r="C5954" s="27" t="s">
        <v>977</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2554</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1002</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2376</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1008</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row>
    <row r="5960" spans="1:12">
      <c r="A5960" s="20" t="s">
        <v>2555</v>
      </c>
    </row>
    <row r="5961" spans="1:12">
      <c r="A5961" s="20" t="s">
        <v>1166</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1167</v>
      </c>
      <c r="B5962" s="27" t="s">
        <v>970</v>
      </c>
      <c r="C5962" s="27" t="s">
        <v>982</v>
      </c>
      <c r="D5962" s="27" t="s">
        <v>972</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1098</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1081</v>
      </c>
      <c r="B5964" s="27" t="s">
        <v>981</v>
      </c>
      <c r="C5964" s="27" t="s">
        <v>977</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1100</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1024</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1168</v>
      </c>
      <c r="B5967" s="27" t="s">
        <v>1056</v>
      </c>
      <c r="C5967" s="27" t="s">
        <v>977</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994</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1169</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1170</v>
      </c>
      <c r="B5970" s="27" t="s">
        <v>1056</v>
      </c>
      <c r="C5970" s="27" t="s">
        <v>977</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994</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983</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1927</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1100</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1276</v>
      </c>
      <c r="B5975" s="27" t="s">
        <v>985</v>
      </c>
      <c r="C5975" s="27" t="s">
        <v>991</v>
      </c>
      <c r="D5975" s="27" t="s">
        <v>972</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1310</v>
      </c>
      <c r="B5976" s="27" t="s">
        <v>1013</v>
      </c>
      <c r="C5976" s="27" t="s">
        <v>977</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t="s">
        <v>2556</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994</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2471</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1154</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1041</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2557</v>
      </c>
      <c r="B5982" s="27" t="s">
        <v>981</v>
      </c>
      <c r="C5982" s="27" t="s">
        <v>982</v>
      </c>
      <c r="D5982" s="27" t="s">
        <v>972</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994</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1154</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2490</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996</v>
      </c>
      <c r="B5986" s="27" t="s">
        <v>1013</v>
      </c>
      <c r="C5986" s="27" t="s">
        <v>971</v>
      </c>
      <c r="D5986" s="27" t="s">
        <v>972</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1520</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1372</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1008</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row>
    <row r="5991" spans="1:12">
      <c r="A5991" s="20" t="s">
        <v>2558</v>
      </c>
    </row>
    <row r="5992" spans="1:12">
      <c r="A5992" s="20" t="s">
        <v>969</v>
      </c>
      <c r="B5992" s="27" t="s">
        <v>970</v>
      </c>
      <c r="C5992" s="27" t="s">
        <v>971</v>
      </c>
      <c r="D5992" s="27" t="s">
        <v>972</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998</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1283</v>
      </c>
      <c r="B5994" s="27" t="s">
        <v>981</v>
      </c>
      <c r="C5994" s="27" t="s">
        <v>1105</v>
      </c>
      <c r="D5994" s="27" t="s">
        <v>972</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975</v>
      </c>
      <c r="B5995" s="27" t="s">
        <v>976</v>
      </c>
      <c r="C5995" s="27" t="s">
        <v>1144</v>
      </c>
      <c r="D5995" s="27" t="s">
        <v>972</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978</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990</v>
      </c>
      <c r="B5997" s="27" t="s">
        <v>981</v>
      </c>
      <c r="C5997" s="27" t="s">
        <v>991</v>
      </c>
      <c r="D5997" s="27" t="s">
        <v>972</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980</v>
      </c>
      <c r="B5998" s="27" t="s">
        <v>1056</v>
      </c>
      <c r="C5998" s="27" t="s">
        <v>977</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983</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1639</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2559</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979</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2560</v>
      </c>
      <c r="B6003" s="27" t="s">
        <v>981</v>
      </c>
      <c r="C6003" s="27" t="s">
        <v>982</v>
      </c>
      <c r="D6003" s="27" t="s">
        <v>972</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1154</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979</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2561</v>
      </c>
      <c r="B6006" s="27" t="s">
        <v>981</v>
      </c>
      <c r="C6006" s="27" t="s">
        <v>982</v>
      </c>
      <c r="D6006" s="27" t="s">
        <v>972</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1046</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t="s">
        <v>1077</v>
      </c>
      <c r="B6008" s="27" t="s">
        <v>985</v>
      </c>
      <c r="C6008" s="27" t="s">
        <v>982</v>
      </c>
      <c r="D6008" s="27" t="s">
        <v>972</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994</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983</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996</v>
      </c>
      <c r="B6011" s="27" t="s">
        <v>1013</v>
      </c>
      <c r="C6011" s="27" t="s">
        <v>971</v>
      </c>
      <c r="D6011" s="27" t="s">
        <v>972</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2562</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1360</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978</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1029</v>
      </c>
      <c r="B6015" s="27" t="s">
        <v>981</v>
      </c>
      <c r="C6015" s="27" t="s">
        <v>971</v>
      </c>
      <c r="D6015" s="27" t="s">
        <v>972</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1108</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994</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1027</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996</v>
      </c>
      <c r="B6019" s="27" t="s">
        <v>1013</v>
      </c>
      <c r="C6019" s="27" t="s">
        <v>971</v>
      </c>
      <c r="D6019" s="27" t="s">
        <v>972</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1019</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1037</v>
      </c>
      <c r="B6021" s="27" t="s">
        <v>1016</v>
      </c>
      <c r="C6021" s="27" t="s">
        <v>1021</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2563</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1420</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994</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1180</v>
      </c>
      <c r="B6025" s="27" t="s">
        <v>1016</v>
      </c>
      <c r="C6025" s="27" t="s">
        <v>1014</v>
      </c>
      <c r="D6025" s="27" t="s">
        <v>972</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996</v>
      </c>
      <c r="B6026" s="27" t="s">
        <v>1013</v>
      </c>
      <c r="C6026" s="27" t="s">
        <v>971</v>
      </c>
      <c r="D6026" s="27" t="s">
        <v>972</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995</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1002</v>
      </c>
      <c r="B6028" s="27" t="s">
        <v>985</v>
      </c>
      <c r="C6028" s="27" t="s">
        <v>1004</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979</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1363</v>
      </c>
      <c r="B6030" s="27" t="s">
        <v>981</v>
      </c>
      <c r="C6030" s="27" t="s">
        <v>982</v>
      </c>
      <c r="D6030" s="27" t="s">
        <v>972</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1478</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87</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1136</v>
      </c>
      <c r="B6033" s="27" t="s">
        <v>981</v>
      </c>
      <c r="C6033" s="27" t="s">
        <v>1126</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1831</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2564</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1281</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994</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1049</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988</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2543</v>
      </c>
      <c r="B6040" s="27" t="s">
        <v>1013</v>
      </c>
      <c r="C6040" s="27" t="s">
        <v>982</v>
      </c>
      <c r="D6040" s="27" t="s">
        <v>972</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1029</v>
      </c>
      <c r="B6041" s="27" t="s">
        <v>1016</v>
      </c>
      <c r="C6041" s="27" t="s">
        <v>971</v>
      </c>
      <c r="D6041" s="27" t="s">
        <v>972</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t="s">
        <v>1113</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2565</v>
      </c>
      <c r="B6043" s="27" t="s">
        <v>1016</v>
      </c>
      <c r="C6043" s="27" t="s">
        <v>1021</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2566</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1008</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row>
    <row r="6047" spans="1:12">
      <c r="A6047" s="20" t="s">
        <v>2567</v>
      </c>
    </row>
    <row r="6048" spans="1:12">
      <c r="A6048" s="20" t="s">
        <v>2568</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t="s">
        <v>996</v>
      </c>
      <c r="B6049" s="27" t="s">
        <v>1013</v>
      </c>
      <c r="C6049" s="27" t="s">
        <v>971</v>
      </c>
      <c r="D6049" s="27" t="s">
        <v>972</v>
      </c>
      <c r="E6049" s="21">
        <f>IF(D6049="?OLD","!!!","")</f>
        <v/>
      </c>
      <c r="F6049" s="22" t="str">
        <f>IF(OR(E6049="",E6049="!!!"),"",IF(NOT(ISNA(VLOOKUP(E6049,E$1:E6048,1,FALSE()))),"OLD",IF(AND(E6049&lt;&gt;"",E6049&lt;&gt;"!!!"),"NEW","")))</f>
        <v> </v>
      </c>
      <c r="G6049" s="23" t="str">
        <f>IF(OR(E6049="",E6049="!!!"),"",IF(OR(J6049=0,AND(J6049=1,K6049=1),AND(J6049=1,I6049="SBJ"),AND(J6049=1,I6049=0)),"?IN_FOCUS",IF(J6049&lt;=2,"?ACTIVATED",IF(J6049&lt;&gt;"","?FAMILIAR",IF(F6049="NEW",IF(ISNA(VLOOKUP(E6049,#REF!,1,FALSE())),"?TYPE_IDENTIFIABLE","?REFERENTIAL"),"_")))))</f>
        <v> </v>
      </c>
      <c r="H6049" s="24" t="str">
        <f>IF(J6049&lt;&gt;1,"",IF(I6049="SBJ","CB","?"))</f>
        <v> </v>
      </c>
      <c r="I6049" s="25" t="str">
        <f>IF(OR(E6049="",E6049="!!!",F6049="NEW"),"",INDEX(B6048:B$2,-1+SUMPRODUCT(MAX(ROW(E6048:E$2)*(E6049=E6048:E$2)))))</f>
        <v> </v>
      </c>
      <c r="J6049" s="25" t="str">
        <f>IF(OR(E6049="",E6049="!!!",F6049="NEW"),"",COUNTBLANK(OFFSET(A$1,,,SUMPRODUCT(MAX(ROW(E$2:E6049)*(E6049=E$2:E6049)))))-COUNTBLANK(OFFSET(A$1,,,SUMPRODUCT(MAX(ROW(E$1:E6048)*(E2=E$1:E6048))))))</f>
        <v> </v>
      </c>
      <c r="K6049" s="25" t="str">
        <f>IF(OR(E6049="",E6049="!!!",F6049="NEW"),"",INDEX(J$1:J6048,SUMPRODUCT(MAX(ROW(E$1:E6048)*(E6049=E$1:E6048)))))</f>
        <v> </v>
      </c>
      <c r="L6049" s="26"/>
    </row>
    <row r="6050" spans="1:12">
      <c r="A6050" s="20" t="s">
        <v>1089</v>
      </c>
      <c r="B6050" s="27" t="s">
        <v>1016</v>
      </c>
      <c r="C6050" s="27" t="s">
        <v>971</v>
      </c>
      <c r="D6050" s="27" t="s">
        <v>972</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2569</v>
      </c>
      <c r="E6051" s="21">
        <f>IF(D6051="?OLD","!!!","")</f>
        <v/>
      </c>
      <c r="F6051" s="22" t="str">
        <f>IF(OR(E6051="",E6051="!!!"),"",IF(NOT(ISNA(VLOOKUP(E6051,E$1:E6050,1,FALSE()))),"OLD",IF(AND(E6051&lt;&gt;"",E6051&lt;&gt;"!!!"),"NEW","")))</f>
        <v> </v>
      </c>
      <c r="G6051" s="23" t="str">
        <f>IF(OR(E6051="",E6051="!!!"),"",IF(OR(J6051=0,AND(J6051=1,K6051=1),AND(J6051=1,I6051="SBJ"),AND(J6051=1,I6051=0)),"?IN_FOCUS",IF(J6051&lt;=2,"?ACTIVATED",IF(J6051&lt;&gt;"","?FAMILIAR",IF(F6051="NEW",IF(ISNA(VLOOKUP(E6051,#REF!,1,FALSE())),"?TYPE_IDENTIFIABLE","?REFERENTIAL"),"_")))))</f>
        <v> </v>
      </c>
      <c r="H6051" s="24" t="str">
        <f>IF(J6051&lt;&gt;1,"",IF(I6051="SBJ","CB","?"))</f>
        <v> </v>
      </c>
      <c r="I6051" s="25" t="str">
        <f>IF(OR(E6051="",E6051="!!!",F6051="NEW"),"",INDEX(B6050:B$2,-1+SUMPRODUCT(MAX(ROW(E6050:E$2)*(E6051=E6050:E$2)))))</f>
        <v> </v>
      </c>
      <c r="J6051" s="25" t="str">
        <f>IF(OR(E6051="",E6051="!!!",F6051="NEW"),"",COUNTBLANK(OFFSET(A$1,,,SUMPRODUCT(MAX(ROW(E$2:E6051)*(E6051=E$2:E6051)))))-COUNTBLANK(OFFSET(A$1,,,SUMPRODUCT(MAX(ROW(E$1:E6050)*(E2=E$1:E6050))))))</f>
        <v> </v>
      </c>
      <c r="K6051" s="25" t="str">
        <f>IF(OR(E6051="",E6051="!!!",F6051="NEW"),"",INDEX(J$1:J6050,SUMPRODUCT(MAX(ROW(E$1:E6050)*(E6051=E$1:E6050)))))</f>
        <v> </v>
      </c>
      <c r="L6051" s="26"/>
    </row>
    <row r="6052" spans="1:12">
      <c r="A6052" s="20" t="s">
        <v>994</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1265</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1002</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37</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983</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1089</v>
      </c>
      <c r="B6057" s="27" t="s">
        <v>1034</v>
      </c>
      <c r="C6057" s="27" t="s">
        <v>971</v>
      </c>
      <c r="D6057" s="27" t="s">
        <v>972</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2570</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1116</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994</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1001</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1265</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1002</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462</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994</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1355</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t="s">
        <v>996</v>
      </c>
      <c r="B6067" s="27" t="s">
        <v>970</v>
      </c>
      <c r="C6067" s="27" t="s">
        <v>971</v>
      </c>
      <c r="D6067" s="27" t="s">
        <v>972</v>
      </c>
      <c r="E6067" s="21">
        <f>IF(D6067="?OLD","!!!","")</f>
        <v/>
      </c>
      <c r="F6067" s="22" t="str">
        <f>IF(OR(E6067="",E6067="!!!"),"",IF(NOT(ISNA(VLOOKUP(E6067,E$1:E6066,1,FALSE()))),"OLD",IF(AND(E6067&lt;&gt;"",E6067&lt;&gt;"!!!"),"NEW","")))</f>
        <v> </v>
      </c>
      <c r="G6067" s="23" t="str">
        <f>IF(OR(E6067="",E6067="!!!"),"",IF(OR(J6067=0,AND(J6067=1,K6067=1),AND(J6067=1,I6067="SBJ"),AND(J6067=1,I6067=0)),"?IN_FOCUS",IF(J6067&lt;=2,"?ACTIVATED",IF(J6067&lt;&gt;"","?FAMILIAR",IF(F6067="NEW",IF(ISNA(VLOOKUP(E6067,#REF!,1,FALSE())),"?TYPE_IDENTIFIABLE","?REFERENTIAL"),"_")))))</f>
        <v> </v>
      </c>
      <c r="H6067" s="24" t="str">
        <f>IF(J6067&lt;&gt;1,"",IF(I6067="SBJ","CB","?"))</f>
        <v> </v>
      </c>
      <c r="I6067" s="25" t="str">
        <f>IF(OR(E6067="",E6067="!!!",F6067="NEW"),"",INDEX(B6066:B$2,-1+SUMPRODUCT(MAX(ROW(E6066:E$2)*(E6067=E6066:E$2)))))</f>
        <v> </v>
      </c>
      <c r="J6067" s="25" t="str">
        <f>IF(OR(E6067="",E6067="!!!",F6067="NEW"),"",COUNTBLANK(OFFSET(A$1,,,SUMPRODUCT(MAX(ROW(E$2:E6067)*(E6067=E$2:E6067)))))-COUNTBLANK(OFFSET(A$1,,,SUMPRODUCT(MAX(ROW(E$1:E6066)*(E2=E$1:E6066))))))</f>
        <v> </v>
      </c>
      <c r="K6067" s="25" t="str">
        <f>IF(OR(E6067="",E6067="!!!",F6067="NEW"),"",INDEX(J$1:J6066,SUMPRODUCT(MAX(ROW(E$1:E6066)*(E6067=E$1:E6066)))))</f>
        <v> </v>
      </c>
      <c r="L6067" s="26"/>
    </row>
    <row r="6068" spans="1:12">
      <c r="A6068" s="20" t="s">
        <v>1113</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t="s">
        <v>1248</v>
      </c>
      <c r="B6069" s="27" t="s">
        <v>976</v>
      </c>
      <c r="C6069" s="27" t="s">
        <v>1021</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1940</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994</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1036</v>
      </c>
      <c r="B6072" s="27" t="s">
        <v>985</v>
      </c>
      <c r="C6072" s="27" t="s">
        <v>991</v>
      </c>
      <c r="D6072" s="27" t="s">
        <v>972</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1081</v>
      </c>
      <c r="B6073" s="27" t="s">
        <v>1016</v>
      </c>
      <c r="C6073" s="27" t="s">
        <v>977</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1002</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938</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1008</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row>
    <row r="6078" spans="1:12">
      <c r="A6078" s="20" t="s">
        <v>2571</v>
      </c>
    </row>
    <row r="6079" spans="1:12">
      <c r="A6079" s="20" t="s">
        <v>969</v>
      </c>
      <c r="B6079" s="27" t="s">
        <v>970</v>
      </c>
      <c r="C6079" s="27" t="s">
        <v>971</v>
      </c>
      <c r="D6079" s="27" t="s">
        <v>972</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1720</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1012</v>
      </c>
      <c r="B6081" s="27" t="s">
        <v>976</v>
      </c>
      <c r="C6081" s="27" t="s">
        <v>1014</v>
      </c>
      <c r="D6081" s="27" t="s">
        <v>972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994</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1325</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1012</v>
      </c>
      <c r="B6084" s="27" t="s">
        <v>1013</v>
      </c>
      <c r="C6084" s="27" t="s">
        <v>1014</v>
      </c>
      <c r="D6084" s="27" t="s">
        <v>972</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1110</v>
      </c>
      <c r="B6085" s="27" t="s">
        <v>1016</v>
      </c>
      <c r="C6085" s="27" t="s">
        <v>971</v>
      </c>
      <c r="D6085" s="27" t="s">
        <v>972</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2572</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1285</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994</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2573</v>
      </c>
      <c r="B6089" s="27" t="s">
        <v>1034</v>
      </c>
      <c r="C6089" s="27" t="s">
        <v>977</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1002</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635</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983</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1110</v>
      </c>
      <c r="B6093" s="27" t="s">
        <v>1016</v>
      </c>
      <c r="C6093" s="27" t="s">
        <v>971</v>
      </c>
      <c r="D6093" s="27" t="s">
        <v>972</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1154</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1012</v>
      </c>
      <c r="B6095" s="27" t="s">
        <v>981</v>
      </c>
      <c r="C6095" s="27" t="s">
        <v>1014</v>
      </c>
      <c r="D6095" s="27" t="s">
        <v>972</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1002</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t="s">
        <v>942</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1008</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row>
    <row r="6100" spans="1:12">
      <c r="A6100" s="20" t="s">
        <v>2574</v>
      </c>
    </row>
    <row r="6101" spans="1:12">
      <c r="A6101" s="20" t="s">
        <v>1588</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996</v>
      </c>
      <c r="B6102" s="27" t="s">
        <v>997</v>
      </c>
      <c r="C6102" s="27" t="s">
        <v>971</v>
      </c>
      <c r="D6102" s="27" t="s">
        <v>972</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2575</v>
      </c>
      <c r="B6103" s="27" t="s">
        <v>981</v>
      </c>
      <c r="C6103" s="27" t="s">
        <v>1014</v>
      </c>
      <c r="D6103" s="27" t="s">
        <v>972</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1598</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994</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2576</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2577</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994</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983</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2576</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2578</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1046</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1068</v>
      </c>
      <c r="B6113" s="27" t="s">
        <v>985</v>
      </c>
      <c r="C6113" s="27" t="s">
        <v>982</v>
      </c>
      <c r="D6113" s="27" t="s">
        <v>972</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1690</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2579</v>
      </c>
      <c r="B6115" s="27" t="s">
        <v>1006</v>
      </c>
      <c r="C6115" s="27" t="s">
        <v>982</v>
      </c>
      <c r="D6115" s="27" t="s">
        <v>972</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t="s">
        <v>994</v>
      </c>
      <c r="E6116" s="21">
        <f>IF(D6116="?OLD","!!!","")</f>
        <v/>
      </c>
      <c r="F6116" s="22" t="str">
        <f>IF(OR(E6116="",E6116="!!!"),"",IF(NOT(ISNA(VLOOKUP(E6116,E$1:E6115,1,FALSE()))),"OLD",IF(AND(E6116&lt;&gt;"",E6116&lt;&gt;"!!!"),"NEW","")))</f>
        <v> </v>
      </c>
      <c r="G6116" s="23" t="str">
        <f>IF(OR(E6116="",E6116="!!!"),"",IF(OR(J6116=0,AND(J6116=1,K6116=1),AND(J6116=1,I6116="SBJ"),AND(J6116=1,I6116=0)),"?IN_FOCUS",IF(J6116&lt;=2,"?ACTIVATED",IF(J6116&lt;&gt;"","?FAMILIAR",IF(F6116="NEW",IF(ISNA(VLOOKUP(E6116,#REF!,1,FALSE())),"?TYPE_IDENTIFIABLE","?REFERENTIAL"),"_")))))</f>
        <v> </v>
      </c>
      <c r="H6116" s="24" t="str">
        <f>IF(J6116&lt;&gt;1,"",IF(I6116="SBJ","CB","?"))</f>
        <v> </v>
      </c>
      <c r="I6116" s="25" t="str">
        <f>IF(OR(E6116="",E6116="!!!",F6116="NEW"),"",INDEX(B6115:B$2,-1+SUMPRODUCT(MAX(ROW(E6115:E$2)*(E6116=E6115:E$2)))))</f>
        <v> </v>
      </c>
      <c r="J6116" s="25" t="str">
        <f>IF(OR(E6116="",E6116="!!!",F6116="NEW"),"",COUNTBLANK(OFFSET(A$1,,,SUMPRODUCT(MAX(ROW(E$2:E6116)*(E6116=E$2:E6116)))))-COUNTBLANK(OFFSET(A$1,,,SUMPRODUCT(MAX(ROW(E$1:E6115)*(E2=E$1:E6115))))))</f>
        <v> </v>
      </c>
      <c r="K6116" s="25" t="str">
        <f>IF(OR(E6116="",E6116="!!!",F6116="NEW"),"",INDEX(J$1:J6115,SUMPRODUCT(MAX(ROW(E$1:E6115)*(E6116=E$1:E6115)))))</f>
        <v> </v>
      </c>
      <c r="L6116" s="26"/>
    </row>
    <row r="6117" spans="1:12">
      <c r="A6117" s="20" t="s">
        <v>1110</v>
      </c>
      <c r="B6117" s="27" t="s">
        <v>976</v>
      </c>
      <c r="C6117" s="27" t="s">
        <v>971</v>
      </c>
      <c r="D6117" s="27" t="s">
        <v>972</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1154</v>
      </c>
      <c r="E6118" s="21">
        <f>IF(D6118="?OLD","!!!","")</f>
        <v/>
      </c>
      <c r="F6118" s="22" t="str">
        <f>IF(OR(E6118="",E6118="!!!"),"",IF(NOT(ISNA(VLOOKUP(E6118,E$1:E6117,1,FALSE()))),"OLD",IF(AND(E6118&lt;&gt;"",E6118&lt;&gt;"!!!"),"NEW","")))</f>
        <v> </v>
      </c>
      <c r="G6118" s="23" t="str">
        <f>IF(OR(E6118="",E6118="!!!"),"",IF(OR(J6118=0,AND(J6118=1,K6118=1),AND(J6118=1,I6118="SBJ"),AND(J6118=1,I6118=0)),"?IN_FOCUS",IF(J6118&lt;=2,"?ACTIVATED",IF(J6118&lt;&gt;"","?FAMILIAR",IF(F6118="NEW",IF(ISNA(VLOOKUP(E6118,#REF!,1,FALSE())),"?TYPE_IDENTIFIABLE","?REFERENTIAL"),"_")))))</f>
        <v> </v>
      </c>
      <c r="H6118" s="24" t="str">
        <f>IF(J6118&lt;&gt;1,"",IF(I6118="SBJ","CB","?"))</f>
        <v> </v>
      </c>
      <c r="I6118" s="25" t="str">
        <f>IF(OR(E6118="",E6118="!!!",F6118="NEW"),"",INDEX(B6117:B$2,-1+SUMPRODUCT(MAX(ROW(E6117:E$2)*(E6118=E6117:E$2)))))</f>
        <v> </v>
      </c>
      <c r="J6118" s="25" t="str">
        <f>IF(OR(E6118="",E6118="!!!",F6118="NEW"),"",COUNTBLANK(OFFSET(A$1,,,SUMPRODUCT(MAX(ROW(E$2:E6118)*(E6118=E$2:E6118)))))-COUNTBLANK(OFFSET(A$1,,,SUMPRODUCT(MAX(ROW(E$1:E6117)*(E2=E$1:E6117))))))</f>
        <v> </v>
      </c>
      <c r="K6118" s="25" t="str">
        <f>IF(OR(E6118="",E6118="!!!",F6118="NEW"),"",INDEX(J$1:J6117,SUMPRODUCT(MAX(ROW(E$1:E6117)*(E6118=E$1:E6117)))))</f>
        <v> </v>
      </c>
      <c r="L6118" s="26"/>
    </row>
    <row r="6119" spans="1:12">
      <c r="A6119" s="20" t="s">
        <v>988</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2580</v>
      </c>
      <c r="B6120" s="27" t="s">
        <v>981</v>
      </c>
      <c r="C6120" s="27" t="s">
        <v>982</v>
      </c>
      <c r="D6120" s="27" t="s">
        <v>972</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1002</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621</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1002</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942</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1008</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row>
    <row r="6127" spans="1:12">
      <c r="A6127" s="20" t="s">
        <v>2581</v>
      </c>
    </row>
    <row r="6128" spans="1:12">
      <c r="A6128" s="20" t="s">
        <v>969</v>
      </c>
      <c r="B6128" s="27" t="s">
        <v>970</v>
      </c>
      <c r="C6128" s="27" t="s">
        <v>971</v>
      </c>
      <c r="D6128" s="27" t="s">
        <v>972</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1742</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994</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1027</v>
      </c>
      <c r="B6131" s="27" t="s">
        <v>1013</v>
      </c>
      <c r="C6131" s="27" t="s">
        <v>1105</v>
      </c>
      <c r="D6131" s="27" t="s">
        <v>972</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1100</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1019</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1627</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2582</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2583</v>
      </c>
      <c r="B6136" s="27" t="s">
        <v>976</v>
      </c>
      <c r="C6136" s="27" t="s">
        <v>1021</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t="s">
        <v>1008</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row>
    <row r="6139" spans="1:12">
      <c r="A6139" s="20" t="s">
        <v>2584</v>
      </c>
    </row>
    <row r="6140" spans="1:12">
      <c r="A6140" s="20" t="s">
        <v>2585</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949</v>
      </c>
      <c r="B6141" s="27" t="s">
        <v>1056</v>
      </c>
      <c r="C6141" s="27" t="s">
        <v>1126</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1008</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row>
    <row r="6144" spans="1:12">
      <c r="A6144" s="20" t="s">
        <v>2586</v>
      </c>
    </row>
    <row r="6145" spans="1:12">
      <c r="A6145" s="20" t="s">
        <v>1749</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953</v>
      </c>
      <c r="B6146" s="27" t="s">
        <v>1056</v>
      </c>
      <c r="C6146" s="27" t="s">
        <v>1086</v>
      </c>
      <c r="D6146" s="27" t="s">
        <v>972</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1751</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2025-07-10T18:03:57Z</dcterms:created>
  <dcterms:modified xsi:type="dcterms:W3CDTF">2025-07-10T18:03:57Z</dcterms:modified>
</cp:coreProperties>
</file>