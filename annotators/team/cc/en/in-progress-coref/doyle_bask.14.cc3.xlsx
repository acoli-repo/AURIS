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<sst xmlns="http://schemas.openxmlformats.org/spreadsheetml/2006/main" count="372" uniqueCount="174">
  <si>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</si>
  <si>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</si>
  <si>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</si>
  <si>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</si>
  <si>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</si>
  <si>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</si>
  <si>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</si>
  <si>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</si>
  <si>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</si>
  <si>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</si>
  <si>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</si>
  <si>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COMMENT</t>
  </si>
  <si>
    <t xml:space="preserve"># text = One of Sherlock Holmes's defects—if, indeed, one may call it a defect—was that he was exceedingly loath to communicate his full plans to any other person until the instant of their fulfilment.</t>
  </si>
  <si>
    <t xml:space="preserve">One</t>
  </si>
  <si>
    <t xml:space="preserve">SBJ</t>
  </si>
  <si>
    <t xml:space="preserve">def-np.poss</t>
  </si>
  <si>
    <t xml:space="preserve">?OLD</t>
  </si>
  <si>
    <t xml:space="preserve">defect</t>
  </si>
  <si>
    <t xml:space="preserve">TYPE IDENTIFIABLE</t>
  </si>
  <si>
    <t xml:space="preserve">of</t>
  </si>
  <si>
    <t xml:space="preserve">Sherlock</t>
  </si>
  <si>
    <t xml:space="preserve">Holmes</t>
  </si>
  <si>
    <t xml:space="preserve">other_3</t>
  </si>
  <si>
    <t xml:space="preserve">ne</t>
  </si>
  <si>
    <t xml:space="preserve">Sherlock Holmes</t>
  </si>
  <si>
    <t xml:space="preserve">FAMILIAR</t>
  </si>
  <si>
    <t xml:space="preserve">'s</t>
  </si>
  <si>
    <t xml:space="preserve">defects</t>
  </si>
  <si>
    <t xml:space="preserve">other_2</t>
  </si>
  <si>
    <t xml:space="preserve">GEN</t>
  </si>
  <si>
    <t xml:space="preserve">—if</t>
  </si>
  <si>
    <t xml:space="preserve">,</t>
  </si>
  <si>
    <t xml:space="preserve">indeed</t>
  </si>
  <si>
    <t xml:space="preserve">one</t>
  </si>
  <si>
    <t xml:space="preserve">may</t>
  </si>
  <si>
    <t xml:space="preserve">call</t>
  </si>
  <si>
    <t xml:space="preserve">it</t>
  </si>
  <si>
    <t xml:space="preserve">OBJ</t>
  </si>
  <si>
    <t xml:space="preserve">pron.pper</t>
  </si>
  <si>
    <t xml:space="preserve">IN FOCUS</t>
  </si>
  <si>
    <t xml:space="preserve">a</t>
  </si>
  <si>
    <t xml:space="preserve">SBJ_2</t>
  </si>
  <si>
    <t xml:space="preserve">indef-np.a</t>
  </si>
  <si>
    <t xml:space="preserve">—was</t>
  </si>
  <si>
    <t xml:space="preserve">that</t>
  </si>
  <si>
    <t xml:space="preserve">he</t>
  </si>
  <si>
    <t xml:space="preserve">SBJ_3</t>
  </si>
  <si>
    <t xml:space="preserve">was</t>
  </si>
  <si>
    <t xml:space="preserve">exceedingly</t>
  </si>
  <si>
    <t xml:space="preserve">loath</t>
  </si>
  <si>
    <t xml:space="preserve">to</t>
  </si>
  <si>
    <t xml:space="preserve">communicate</t>
  </si>
  <si>
    <t xml:space="preserve">his</t>
  </si>
  <si>
    <t xml:space="preserve">other_5</t>
  </si>
  <si>
    <t xml:space="preserve">pron.ppos</t>
  </si>
  <si>
    <t xml:space="preserve">full</t>
  </si>
  <si>
    <t xml:space="preserve">plans</t>
  </si>
  <si>
    <t xml:space="preserve">OBJ_4</t>
  </si>
  <si>
    <t xml:space="preserve">REFERENTIAL</t>
  </si>
  <si>
    <t xml:space="preserve">any</t>
  </si>
  <si>
    <t xml:space="preserve">other</t>
  </si>
  <si>
    <t xml:space="preserve">person</t>
  </si>
  <si>
    <t xml:space="preserve">other_4</t>
  </si>
  <si>
    <t xml:space="preserve">until</t>
  </si>
  <si>
    <t xml:space="preserve">the</t>
  </si>
  <si>
    <t xml:space="preserve">instant</t>
  </si>
  <si>
    <t xml:space="preserve">_</t>
  </si>
  <si>
    <t xml:space="preserve">their</t>
  </si>
  <si>
    <t xml:space="preserve">other_6</t>
  </si>
  <si>
    <t xml:space="preserve">fulfilment</t>
  </si>
  <si>
    <t xml:space="preserve">.</t>
  </si>
  <si>
    <t xml:space="preserve"># text = Partly it came no doubt from his own masterful nature, which loved to dominate and surprise those who were around him.</t>
  </si>
  <si>
    <t xml:space="preserve">Partly</t>
  </si>
  <si>
    <t xml:space="preserve">came</t>
  </si>
  <si>
    <t xml:space="preserve">no</t>
  </si>
  <si>
    <t xml:space="preserve">doubt</t>
  </si>
  <si>
    <t xml:space="preserve">from</t>
  </si>
  <si>
    <t xml:space="preserve">ACTIVATED</t>
  </si>
  <si>
    <t xml:space="preserve">own</t>
  </si>
  <si>
    <t xml:space="preserve">masterful</t>
  </si>
  <si>
    <t xml:space="preserve">nature</t>
  </si>
  <si>
    <t xml:space="preserve">IDIOM</t>
  </si>
  <si>
    <t xml:space="preserve">which</t>
  </si>
  <si>
    <t xml:space="preserve">loved</t>
  </si>
  <si>
    <t xml:space="preserve">dominate</t>
  </si>
  <si>
    <t xml:space="preserve">and</t>
  </si>
  <si>
    <t xml:space="preserve">surprise</t>
  </si>
  <si>
    <t xml:space="preserve">those</t>
  </si>
  <si>
    <t xml:space="preserve">OBJ_5</t>
  </si>
  <si>
    <t xml:space="preserve">pron.pds</t>
  </si>
  <si>
    <t xml:space="preserve">who</t>
  </si>
  <si>
    <t xml:space="preserve">SBJ_7</t>
  </si>
  <si>
    <t xml:space="preserve">were</t>
  </si>
  <si>
    <t xml:space="preserve">around</t>
  </si>
  <si>
    <t xml:space="preserve">him</t>
  </si>
  <si>
    <t xml:space="preserve"># text = Partly also from his professional caution, which urged him never to take any chances.</t>
  </si>
  <si>
    <t xml:space="preserve">also</t>
  </si>
  <si>
    <t xml:space="preserve">professional</t>
  </si>
  <si>
    <t xml:space="preserve">caution</t>
  </si>
  <si>
    <t xml:space="preserve">urged</t>
  </si>
  <si>
    <t xml:space="preserve">OBJ_2</t>
  </si>
  <si>
    <t xml:space="preserve">never</t>
  </si>
  <si>
    <t xml:space="preserve">take</t>
  </si>
  <si>
    <t xml:space="preserve">chances</t>
  </si>
  <si>
    <t xml:space="preserve">OBJ_3</t>
  </si>
  <si>
    <t xml:space="preserve"># text = The result, however, was very trying for those who were acting as his agents and assistants.</t>
  </si>
  <si>
    <t xml:space="preserve">The</t>
  </si>
  <si>
    <t xml:space="preserve">result</t>
  </si>
  <si>
    <t xml:space="preserve">def-np.the</t>
  </si>
  <si>
    <t xml:space="preserve">however</t>
  </si>
  <si>
    <t xml:space="preserve">very</t>
  </si>
  <si>
    <t xml:space="preserve">trying</t>
  </si>
  <si>
    <t xml:space="preserve">for</t>
  </si>
  <si>
    <t xml:space="preserve">agents &amp; assistants</t>
  </si>
  <si>
    <t xml:space="preserve">acting</t>
  </si>
  <si>
    <t xml:space="preserve">as</t>
  </si>
  <si>
    <t xml:space="preserve">agents</t>
  </si>
  <si>
    <t xml:space="preserve">PRED</t>
  </si>
  <si>
    <t xml:space="preserve">assistants</t>
  </si>
  <si>
    <t xml:space="preserve">indef-np.bare</t>
  </si>
  <si>
    <t xml:space="preserve"># text = I had often suffered under it, but never more so than during that long drive in the darkness.</t>
  </si>
  <si>
    <t xml:space="preserve">I</t>
  </si>
  <si>
    <t xml:space="preserve">Watson</t>
  </si>
  <si>
    <t xml:space="preserve">had</t>
  </si>
  <si>
    <t xml:space="preserve">often</t>
  </si>
  <si>
    <t xml:space="preserve">suffered</t>
  </si>
  <si>
    <t xml:space="preserve">under</t>
  </si>
  <si>
    <t xml:space="preserve">but</t>
  </si>
  <si>
    <t xml:space="preserve">more</t>
  </si>
  <si>
    <t xml:space="preserve">so</t>
  </si>
  <si>
    <t xml:space="preserve">than</t>
  </si>
  <si>
    <t xml:space="preserve">during</t>
  </si>
  <si>
    <t xml:space="preserve">long</t>
  </si>
  <si>
    <t xml:space="preserve">drive</t>
  </si>
  <si>
    <t xml:space="preserve">def-np.dem</t>
  </si>
  <si>
    <t xml:space="preserve">in</t>
  </si>
  <si>
    <t xml:space="preserve">darkness</t>
  </si>
  <si>
    <t xml:space="preserve"># text = The great ordeal was in front of us; at last we were about to make our final effort, and yet Holmes had said nothing, and I could only surmise what his course of action would be.</t>
  </si>
  <si>
    <t xml:space="preserve">great</t>
  </si>
  <si>
    <t xml:space="preserve">ordeal</t>
  </si>
  <si>
    <t xml:space="preserve">meint drive</t>
  </si>
  <si>
    <t xml:space="preserve">front</t>
  </si>
  <si>
    <t xml:space="preserve">us</t>
  </si>
  <si>
    <t xml:space="preserve">Sherlock Holmes+Watson= SW</t>
  </si>
  <si>
    <t xml:space="preserve">GROUP</t>
  </si>
  <si>
    <t xml:space="preserve">;</t>
  </si>
  <si>
    <t xml:space="preserve">at</t>
  </si>
  <si>
    <t xml:space="preserve">last</t>
  </si>
  <si>
    <t xml:space="preserve">we</t>
  </si>
  <si>
    <t xml:space="preserve">SW</t>
  </si>
  <si>
    <t xml:space="preserve">OLD</t>
  </si>
  <si>
    <t xml:space="preserve">about</t>
  </si>
  <si>
    <t xml:space="preserve">make</t>
  </si>
  <si>
    <t xml:space="preserve">our</t>
  </si>
  <si>
    <t xml:space="preserve">final</t>
  </si>
  <si>
    <t xml:space="preserve">effort</t>
  </si>
  <si>
    <t xml:space="preserve">yet</t>
  </si>
  <si>
    <t xml:space="preserve">nicht vorannotiert, in gruppe vorerwähnt</t>
  </si>
  <si>
    <t xml:space="preserve">said</t>
  </si>
  <si>
    <t xml:space="preserve">nothing</t>
  </si>
  <si>
    <t xml:space="preserve">pron</t>
  </si>
  <si>
    <t xml:space="preserve">indefinite pronoun =&gt; do not annotate</t>
  </si>
  <si>
    <t xml:space="preserve">SBJ_4</t>
  </si>
  <si>
    <t xml:space="preserve">could</t>
  </si>
  <si>
    <t xml:space="preserve">only</t>
  </si>
  <si>
    <t xml:space="preserve">surmise</t>
  </si>
  <si>
    <t xml:space="preserve">what</t>
  </si>
  <si>
    <t xml:space="preserve">pron.pint</t>
  </si>
  <si>
    <t xml:space="preserve">other_7</t>
  </si>
  <si>
    <t xml:space="preserve">course</t>
  </si>
  <si>
    <t xml:space="preserve">SBJ_6</t>
  </si>
  <si>
    <t xml:space="preserve">action</t>
  </si>
  <si>
    <t xml:space="preserve">would</t>
  </si>
  <si>
    <t xml:space="preserve">be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</si>
</sst>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F5CE"/>
        <bgColor rgb="FFEEEEEE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EEEEEE"/>
      </patternFill>
    </fill>
    <fill>
      <patternFill patternType="solid">
        <fgColor rgb="FFE0C2CD"/>
        <bgColor rgb="FFB4C7DC"/>
      </patternFill>
    </fill>
    <fill>
      <patternFill patternType="solid">
        <fgColor rgb="FFEEEEEE"/>
        <bgColor rgb="FFDEE6EF"/>
      </patternFill>
    </fill>
    <fill>
      <patternFill patternType="solid">
        <fgColor rgb="FFB4C7DC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true" indent="0" shrinkToFit="true"/>
      <protection locked="true" hidden="false"/>
    </xf>
    <xf numFmtId="164" fontId="0" fillId="7" borderId="4" xfId="15" applyFont="true" applyBorder="true" applyAlignment="true" applyProtection="true">
      <alignment horizontal="general" vertical="bottom" textRotation="0" wrapText="true" indent="0" shrinkToFit="true"/>
      <protection locked="true" hidden="false"/>
    </xf>
    <xf numFmtId="165" fontId="0" fillId="7" borderId="4" xfId="15" applyFont="true" applyBorder="true" applyAlignment="true" applyProtection="true">
      <alignment horizontal="general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15625" defaultRowHeight="12.75" zeroHeight="false" outlineLevelRow="0" outlineLevelCol="0"/>
  <cols>
    <col collapsed="false" customWidth="true" hidden="false" outlineLevel="0" max="5" min="5" style="1" width="16.16"/>
    <col collapsed="false" customWidth="false" hidden="true" outlineLevel="0" max="10" min="9" style="1" width="11.5"/>
    <col collapsed="false" customWidth="true" hidden="true" outlineLevel="0" max="11" min="11" style="1" width="18.84"/>
    <col collapsed="false" customWidth="true" hidden="false" outlineLevel="0" max="12" min="12" style="1" width="46.6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</row>
    <row r="2" customFormat="false" ht="12.75" hidden="false" customHeight="false" outlineLevel="0" collapsed="false">
      <c r="A2" s="1" t="s">
        <v>12</v>
      </c>
      <c r="E2" s="10" t="str">
        <f aca="false">IF(D2="?OLD","!!!","")</f>
        <v/>
      </c>
      <c r="F2" s="11" t="str">
        <f aca="false">IF(OR(E2="",E2="!!!"),"",IF(NOT(ISNA(VLOOKUP(E2,E$1:E1,1,FALSE()))),"OLD",IF(AND(E2&lt;&gt;"",E2&lt;&gt;"!!!"),"NEW","")))</f>
        <v/>
      </c>
      <c r="G2" s="12" t="str">
        <f aca="false">IF(OR(E2="",E2="!!!"),"",IF(OR(J2=0,AND(J2=1,K2=1),AND(J2=1,I2="SBJ"),AND(J2=1,I2=0)),"?IN_FOCUS",IF(J2&lt;=2,"?ACTIVATED",IF(J2&lt;&gt;"","?FAMILIAR",IF(F2="NEW",IF(ISNA(VLOOKUP(E2,#REF!,1,FALSE())),"?TYPE_IDENTIFIABLE","?REFERENTIAL"),"_")))))</f>
        <v/>
      </c>
      <c r="H2" s="13" t="str">
        <f aca="false">IF(J2&lt;&gt;1,"",IF(I2="SBJ","CB","?"))</f>
        <v/>
      </c>
      <c r="I2" s="14" t="str">
        <f aca="false">IF(OR(E2="",E2="!!!",F2="NEW"),"",INDEX(B1:B$2,-1+SUMPRODUCT(MAX(ROW(E1:E$2)*(E2=E1:E$2)))))</f>
        <v/>
      </c>
      <c r="J2" s="15" t="str">
        <f aca="true">IF(OR(E2="",E2="!!!",F2="NEW"),"",COUNTBLANK(OFFSET(A$1,,,SUMPRODUCT(MAX(ROW(E$2:E2)*(E2=E$2:E2)))))-COUNTBLANK(OFFSET(A$1,,,SUMPRODUCT(MAX(ROW(E$1:E1)*(E2=E$1:E1))))))</f>
        <v/>
      </c>
      <c r="K2" s="15" t="str">
        <f aca="false">IF(OR(E2="",E2="!!!",F2="NEW"),"",INDEX(J$1:J1,SUMPRODUCT(MAX(ROW(E$1:E1)*(E2=E$1:E1)))))</f>
        <v/>
      </c>
      <c r="L2" s="16"/>
    </row>
    <row r="3" customFormat="false" ht="12.75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0" t="s">
        <v>17</v>
      </c>
      <c r="F3" s="11" t="str">
        <f aca="false">IF(OR(E3="",E3="!!!"),"",IF(NOT(ISNA(VLOOKUP(E3,E$1:E2,1,FALSE()))),"OLD",IF(AND(E3&lt;&gt;"",E3&lt;&gt;"!!!"),"NEW","")))</f>
        <v>NEW</v>
      </c>
      <c r="G3" s="12" t="s">
        <v>18</v>
      </c>
      <c r="H3" s="13" t="str">
        <f aca="false">IF(J3&lt;&gt;1,"",IF(I3="SBJ","CB","?"))</f>
        <v/>
      </c>
      <c r="I3" s="14" t="str">
        <f aca="false">IF(OR(E3="",E3="!!!",F3="NEW"),"",INDEX(B$2:B2,-1+SUMPRODUCT(MAX(ROW(E$2:E2)*(E3=E$2:E2)))))</f>
        <v/>
      </c>
      <c r="J3" s="15" t="str">
        <f aca="true">IF(OR(E3="",E3="!!!",F3="NEW"),"",COUNTBLANK(OFFSET(A$1,,,SUMPRODUCT(MAX(ROW(E$2:E3)*(E3=E$2:E3)))))-COUNTBLANK(OFFSET(A$1,,,SUMPRODUCT(MAX(ROW(E$1:E2)*(E3=E$1:E2))))))</f>
        <v/>
      </c>
      <c r="K3" s="15" t="str">
        <f aca="false">IF(OR(E3="",E3="!!!",F3="NEW"),"",INDEX(J$1:J2,SUMPRODUCT(MAX(ROW(E$1:E2)*(E3=E$1:E2)))))</f>
        <v/>
      </c>
      <c r="L3" s="16"/>
    </row>
    <row r="4" customFormat="false" ht="12.75" hidden="false" customHeight="false" outlineLevel="0" collapsed="false">
      <c r="A4" s="1" t="s">
        <v>19</v>
      </c>
      <c r="E4" s="10" t="str">
        <f aca="false">IF(D4="?OLD","!!!","")</f>
        <v/>
      </c>
      <c r="F4" s="11" t="str">
        <f aca="false">IF(OR(E4="",E4="!!!"),"",IF(NOT(ISNA(VLOOKUP(E4,E$1:E3,1,FALSE()))),"OLD",IF(AND(E4&lt;&gt;"",E4&lt;&gt;"!!!"),"NEW","")))</f>
        <v/>
      </c>
      <c r="G4" s="12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13" t="str">
        <f aca="false">IF(J4&lt;&gt;1,"",IF(I4="SBJ","CB","?"))</f>
        <v/>
      </c>
      <c r="I4" s="14" t="str">
        <f aca="false">IF(OR(E4="",E4="!!!",F4="NEW"),"",INDEX(B$2:B3,-1+SUMPRODUCT(MAX(ROW(E$2:E3)*(E4=E$2:E3)))))</f>
        <v/>
      </c>
      <c r="J4" s="15" t="str">
        <f aca="true">IF(OR(E4="",E4="!!!",F4="NEW"),"",COUNTBLANK(OFFSET(A$1,,,SUMPRODUCT(MAX(ROW(E$2:E4)*(E4=E$2:E4)))))-COUNTBLANK(OFFSET(A$1,,,SUMPRODUCT(MAX(ROW(E$1:E3)*(E4=E$1:E3))))))</f>
        <v/>
      </c>
      <c r="K4" s="15" t="str">
        <f aca="false">IF(OR(E4="",E4="!!!",F4="NEW"),"",INDEX(J$1:J3,SUMPRODUCT(MAX(ROW(E$1:E3)*(E4=E$1:E3)))))</f>
        <v/>
      </c>
      <c r="L4" s="16"/>
    </row>
    <row r="5" customFormat="false" ht="12.75" hidden="false" customHeight="false" outlineLevel="0" collapsed="false">
      <c r="A5" s="1" t="s">
        <v>20</v>
      </c>
      <c r="E5" s="10" t="str">
        <f aca="false">IF(D5="?OLD","!!!","")</f>
        <v/>
      </c>
      <c r="F5" s="11" t="str">
        <f aca="false">IF(OR(E5="",E5="!!!"),"",IF(NOT(ISNA(VLOOKUP(E5,E$1:E4,1,FALSE()))),"OLD",IF(AND(E5&lt;&gt;"",E5&lt;&gt;"!!!"),"NEW","")))</f>
        <v/>
      </c>
      <c r="G5" s="12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13" t="str">
        <f aca="false">IF(J5&lt;&gt;1,"",IF(I5="SBJ","CB","?"))</f>
        <v/>
      </c>
      <c r="I5" s="14" t="str">
        <f aca="false">IF(OR(E5="",E5="!!!",F5="NEW"),"",INDEX(B$2:B4,-1+SUMPRODUCT(MAX(ROW(E$2:E4)*(E5=E$2:E4)))))</f>
        <v/>
      </c>
      <c r="J5" s="15" t="str">
        <f aca="true">IF(OR(E5="",E5="!!!",F5="NEW"),"",COUNTBLANK(OFFSET(A$1,,,SUMPRODUCT(MAX(ROW(E$2:E5)*(E5=E$2:E5)))))-COUNTBLANK(OFFSET(A$1,,,SUMPRODUCT(MAX(ROW(E$1:E4)*(E5=E$1:E4))))))</f>
        <v/>
      </c>
      <c r="K5" s="15" t="str">
        <f aca="false">IF(OR(E5="",E5="!!!",F5="NEW"),"",INDEX(J$1:J4,SUMPRODUCT(MAX(ROW(E$1:E4)*(E5=E$1:E4)))))</f>
        <v/>
      </c>
      <c r="L5" s="16"/>
    </row>
    <row r="6" customFormat="false" ht="12.75" hidden="false" customHeight="false" outlineLevel="0" collapsed="false">
      <c r="A6" s="1" t="s">
        <v>21</v>
      </c>
      <c r="B6" s="1" t="s">
        <v>22</v>
      </c>
      <c r="C6" s="1" t="s">
        <v>23</v>
      </c>
      <c r="D6" s="1" t="s">
        <v>16</v>
      </c>
      <c r="E6" s="10" t="s">
        <v>24</v>
      </c>
      <c r="F6" s="11" t="str">
        <f aca="false">IF(OR(E6="",E6="!!!"),"",IF(NOT(ISNA(VLOOKUP(E6,E$1:E5,1,FALSE()))),"OLD",IF(AND(E6&lt;&gt;"",E6&lt;&gt;"!!!"),"NEW","")))</f>
        <v>NEW</v>
      </c>
      <c r="G6" s="12" t="s">
        <v>25</v>
      </c>
      <c r="H6" s="13" t="str">
        <f aca="false">IF(J6&lt;&gt;1,"",IF(I6="SBJ","CB","?"))</f>
        <v/>
      </c>
      <c r="I6" s="14" t="str">
        <f aca="false">IF(OR(E6="",E6="!!!",F6="NEW"),"",INDEX(B$2:B5,-1+SUMPRODUCT(MAX(ROW(E$2:E5)*(E6=E$2:E5)))))</f>
        <v/>
      </c>
      <c r="J6" s="15" t="str">
        <f aca="true">IF(OR(E6="",E6="!!!",F6="NEW"),"",COUNTBLANK(OFFSET(A$1,,,SUMPRODUCT(MAX(ROW(E$2:E6)*(E6=E$2:E6)))))-COUNTBLANK(OFFSET(A$1,,,SUMPRODUCT(MAX(ROW(E$1:E5)*(E6=E$1:E5))))))</f>
        <v/>
      </c>
      <c r="K6" s="15" t="str">
        <f aca="false">IF(OR(E6="",E6="!!!",F6="NEW"),"",INDEX(J$1:J5,SUMPRODUCT(MAX(ROW(E$1:E5)*(E6=E$1:E5)))))</f>
        <v/>
      </c>
      <c r="L6" s="16"/>
    </row>
    <row r="7" customFormat="false" ht="12.75" hidden="false" customHeight="false" outlineLevel="0" collapsed="false">
      <c r="A7" s="1" t="s">
        <v>26</v>
      </c>
      <c r="E7" s="10" t="str">
        <f aca="false">IF(D7="?OLD","!!!","")</f>
        <v/>
      </c>
      <c r="F7" s="11" t="str">
        <f aca="false">IF(OR(E7="",E7="!!!"),"",IF(NOT(ISNA(VLOOKUP(E7,E$1:E6,1,FALSE()))),"OLD",IF(AND(E7&lt;&gt;"",E7&lt;&gt;"!!!"),"NEW","")))</f>
        <v/>
      </c>
      <c r="G7" s="12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13" t="str">
        <f aca="false">IF(J7&lt;&gt;1,"",IF(I7="SBJ","CB","?"))</f>
        <v/>
      </c>
      <c r="I7" s="14" t="str">
        <f aca="false">IF(OR(E7="",E7="!!!",F7="NEW"),"",INDEX(B$2:B6,-1+SUMPRODUCT(MAX(ROW(E$2:E6)*(E7=E$2:E6)))))</f>
        <v/>
      </c>
      <c r="J7" s="15" t="str">
        <f aca="true">IF(OR(E7="",E7="!!!",F7="NEW"),"",COUNTBLANK(OFFSET(A$1,,,SUMPRODUCT(MAX(ROW(E$2:E7)*(E7=E$2:E7)))))-COUNTBLANK(OFFSET(A$1,,,SUMPRODUCT(MAX(ROW(E$1:E6)*(E7=E$1:E6))))))</f>
        <v/>
      </c>
      <c r="K7" s="15" t="str">
        <f aca="false">IF(OR(E7="",E7="!!!",F7="NEW"),"",INDEX(J$1:J6,SUMPRODUCT(MAX(ROW(E$1:E6)*(E7=E$1:E6)))))</f>
        <v/>
      </c>
      <c r="L7" s="16"/>
    </row>
    <row r="8" customFormat="false" ht="12.75" hidden="false" customHeight="false" outlineLevel="0" collapsed="false">
      <c r="A8" s="1" t="s">
        <v>27</v>
      </c>
      <c r="B8" s="1" t="s">
        <v>28</v>
      </c>
      <c r="C8" s="1" t="s">
        <v>15</v>
      </c>
      <c r="D8" s="1" t="s">
        <v>16</v>
      </c>
      <c r="E8" s="10" t="s">
        <v>27</v>
      </c>
      <c r="F8" s="11" t="s">
        <v>29</v>
      </c>
      <c r="G8" s="12"/>
      <c r="H8" s="13"/>
      <c r="I8" s="14" t="e">
        <f aca="false">IF(OR(E8="",E8="!!!",F8="NEW"),"",INDEX(B$2:B7,-1+SUMPRODUCT(MAX(ROW(E$2:E7)*(E8=E$2:E7)))))</f>
        <v>#VALUE!</v>
      </c>
      <c r="J8" s="15" t="e">
        <f aca="true">IF(OR(E8="",E8="!!!",F8="NEW"),"",COUNTBLANK(OFFSET(A$1,,,SUMPRODUCT(MAX(ROW(E$2:E8)*(E8=E$2:E8)))))-COUNTBLANK(OFFSET(A$1,,,SUMPRODUCT(MAX(ROW(E$1:E7)*(E8=E$1:E7))))))</f>
        <v>#VALUE!</v>
      </c>
      <c r="K8" s="15" t="e">
        <f aca="false">IF(OR(E8="",E8="!!!",F8="NEW"),"",INDEX(J$1:J7,SUMPRODUCT(MAX(ROW(E$1:E7)*(E8=E$1:E7)))))</f>
        <v>#VALUE!</v>
      </c>
      <c r="L8" s="16"/>
    </row>
    <row r="9" customFormat="false" ht="12.75" hidden="false" customHeight="false" outlineLevel="0" collapsed="false">
      <c r="A9" s="1" t="s">
        <v>30</v>
      </c>
      <c r="E9" s="10" t="str">
        <f aca="false">IF(D9="?OLD","!!!","")</f>
        <v/>
      </c>
      <c r="F9" s="11" t="str">
        <f aca="false">IF(OR(E9="",E9="!!!"),"",IF(NOT(ISNA(VLOOKUP(E9,E$1:E8,1,FALSE()))),"OLD",IF(AND(E9&lt;&gt;"",E9&lt;&gt;"!!!"),"NEW","")))</f>
        <v/>
      </c>
      <c r="G9" s="12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13" t="str">
        <f aca="false">IF(J9&lt;&gt;1,"",IF(I9="SBJ","CB","?"))</f>
        <v/>
      </c>
      <c r="I9" s="14" t="str">
        <f aca="false">IF(OR(E9="",E9="!!!",F9="NEW"),"",INDEX(B$2:B8,-1+SUMPRODUCT(MAX(ROW(E$2:E8)*(E9=E$2:E8)))))</f>
        <v/>
      </c>
      <c r="J9" s="15" t="str">
        <f aca="true">IF(OR(E9="",E9="!!!",F9="NEW"),"",COUNTBLANK(OFFSET(A$1,,,SUMPRODUCT(MAX(ROW(E$2:E9)*(E9=E$2:E9)))))-COUNTBLANK(OFFSET(A$1,,,SUMPRODUCT(MAX(ROW(E$1:E8)*(E9=E$1:E8))))))</f>
        <v/>
      </c>
      <c r="K9" s="15" t="str">
        <f aca="false">IF(OR(E9="",E9="!!!",F9="NEW"),"",INDEX(J$1:J8,SUMPRODUCT(MAX(ROW(E$1:E8)*(E9=E$1:E8)))))</f>
        <v/>
      </c>
      <c r="L9" s="16"/>
    </row>
    <row r="10" customFormat="false" ht="12.75" hidden="false" customHeight="false" outlineLevel="0" collapsed="false">
      <c r="A10" s="1" t="s">
        <v>31</v>
      </c>
      <c r="E10" s="10" t="str">
        <f aca="false">IF(D10="?OLD","!!!","")</f>
        <v/>
      </c>
      <c r="F10" s="11" t="str">
        <f aca="false">IF(OR(E10="",E10="!!!"),"",IF(NOT(ISNA(VLOOKUP(E10,E$1:E9,1,FALSE()))),"OLD",IF(AND(E10&lt;&gt;"",E10&lt;&gt;"!!!"),"NEW","")))</f>
        <v/>
      </c>
      <c r="G10" s="12" t="str">
        <f aca="false"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13" t="str">
        <f aca="false">IF(J10&lt;&gt;1,"",IF(I10="SBJ","CB","?"))</f>
        <v/>
      </c>
      <c r="I10" s="14" t="str">
        <f aca="false">IF(OR(E10="",E10="!!!",F10="NEW"),"",INDEX(B$2:B9,-1+SUMPRODUCT(MAX(ROW(E$2:E9)*(E10=E$2:E9)))))</f>
        <v/>
      </c>
      <c r="J10" s="15" t="str">
        <f aca="true">IF(OR(E10="",E10="!!!",F10="NEW"),"",COUNTBLANK(OFFSET(A$1,,,SUMPRODUCT(MAX(ROW(E$2:E10)*(E10=E$2:E10)))))-COUNTBLANK(OFFSET(A$1,,,SUMPRODUCT(MAX(ROW(E$1:E9)*(E10=E$1:E9))))))</f>
        <v/>
      </c>
      <c r="K10" s="15" t="str">
        <f aca="false">IF(OR(E10="",E10="!!!",F10="NEW"),"",INDEX(J$1:J9,SUMPRODUCT(MAX(ROW(E$1:E9)*(E10=E$1:E9)))))</f>
        <v/>
      </c>
      <c r="L10" s="16"/>
    </row>
    <row r="11" customFormat="false" ht="12.75" hidden="false" customHeight="false" outlineLevel="0" collapsed="false">
      <c r="A11" s="1" t="s">
        <v>32</v>
      </c>
      <c r="E11" s="10" t="str">
        <f aca="false">IF(D11="?OLD","!!!","")</f>
        <v/>
      </c>
      <c r="F11" s="11" t="str">
        <f aca="false">IF(OR(E11="",E11="!!!"),"",IF(NOT(ISNA(VLOOKUP(E11,E$1:E10,1,FALSE()))),"OLD",IF(AND(E11&lt;&gt;"",E11&lt;&gt;"!!!"),"NEW","")))</f>
        <v/>
      </c>
      <c r="G11" s="12" t="str">
        <f aca="false"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13" t="str">
        <f aca="false">IF(J11&lt;&gt;1,"",IF(I11="SBJ","CB","?"))</f>
        <v/>
      </c>
      <c r="I11" s="14" t="str">
        <f aca="false">IF(OR(E11="",E11="!!!",F11="NEW"),"",INDEX(B$2:B10,-1+SUMPRODUCT(MAX(ROW(E$2:E10)*(E11=E$2:E10)))))</f>
        <v/>
      </c>
      <c r="J11" s="15" t="str">
        <f aca="true">IF(OR(E11="",E11="!!!",F11="NEW"),"",COUNTBLANK(OFFSET(A$1,,,SUMPRODUCT(MAX(ROW(E$2:E11)*(E11=E$2:E11)))))-COUNTBLANK(OFFSET(A$1,,,SUMPRODUCT(MAX(ROW(E$1:E10)*(E11=E$1:E10))))))</f>
        <v/>
      </c>
      <c r="K11" s="15" t="str">
        <f aca="false">IF(OR(E11="",E11="!!!",F11="NEW"),"",INDEX(J$1:J10,SUMPRODUCT(MAX(ROW(E$1:E10)*(E11=E$1:E10)))))</f>
        <v/>
      </c>
      <c r="L11" s="16"/>
    </row>
    <row r="12" customFormat="false" ht="12.75" hidden="false" customHeight="false" outlineLevel="0" collapsed="false">
      <c r="A12" s="1" t="s">
        <v>31</v>
      </c>
      <c r="E12" s="10" t="str">
        <f aca="false">IF(D12="?OLD","!!!","")</f>
        <v/>
      </c>
      <c r="F12" s="11" t="str">
        <f aca="false">IF(OR(E12="",E12="!!!"),"",IF(NOT(ISNA(VLOOKUP(E12,E$1:E11,1,FALSE()))),"OLD",IF(AND(E12&lt;&gt;"",E12&lt;&gt;"!!!"),"NEW","")))</f>
        <v/>
      </c>
      <c r="G12" s="12" t="str">
        <f aca="false"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13" t="str">
        <f aca="false">IF(J12&lt;&gt;1,"",IF(I12="SBJ","CB","?"))</f>
        <v/>
      </c>
      <c r="I12" s="14" t="str">
        <f aca="false">IF(OR(E12="",E12="!!!",F12="NEW"),"",INDEX(B$2:B11,-1+SUMPRODUCT(MAX(ROW(E$2:E11)*(E12=E$2:E11)))))</f>
        <v/>
      </c>
      <c r="J12" s="15" t="str">
        <f aca="true">IF(OR(E12="",E12="!!!",F12="NEW"),"",COUNTBLANK(OFFSET(A$1,,,SUMPRODUCT(MAX(ROW(E$2:E12)*(E12=E$2:E12)))))-COUNTBLANK(OFFSET(A$1,,,SUMPRODUCT(MAX(ROW(E$1:E11)*(E12=E$1:E11))))))</f>
        <v/>
      </c>
      <c r="K12" s="15" t="str">
        <f aca="false">IF(OR(E12="",E12="!!!",F12="NEW"),"",INDEX(J$1:J11,SUMPRODUCT(MAX(ROW(E$1:E11)*(E12=E$1:E11)))))</f>
        <v/>
      </c>
      <c r="L12" s="16"/>
    </row>
    <row r="13" customFormat="false" ht="12.75" hidden="false" customHeight="false" outlineLevel="0" collapsed="false">
      <c r="A13" s="1" t="s">
        <v>33</v>
      </c>
      <c r="B13" s="1" t="s">
        <v>14</v>
      </c>
      <c r="E13" s="10" t="str">
        <f aca="false">IF(D13="?OLD","!!!","")</f>
        <v/>
      </c>
      <c r="F13" s="11" t="str">
        <f aca="false">IF(OR(E13="",E13="!!!"),"",IF(NOT(ISNA(VLOOKUP(E13,E$1:E12,1,FALSE()))),"OLD",IF(AND(E13&lt;&gt;"",E13&lt;&gt;"!!!"),"NEW","")))</f>
        <v/>
      </c>
      <c r="G13" s="12" t="str">
        <f aca="false"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13" t="str">
        <f aca="false">IF(J13&lt;&gt;1,"",IF(I13="SBJ","CB","?"))</f>
        <v/>
      </c>
      <c r="I13" s="14" t="str">
        <f aca="false">IF(OR(E13="",E13="!!!",F13="NEW"),"",INDEX(B$2:B12,-1+SUMPRODUCT(MAX(ROW(E$2:E12)*(E13=E$2:E12)))))</f>
        <v/>
      </c>
      <c r="J13" s="15" t="str">
        <f aca="true">IF(OR(E13="",E13="!!!",F13="NEW"),"",COUNTBLANK(OFFSET(A$1,,,SUMPRODUCT(MAX(ROW(E$2:E13)*(E13=E$2:E13)))))-COUNTBLANK(OFFSET(A$1,,,SUMPRODUCT(MAX(ROW(E$1:E12)*(E13=E$1:E12))))))</f>
        <v/>
      </c>
      <c r="K13" s="15" t="str">
        <f aca="false">IF(OR(E13="",E13="!!!",F13="NEW"),"",INDEX(J$1:J12,SUMPRODUCT(MAX(ROW(E$1:E12)*(E13=E$1:E12)))))</f>
        <v/>
      </c>
      <c r="L13" s="16"/>
    </row>
    <row r="14" customFormat="false" ht="12.75" hidden="false" customHeight="false" outlineLevel="0" collapsed="false">
      <c r="A14" s="1" t="s">
        <v>34</v>
      </c>
      <c r="E14" s="10" t="str">
        <f aca="false">IF(D14="?OLD","!!!","")</f>
        <v/>
      </c>
      <c r="F14" s="11" t="str">
        <f aca="false">IF(OR(E14="",E14="!!!"),"",IF(NOT(ISNA(VLOOKUP(E14,E$1:E13,1,FALSE()))),"OLD",IF(AND(E14&lt;&gt;"",E14&lt;&gt;"!!!"),"NEW","")))</f>
        <v/>
      </c>
      <c r="G14" s="12" t="str">
        <f aca="false"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13" t="str">
        <f aca="false">IF(J14&lt;&gt;1,"",IF(I14="SBJ","CB","?"))</f>
        <v/>
      </c>
      <c r="I14" s="14" t="str">
        <f aca="false">IF(OR(E14="",E14="!!!",F14="NEW"),"",INDEX(B$2:B13,-1+SUMPRODUCT(MAX(ROW(E$2:E13)*(E14=E$2:E13)))))</f>
        <v/>
      </c>
      <c r="J14" s="15" t="str">
        <f aca="true">IF(OR(E14="",E14="!!!",F14="NEW"),"",COUNTBLANK(OFFSET(A$1,,,SUMPRODUCT(MAX(ROW(E$2:E14)*(E14=E$2:E14)))))-COUNTBLANK(OFFSET(A$1,,,SUMPRODUCT(MAX(ROW(E$1:E13)*(E14=E$1:E13))))))</f>
        <v/>
      </c>
      <c r="K14" s="15" t="str">
        <f aca="false">IF(OR(E14="",E14="!!!",F14="NEW"),"",INDEX(J$1:J13,SUMPRODUCT(MAX(ROW(E$1:E13)*(E14=E$1:E13)))))</f>
        <v/>
      </c>
      <c r="L14" s="16"/>
    </row>
    <row r="15" customFormat="false" ht="12.75" hidden="false" customHeight="false" outlineLevel="0" collapsed="false">
      <c r="A15" s="1" t="s">
        <v>35</v>
      </c>
      <c r="E15" s="10" t="str">
        <f aca="false">IF(D15="?OLD","!!!","")</f>
        <v/>
      </c>
      <c r="F15" s="11" t="str">
        <f aca="false">IF(OR(E15="",E15="!!!"),"",IF(NOT(ISNA(VLOOKUP(E15,E$1:E14,1,FALSE()))),"OLD",IF(AND(E15&lt;&gt;"",E15&lt;&gt;"!!!"),"NEW","")))</f>
        <v/>
      </c>
      <c r="G15" s="12" t="str">
        <f aca="false"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13" t="str">
        <f aca="false">IF(J15&lt;&gt;1,"",IF(I15="SBJ","CB","?"))</f>
        <v/>
      </c>
      <c r="I15" s="14" t="str">
        <f aca="false">IF(OR(E15="",E15="!!!",F15="NEW"),"",INDEX(B$2:B14,-1+SUMPRODUCT(MAX(ROW(E$2:E14)*(E15=E$2:E14)))))</f>
        <v/>
      </c>
      <c r="J15" s="15" t="str">
        <f aca="true">IF(OR(E15="",E15="!!!",F15="NEW"),"",COUNTBLANK(OFFSET(A$1,,,SUMPRODUCT(MAX(ROW(E$2:E15)*(E15=E$2:E15)))))-COUNTBLANK(OFFSET(A$1,,,SUMPRODUCT(MAX(ROW(E$1:E14)*(E15=E$1:E14))))))</f>
        <v/>
      </c>
      <c r="K15" s="15" t="str">
        <f aca="false">IF(OR(E15="",E15="!!!",F15="NEW"),"",INDEX(J$1:J14,SUMPRODUCT(MAX(ROW(E$1:E14)*(E15=E$1:E14)))))</f>
        <v/>
      </c>
      <c r="L15" s="16"/>
    </row>
    <row r="16" customFormat="false" ht="12.7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16</v>
      </c>
      <c r="E16" s="10" t="s">
        <v>17</v>
      </c>
      <c r="F16" s="11" t="str">
        <f aca="false">IF(OR(E16="",E16="!!!"),"",IF(NOT(ISNA(VLOOKUP(E16,E$1:E15,1,FALSE()))),"OLD",IF(AND(E16&lt;&gt;"",E16&lt;&gt;"!!!"),"NEW","")))</f>
        <v>OLD</v>
      </c>
      <c r="G16" s="12" t="s">
        <v>39</v>
      </c>
      <c r="H16" s="13" t="str">
        <f aca="false">IF(J16&lt;&gt;1,"",IF(I16="SBJ","CB","?"))</f>
        <v/>
      </c>
      <c r="I16" s="14" t="str">
        <f aca="false">IF(OR(E16="",E16="!!!",F16="NEW"),"",INDEX(B$2:B15,-1+SUMPRODUCT(MAX(ROW(E$2:E15)*(E16=E$2:E15)))))</f>
        <v>SBJ</v>
      </c>
      <c r="J16" s="15" t="n">
        <f aca="true">IF(OR(E16="",E16="!!!",F16="NEW"),"",COUNTBLANK(OFFSET(A$1,,,SUMPRODUCT(MAX(ROW(E$2:E16)*(E16=E$2:E16)))))-COUNTBLANK(OFFSET(A$1,,,SUMPRODUCT(MAX(ROW(E$1:E15)*(E16=E$1:E15))))))</f>
        <v>0</v>
      </c>
      <c r="K16" s="15" t="str">
        <f aca="false">IF(OR(E16="",E16="!!!",F16="NEW"),"",INDEX(J$1:J15,SUMPRODUCT(MAX(ROW(E$1:E15)*(E16=E$1:E15)))))</f>
        <v/>
      </c>
      <c r="L16" s="16"/>
    </row>
    <row r="17" customFormat="false" ht="12.75" hidden="false" customHeight="false" outlineLevel="0" collapsed="false">
      <c r="A17" s="1" t="s">
        <v>40</v>
      </c>
      <c r="E17" s="10" t="str">
        <f aca="false">IF(D17="?OLD","!!!","")</f>
        <v/>
      </c>
      <c r="F17" s="11" t="str">
        <f aca="false">IF(OR(E17="",E17="!!!"),"",IF(NOT(ISNA(VLOOKUP(E17,E$1:E16,1,FALSE()))),"OLD",IF(AND(E17&lt;&gt;"",E17&lt;&gt;"!!!"),"NEW","")))</f>
        <v/>
      </c>
      <c r="G17" s="12" t="str">
        <f aca="false"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13" t="str">
        <f aca="false">IF(J17&lt;&gt;1,"",IF(I17="SBJ","CB","?"))</f>
        <v/>
      </c>
      <c r="I17" s="14" t="str">
        <f aca="false">IF(OR(E17="",E17="!!!",F17="NEW"),"",INDEX(B$2:B16,-1+SUMPRODUCT(MAX(ROW(E$2:E16)*(E17=E$2:E16)))))</f>
        <v/>
      </c>
      <c r="J17" s="15" t="str">
        <f aca="true">IF(OR(E17="",E17="!!!",F17="NEW"),"",COUNTBLANK(OFFSET(A$1,,,SUMPRODUCT(MAX(ROW(E$2:E17)*(E17=E$2:E17)))))-COUNTBLANK(OFFSET(A$1,,,SUMPRODUCT(MAX(ROW(E$1:E16)*(E17=E$1:E16))))))</f>
        <v/>
      </c>
      <c r="K17" s="15" t="str">
        <f aca="false">IF(OR(E17="",E17="!!!",F17="NEW"),"",INDEX(J$1:J16,SUMPRODUCT(MAX(ROW(E$1:E16)*(E17=E$1:E16)))))</f>
        <v/>
      </c>
      <c r="L17" s="16"/>
    </row>
    <row r="18" customFormat="false" ht="12.75" hidden="false" customHeight="false" outlineLevel="0" collapsed="false">
      <c r="A18" s="1" t="s">
        <v>17</v>
      </c>
      <c r="B18" s="1" t="s">
        <v>41</v>
      </c>
      <c r="C18" s="1" t="s">
        <v>42</v>
      </c>
      <c r="E18" s="10" t="str">
        <f aca="false">IF(D18="?OLD","!!!","")</f>
        <v/>
      </c>
      <c r="F18" s="11" t="str">
        <f aca="false">IF(OR(E18="",E18="!!!"),"",IF(NOT(ISNA(VLOOKUP(E18,E$1:E17,1,FALSE()))),"OLD",IF(AND(E18&lt;&gt;"",E18&lt;&gt;"!!!"),"NEW","")))</f>
        <v/>
      </c>
      <c r="G18" s="12" t="str">
        <f aca="false"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13" t="str">
        <f aca="false">IF(J18&lt;&gt;1,"",IF(I18="SBJ","CB","?"))</f>
        <v/>
      </c>
      <c r="I18" s="14" t="str">
        <f aca="false">IF(OR(E18="",E18="!!!",F18="NEW"),"",INDEX(B$2:B17,-1+SUMPRODUCT(MAX(ROW(E$2:E17)*(E18=E$2:E17)))))</f>
        <v/>
      </c>
      <c r="J18" s="15" t="str">
        <f aca="true">IF(OR(E18="",E18="!!!",F18="NEW"),"",COUNTBLANK(OFFSET(A$1,,,SUMPRODUCT(MAX(ROW(E$2:E18)*(E18=E$2:E18)))))-COUNTBLANK(OFFSET(A$1,,,SUMPRODUCT(MAX(ROW(E$1:E17)*(E18=E$1:E17))))))</f>
        <v/>
      </c>
      <c r="K18" s="15" t="str">
        <f aca="false">IF(OR(E18="",E18="!!!",F18="NEW"),"",INDEX(J$1:J17,SUMPRODUCT(MAX(ROW(E$1:E17)*(E18=E$1:E17)))))</f>
        <v/>
      </c>
      <c r="L18" s="16"/>
    </row>
    <row r="19" customFormat="false" ht="12.75" hidden="false" customHeight="false" outlineLevel="0" collapsed="false">
      <c r="A19" s="1" t="s">
        <v>43</v>
      </c>
      <c r="E19" s="10" t="str">
        <f aca="false">IF(D19="?OLD","!!!","")</f>
        <v/>
      </c>
      <c r="F19" s="11" t="str">
        <f aca="false">IF(OR(E19="",E19="!!!"),"",IF(NOT(ISNA(VLOOKUP(E19,E$1:E18,1,FALSE()))),"OLD",IF(AND(E19&lt;&gt;"",E19&lt;&gt;"!!!"),"NEW","")))</f>
        <v/>
      </c>
      <c r="G19" s="12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13" t="str">
        <f aca="false">IF(J19&lt;&gt;1,"",IF(I19="SBJ","CB","?"))</f>
        <v/>
      </c>
      <c r="I19" s="14" t="str">
        <f aca="false">IF(OR(E19="",E19="!!!",F19="NEW"),"",INDEX(B$2:B18,-1+SUMPRODUCT(MAX(ROW(E$2:E18)*(E19=E$2:E18)))))</f>
        <v/>
      </c>
      <c r="J19" s="15" t="str">
        <f aca="true">IF(OR(E19="",E19="!!!",F19="NEW"),"",COUNTBLANK(OFFSET(A$1,,,SUMPRODUCT(MAX(ROW(E$2:E19)*(E19=E$2:E19)))))-COUNTBLANK(OFFSET(A$1,,,SUMPRODUCT(MAX(ROW(E$1:E18)*(E19=E$1:E18))))))</f>
        <v/>
      </c>
      <c r="K19" s="15" t="str">
        <f aca="false">IF(OR(E19="",E19="!!!",F19="NEW"),"",INDEX(J$1:J18,SUMPRODUCT(MAX(ROW(E$1:E18)*(E19=E$1:E18)))))</f>
        <v/>
      </c>
      <c r="L19" s="16"/>
    </row>
    <row r="20" customFormat="false" ht="12.75" hidden="false" customHeight="false" outlineLevel="0" collapsed="false">
      <c r="A20" s="1" t="s">
        <v>44</v>
      </c>
      <c r="E20" s="10" t="str">
        <f aca="false">IF(D20="?OLD","!!!","")</f>
        <v/>
      </c>
      <c r="F20" s="11" t="str">
        <f aca="false">IF(OR(E20="",E20="!!!"),"",IF(NOT(ISNA(VLOOKUP(E20,E$1:E19,1,FALSE()))),"OLD",IF(AND(E20&lt;&gt;"",E20&lt;&gt;"!!!"),"NEW","")))</f>
        <v/>
      </c>
      <c r="G20" s="12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13" t="str">
        <f aca="false">IF(J20&lt;&gt;1,"",IF(I20="SBJ","CB","?"))</f>
        <v/>
      </c>
      <c r="I20" s="14" t="str">
        <f aca="false">IF(OR(E20="",E20="!!!",F20="NEW"),"",INDEX(B$2:B19,-1+SUMPRODUCT(MAX(ROW(E$2:E19)*(E20=E$2:E19)))))</f>
        <v/>
      </c>
      <c r="J20" s="15" t="str">
        <f aca="true">IF(OR(E20="",E20="!!!",F20="NEW"),"",COUNTBLANK(OFFSET(A$1,,,SUMPRODUCT(MAX(ROW(E$2:E20)*(E20=E$2:E20)))))-COUNTBLANK(OFFSET(A$1,,,SUMPRODUCT(MAX(ROW(E$1:E19)*(E20=E$1:E19))))))</f>
        <v/>
      </c>
      <c r="K20" s="15" t="str">
        <f aca="false">IF(OR(E20="",E20="!!!",F20="NEW"),"",INDEX(J$1:J19,SUMPRODUCT(MAX(ROW(E$1:E19)*(E20=E$1:E19)))))</f>
        <v/>
      </c>
      <c r="L20" s="16"/>
    </row>
    <row r="21" customFormat="false" ht="12.75" hidden="false" customHeight="false" outlineLevel="0" collapsed="false">
      <c r="A21" s="1" t="s">
        <v>45</v>
      </c>
      <c r="B21" s="1" t="s">
        <v>46</v>
      </c>
      <c r="C21" s="1" t="s">
        <v>38</v>
      </c>
      <c r="D21" s="1" t="s">
        <v>16</v>
      </c>
      <c r="E21" s="10" t="s">
        <v>24</v>
      </c>
      <c r="F21" s="11" t="str">
        <f aca="false">IF(OR(E21="",E21="!!!"),"",IF(NOT(ISNA(VLOOKUP(E21,E$1:E20,1,FALSE()))),"OLD",IF(AND(E21&lt;&gt;"",E21&lt;&gt;"!!!"),"NEW","")))</f>
        <v>OLD</v>
      </c>
      <c r="G21" s="12" t="s">
        <v>39</v>
      </c>
      <c r="H21" s="13" t="str">
        <f aca="false">IF(J21&lt;&gt;1,"",IF(I21="SBJ","CB","?"))</f>
        <v/>
      </c>
      <c r="I21" s="14" t="str">
        <f aca="false">IF(OR(E21="",E21="!!!",F21="NEW"),"",INDEX(B$2:B20,-1+SUMPRODUCT(MAX(ROW(E$2:E20)*(E21=E$2:E20)))))</f>
        <v>other_3</v>
      </c>
      <c r="J21" s="15" t="n">
        <f aca="true">IF(OR(E21="",E21="!!!",F21="NEW"),"",COUNTBLANK(OFFSET(A$1,,,SUMPRODUCT(MAX(ROW(E$2:E21)*(E21=E$2:E21)))))-COUNTBLANK(OFFSET(A$1,,,SUMPRODUCT(MAX(ROW(E$1:E20)*(E21=E$1:E20))))))</f>
        <v>0</v>
      </c>
      <c r="K21" s="15" t="str">
        <f aca="false">IF(OR(E21="",E21="!!!",F21="NEW"),"",INDEX(J$1:J20,SUMPRODUCT(MAX(ROW(E$1:E20)*(E21=E$1:E20)))))</f>
        <v/>
      </c>
      <c r="L21" s="16"/>
    </row>
    <row r="22" customFormat="false" ht="12.75" hidden="false" customHeight="false" outlineLevel="0" collapsed="false">
      <c r="A22" s="1" t="s">
        <v>47</v>
      </c>
      <c r="E22" s="10" t="str">
        <f aca="false">IF(D22="?OLD","!!!","")</f>
        <v/>
      </c>
      <c r="F22" s="11" t="str">
        <f aca="false">IF(OR(E22="",E22="!!!"),"",IF(NOT(ISNA(VLOOKUP(E22,E$1:E21,1,FALSE()))),"OLD",IF(AND(E22&lt;&gt;"",E22&lt;&gt;"!!!"),"NEW","")))</f>
        <v/>
      </c>
      <c r="G22" s="12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13" t="str">
        <f aca="false">IF(J22&lt;&gt;1,"",IF(I22="SBJ","CB","?"))</f>
        <v/>
      </c>
      <c r="I22" s="14" t="str">
        <f aca="false">IF(OR(E22="",E22="!!!",F22="NEW"),"",INDEX(B$2:B21,-1+SUMPRODUCT(MAX(ROW(E$2:E21)*(E22=E$2:E21)))))</f>
        <v/>
      </c>
      <c r="J22" s="15" t="str">
        <f aca="true">IF(OR(E22="",E22="!!!",F22="NEW"),"",COUNTBLANK(OFFSET(A$1,,,SUMPRODUCT(MAX(ROW(E$2:E22)*(E22=E$2:E22)))))-COUNTBLANK(OFFSET(A$1,,,SUMPRODUCT(MAX(ROW(E$1:E21)*(E22=E$1:E21))))))</f>
        <v/>
      </c>
      <c r="K22" s="15" t="str">
        <f aca="false">IF(OR(E22="",E22="!!!",F22="NEW"),"",INDEX(J$1:J21,SUMPRODUCT(MAX(ROW(E$1:E21)*(E22=E$1:E21)))))</f>
        <v/>
      </c>
      <c r="L22" s="16"/>
    </row>
    <row r="23" customFormat="false" ht="12.75" hidden="false" customHeight="false" outlineLevel="0" collapsed="false">
      <c r="A23" s="1" t="s">
        <v>48</v>
      </c>
      <c r="E23" s="10" t="str">
        <f aca="false">IF(D23="?OLD","!!!","")</f>
        <v/>
      </c>
      <c r="F23" s="11" t="str">
        <f aca="false">IF(OR(E23="",E23="!!!"),"",IF(NOT(ISNA(VLOOKUP(E23,E$1:E22,1,FALSE()))),"OLD",IF(AND(E23&lt;&gt;"",E23&lt;&gt;"!!!"),"NEW","")))</f>
        <v/>
      </c>
      <c r="G23" s="12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13" t="str">
        <f aca="false">IF(J23&lt;&gt;1,"",IF(I23="SBJ","CB","?"))</f>
        <v/>
      </c>
      <c r="I23" s="14" t="str">
        <f aca="false">IF(OR(E23="",E23="!!!",F23="NEW"),"",INDEX(B$2:B22,-1+SUMPRODUCT(MAX(ROW(E$2:E22)*(E23=E$2:E22)))))</f>
        <v/>
      </c>
      <c r="J23" s="15" t="str">
        <f aca="true">IF(OR(E23="",E23="!!!",F23="NEW"),"",COUNTBLANK(OFFSET(A$1,,,SUMPRODUCT(MAX(ROW(E$2:E23)*(E23=E$2:E23)))))-COUNTBLANK(OFFSET(A$1,,,SUMPRODUCT(MAX(ROW(E$1:E22)*(E23=E$1:E22))))))</f>
        <v/>
      </c>
      <c r="K23" s="15" t="str">
        <f aca="false">IF(OR(E23="",E23="!!!",F23="NEW"),"",INDEX(J$1:J22,SUMPRODUCT(MAX(ROW(E$1:E22)*(E23=E$1:E22)))))</f>
        <v/>
      </c>
      <c r="L23" s="16"/>
    </row>
    <row r="24" customFormat="false" ht="12.75" hidden="false" customHeight="false" outlineLevel="0" collapsed="false">
      <c r="A24" s="1" t="s">
        <v>49</v>
      </c>
      <c r="E24" s="10" t="str">
        <f aca="false">IF(D24="?OLD","!!!","")</f>
        <v/>
      </c>
      <c r="F24" s="11" t="str">
        <f aca="false">IF(OR(E24="",E24="!!!"),"",IF(NOT(ISNA(VLOOKUP(E24,E$1:E23,1,FALSE()))),"OLD",IF(AND(E24&lt;&gt;"",E24&lt;&gt;"!!!"),"NEW","")))</f>
        <v/>
      </c>
      <c r="G24" s="12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13" t="str">
        <f aca="false">IF(J24&lt;&gt;1,"",IF(I24="SBJ","CB","?"))</f>
        <v/>
      </c>
      <c r="I24" s="14" t="str">
        <f aca="false">IF(OR(E24="",E24="!!!",F24="NEW"),"",INDEX(B$2:B23,-1+SUMPRODUCT(MAX(ROW(E$2:E23)*(E24=E$2:E23)))))</f>
        <v/>
      </c>
      <c r="J24" s="15" t="str">
        <f aca="true">IF(OR(E24="",E24="!!!",F24="NEW"),"",COUNTBLANK(OFFSET(A$1,,,SUMPRODUCT(MAX(ROW(E$2:E24)*(E24=E$2:E24)))))-COUNTBLANK(OFFSET(A$1,,,SUMPRODUCT(MAX(ROW(E$1:E23)*(E24=E$1:E23))))))</f>
        <v/>
      </c>
      <c r="K24" s="15" t="str">
        <f aca="false">IF(OR(E24="",E24="!!!",F24="NEW"),"",INDEX(J$1:J23,SUMPRODUCT(MAX(ROW(E$1:E23)*(E24=E$1:E23)))))</f>
        <v/>
      </c>
      <c r="L24" s="16"/>
    </row>
    <row r="25" customFormat="false" ht="12.75" hidden="false" customHeight="false" outlineLevel="0" collapsed="false">
      <c r="A25" s="1" t="s">
        <v>50</v>
      </c>
      <c r="E25" s="10" t="str">
        <f aca="false">IF(D25="?OLD","!!!","")</f>
        <v/>
      </c>
      <c r="F25" s="11" t="str">
        <f aca="false">IF(OR(E25="",E25="!!!"),"",IF(NOT(ISNA(VLOOKUP(E25,E$1:E24,1,FALSE()))),"OLD",IF(AND(E25&lt;&gt;"",E25&lt;&gt;"!!!"),"NEW","")))</f>
        <v/>
      </c>
      <c r="G25" s="12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13" t="str">
        <f aca="false">IF(J25&lt;&gt;1,"",IF(I25="SBJ","CB","?"))</f>
        <v/>
      </c>
      <c r="I25" s="14" t="str">
        <f aca="false">IF(OR(E25="",E25="!!!",F25="NEW"),"",INDEX(B$2:B24,-1+SUMPRODUCT(MAX(ROW(E$2:E24)*(E25=E$2:E24)))))</f>
        <v/>
      </c>
      <c r="J25" s="15" t="str">
        <f aca="true">IF(OR(E25="",E25="!!!",F25="NEW"),"",COUNTBLANK(OFFSET(A$1,,,SUMPRODUCT(MAX(ROW(E$2:E25)*(E25=E$2:E25)))))-COUNTBLANK(OFFSET(A$1,,,SUMPRODUCT(MAX(ROW(E$1:E24)*(E25=E$1:E24))))))</f>
        <v/>
      </c>
      <c r="K25" s="15" t="str">
        <f aca="false">IF(OR(E25="",E25="!!!",F25="NEW"),"",INDEX(J$1:J24,SUMPRODUCT(MAX(ROW(E$1:E24)*(E25=E$1:E24)))))</f>
        <v/>
      </c>
      <c r="L25" s="16"/>
    </row>
    <row r="26" customFormat="false" ht="12.75" hidden="false" customHeight="false" outlineLevel="0" collapsed="false">
      <c r="A26" s="1" t="s">
        <v>51</v>
      </c>
      <c r="E26" s="10" t="str">
        <f aca="false">IF(D26="?OLD","!!!","")</f>
        <v/>
      </c>
      <c r="F26" s="11" t="str">
        <f aca="false">IF(OR(E26="",E26="!!!"),"",IF(NOT(ISNA(VLOOKUP(E26,E$1:E25,1,FALSE()))),"OLD",IF(AND(E26&lt;&gt;"",E26&lt;&gt;"!!!"),"NEW","")))</f>
        <v/>
      </c>
      <c r="G26" s="12" t="str">
        <f aca="false"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13" t="str">
        <f aca="false">IF(J26&lt;&gt;1,"",IF(I26="SBJ","CB","?"))</f>
        <v/>
      </c>
      <c r="I26" s="14" t="str">
        <f aca="false">IF(OR(E26="",E26="!!!",F26="NEW"),"",INDEX(B$2:B25,-1+SUMPRODUCT(MAX(ROW(E$2:E25)*(E26=E$2:E25)))))</f>
        <v/>
      </c>
      <c r="J26" s="15" t="str">
        <f aca="true">IF(OR(E26="",E26="!!!",F26="NEW"),"",COUNTBLANK(OFFSET(A$1,,,SUMPRODUCT(MAX(ROW(E$2:E26)*(E26=E$2:E26)))))-COUNTBLANK(OFFSET(A$1,,,SUMPRODUCT(MAX(ROW(E$1:E25)*(E26=E$1:E25))))))</f>
        <v/>
      </c>
      <c r="K26" s="15" t="str">
        <f aca="false">IF(OR(E26="",E26="!!!",F26="NEW"),"",INDEX(J$1:J25,SUMPRODUCT(MAX(ROW(E$1:E25)*(E26=E$1:E25)))))</f>
        <v/>
      </c>
      <c r="L26" s="16"/>
    </row>
    <row r="27" customFormat="false" ht="12.75" hidden="false" customHeight="false" outlineLevel="0" collapsed="false">
      <c r="A27" s="1" t="s">
        <v>52</v>
      </c>
      <c r="B27" s="1" t="s">
        <v>53</v>
      </c>
      <c r="C27" s="1" t="s">
        <v>54</v>
      </c>
      <c r="D27" s="1" t="s">
        <v>16</v>
      </c>
      <c r="E27" s="10" t="s">
        <v>24</v>
      </c>
      <c r="F27" s="11" t="str">
        <f aca="false">IF(OR(E27="",E27="!!!"),"",IF(NOT(ISNA(VLOOKUP(E27,E$1:E26,1,FALSE()))),"OLD",IF(AND(E27&lt;&gt;"",E27&lt;&gt;"!!!"),"NEW","")))</f>
        <v>OLD</v>
      </c>
      <c r="G27" s="12" t="s">
        <v>39</v>
      </c>
      <c r="H27" s="13" t="str">
        <f aca="false">IF(J27&lt;&gt;1,"",IF(I27="SBJ","CB","?"))</f>
        <v/>
      </c>
      <c r="I27" s="14" t="str">
        <f aca="false">IF(OR(E27="",E27="!!!",F27="NEW"),"",INDEX(B$2:B26,-1+SUMPRODUCT(MAX(ROW(E$2:E26)*(E27=E$2:E26)))))</f>
        <v>SBJ_3</v>
      </c>
      <c r="J27" s="15" t="n">
        <f aca="true">IF(OR(E27="",E27="!!!",F27="NEW"),"",COUNTBLANK(OFFSET(A$1,,,SUMPRODUCT(MAX(ROW(E$2:E27)*(E27=E$2:E27)))))-COUNTBLANK(OFFSET(A$1,,,SUMPRODUCT(MAX(ROW(E$1:E26)*(E27=E$1:E26))))))</f>
        <v>0</v>
      </c>
      <c r="K27" s="15" t="n">
        <f aca="false">IF(OR(E27="",E27="!!!",F27="NEW"),"",INDEX(J$1:J26,SUMPRODUCT(MAX(ROW(E$1:E26)*(E27=E$1:E26)))))</f>
        <v>0</v>
      </c>
      <c r="L27" s="16"/>
    </row>
    <row r="28" customFormat="false" ht="12.75" hidden="false" customHeight="false" outlineLevel="0" collapsed="false">
      <c r="A28" s="1" t="s">
        <v>55</v>
      </c>
      <c r="E28" s="10" t="str">
        <f aca="false">IF(D28="?OLD","!!!","")</f>
        <v/>
      </c>
      <c r="F28" s="11" t="str">
        <f aca="false">IF(OR(E28="",E28="!!!"),"",IF(NOT(ISNA(VLOOKUP(E28,E$1:E27,1,FALSE()))),"OLD",IF(AND(E28&lt;&gt;"",E28&lt;&gt;"!!!"),"NEW","")))</f>
        <v/>
      </c>
      <c r="G28" s="12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13" t="str">
        <f aca="false">IF(J28&lt;&gt;1,"",IF(I28="SBJ","CB","?"))</f>
        <v/>
      </c>
      <c r="I28" s="14" t="str">
        <f aca="false">IF(OR(E28="",E28="!!!",F28="NEW"),"",INDEX(B$2:B27,-1+SUMPRODUCT(MAX(ROW(E$2:E27)*(E28=E$2:E27)))))</f>
        <v/>
      </c>
      <c r="J28" s="15" t="str">
        <f aca="true">IF(OR(E28="",E28="!!!",F28="NEW"),"",COUNTBLANK(OFFSET(A$1,,,SUMPRODUCT(MAX(ROW(E$2:E28)*(E28=E$2:E28)))))-COUNTBLANK(OFFSET(A$1,,,SUMPRODUCT(MAX(ROW(E$1:E27)*(E28=E$1:E27))))))</f>
        <v/>
      </c>
      <c r="K28" s="15" t="str">
        <f aca="false">IF(OR(E28="",E28="!!!",F28="NEW"),"",INDEX(J$1:J27,SUMPRODUCT(MAX(ROW(E$1:E27)*(E28=E$1:E27)))))</f>
        <v/>
      </c>
      <c r="L28" s="16"/>
    </row>
    <row r="29" customFormat="false" ht="12.75" hidden="false" customHeight="false" outlineLevel="0" collapsed="false">
      <c r="A29" s="1" t="s">
        <v>56</v>
      </c>
      <c r="B29" s="1" t="s">
        <v>57</v>
      </c>
      <c r="C29" s="1" t="s">
        <v>15</v>
      </c>
      <c r="D29" s="1" t="s">
        <v>16</v>
      </c>
      <c r="E29" s="10" t="s">
        <v>56</v>
      </c>
      <c r="F29" s="11" t="str">
        <f aca="false">IF(OR(E29="",E29="!!!"),"",IF(NOT(ISNA(VLOOKUP(E29,E$1:E28,1,FALSE()))),"OLD",IF(AND(E29&lt;&gt;"",E29&lt;&gt;"!!!"),"NEW","")))</f>
        <v>NEW</v>
      </c>
      <c r="G29" s="12" t="s">
        <v>58</v>
      </c>
      <c r="H29" s="13" t="str">
        <f aca="false">IF(J29&lt;&gt;1,"",IF(I29="SBJ","CB","?"))</f>
        <v/>
      </c>
      <c r="I29" s="14" t="str">
        <f aca="false">IF(OR(E29="",E29="!!!",F29="NEW"),"",INDEX(B$2:B28,-1+SUMPRODUCT(MAX(ROW(E$2:E28)*(E29=E$2:E28)))))</f>
        <v/>
      </c>
      <c r="J29" s="15" t="str">
        <f aca="true">IF(OR(E29="",E29="!!!",F29="NEW"),"",COUNTBLANK(OFFSET(A$1,,,SUMPRODUCT(MAX(ROW(E$2:E29)*(E29=E$2:E29)))))-COUNTBLANK(OFFSET(A$1,,,SUMPRODUCT(MAX(ROW(E$1:E28)*(E29=E$1:E28))))))</f>
        <v/>
      </c>
      <c r="K29" s="15" t="str">
        <f aca="false">IF(OR(E29="",E29="!!!",F29="NEW"),"",INDEX(J$1:J28,SUMPRODUCT(MAX(ROW(E$1:E28)*(E29=E$1:E28)))))</f>
        <v/>
      </c>
      <c r="L29" s="16"/>
    </row>
    <row r="30" customFormat="false" ht="12.75" hidden="false" customHeight="false" outlineLevel="0" collapsed="false">
      <c r="A30" s="1" t="s">
        <v>50</v>
      </c>
      <c r="E30" s="10" t="str">
        <f aca="false">IF(D30="?OLD","!!!","")</f>
        <v/>
      </c>
      <c r="F30" s="11" t="str">
        <f aca="false">IF(OR(E30="",E30="!!!"),"",IF(NOT(ISNA(VLOOKUP(E30,E$1:E29,1,FALSE()))),"OLD",IF(AND(E30&lt;&gt;"",E30&lt;&gt;"!!!"),"NEW","")))</f>
        <v/>
      </c>
      <c r="G30" s="12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13" t="str">
        <f aca="false">IF(J30&lt;&gt;1,"",IF(I30="SBJ","CB","?"))</f>
        <v/>
      </c>
      <c r="I30" s="14" t="str">
        <f aca="false">IF(OR(E30="",E30="!!!",F30="NEW"),"",INDEX(B$2:B29,-1+SUMPRODUCT(MAX(ROW(E$2:E29)*(E30=E$2:E29)))))</f>
        <v/>
      </c>
      <c r="J30" s="15" t="str">
        <f aca="true">IF(OR(E30="",E30="!!!",F30="NEW"),"",COUNTBLANK(OFFSET(A$1,,,SUMPRODUCT(MAX(ROW(E$2:E30)*(E30=E$2:E30)))))-COUNTBLANK(OFFSET(A$1,,,SUMPRODUCT(MAX(ROW(E$1:E29)*(E30=E$1:E29))))))</f>
        <v/>
      </c>
      <c r="K30" s="15" t="str">
        <f aca="false">IF(OR(E30="",E30="!!!",F30="NEW"),"",INDEX(J$1:J29,SUMPRODUCT(MAX(ROW(E$1:E29)*(E30=E$1:E29)))))</f>
        <v/>
      </c>
      <c r="L30" s="16"/>
    </row>
    <row r="31" customFormat="false" ht="12.75" hidden="false" customHeight="false" outlineLevel="0" collapsed="false">
      <c r="A31" s="1" t="s">
        <v>59</v>
      </c>
      <c r="E31" s="10" t="str">
        <f aca="false">IF(D31="?OLD","!!!","")</f>
        <v/>
      </c>
      <c r="F31" s="11" t="str">
        <f aca="false">IF(OR(E31="",E31="!!!"),"",IF(NOT(ISNA(VLOOKUP(E31,E$1:E30,1,FALSE()))),"OLD",IF(AND(E31&lt;&gt;"",E31&lt;&gt;"!!!"),"NEW","")))</f>
        <v/>
      </c>
      <c r="G31" s="12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13" t="str">
        <f aca="false">IF(J31&lt;&gt;1,"",IF(I31="SBJ","CB","?"))</f>
        <v/>
      </c>
      <c r="I31" s="14" t="str">
        <f aca="false">IF(OR(E31="",E31="!!!",F31="NEW"),"",INDEX(B$2:B30,-1+SUMPRODUCT(MAX(ROW(E$2:E30)*(E31=E$2:E30)))))</f>
        <v/>
      </c>
      <c r="J31" s="15" t="str">
        <f aca="true">IF(OR(E31="",E31="!!!",F31="NEW"),"",COUNTBLANK(OFFSET(A$1,,,SUMPRODUCT(MAX(ROW(E$2:E31)*(E31=E$2:E31)))))-COUNTBLANK(OFFSET(A$1,,,SUMPRODUCT(MAX(ROW(E$1:E30)*(E31=E$1:E30))))))</f>
        <v/>
      </c>
      <c r="K31" s="15" t="str">
        <f aca="false">IF(OR(E31="",E31="!!!",F31="NEW"),"",INDEX(J$1:J30,SUMPRODUCT(MAX(ROW(E$1:E30)*(E31=E$1:E30)))))</f>
        <v/>
      </c>
      <c r="L31" s="16"/>
    </row>
    <row r="32" customFormat="false" ht="12.75" hidden="false" customHeight="false" outlineLevel="0" collapsed="false">
      <c r="A32" s="1" t="s">
        <v>60</v>
      </c>
      <c r="E32" s="10" t="str">
        <f aca="false">IF(D32="?OLD","!!!","")</f>
        <v/>
      </c>
      <c r="F32" s="11" t="str">
        <f aca="false">IF(OR(E32="",E32="!!!"),"",IF(NOT(ISNA(VLOOKUP(E32,E$1:E31,1,FALSE()))),"OLD",IF(AND(E32&lt;&gt;"",E32&lt;&gt;"!!!"),"NEW","")))</f>
        <v/>
      </c>
      <c r="G32" s="12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13" t="str">
        <f aca="false">IF(J32&lt;&gt;1,"",IF(I32="SBJ","CB","?"))</f>
        <v/>
      </c>
      <c r="I32" s="14" t="str">
        <f aca="false">IF(OR(E32="",E32="!!!",F32="NEW"),"",INDEX(B$2:B31,-1+SUMPRODUCT(MAX(ROW(E$2:E31)*(E32=E$2:E31)))))</f>
        <v/>
      </c>
      <c r="J32" s="15" t="str">
        <f aca="true">IF(OR(E32="",E32="!!!",F32="NEW"),"",COUNTBLANK(OFFSET(A$1,,,SUMPRODUCT(MAX(ROW(E$2:E32)*(E32=E$2:E32)))))-COUNTBLANK(OFFSET(A$1,,,SUMPRODUCT(MAX(ROW(E$1:E31)*(E32=E$1:E31))))))</f>
        <v/>
      </c>
      <c r="K32" s="15" t="str">
        <f aca="false">IF(OR(E32="",E32="!!!",F32="NEW"),"",INDEX(J$1:J31,SUMPRODUCT(MAX(ROW(E$1:E31)*(E32=E$1:E31)))))</f>
        <v/>
      </c>
      <c r="L32" s="16"/>
    </row>
    <row r="33" customFormat="false" ht="12.75" hidden="false" customHeight="false" outlineLevel="0" collapsed="false">
      <c r="A33" s="1" t="s">
        <v>61</v>
      </c>
      <c r="B33" s="1" t="s">
        <v>62</v>
      </c>
      <c r="C33" s="1" t="s">
        <v>42</v>
      </c>
      <c r="E33" s="10" t="str">
        <f aca="false">IF(D33="?OLD","!!!","")</f>
        <v/>
      </c>
      <c r="F33" s="11" t="str">
        <f aca="false">IF(OR(E33="",E33="!!!"),"",IF(NOT(ISNA(VLOOKUP(E33,E$1:E32,1,FALSE()))),"OLD",IF(AND(E33&lt;&gt;"",E33&lt;&gt;"!!!"),"NEW","")))</f>
        <v/>
      </c>
      <c r="G33" s="12" t="str">
        <f aca="false"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13" t="str">
        <f aca="false">IF(J33&lt;&gt;1,"",IF(I33="SBJ","CB","?"))</f>
        <v/>
      </c>
      <c r="I33" s="14" t="str">
        <f aca="false">IF(OR(E33="",E33="!!!",F33="NEW"),"",INDEX(B$2:B32,-1+SUMPRODUCT(MAX(ROW(E$2:E32)*(E33=E$2:E32)))))</f>
        <v/>
      </c>
      <c r="J33" s="15" t="str">
        <f aca="true">IF(OR(E33="",E33="!!!",F33="NEW"),"",COUNTBLANK(OFFSET(A$1,,,SUMPRODUCT(MAX(ROW(E$2:E33)*(E33=E$2:E33)))))-COUNTBLANK(OFFSET(A$1,,,SUMPRODUCT(MAX(ROW(E$1:E32)*(E33=E$1:E32))))))</f>
        <v/>
      </c>
      <c r="K33" s="15" t="str">
        <f aca="false">IF(OR(E33="",E33="!!!",F33="NEW"),"",INDEX(J$1:J32,SUMPRODUCT(MAX(ROW(E$1:E32)*(E33=E$1:E32)))))</f>
        <v/>
      </c>
      <c r="L33" s="16"/>
    </row>
    <row r="34" customFormat="false" ht="12.75" hidden="false" customHeight="false" outlineLevel="0" collapsed="false">
      <c r="A34" s="1" t="s">
        <v>63</v>
      </c>
      <c r="E34" s="10" t="str">
        <f aca="false">IF(D34="?OLD","!!!","")</f>
        <v/>
      </c>
      <c r="F34" s="11" t="str">
        <f aca="false">IF(OR(E34="",E34="!!!"),"",IF(NOT(ISNA(VLOOKUP(E34,E$1:E33,1,FALSE()))),"OLD",IF(AND(E34&lt;&gt;"",E34&lt;&gt;"!!!"),"NEW","")))</f>
        <v/>
      </c>
      <c r="G34" s="12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13" t="str">
        <f aca="false">IF(J34&lt;&gt;1,"",IF(I34="SBJ","CB","?"))</f>
        <v/>
      </c>
      <c r="I34" s="14" t="str">
        <f aca="false">IF(OR(E34="",E34="!!!",F34="NEW"),"",INDEX(B$2:B33,-1+SUMPRODUCT(MAX(ROW(E$2:E33)*(E34=E$2:E33)))))</f>
        <v/>
      </c>
      <c r="J34" s="15" t="str">
        <f aca="true">IF(OR(E34="",E34="!!!",F34="NEW"),"",COUNTBLANK(OFFSET(A$1,,,SUMPRODUCT(MAX(ROW(E$2:E34)*(E34=E$2:E34)))))-COUNTBLANK(OFFSET(A$1,,,SUMPRODUCT(MAX(ROW(E$1:E33)*(E34=E$1:E33))))))</f>
        <v/>
      </c>
      <c r="K34" s="15" t="str">
        <f aca="false">IF(OR(E34="",E34="!!!",F34="NEW"),"",INDEX(J$1:J33,SUMPRODUCT(MAX(ROW(E$1:E33)*(E34=E$1:E33)))))</f>
        <v/>
      </c>
      <c r="L34" s="16"/>
    </row>
    <row r="35" customFormat="false" ht="12.75" hidden="false" customHeight="false" outlineLevel="0" collapsed="false">
      <c r="A35" s="1" t="s">
        <v>64</v>
      </c>
      <c r="E35" s="10" t="str">
        <f aca="false">IF(D35="?OLD","!!!","")</f>
        <v/>
      </c>
      <c r="F35" s="11" t="str">
        <f aca="false">IF(OR(E35="",E35="!!!"),"",IF(NOT(ISNA(VLOOKUP(E35,E$1:E34,1,FALSE()))),"OLD",IF(AND(E35&lt;&gt;"",E35&lt;&gt;"!!!"),"NEW","")))</f>
        <v/>
      </c>
      <c r="G35" s="12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13" t="str">
        <f aca="false">IF(J35&lt;&gt;1,"",IF(I35="SBJ","CB","?"))</f>
        <v/>
      </c>
      <c r="I35" s="14" t="str">
        <f aca="false">IF(OR(E35="",E35="!!!",F35="NEW"),"",INDEX(B$2:B34,-1+SUMPRODUCT(MAX(ROW(E$2:E34)*(E35=E$2:E34)))))</f>
        <v/>
      </c>
      <c r="J35" s="15" t="str">
        <f aca="true">IF(OR(E35="",E35="!!!",F35="NEW"),"",COUNTBLANK(OFFSET(A$1,,,SUMPRODUCT(MAX(ROW(E$2:E35)*(E35=E$2:E35)))))-COUNTBLANK(OFFSET(A$1,,,SUMPRODUCT(MAX(ROW(E$1:E34)*(E35=E$1:E34))))))</f>
        <v/>
      </c>
      <c r="K35" s="15" t="str">
        <f aca="false">IF(OR(E35="",E35="!!!",F35="NEW"),"",INDEX(J$1:J34,SUMPRODUCT(MAX(ROW(E$1:E34)*(E35=E$1:E34)))))</f>
        <v/>
      </c>
      <c r="L35" s="16"/>
    </row>
    <row r="36" customFormat="false" ht="12.75" hidden="false" customHeight="false" outlineLevel="0" collapsed="false">
      <c r="A36" s="1" t="s">
        <v>65</v>
      </c>
      <c r="B36" s="1" t="s">
        <v>62</v>
      </c>
      <c r="C36" s="1" t="s">
        <v>15</v>
      </c>
      <c r="D36" s="1" t="s">
        <v>16</v>
      </c>
      <c r="E36" s="10" t="s">
        <v>66</v>
      </c>
      <c r="F36" s="11" t="s">
        <v>29</v>
      </c>
      <c r="G36" s="12"/>
      <c r="H36" s="13"/>
      <c r="I36" s="14" t="e">
        <f aca="false">IF(OR(E36="",E36="!!!",F36="NEW"),"",INDEX(B$2:B35,-1+SUMPRODUCT(MAX(ROW(E$2:E35)*(E36=E$2:E35)))))</f>
        <v>#VALUE!</v>
      </c>
      <c r="J36" s="15" t="e">
        <f aca="true">IF(OR(E36="",E36="!!!",F36="NEW"),"",COUNTBLANK(OFFSET(A$1,,,SUMPRODUCT(MAX(ROW(E$2:E36)*(E36=E$2:E36)))))-COUNTBLANK(OFFSET(A$1,,,SUMPRODUCT(MAX(ROW(E$1:E35)*(E36=E$1:E35))))))</f>
        <v>#VALUE!</v>
      </c>
      <c r="K36" s="15" t="e">
        <f aca="false">IF(OR(E36="",E36="!!!",F36="NEW"),"",INDEX(J$1:J35,SUMPRODUCT(MAX(ROW(E$1:E35)*(E36=E$1:E35)))))</f>
        <v>#VALUE!</v>
      </c>
      <c r="L36" s="16"/>
    </row>
    <row r="37" customFormat="false" ht="12.75" hidden="false" customHeight="false" outlineLevel="0" collapsed="false">
      <c r="A37" s="1" t="s">
        <v>19</v>
      </c>
      <c r="E37" s="10" t="str">
        <f aca="false">IF(D37="?OLD","!!!","")</f>
        <v/>
      </c>
      <c r="F37" s="11" t="str">
        <f aca="false">IF(OR(E37="",E37="!!!"),"",IF(NOT(ISNA(VLOOKUP(E37,E$1:E36,1,FALSE()))),"OLD",IF(AND(E37&lt;&gt;"",E37&lt;&gt;"!!!"),"NEW","")))</f>
        <v/>
      </c>
      <c r="G37" s="12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13" t="str">
        <f aca="false">IF(J37&lt;&gt;1,"",IF(I37="SBJ","CB","?"))</f>
        <v/>
      </c>
      <c r="I37" s="14" t="str">
        <f aca="false">IF(OR(E37="",E37="!!!",F37="NEW"),"",INDEX(B$2:B36,-1+SUMPRODUCT(MAX(ROW(E$2:E36)*(E37=E$2:E36)))))</f>
        <v/>
      </c>
      <c r="J37" s="15" t="str">
        <f aca="true">IF(OR(E37="",E37="!!!",F37="NEW"),"",COUNTBLANK(OFFSET(A$1,,,SUMPRODUCT(MAX(ROW(E$2:E37)*(E37=E$2:E37)))))-COUNTBLANK(OFFSET(A$1,,,SUMPRODUCT(MAX(ROW(E$1:E36)*(E37=E$1:E36))))))</f>
        <v/>
      </c>
      <c r="K37" s="15" t="str">
        <f aca="false">IF(OR(E37="",E37="!!!",F37="NEW"),"",INDEX(J$1:J36,SUMPRODUCT(MAX(ROW(E$1:E36)*(E37=E$1:E36)))))</f>
        <v/>
      </c>
      <c r="L37" s="16"/>
    </row>
    <row r="38" customFormat="false" ht="12.75" hidden="false" customHeight="false" outlineLevel="0" collapsed="false">
      <c r="A38" s="1" t="s">
        <v>67</v>
      </c>
      <c r="B38" s="1" t="s">
        <v>68</v>
      </c>
      <c r="C38" s="1" t="s">
        <v>54</v>
      </c>
      <c r="D38" s="1" t="s">
        <v>16</v>
      </c>
      <c r="E38" s="10" t="s">
        <v>56</v>
      </c>
      <c r="F38" s="11" t="str">
        <f aca="false">IF(OR(E38="",E38="!!!"),"",IF(NOT(ISNA(VLOOKUP(E38,E$1:E37,1,FALSE()))),"OLD",IF(AND(E38&lt;&gt;"",E38&lt;&gt;"!!!"),"NEW","")))</f>
        <v>OLD</v>
      </c>
      <c r="G38" s="12" t="s">
        <v>39</v>
      </c>
      <c r="H38" s="13" t="str">
        <f aca="false">IF(J38&lt;&gt;1,"",IF(I38="SBJ","CB","?"))</f>
        <v/>
      </c>
      <c r="I38" s="14" t="str">
        <f aca="false">IF(OR(E38="",E38="!!!",F38="NEW"),"",INDEX(B$2:B37,-1+SUMPRODUCT(MAX(ROW(E$2:E37)*(E38=E$2:E37)))))</f>
        <v>OBJ_4</v>
      </c>
      <c r="J38" s="15" t="n">
        <f aca="true">IF(OR(E38="",E38="!!!",F38="NEW"),"",COUNTBLANK(OFFSET(A$1,,,SUMPRODUCT(MAX(ROW(E$2:E38)*(E38=E$2:E38)))))-COUNTBLANK(OFFSET(A$1,,,SUMPRODUCT(MAX(ROW(E$1:E37)*(E38=E$1:E37))))))</f>
        <v>0</v>
      </c>
      <c r="K38" s="15" t="str">
        <f aca="false">IF(OR(E38="",E38="!!!",F38="NEW"),"",INDEX(J$1:J37,SUMPRODUCT(MAX(ROW(E$1:E37)*(E38=E$1:E37)))))</f>
        <v/>
      </c>
      <c r="L38" s="16"/>
    </row>
    <row r="39" customFormat="false" ht="12.75" hidden="false" customHeight="false" outlineLevel="0" collapsed="false">
      <c r="A39" s="1" t="s">
        <v>69</v>
      </c>
      <c r="B39" s="1" t="s">
        <v>53</v>
      </c>
      <c r="C39" s="1" t="s">
        <v>15</v>
      </c>
      <c r="D39" s="1" t="s">
        <v>16</v>
      </c>
      <c r="E39" s="10" t="s">
        <v>66</v>
      </c>
      <c r="F39" s="11" t="s">
        <v>29</v>
      </c>
      <c r="G39" s="12"/>
      <c r="H39" s="13" t="str">
        <f aca="false">IF(J39&lt;&gt;1,"",IF(I39="SBJ","CB","?"))</f>
        <v/>
      </c>
      <c r="I39" s="14" t="str">
        <f aca="false">IF(OR(E39="",E39="!!!",F39="NEW"),"",INDEX(B$2:B38,-1+SUMPRODUCT(MAX(ROW(E$2:E38)*(E39=E$2:E38)))))</f>
        <v>other_4</v>
      </c>
      <c r="J39" s="15" t="n">
        <f aca="true">IF(OR(E39="",E39="!!!",F39="NEW"),"",COUNTBLANK(OFFSET(A$1,,,SUMPRODUCT(MAX(ROW(E$2:E39)*(E39=E$2:E39)))))-COUNTBLANK(OFFSET(A$1,,,SUMPRODUCT(MAX(ROW(E$1:E38)*(E39=E$1:E38))))))</f>
        <v>0</v>
      </c>
      <c r="K39" s="15" t="e">
        <f aca="false">IF(OR(E39="",E39="!!!",F39="NEW"),"",INDEX(J$1:J38,SUMPRODUCT(MAX(ROW(E$1:E38)*(E39=E$1:E38)))))</f>
        <v>#VALUE!</v>
      </c>
      <c r="L39" s="16"/>
    </row>
    <row r="40" customFormat="false" ht="12.75" hidden="false" customHeight="false" outlineLevel="0" collapsed="false">
      <c r="A40" s="1" t="s">
        <v>70</v>
      </c>
      <c r="E40" s="10" t="str">
        <f aca="false">IF(D40="?OLD","!!!","")</f>
        <v/>
      </c>
      <c r="F40" s="11" t="str">
        <f aca="false">IF(OR(E40="",E40="!!!"),"",IF(NOT(ISNA(VLOOKUP(E40,E$1:E39,1,FALSE()))),"OLD",IF(AND(E40&lt;&gt;"",E40&lt;&gt;"!!!"),"NEW","")))</f>
        <v/>
      </c>
      <c r="G40" s="12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13" t="str">
        <f aca="false">IF(J40&lt;&gt;1,"",IF(I40="SBJ","CB","?"))</f>
        <v/>
      </c>
      <c r="I40" s="14" t="str">
        <f aca="false">IF(OR(E40="",E40="!!!",F40="NEW"),"",INDEX(B$2:B39,-1+SUMPRODUCT(MAX(ROW(E$2:E39)*(E40=E$2:E39)))))</f>
        <v/>
      </c>
      <c r="J40" s="15" t="str">
        <f aca="true">IF(OR(E40="",E40="!!!",F40="NEW"),"",COUNTBLANK(OFFSET(A$1,,,SUMPRODUCT(MAX(ROW(E$2:E40)*(E40=E$2:E40)))))-COUNTBLANK(OFFSET(A$1,,,SUMPRODUCT(MAX(ROW(E$1:E39)*(E40=E$1:E39))))))</f>
        <v/>
      </c>
      <c r="K40" s="15" t="str">
        <f aca="false">IF(OR(E40="",E40="!!!",F40="NEW"),"",INDEX(J$1:J39,SUMPRODUCT(MAX(ROW(E$1:E39)*(E40=E$1:E39)))))</f>
        <v/>
      </c>
      <c r="L40" s="16"/>
    </row>
    <row r="41" customFormat="false" ht="12.75" hidden="false" customHeight="false" outlineLevel="0" collapsed="false">
      <c r="E41" s="10" t="str">
        <f aca="false">IF(D41="?OLD","!!!","")</f>
        <v/>
      </c>
      <c r="F41" s="11" t="str">
        <f aca="false">IF(OR(E41="",E41="!!!"),"",IF(NOT(ISNA(VLOOKUP(E41,E$1:E40,1,FALSE()))),"OLD",IF(AND(E41&lt;&gt;"",E41&lt;&gt;"!!!"),"NEW","")))</f>
        <v/>
      </c>
      <c r="G41" s="12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13" t="str">
        <f aca="false">IF(J41&lt;&gt;1,"",IF(I41="SBJ","CB","?"))</f>
        <v/>
      </c>
      <c r="I41" s="14" t="str">
        <f aca="false">IF(OR(E41="",E41="!!!",F41="NEW"),"",INDEX(B$2:B40,-1+SUMPRODUCT(MAX(ROW(E$2:E40)*(E41=E$2:E40)))))</f>
        <v/>
      </c>
      <c r="J41" s="15" t="str">
        <f aca="true">IF(OR(E41="",E41="!!!",F41="NEW"),"",COUNTBLANK(OFFSET(A$1,,,SUMPRODUCT(MAX(ROW(E$2:E41)*(E41=E$2:E41)))))-COUNTBLANK(OFFSET(A$1,,,SUMPRODUCT(MAX(ROW(E$1:E40)*(E41=E$1:E40))))))</f>
        <v/>
      </c>
      <c r="K41" s="15" t="str">
        <f aca="false">IF(OR(E41="",E41="!!!",F41="NEW"),"",INDEX(J$1:J40,SUMPRODUCT(MAX(ROW(E$1:E40)*(E41=E$1:E40)))))</f>
        <v/>
      </c>
      <c r="L41" s="16"/>
    </row>
    <row r="42" customFormat="false" ht="12.75" hidden="false" customHeight="false" outlineLevel="0" collapsed="false">
      <c r="A42" s="1" t="s">
        <v>71</v>
      </c>
      <c r="E42" s="10" t="str">
        <f aca="false">IF(D42="?OLD","!!!","")</f>
        <v/>
      </c>
      <c r="F42" s="11" t="str">
        <f aca="false">IF(OR(E42="",E42="!!!"),"",IF(NOT(ISNA(VLOOKUP(E42,E$1:E41,1,FALSE()))),"OLD",IF(AND(E42&lt;&gt;"",E42&lt;&gt;"!!!"),"NEW","")))</f>
        <v/>
      </c>
      <c r="G42" s="12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13" t="str">
        <f aca="false">IF(J42&lt;&gt;1,"",IF(I42="SBJ","CB","?"))</f>
        <v/>
      </c>
      <c r="I42" s="14" t="str">
        <f aca="false">IF(OR(E42="",E42="!!!",F42="NEW"),"",INDEX(B$2:B41,-1+SUMPRODUCT(MAX(ROW(E$2:E41)*(E42=E$2:E41)))))</f>
        <v/>
      </c>
      <c r="J42" s="15" t="str">
        <f aca="true">IF(OR(E42="",E42="!!!",F42="NEW"),"",COUNTBLANK(OFFSET(A$1,,,SUMPRODUCT(MAX(ROW(E$2:E42)*(E42=E$2:E42)))))-COUNTBLANK(OFFSET(A$1,,,SUMPRODUCT(MAX(ROW(E$1:E41)*(E42=E$1:E41))))))</f>
        <v/>
      </c>
      <c r="K42" s="15" t="str">
        <f aca="false">IF(OR(E42="",E42="!!!",F42="NEW"),"",INDEX(J$1:J41,SUMPRODUCT(MAX(ROW(E$1:E41)*(E42=E$1:E41)))))</f>
        <v/>
      </c>
      <c r="L42" s="16"/>
    </row>
    <row r="43" customFormat="false" ht="12.75" hidden="false" customHeight="false" outlineLevel="0" collapsed="false">
      <c r="A43" s="1" t="s">
        <v>72</v>
      </c>
      <c r="E43" s="10" t="str">
        <f aca="false">IF(D43="?OLD","!!!","")</f>
        <v/>
      </c>
      <c r="F43" s="11" t="str">
        <f aca="false">IF(OR(E43="",E43="!!!"),"",IF(NOT(ISNA(VLOOKUP(E43,E$1:E42,1,FALSE()))),"OLD",IF(AND(E43&lt;&gt;"",E43&lt;&gt;"!!!"),"NEW","")))</f>
        <v/>
      </c>
      <c r="G43" s="12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13" t="str">
        <f aca="false">IF(J43&lt;&gt;1,"",IF(I43="SBJ","CB","?"))</f>
        <v/>
      </c>
      <c r="I43" s="14" t="str">
        <f aca="false">IF(OR(E43="",E43="!!!",F43="NEW"),"",INDEX(B$2:B42,-1+SUMPRODUCT(MAX(ROW(E$2:E42)*(E43=E$2:E42)))))</f>
        <v/>
      </c>
      <c r="J43" s="15" t="str">
        <f aca="true">IF(OR(E43="",E43="!!!",F43="NEW"),"",COUNTBLANK(OFFSET(A$1,,,SUMPRODUCT(MAX(ROW(E$2:E43)*(E43=E$2:E43)))))-COUNTBLANK(OFFSET(A$1,,,SUMPRODUCT(MAX(ROW(E$1:E42)*(E43=E$1:E42))))))</f>
        <v/>
      </c>
      <c r="K43" s="15" t="str">
        <f aca="false">IF(OR(E43="",E43="!!!",F43="NEW"),"",INDEX(J$1:J42,SUMPRODUCT(MAX(ROW(E$1:E42)*(E43=E$1:E42)))))</f>
        <v/>
      </c>
      <c r="L43" s="16"/>
    </row>
    <row r="44" customFormat="false" ht="12.75" hidden="false" customHeight="false" outlineLevel="0" collapsed="false">
      <c r="A44" s="1" t="s">
        <v>36</v>
      </c>
      <c r="B44" s="1" t="s">
        <v>14</v>
      </c>
      <c r="C44" s="1" t="s">
        <v>38</v>
      </c>
      <c r="D44" s="1" t="s">
        <v>16</v>
      </c>
      <c r="E44" s="10" t="s">
        <v>17</v>
      </c>
      <c r="F44" s="11" t="str">
        <f aca="false">IF(OR(E44="",E44="!!!"),"",IF(NOT(ISNA(VLOOKUP(E44,E$1:E43,1,FALSE()))),"OLD",IF(AND(E44&lt;&gt;"",E44&lt;&gt;"!!!"),"NEW","")))</f>
        <v>OLD</v>
      </c>
      <c r="G44" s="12" t="s">
        <v>39</v>
      </c>
      <c r="H44" s="13" t="s">
        <v>7</v>
      </c>
      <c r="I44" s="14" t="str">
        <f aca="false">IF(OR(E44="",E44="!!!",F44="NEW"),"",INDEX(B$2:B43,-1+SUMPRODUCT(MAX(ROW(E$2:E43)*(E44=E$2:E43)))))</f>
        <v>OBJ</v>
      </c>
      <c r="J44" s="15" t="n">
        <f aca="true">IF(OR(E44="",E44="!!!",F44="NEW"),"",COUNTBLANK(OFFSET(A$1,,,SUMPRODUCT(MAX(ROW(E$2:E44)*(E44=E$2:E44)))))-COUNTBLANK(OFFSET(A$1,,,SUMPRODUCT(MAX(ROW(E$1:E43)*(E44=E$1:E43))))))</f>
        <v>1</v>
      </c>
      <c r="K44" s="15" t="n">
        <f aca="false">IF(OR(E44="",E44="!!!",F44="NEW"),"",INDEX(J$1:J43,SUMPRODUCT(MAX(ROW(E$1:E43)*(E44=E$1:E43)))))</f>
        <v>0</v>
      </c>
      <c r="L44" s="16"/>
    </row>
    <row r="45" customFormat="false" ht="12.75" hidden="false" customHeight="false" outlineLevel="0" collapsed="false">
      <c r="A45" s="1" t="s">
        <v>73</v>
      </c>
      <c r="E45" s="10" t="str">
        <f aca="false">IF(D45="?OLD","!!!","")</f>
        <v/>
      </c>
      <c r="F45" s="11" t="str">
        <f aca="false">IF(OR(E45="",E45="!!!"),"",IF(NOT(ISNA(VLOOKUP(E45,E$1:E44,1,FALSE()))),"OLD",IF(AND(E45&lt;&gt;"",E45&lt;&gt;"!!!"),"NEW","")))</f>
        <v/>
      </c>
      <c r="G45" s="12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13" t="str">
        <f aca="false">IF(J45&lt;&gt;1,"",IF(I45="SBJ","CB","?"))</f>
        <v/>
      </c>
      <c r="I45" s="14" t="str">
        <f aca="false">IF(OR(E45="",E45="!!!",F45="NEW"),"",INDEX(B$2:B44,-1+SUMPRODUCT(MAX(ROW(E$2:E44)*(E45=E$2:E44)))))</f>
        <v/>
      </c>
      <c r="J45" s="15" t="str">
        <f aca="true">IF(OR(E45="",E45="!!!",F45="NEW"),"",COUNTBLANK(OFFSET(A$1,,,SUMPRODUCT(MAX(ROW(E$2:E45)*(E45=E$2:E45)))))-COUNTBLANK(OFFSET(A$1,,,SUMPRODUCT(MAX(ROW(E$1:E44)*(E45=E$1:E44))))))</f>
        <v/>
      </c>
      <c r="K45" s="15" t="str">
        <f aca="false">IF(OR(E45="",E45="!!!",F45="NEW"),"",INDEX(J$1:J44,SUMPRODUCT(MAX(ROW(E$1:E44)*(E45=E$1:E44)))))</f>
        <v/>
      </c>
      <c r="L45" s="16"/>
    </row>
    <row r="46" customFormat="false" ht="12.75" hidden="false" customHeight="false" outlineLevel="0" collapsed="false">
      <c r="A46" s="1" t="s">
        <v>74</v>
      </c>
      <c r="E46" s="10" t="str">
        <f aca="false">IF(D46="?OLD","!!!","")</f>
        <v/>
      </c>
      <c r="F46" s="11" t="str">
        <f aca="false">IF(OR(E46="",E46="!!!"),"",IF(NOT(ISNA(VLOOKUP(E46,E$1:E45,1,FALSE()))),"OLD",IF(AND(E46&lt;&gt;"",E46&lt;&gt;"!!!"),"NEW","")))</f>
        <v/>
      </c>
      <c r="G46" s="12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13" t="str">
        <f aca="false">IF(J46&lt;&gt;1,"",IF(I46="SBJ","CB","?"))</f>
        <v/>
      </c>
      <c r="I46" s="14" t="str">
        <f aca="false">IF(OR(E46="",E46="!!!",F46="NEW"),"",INDEX(B$2:B45,-1+SUMPRODUCT(MAX(ROW(E$2:E45)*(E46=E$2:E45)))))</f>
        <v/>
      </c>
      <c r="J46" s="15" t="str">
        <f aca="true">IF(OR(E46="",E46="!!!",F46="NEW"),"",COUNTBLANK(OFFSET(A$1,,,SUMPRODUCT(MAX(ROW(E$2:E46)*(E46=E$2:E46)))))-COUNTBLANK(OFFSET(A$1,,,SUMPRODUCT(MAX(ROW(E$1:E45)*(E46=E$1:E45))))))</f>
        <v/>
      </c>
      <c r="K46" s="15" t="str">
        <f aca="false">IF(OR(E46="",E46="!!!",F46="NEW"),"",INDEX(J$1:J45,SUMPRODUCT(MAX(ROW(E$1:E45)*(E46=E$1:E45)))))</f>
        <v/>
      </c>
      <c r="L46" s="16"/>
    </row>
    <row r="47" customFormat="false" ht="12.75" hidden="false" customHeight="false" outlineLevel="0" collapsed="false">
      <c r="A47" s="1" t="s">
        <v>75</v>
      </c>
      <c r="E47" s="10" t="str">
        <f aca="false">IF(D47="?OLD","!!!","")</f>
        <v/>
      </c>
      <c r="F47" s="11" t="str">
        <f aca="false">IF(OR(E47="",E47="!!!"),"",IF(NOT(ISNA(VLOOKUP(E47,E$1:E46,1,FALSE()))),"OLD",IF(AND(E47&lt;&gt;"",E47&lt;&gt;"!!!"),"NEW","")))</f>
        <v/>
      </c>
      <c r="G47" s="12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13" t="str">
        <f aca="false">IF(J47&lt;&gt;1,"",IF(I47="SBJ","CB","?"))</f>
        <v/>
      </c>
      <c r="I47" s="14" t="str">
        <f aca="false">IF(OR(E47="",E47="!!!",F47="NEW"),"",INDEX(B$2:B46,-1+SUMPRODUCT(MAX(ROW(E$2:E46)*(E47=E$2:E46)))))</f>
        <v/>
      </c>
      <c r="J47" s="15" t="str">
        <f aca="true">IF(OR(E47="",E47="!!!",F47="NEW"),"",COUNTBLANK(OFFSET(A$1,,,SUMPRODUCT(MAX(ROW(E$2:E47)*(E47=E$2:E47)))))-COUNTBLANK(OFFSET(A$1,,,SUMPRODUCT(MAX(ROW(E$1:E46)*(E47=E$1:E46))))))</f>
        <v/>
      </c>
      <c r="K47" s="15" t="str">
        <f aca="false">IF(OR(E47="",E47="!!!",F47="NEW"),"",INDEX(J$1:J46,SUMPRODUCT(MAX(ROW(E$1:E46)*(E47=E$1:E46)))))</f>
        <v/>
      </c>
      <c r="L47" s="16"/>
    </row>
    <row r="48" customFormat="false" ht="12.75" hidden="false" customHeight="false" outlineLevel="0" collapsed="false">
      <c r="A48" s="1" t="s">
        <v>76</v>
      </c>
      <c r="E48" s="10" t="str">
        <f aca="false">IF(D48="?OLD","!!!","")</f>
        <v/>
      </c>
      <c r="F48" s="11" t="str">
        <f aca="false">IF(OR(E48="",E48="!!!"),"",IF(NOT(ISNA(VLOOKUP(E48,E$1:E47,1,FALSE()))),"OLD",IF(AND(E48&lt;&gt;"",E48&lt;&gt;"!!!"),"NEW","")))</f>
        <v/>
      </c>
      <c r="G48" s="12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13" t="str">
        <f aca="false">IF(J48&lt;&gt;1,"",IF(I48="SBJ","CB","?"))</f>
        <v/>
      </c>
      <c r="I48" s="14" t="str">
        <f aca="false">IF(OR(E48="",E48="!!!",F48="NEW"),"",INDEX(B$2:B47,-1+SUMPRODUCT(MAX(ROW(E$2:E47)*(E48=E$2:E47)))))</f>
        <v/>
      </c>
      <c r="J48" s="15" t="str">
        <f aca="true">IF(OR(E48="",E48="!!!",F48="NEW"),"",COUNTBLANK(OFFSET(A$1,,,SUMPRODUCT(MAX(ROW(E$2:E48)*(E48=E$2:E48)))))-COUNTBLANK(OFFSET(A$1,,,SUMPRODUCT(MAX(ROW(E$1:E47)*(E48=E$1:E47))))))</f>
        <v/>
      </c>
      <c r="K48" s="15" t="str">
        <f aca="false">IF(OR(E48="",E48="!!!",F48="NEW"),"",INDEX(J$1:J47,SUMPRODUCT(MAX(ROW(E$1:E47)*(E48=E$1:E47)))))</f>
        <v/>
      </c>
      <c r="L48" s="16"/>
    </row>
    <row r="49" customFormat="false" ht="12.75" hidden="false" customHeight="false" outlineLevel="0" collapsed="false">
      <c r="A49" s="1" t="s">
        <v>52</v>
      </c>
      <c r="B49" s="1" t="s">
        <v>28</v>
      </c>
      <c r="C49" s="1" t="s">
        <v>54</v>
      </c>
      <c r="D49" s="1" t="s">
        <v>16</v>
      </c>
      <c r="E49" s="10" t="s">
        <v>24</v>
      </c>
      <c r="F49" s="11" t="str">
        <f aca="false">IF(OR(E49="",E49="!!!"),"",IF(NOT(ISNA(VLOOKUP(E49,E$1:E48,1,FALSE()))),"OLD",IF(AND(E49&lt;&gt;"",E49&lt;&gt;"!!!"),"NEW","")))</f>
        <v>OLD</v>
      </c>
      <c r="G49" s="12" t="s">
        <v>77</v>
      </c>
      <c r="H49" s="13"/>
      <c r="I49" s="14" t="str">
        <f aca="false">IF(OR(E49="",E49="!!!",F49="NEW"),"",INDEX(B$2:B48,-1+SUMPRODUCT(MAX(ROW(E$2:E48)*(E49=E$2:E48)))))</f>
        <v>other_5</v>
      </c>
      <c r="J49" s="15" t="n">
        <f aca="true">IF(OR(E49="",E49="!!!",F49="NEW"),"",COUNTBLANK(OFFSET(A$1,,,SUMPRODUCT(MAX(ROW(E$2:E49)*(E49=E$2:E49)))))-COUNTBLANK(OFFSET(A$1,,,SUMPRODUCT(MAX(ROW(E$1:E48)*(E49=E$1:E48))))))</f>
        <v>1</v>
      </c>
      <c r="K49" s="15" t="n">
        <f aca="false">IF(OR(E49="",E49="!!!",F49="NEW"),"",INDEX(J$1:J48,SUMPRODUCT(MAX(ROW(E$1:E48)*(E49=E$1:E48)))))</f>
        <v>0</v>
      </c>
      <c r="L49" s="16"/>
    </row>
    <row r="50" customFormat="false" ht="12.75" hidden="false" customHeight="false" outlineLevel="0" collapsed="false">
      <c r="A50" s="1" t="s">
        <v>78</v>
      </c>
      <c r="E50" s="10" t="str">
        <f aca="false">IF(D50="?OLD","!!!","")</f>
        <v/>
      </c>
      <c r="F50" s="11" t="str">
        <f aca="false">IF(OR(E50="",E50="!!!"),"",IF(NOT(ISNA(VLOOKUP(E50,E$1:E49,1,FALSE()))),"OLD",IF(AND(E50&lt;&gt;"",E50&lt;&gt;"!!!"),"NEW","")))</f>
        <v/>
      </c>
      <c r="G50" s="12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13" t="str">
        <f aca="false">IF(J50&lt;&gt;1,"",IF(I50="SBJ","CB","?"))</f>
        <v/>
      </c>
      <c r="I50" s="14" t="str">
        <f aca="false">IF(OR(E50="",E50="!!!",F50="NEW"),"",INDEX(B$2:B49,-1+SUMPRODUCT(MAX(ROW(E$2:E49)*(E50=E$2:E49)))))</f>
        <v/>
      </c>
      <c r="J50" s="15" t="str">
        <f aca="true">IF(OR(E50="",E50="!!!",F50="NEW"),"",COUNTBLANK(OFFSET(A$1,,,SUMPRODUCT(MAX(ROW(E$2:E50)*(E50=E$2:E50)))))-COUNTBLANK(OFFSET(A$1,,,SUMPRODUCT(MAX(ROW(E$1:E49)*(E50=E$1:E49))))))</f>
        <v/>
      </c>
      <c r="K50" s="15" t="str">
        <f aca="false">IF(OR(E50="",E50="!!!",F50="NEW"),"",INDEX(J$1:J49,SUMPRODUCT(MAX(ROW(E$1:E49)*(E50=E$1:E49)))))</f>
        <v/>
      </c>
      <c r="L50" s="16"/>
    </row>
    <row r="51" customFormat="false" ht="12.75" hidden="false" customHeight="false" outlineLevel="0" collapsed="false">
      <c r="A51" s="1" t="s">
        <v>79</v>
      </c>
      <c r="E51" s="10" t="str">
        <f aca="false">IF(D51="?OLD","!!!","")</f>
        <v/>
      </c>
      <c r="F51" s="11" t="str">
        <f aca="false">IF(OR(E51="",E51="!!!"),"",IF(NOT(ISNA(VLOOKUP(E51,E$1:E50,1,FALSE()))),"OLD",IF(AND(E51&lt;&gt;"",E51&lt;&gt;"!!!"),"NEW","")))</f>
        <v/>
      </c>
      <c r="G51" s="12" t="str">
        <f aca="false"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13" t="str">
        <f aca="false">IF(J51&lt;&gt;1,"",IF(I51="SBJ","CB","?"))</f>
        <v/>
      </c>
      <c r="I51" s="14" t="str">
        <f aca="false">IF(OR(E51="",E51="!!!",F51="NEW"),"",INDEX(B$2:B50,-1+SUMPRODUCT(MAX(ROW(E$2:E50)*(E51=E$2:E50)))))</f>
        <v/>
      </c>
      <c r="J51" s="15" t="str">
        <f aca="true">IF(OR(E51="",E51="!!!",F51="NEW"),"",COUNTBLANK(OFFSET(A$1,,,SUMPRODUCT(MAX(ROW(E$2:E51)*(E51=E$2:E51)))))-COUNTBLANK(OFFSET(A$1,,,SUMPRODUCT(MAX(ROW(E$1:E50)*(E51=E$1:E50))))))</f>
        <v/>
      </c>
      <c r="K51" s="15" t="str">
        <f aca="false">IF(OR(E51="",E51="!!!",F51="NEW"),"",INDEX(J$1:J50,SUMPRODUCT(MAX(ROW(E$1:E50)*(E51=E$1:E50)))))</f>
        <v/>
      </c>
      <c r="L51" s="16"/>
    </row>
    <row r="52" customFormat="false" ht="12.75" hidden="false" customHeight="false" outlineLevel="0" collapsed="false">
      <c r="A52" s="1" t="s">
        <v>80</v>
      </c>
      <c r="B52" s="1" t="s">
        <v>60</v>
      </c>
      <c r="C52" s="1" t="s">
        <v>15</v>
      </c>
      <c r="D52" s="1" t="s">
        <v>16</v>
      </c>
      <c r="E52" s="10"/>
      <c r="F52" s="11" t="s">
        <v>81</v>
      </c>
      <c r="G52" s="12"/>
      <c r="H52" s="13"/>
      <c r="I52" s="14" t="str">
        <f aca="false">IF(OR(E52="",E52="!!!",F52="NEW"),"",INDEX(B$2:B51,-1+SUMPRODUCT(MAX(ROW(E$2:E51)*(E52=E$2:E51)))))</f>
        <v/>
      </c>
      <c r="J52" s="15" t="str">
        <f aca="true">IF(OR(E52="",E52="!!!",F52="NEW"),"",COUNTBLANK(OFFSET(A$1,,,SUMPRODUCT(MAX(ROW(E$2:E52)*(E52=E$2:E52)))))-COUNTBLANK(OFFSET(A$1,,,SUMPRODUCT(MAX(ROW(E$1:E51)*(E52=E$1:E51))))))</f>
        <v/>
      </c>
      <c r="K52" s="15" t="str">
        <f aca="false">IF(OR(E52="",E52="!!!",F52="NEW"),"",INDEX(J$1:J51,SUMPRODUCT(MAX(ROW(E$1:E51)*(E52=E$1:E51)))))</f>
        <v/>
      </c>
      <c r="L52" s="16"/>
    </row>
    <row r="53" customFormat="false" ht="12.75" hidden="false" customHeight="false" outlineLevel="0" collapsed="false">
      <c r="A53" s="1" t="s">
        <v>31</v>
      </c>
      <c r="E53" s="10" t="str">
        <f aca="false">IF(D53="?OLD","!!!","")</f>
        <v/>
      </c>
      <c r="F53" s="11" t="str">
        <f aca="false">IF(OR(E53="",E53="!!!"),"",IF(NOT(ISNA(VLOOKUP(E53,E$1:E52,1,FALSE()))),"OLD",IF(AND(E53&lt;&gt;"",E53&lt;&gt;"!!!"),"NEW","")))</f>
        <v/>
      </c>
      <c r="G53" s="12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13" t="str">
        <f aca="false">IF(J53&lt;&gt;1,"",IF(I53="SBJ","CB","?"))</f>
        <v/>
      </c>
      <c r="I53" s="14" t="str">
        <f aca="false">IF(OR(E53="",E53="!!!",F53="NEW"),"",INDEX(B$2:B52,-1+SUMPRODUCT(MAX(ROW(E$2:E52)*(E53=E$2:E52)))))</f>
        <v/>
      </c>
      <c r="J53" s="15" t="str">
        <f aca="true">IF(OR(E53="",E53="!!!",F53="NEW"),"",COUNTBLANK(OFFSET(A$1,,,SUMPRODUCT(MAX(ROW(E$2:E53)*(E53=E$2:E53)))))-COUNTBLANK(OFFSET(A$1,,,SUMPRODUCT(MAX(ROW(E$1:E52)*(E53=E$1:E52))))))</f>
        <v/>
      </c>
      <c r="K53" s="15" t="str">
        <f aca="false">IF(OR(E53="",E53="!!!",F53="NEW"),"",INDEX(J$1:J52,SUMPRODUCT(MAX(ROW(E$1:E52)*(E53=E$1:E52)))))</f>
        <v/>
      </c>
      <c r="L53" s="16"/>
    </row>
    <row r="54" customFormat="false" ht="12.75" hidden="false" customHeight="false" outlineLevel="0" collapsed="false">
      <c r="A54" s="1" t="s">
        <v>82</v>
      </c>
      <c r="B54" s="1" t="s">
        <v>46</v>
      </c>
      <c r="E54" s="10" t="str">
        <f aca="false">IF(D54="?OLD","!!!","")</f>
        <v/>
      </c>
      <c r="F54" s="11" t="str">
        <f aca="false">IF(OR(E54="",E54="!!!"),"",IF(NOT(ISNA(VLOOKUP(E54,E$1:E53,1,FALSE()))),"OLD",IF(AND(E54&lt;&gt;"",E54&lt;&gt;"!!!"),"NEW","")))</f>
        <v/>
      </c>
      <c r="G54" s="12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13" t="str">
        <f aca="false">IF(J54&lt;&gt;1,"",IF(I54="SBJ","CB","?"))</f>
        <v/>
      </c>
      <c r="I54" s="14" t="str">
        <f aca="false">IF(OR(E54="",E54="!!!",F54="NEW"),"",INDEX(B$2:B53,-1+SUMPRODUCT(MAX(ROW(E$2:E53)*(E54=E$2:E53)))))</f>
        <v/>
      </c>
      <c r="J54" s="15" t="str">
        <f aca="true">IF(OR(E54="",E54="!!!",F54="NEW"),"",COUNTBLANK(OFFSET(A$1,,,SUMPRODUCT(MAX(ROW(E$2:E54)*(E54=E$2:E54)))))-COUNTBLANK(OFFSET(A$1,,,SUMPRODUCT(MAX(ROW(E$1:E53)*(E54=E$1:E53))))))</f>
        <v/>
      </c>
      <c r="K54" s="15" t="str">
        <f aca="false">IF(OR(E54="",E54="!!!",F54="NEW"),"",INDEX(J$1:J53,SUMPRODUCT(MAX(ROW(E$1:E53)*(E54=E$1:E53)))))</f>
        <v/>
      </c>
      <c r="L54" s="16"/>
    </row>
    <row r="55" customFormat="false" ht="12.75" hidden="false" customHeight="false" outlineLevel="0" collapsed="false">
      <c r="A55" s="1" t="s">
        <v>83</v>
      </c>
      <c r="E55" s="10" t="str">
        <f aca="false">IF(D55="?OLD","!!!","")</f>
        <v/>
      </c>
      <c r="F55" s="11" t="str">
        <f aca="false">IF(OR(E55="",E55="!!!"),"",IF(NOT(ISNA(VLOOKUP(E55,E$1:E54,1,FALSE()))),"OLD",IF(AND(E55&lt;&gt;"",E55&lt;&gt;"!!!"),"NEW","")))</f>
        <v/>
      </c>
      <c r="G55" s="12" t="str">
        <f aca="false"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13" t="str">
        <f aca="false">IF(J55&lt;&gt;1,"",IF(I55="SBJ","CB","?"))</f>
        <v/>
      </c>
      <c r="I55" s="14" t="str">
        <f aca="false">IF(OR(E55="",E55="!!!",F55="NEW"),"",INDEX(B$2:B54,-1+SUMPRODUCT(MAX(ROW(E$2:E54)*(E55=E$2:E54)))))</f>
        <v/>
      </c>
      <c r="J55" s="15" t="str">
        <f aca="true">IF(OR(E55="",E55="!!!",F55="NEW"),"",COUNTBLANK(OFFSET(A$1,,,SUMPRODUCT(MAX(ROW(E$2:E55)*(E55=E$2:E55)))))-COUNTBLANK(OFFSET(A$1,,,SUMPRODUCT(MAX(ROW(E$1:E54)*(E55=E$1:E54))))))</f>
        <v/>
      </c>
      <c r="K55" s="15" t="str">
        <f aca="false">IF(OR(E55="",E55="!!!",F55="NEW"),"",INDEX(J$1:J54,SUMPRODUCT(MAX(ROW(E$1:E54)*(E55=E$1:E54)))))</f>
        <v/>
      </c>
      <c r="L55" s="16"/>
    </row>
    <row r="56" customFormat="false" ht="12.75" hidden="false" customHeight="false" outlineLevel="0" collapsed="false">
      <c r="A56" s="1" t="s">
        <v>50</v>
      </c>
      <c r="E56" s="10" t="str">
        <f aca="false">IF(D56="?OLD","!!!","")</f>
        <v/>
      </c>
      <c r="F56" s="11" t="str">
        <f aca="false">IF(OR(E56="",E56="!!!"),"",IF(NOT(ISNA(VLOOKUP(E56,E$1:E55,1,FALSE()))),"OLD",IF(AND(E56&lt;&gt;"",E56&lt;&gt;"!!!"),"NEW","")))</f>
        <v/>
      </c>
      <c r="G56" s="12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13" t="str">
        <f aca="false">IF(J56&lt;&gt;1,"",IF(I56="SBJ","CB","?"))</f>
        <v/>
      </c>
      <c r="I56" s="14" t="str">
        <f aca="false">IF(OR(E56="",E56="!!!",F56="NEW"),"",INDEX(B$2:B55,-1+SUMPRODUCT(MAX(ROW(E$2:E55)*(E56=E$2:E55)))))</f>
        <v/>
      </c>
      <c r="J56" s="15" t="str">
        <f aca="true">IF(OR(E56="",E56="!!!",F56="NEW"),"",COUNTBLANK(OFFSET(A$1,,,SUMPRODUCT(MAX(ROW(E$2:E56)*(E56=E$2:E56)))))-COUNTBLANK(OFFSET(A$1,,,SUMPRODUCT(MAX(ROW(E$1:E55)*(E56=E$1:E55))))))</f>
        <v/>
      </c>
      <c r="K56" s="15" t="str">
        <f aca="false">IF(OR(E56="",E56="!!!",F56="NEW"),"",INDEX(J$1:J55,SUMPRODUCT(MAX(ROW(E$1:E55)*(E56=E$1:E55)))))</f>
        <v/>
      </c>
      <c r="L56" s="16"/>
    </row>
    <row r="57" customFormat="false" ht="12.75" hidden="false" customHeight="false" outlineLevel="0" collapsed="false">
      <c r="A57" s="1" t="s">
        <v>84</v>
      </c>
      <c r="E57" s="10" t="str">
        <f aca="false">IF(D57="?OLD","!!!","")</f>
        <v/>
      </c>
      <c r="F57" s="11" t="str">
        <f aca="false">IF(OR(E57="",E57="!!!"),"",IF(NOT(ISNA(VLOOKUP(E57,E$1:E56,1,FALSE()))),"OLD",IF(AND(E57&lt;&gt;"",E57&lt;&gt;"!!!"),"NEW","")))</f>
        <v/>
      </c>
      <c r="G57" s="12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13" t="str">
        <f aca="false">IF(J57&lt;&gt;1,"",IF(I57="SBJ","CB","?"))</f>
        <v/>
      </c>
      <c r="I57" s="14" t="str">
        <f aca="false">IF(OR(E57="",E57="!!!",F57="NEW"),"",INDEX(B$2:B56,-1+SUMPRODUCT(MAX(ROW(E$2:E56)*(E57=E$2:E56)))))</f>
        <v/>
      </c>
      <c r="J57" s="15" t="str">
        <f aca="true">IF(OR(E57="",E57="!!!",F57="NEW"),"",COUNTBLANK(OFFSET(A$1,,,SUMPRODUCT(MAX(ROW(E$2:E57)*(E57=E$2:E57)))))-COUNTBLANK(OFFSET(A$1,,,SUMPRODUCT(MAX(ROW(E$1:E56)*(E57=E$1:E56))))))</f>
        <v/>
      </c>
      <c r="K57" s="15" t="str">
        <f aca="false">IF(OR(E57="",E57="!!!",F57="NEW"),"",INDEX(J$1:J56,SUMPRODUCT(MAX(ROW(E$1:E56)*(E57=E$1:E56)))))</f>
        <v/>
      </c>
      <c r="L57" s="16"/>
    </row>
    <row r="58" customFormat="false" ht="12.75" hidden="false" customHeight="false" outlineLevel="0" collapsed="false">
      <c r="A58" s="1" t="s">
        <v>85</v>
      </c>
      <c r="E58" s="10" t="str">
        <f aca="false">IF(D58="?OLD","!!!","")</f>
        <v/>
      </c>
      <c r="F58" s="11" t="str">
        <f aca="false">IF(OR(E58="",E58="!!!"),"",IF(NOT(ISNA(VLOOKUP(E58,E$1:E57,1,FALSE()))),"OLD",IF(AND(E58&lt;&gt;"",E58&lt;&gt;"!!!"),"NEW","")))</f>
        <v/>
      </c>
      <c r="G58" s="12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13" t="str">
        <f aca="false">IF(J58&lt;&gt;1,"",IF(I58="SBJ","CB","?"))</f>
        <v/>
      </c>
      <c r="I58" s="14" t="str">
        <f aca="false">IF(OR(E58="",E58="!!!",F58="NEW"),"",INDEX(B$2:B57,-1+SUMPRODUCT(MAX(ROW(E$2:E57)*(E58=E$2:E57)))))</f>
        <v/>
      </c>
      <c r="J58" s="15" t="str">
        <f aca="true">IF(OR(E58="",E58="!!!",F58="NEW"),"",COUNTBLANK(OFFSET(A$1,,,SUMPRODUCT(MAX(ROW(E$2:E58)*(E58=E$2:E58)))))-COUNTBLANK(OFFSET(A$1,,,SUMPRODUCT(MAX(ROW(E$1:E57)*(E58=E$1:E57))))))</f>
        <v/>
      </c>
      <c r="K58" s="15" t="str">
        <f aca="false">IF(OR(E58="",E58="!!!",F58="NEW"),"",INDEX(J$1:J57,SUMPRODUCT(MAX(ROW(E$1:E57)*(E58=E$1:E57)))))</f>
        <v/>
      </c>
      <c r="L58" s="17"/>
    </row>
    <row r="59" customFormat="false" ht="12.75" hidden="false" customHeight="false" outlineLevel="0" collapsed="false">
      <c r="A59" s="1" t="s">
        <v>86</v>
      </c>
      <c r="E59" s="10" t="str">
        <f aca="false">IF(D59="?OLD","!!!","")</f>
        <v/>
      </c>
      <c r="F59" s="11" t="str">
        <f aca="false">IF(OR(E59="",E59="!!!"),"",IF(NOT(ISNA(VLOOKUP(E59,E$1:E58,1,FALSE()))),"OLD",IF(AND(E59&lt;&gt;"",E59&lt;&gt;"!!!"),"NEW","")))</f>
        <v/>
      </c>
      <c r="G59" s="12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13" t="str">
        <f aca="false">IF(J59&lt;&gt;1,"",IF(I59="SBJ","CB","?"))</f>
        <v/>
      </c>
      <c r="I59" s="14" t="str">
        <f aca="false">IF(OR(E59="",E59="!!!",F59="NEW"),"",INDEX(B$2:B58,-1+SUMPRODUCT(MAX(ROW(E$2:E58)*(E59=E$2:E58)))))</f>
        <v/>
      </c>
      <c r="J59" s="15" t="str">
        <f aca="true">IF(OR(E59="",E59="!!!",F59="NEW"),"",COUNTBLANK(OFFSET(A$1,,,SUMPRODUCT(MAX(ROW(E$2:E59)*(E59=E$2:E59)))))-COUNTBLANK(OFFSET(A$1,,,SUMPRODUCT(MAX(ROW(E$1:E58)*(E59=E$1:E58))))))</f>
        <v/>
      </c>
      <c r="K59" s="15" t="str">
        <f aca="false">IF(OR(E59="",E59="!!!",F59="NEW"),"",INDEX(J$1:J58,SUMPRODUCT(MAX(ROW(E$1:E58)*(E59=E$1:E58)))))</f>
        <v/>
      </c>
      <c r="L59" s="16"/>
    </row>
    <row r="60" customFormat="false" ht="12.75" hidden="false" customHeight="false" outlineLevel="0" collapsed="false">
      <c r="A60" s="1" t="s">
        <v>87</v>
      </c>
      <c r="B60" s="1" t="s">
        <v>88</v>
      </c>
      <c r="C60" s="1" t="s">
        <v>89</v>
      </c>
      <c r="D60" s="1" t="s">
        <v>16</v>
      </c>
      <c r="E60" s="10"/>
      <c r="F60" s="11" t="s">
        <v>29</v>
      </c>
      <c r="G60" s="12"/>
      <c r="H60" s="13" t="str">
        <f aca="false">IF(J60&lt;&gt;1,"",IF(I60="SBJ","CB","?"))</f>
        <v/>
      </c>
      <c r="I60" s="14" t="str">
        <f aca="false">IF(OR(E60="",E60="!!!",F60="NEW"),"",INDEX(B$2:B59,-1+SUMPRODUCT(MAX(ROW(E$2:E59)*(E60=E$2:E59)))))</f>
        <v/>
      </c>
      <c r="J60" s="15" t="str">
        <f aca="true">IF(OR(E60="",E60="!!!",F60="NEW"),"",COUNTBLANK(OFFSET(A$1,,,SUMPRODUCT(MAX(ROW(E$2:E60)*(E60=E$2:E60)))))-COUNTBLANK(OFFSET(A$1,,,SUMPRODUCT(MAX(ROW(E$1:E59)*(E60=E$1:E59))))))</f>
        <v/>
      </c>
      <c r="K60" s="15" t="str">
        <f aca="false">IF(OR(E60="",E60="!!!",F60="NEW"),"",INDEX(J$1:J59,SUMPRODUCT(MAX(ROW(E$1:E59)*(E60=E$1:E59)))))</f>
        <v/>
      </c>
      <c r="L60" s="16"/>
    </row>
    <row r="61" customFormat="false" ht="12.75" hidden="false" customHeight="false" outlineLevel="0" collapsed="false">
      <c r="A61" s="1" t="s">
        <v>90</v>
      </c>
      <c r="B61" s="1" t="s">
        <v>91</v>
      </c>
      <c r="E61" s="10" t="str">
        <f aca="false">IF(D61="?OLD","!!!","")</f>
        <v/>
      </c>
      <c r="F61" s="11" t="str">
        <f aca="false">IF(OR(E61="",E61="!!!"),"",IF(NOT(ISNA(VLOOKUP(E61,E$1:E60,1,FALSE()))),"OLD",IF(AND(E61&lt;&gt;"",E61&lt;&gt;"!!!"),"NEW","")))</f>
        <v/>
      </c>
      <c r="G61" s="12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13" t="str">
        <f aca="false">IF(J61&lt;&gt;1,"",IF(I61="SBJ","CB","?"))</f>
        <v/>
      </c>
      <c r="I61" s="14" t="str">
        <f aca="false">IF(OR(E61="",E61="!!!",F61="NEW"),"",INDEX(B$2:B60,-1+SUMPRODUCT(MAX(ROW(E$2:E60)*(E61=E$2:E60)))))</f>
        <v/>
      </c>
      <c r="J61" s="15" t="str">
        <f aca="true">IF(OR(E61="",E61="!!!",F61="NEW"),"",COUNTBLANK(OFFSET(A$1,,,SUMPRODUCT(MAX(ROW(E$2:E61)*(E61=E$2:E61)))))-COUNTBLANK(OFFSET(A$1,,,SUMPRODUCT(MAX(ROW(E$1:E60)*(E61=E$1:E60))))))</f>
        <v/>
      </c>
      <c r="K61" s="15" t="str">
        <f aca="false">IF(OR(E61="",E61="!!!",F61="NEW"),"",INDEX(J$1:J60,SUMPRODUCT(MAX(ROW(E$1:E60)*(E61=E$1:E60)))))</f>
        <v/>
      </c>
      <c r="L61" s="18"/>
    </row>
    <row r="62" customFormat="false" ht="12.75" hidden="false" customHeight="false" outlineLevel="0" collapsed="false">
      <c r="A62" s="1" t="s">
        <v>92</v>
      </c>
      <c r="E62" s="10" t="str">
        <f aca="false">IF(D62="?OLD","!!!","")</f>
        <v/>
      </c>
      <c r="F62" s="11" t="str">
        <f aca="false">IF(OR(E62="",E62="!!!"),"",IF(NOT(ISNA(VLOOKUP(E62,E$1:E61,1,FALSE()))),"OLD",IF(AND(E62&lt;&gt;"",E62&lt;&gt;"!!!"),"NEW","")))</f>
        <v/>
      </c>
      <c r="G62" s="12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13" t="str">
        <f aca="false">IF(J62&lt;&gt;1,"",IF(I62="SBJ","CB","?"))</f>
        <v/>
      </c>
      <c r="I62" s="14" t="str">
        <f aca="false">IF(OR(E62="",E62="!!!",F62="NEW"),"",INDEX(B$2:B61,-1+SUMPRODUCT(MAX(ROW(E$2:E61)*(E62=E$2:E61)))))</f>
        <v/>
      </c>
      <c r="J62" s="15" t="str">
        <f aca="true">IF(OR(E62="",E62="!!!",F62="NEW"),"",COUNTBLANK(OFFSET(A$1,,,SUMPRODUCT(MAX(ROW(E$2:E62)*(E62=E$2:E62)))))-COUNTBLANK(OFFSET(A$1,,,SUMPRODUCT(MAX(ROW(E$1:E61)*(E62=E$1:E61))))))</f>
        <v/>
      </c>
      <c r="K62" s="15" t="str">
        <f aca="false">IF(OR(E62="",E62="!!!",F62="NEW"),"",INDEX(J$1:J61,SUMPRODUCT(MAX(ROW(E$1:E61)*(E62=E$1:E61)))))</f>
        <v/>
      </c>
      <c r="L62" s="16"/>
    </row>
    <row r="63" customFormat="false" ht="12.75" hidden="false" customHeight="false" outlineLevel="0" collapsed="false">
      <c r="A63" s="1" t="s">
        <v>93</v>
      </c>
      <c r="E63" s="10" t="str">
        <f aca="false">IF(D63="?OLD","!!!","")</f>
        <v/>
      </c>
      <c r="F63" s="11" t="str">
        <f aca="false">IF(OR(E63="",E63="!!!"),"",IF(NOT(ISNA(VLOOKUP(E63,E$1:E62,1,FALSE()))),"OLD",IF(AND(E63&lt;&gt;"",E63&lt;&gt;"!!!"),"NEW","")))</f>
        <v/>
      </c>
      <c r="G63" s="12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13" t="str">
        <f aca="false">IF(J63&lt;&gt;1,"",IF(I63="SBJ","CB","?"))</f>
        <v/>
      </c>
      <c r="I63" s="14" t="str">
        <f aca="false">IF(OR(E63="",E63="!!!",F63="NEW"),"",INDEX(B$2:B62,-1+SUMPRODUCT(MAX(ROW(E$2:E62)*(E63=E$2:E62)))))</f>
        <v/>
      </c>
      <c r="J63" s="15" t="str">
        <f aca="true">IF(OR(E63="",E63="!!!",F63="NEW"),"",COUNTBLANK(OFFSET(A$1,,,SUMPRODUCT(MAX(ROW(E$2:E63)*(E63=E$2:E63)))))-COUNTBLANK(OFFSET(A$1,,,SUMPRODUCT(MAX(ROW(E$1:E62)*(E63=E$1:E62))))))</f>
        <v/>
      </c>
      <c r="K63" s="15" t="str">
        <f aca="false">IF(OR(E63="",E63="!!!",F63="NEW"),"",INDEX(J$1:J62,SUMPRODUCT(MAX(ROW(E$1:E62)*(E63=E$1:E62)))))</f>
        <v/>
      </c>
      <c r="L63" s="16"/>
    </row>
    <row r="64" customFormat="false" ht="12.75" hidden="false" customHeight="false" outlineLevel="0" collapsed="false">
      <c r="A64" s="1" t="s">
        <v>94</v>
      </c>
      <c r="B64" s="1" t="s">
        <v>68</v>
      </c>
      <c r="C64" s="1" t="s">
        <v>38</v>
      </c>
      <c r="D64" s="1" t="s">
        <v>16</v>
      </c>
      <c r="E64" s="10" t="s">
        <v>24</v>
      </c>
      <c r="F64" s="11" t="str">
        <f aca="false">IF(OR(E64="",E64="!!!"),"",IF(NOT(ISNA(VLOOKUP(E64,E$1:E63,1,FALSE()))),"OLD",IF(AND(E64&lt;&gt;"",E64&lt;&gt;"!!!"),"NEW","")))</f>
        <v>OLD</v>
      </c>
      <c r="G64" s="12" t="s">
        <v>39</v>
      </c>
      <c r="H64" s="13" t="str">
        <f aca="false">IF(J64&lt;&gt;1,"",IF(I64="SBJ","CB","?"))</f>
        <v/>
      </c>
      <c r="I64" s="14" t="str">
        <f aca="false">IF(OR(E64="",E64="!!!",F64="NEW"),"",INDEX(B$2:B63,-1+SUMPRODUCT(MAX(ROW(E$2:E63)*(E64=E$2:E63)))))</f>
        <v>other_2</v>
      </c>
      <c r="J64" s="15" t="n">
        <f aca="true">IF(OR(E64="",E64="!!!",F64="NEW"),"",COUNTBLANK(OFFSET(A$1,,,SUMPRODUCT(MAX(ROW(E$2:E64)*(E64=E$2:E64)))))-COUNTBLANK(OFFSET(A$1,,,SUMPRODUCT(MAX(ROW(E$1:E63)*(E64=E$1:E63))))))</f>
        <v>0</v>
      </c>
      <c r="K64" s="15" t="n">
        <f aca="false">IF(OR(E64="",E64="!!!",F64="NEW"),"",INDEX(J$1:J63,SUMPRODUCT(MAX(ROW(E$1:E63)*(E64=E$1:E63)))))</f>
        <v>1</v>
      </c>
      <c r="L64" s="16"/>
    </row>
    <row r="65" customFormat="false" ht="12.75" hidden="false" customHeight="false" outlineLevel="0" collapsed="false">
      <c r="A65" s="1" t="s">
        <v>70</v>
      </c>
      <c r="E65" s="10" t="str">
        <f aca="false">IF(D65="?OLD","!!!","")</f>
        <v/>
      </c>
      <c r="F65" s="11" t="str">
        <f aca="false">IF(OR(E65="",E65="!!!"),"",IF(NOT(ISNA(VLOOKUP(E65,E$1:E64,1,FALSE()))),"OLD",IF(AND(E65&lt;&gt;"",E65&lt;&gt;"!!!"),"NEW","")))</f>
        <v/>
      </c>
      <c r="G65" s="12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13" t="str">
        <f aca="false">IF(J65&lt;&gt;1,"",IF(I65="SBJ","CB","?"))</f>
        <v/>
      </c>
      <c r="I65" s="14" t="str">
        <f aca="false">IF(OR(E65="",E65="!!!",F65="NEW"),"",INDEX(B$2:B64,-1+SUMPRODUCT(MAX(ROW(E$2:E64)*(E65=E$2:E64)))))</f>
        <v/>
      </c>
      <c r="J65" s="15" t="str">
        <f aca="true">IF(OR(E65="",E65="!!!",F65="NEW"),"",COUNTBLANK(OFFSET(A$1,,,SUMPRODUCT(MAX(ROW(E$2:E65)*(E65=E$2:E65)))))-COUNTBLANK(OFFSET(A$1,,,SUMPRODUCT(MAX(ROW(E$1:E64)*(E65=E$1:E64))))))</f>
        <v/>
      </c>
      <c r="K65" s="15" t="str">
        <f aca="false">IF(OR(E65="",E65="!!!",F65="NEW"),"",INDEX(J$1:J64,SUMPRODUCT(MAX(ROW(E$1:E64)*(E65=E$1:E64)))))</f>
        <v/>
      </c>
      <c r="L65" s="16"/>
    </row>
    <row r="66" customFormat="false" ht="12.75" hidden="false" customHeight="false" outlineLevel="0" collapsed="false">
      <c r="E66" s="10" t="str">
        <f aca="false">IF(D66="?OLD","!!!","")</f>
        <v/>
      </c>
      <c r="F66" s="11" t="str">
        <f aca="false">IF(OR(E66="",E66="!!!"),"",IF(NOT(ISNA(VLOOKUP(E66,E$1:E65,1,FALSE()))),"OLD",IF(AND(E66&lt;&gt;"",E66&lt;&gt;"!!!"),"NEW","")))</f>
        <v/>
      </c>
      <c r="G66" s="12" t="str">
        <f aca="false"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13" t="str">
        <f aca="false">IF(J66&lt;&gt;1,"",IF(I66="SBJ","CB","?"))</f>
        <v/>
      </c>
      <c r="I66" s="14" t="str">
        <f aca="false">IF(OR(E66="",E66="!!!",F66="NEW"),"",INDEX(B$2:B65,-1+SUMPRODUCT(MAX(ROW(E$2:E65)*(E66=E$2:E65)))))</f>
        <v/>
      </c>
      <c r="J66" s="15" t="str">
        <f aca="true">IF(OR(E66="",E66="!!!",F66="NEW"),"",COUNTBLANK(OFFSET(A$1,,,SUMPRODUCT(MAX(ROW(E$2:E66)*(E66=E$2:E66)))))-COUNTBLANK(OFFSET(A$1,,,SUMPRODUCT(MAX(ROW(E$1:E65)*(E66=E$1:E65))))))</f>
        <v/>
      </c>
      <c r="K66" s="15" t="str">
        <f aca="false">IF(OR(E66="",E66="!!!",F66="NEW"),"",INDEX(J$1:J65,SUMPRODUCT(MAX(ROW(E$1:E65)*(E66=E$1:E65)))))</f>
        <v/>
      </c>
      <c r="L66" s="16"/>
    </row>
    <row r="67" customFormat="false" ht="12.75" hidden="false" customHeight="false" outlineLevel="0" collapsed="false">
      <c r="A67" s="1" t="s">
        <v>95</v>
      </c>
      <c r="E67" s="10" t="str">
        <f aca="false">IF(D67="?OLD","!!!","")</f>
        <v/>
      </c>
      <c r="F67" s="11" t="str">
        <f aca="false">IF(OR(E67="",E67="!!!"),"",IF(NOT(ISNA(VLOOKUP(E67,E$1:E66,1,FALSE()))),"OLD",IF(AND(E67&lt;&gt;"",E67&lt;&gt;"!!!"),"NEW","")))</f>
        <v/>
      </c>
      <c r="G67" s="12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13" t="str">
        <f aca="false">IF(J67&lt;&gt;1,"",IF(I67="SBJ","CB","?"))</f>
        <v/>
      </c>
      <c r="I67" s="14" t="str">
        <f aca="false">IF(OR(E67="",E67="!!!",F67="NEW"),"",INDEX(B$2:B66,-1+SUMPRODUCT(MAX(ROW(E$2:E66)*(E67=E$2:E66)))))</f>
        <v/>
      </c>
      <c r="J67" s="15" t="str">
        <f aca="true">IF(OR(E67="",E67="!!!",F67="NEW"),"",COUNTBLANK(OFFSET(A$1,,,SUMPRODUCT(MAX(ROW(E$2:E67)*(E67=E$2:E67)))))-COUNTBLANK(OFFSET(A$1,,,SUMPRODUCT(MAX(ROW(E$1:E66)*(E67=E$1:E66))))))</f>
        <v/>
      </c>
      <c r="K67" s="15" t="str">
        <f aca="false">IF(OR(E67="",E67="!!!",F67="NEW"),"",INDEX(J$1:J66,SUMPRODUCT(MAX(ROW(E$1:E66)*(E67=E$1:E66)))))</f>
        <v/>
      </c>
      <c r="L67" s="16"/>
    </row>
    <row r="68" customFormat="false" ht="12.75" hidden="false" customHeight="false" outlineLevel="0" collapsed="false">
      <c r="A68" s="1" t="s">
        <v>72</v>
      </c>
      <c r="E68" s="10" t="str">
        <f aca="false">IF(D68="?OLD","!!!","")</f>
        <v/>
      </c>
      <c r="F68" s="11" t="str">
        <f aca="false">IF(OR(E68="",E68="!!!"),"",IF(NOT(ISNA(VLOOKUP(E68,E$1:E67,1,FALSE()))),"OLD",IF(AND(E68&lt;&gt;"",E68&lt;&gt;"!!!"),"NEW","")))</f>
        <v/>
      </c>
      <c r="G68" s="12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13" t="str">
        <f aca="false">IF(J68&lt;&gt;1,"",IF(I68="SBJ","CB","?"))</f>
        <v/>
      </c>
      <c r="I68" s="14" t="str">
        <f aca="false">IF(OR(E68="",E68="!!!",F68="NEW"),"",INDEX(B$2:B67,-1+SUMPRODUCT(MAX(ROW(E$2:E67)*(E68=E$2:E67)))))</f>
        <v/>
      </c>
      <c r="J68" s="15" t="str">
        <f aca="true">IF(OR(E68="",E68="!!!",F68="NEW"),"",COUNTBLANK(OFFSET(A$1,,,SUMPRODUCT(MAX(ROW(E$2:E68)*(E68=E$2:E68)))))-COUNTBLANK(OFFSET(A$1,,,SUMPRODUCT(MAX(ROW(E$1:E67)*(E68=E$1:E67))))))</f>
        <v/>
      </c>
      <c r="K68" s="15" t="str">
        <f aca="false">IF(OR(E68="",E68="!!!",F68="NEW"),"",INDEX(J$1:J67,SUMPRODUCT(MAX(ROW(E$1:E67)*(E68=E$1:E67)))))</f>
        <v/>
      </c>
      <c r="L68" s="16"/>
    </row>
    <row r="69" customFormat="false" ht="12.75" hidden="false" customHeight="false" outlineLevel="0" collapsed="false">
      <c r="A69" s="1" t="s">
        <v>96</v>
      </c>
      <c r="E69" s="10" t="str">
        <f aca="false">IF(D69="?OLD","!!!","")</f>
        <v/>
      </c>
      <c r="F69" s="11" t="str">
        <f aca="false">IF(OR(E69="",E69="!!!"),"",IF(NOT(ISNA(VLOOKUP(E69,E$1:E68,1,FALSE()))),"OLD",IF(AND(E69&lt;&gt;"",E69&lt;&gt;"!!!"),"NEW","")))</f>
        <v/>
      </c>
      <c r="G69" s="12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13" t="str">
        <f aca="false">IF(J69&lt;&gt;1,"",IF(I69="SBJ","CB","?"))</f>
        <v/>
      </c>
      <c r="I69" s="14" t="str">
        <f aca="false">IF(OR(E69="",E69="!!!",F69="NEW"),"",INDEX(B$2:B68,-1+SUMPRODUCT(MAX(ROW(E$2:E68)*(E69=E$2:E68)))))</f>
        <v/>
      </c>
      <c r="J69" s="15" t="str">
        <f aca="true">IF(OR(E69="",E69="!!!",F69="NEW"),"",COUNTBLANK(OFFSET(A$1,,,SUMPRODUCT(MAX(ROW(E$2:E69)*(E69=E$2:E69)))))-COUNTBLANK(OFFSET(A$1,,,SUMPRODUCT(MAX(ROW(E$1:E68)*(E69=E$1:E68))))))</f>
        <v/>
      </c>
      <c r="K69" s="15" t="str">
        <f aca="false">IF(OR(E69="",E69="!!!",F69="NEW"),"",INDEX(J$1:J68,SUMPRODUCT(MAX(ROW(E$1:E68)*(E69=E$1:E68)))))</f>
        <v/>
      </c>
      <c r="L69" s="16"/>
    </row>
    <row r="70" customFormat="false" ht="12.75" hidden="false" customHeight="false" outlineLevel="0" collapsed="false">
      <c r="A70" s="1" t="s">
        <v>76</v>
      </c>
      <c r="E70" s="10" t="str">
        <f aca="false">IF(D70="?OLD","!!!","")</f>
        <v/>
      </c>
      <c r="F70" s="11" t="str">
        <f aca="false">IF(OR(E70="",E70="!!!"),"",IF(NOT(ISNA(VLOOKUP(E70,E$1:E69,1,FALSE()))),"OLD",IF(AND(E70&lt;&gt;"",E70&lt;&gt;"!!!"),"NEW","")))</f>
        <v/>
      </c>
      <c r="G70" s="12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13" t="str">
        <f aca="false">IF(J70&lt;&gt;1,"",IF(I70="SBJ","CB","?"))</f>
        <v/>
      </c>
      <c r="I70" s="14" t="str">
        <f aca="false">IF(OR(E70="",E70="!!!",F70="NEW"),"",INDEX(B$2:B69,-1+SUMPRODUCT(MAX(ROW(E$2:E69)*(E70=E$2:E69)))))</f>
        <v/>
      </c>
      <c r="J70" s="15" t="str">
        <f aca="true">IF(OR(E70="",E70="!!!",F70="NEW"),"",COUNTBLANK(OFFSET(A$1,,,SUMPRODUCT(MAX(ROW(E$2:E70)*(E70=E$2:E70)))))-COUNTBLANK(OFFSET(A$1,,,SUMPRODUCT(MAX(ROW(E$1:E69)*(E70=E$1:E69))))))</f>
        <v/>
      </c>
      <c r="K70" s="15" t="str">
        <f aca="false">IF(OR(E70="",E70="!!!",F70="NEW"),"",INDEX(J$1:J69,SUMPRODUCT(MAX(ROW(E$1:E69)*(E70=E$1:E69)))))</f>
        <v/>
      </c>
      <c r="L70" s="16"/>
    </row>
    <row r="71" customFormat="false" ht="12.75" hidden="false" customHeight="false" outlineLevel="0" collapsed="false">
      <c r="A71" s="1" t="s">
        <v>52</v>
      </c>
      <c r="B71" s="1" t="s">
        <v>60</v>
      </c>
      <c r="C71" s="1" t="s">
        <v>54</v>
      </c>
      <c r="D71" s="1" t="s">
        <v>16</v>
      </c>
      <c r="E71" s="10" t="s">
        <v>24</v>
      </c>
      <c r="F71" s="11" t="str">
        <f aca="false">IF(OR(E71="",E71="!!!"),"",IF(NOT(ISNA(VLOOKUP(E71,E$1:E70,1,FALSE()))),"OLD",IF(AND(E71&lt;&gt;"",E71&lt;&gt;"!!!"),"NEW","")))</f>
        <v>OLD</v>
      </c>
      <c r="G71" s="12" t="s">
        <v>77</v>
      </c>
      <c r="H71" s="13" t="s">
        <v>7</v>
      </c>
      <c r="I71" s="14" t="str">
        <f aca="false">IF(OR(E71="",E71="!!!",F71="NEW"),"",INDEX(B$2:B70,-1+SUMPRODUCT(MAX(ROW(E$2:E70)*(E71=E$2:E70)))))</f>
        <v>other_6</v>
      </c>
      <c r="J71" s="15" t="n">
        <f aca="true">IF(OR(E71="",E71="!!!",F71="NEW"),"",COUNTBLANK(OFFSET(A$1,,,SUMPRODUCT(MAX(ROW(E$2:E71)*(E71=E$2:E71)))))-COUNTBLANK(OFFSET(A$1,,,SUMPRODUCT(MAX(ROW(E$1:E70)*(E71=E$1:E70))))))</f>
        <v>1</v>
      </c>
      <c r="K71" s="15" t="n">
        <f aca="false">IF(OR(E71="",E71="!!!",F71="NEW"),"",INDEX(J$1:J70,SUMPRODUCT(MAX(ROW(E$1:E70)*(E71=E$1:E70)))))</f>
        <v>0</v>
      </c>
      <c r="L71" s="16"/>
    </row>
    <row r="72" customFormat="false" ht="12.75" hidden="false" customHeight="false" outlineLevel="0" collapsed="false">
      <c r="A72" s="1" t="s">
        <v>97</v>
      </c>
      <c r="E72" s="10" t="str">
        <f aca="false">IF(D72="?OLD","!!!","")</f>
        <v/>
      </c>
      <c r="F72" s="11" t="str">
        <f aca="false">IF(OR(E72="",E72="!!!"),"",IF(NOT(ISNA(VLOOKUP(E72,E$1:E71,1,FALSE()))),"OLD",IF(AND(E72&lt;&gt;"",E72&lt;&gt;"!!!"),"NEW","")))</f>
        <v/>
      </c>
      <c r="G72" s="12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13" t="str">
        <f aca="false">IF(J72&lt;&gt;1,"",IF(I72="SBJ","CB","?"))</f>
        <v/>
      </c>
      <c r="I72" s="14" t="str">
        <f aca="false">IF(OR(E72="",E72="!!!",F72="NEW"),"",INDEX(B$2:B71,-1+SUMPRODUCT(MAX(ROW(E$2:E71)*(E72=E$2:E71)))))</f>
        <v/>
      </c>
      <c r="J72" s="15" t="str">
        <f aca="true">IF(OR(E72="",E72="!!!",F72="NEW"),"",COUNTBLANK(OFFSET(A$1,,,SUMPRODUCT(MAX(ROW(E$2:E72)*(E72=E$2:E72)))))-COUNTBLANK(OFFSET(A$1,,,SUMPRODUCT(MAX(ROW(E$1:E71)*(E72=E$1:E71))))))</f>
        <v/>
      </c>
      <c r="K72" s="15" t="str">
        <f aca="false">IF(OR(E72="",E72="!!!",F72="NEW"),"",INDEX(J$1:J71,SUMPRODUCT(MAX(ROW(E$1:E71)*(E72=E$1:E71)))))</f>
        <v/>
      </c>
      <c r="L72" s="16"/>
    </row>
    <row r="73" customFormat="false" ht="12.75" hidden="false" customHeight="false" outlineLevel="0" collapsed="false">
      <c r="A73" s="1" t="s">
        <v>98</v>
      </c>
      <c r="B73" s="1" t="s">
        <v>60</v>
      </c>
      <c r="C73" s="1" t="s">
        <v>15</v>
      </c>
      <c r="D73" s="1" t="s">
        <v>16</v>
      </c>
      <c r="E73" s="10" t="s">
        <v>66</v>
      </c>
      <c r="F73" s="11"/>
      <c r="G73" s="12"/>
      <c r="H73" s="13"/>
      <c r="I73" s="14" t="str">
        <f aca="false">IF(OR(E73="",E73="!!!",F73="NEW"),"",INDEX(B$2:B72,-1+SUMPRODUCT(MAX(ROW(E$2:E72)*(E73=E$2:E72)))))</f>
        <v>other_5</v>
      </c>
      <c r="J73" s="15" t="n">
        <f aca="true">IF(OR(E73="",E73="!!!",F73="NEW"),"",COUNTBLANK(OFFSET(A$1,,,SUMPRODUCT(MAX(ROW(E$2:E73)*(E73=E$2:E73)))))-COUNTBLANK(OFFSET(A$1,,,SUMPRODUCT(MAX(ROW(E$1:E72)*(E73=E$1:E72))))))</f>
        <v>2</v>
      </c>
      <c r="K73" s="15" t="n">
        <f aca="false">IF(OR(E73="",E73="!!!",F73="NEW"),"",INDEX(J$1:J72,SUMPRODUCT(MAX(ROW(E$1:E72)*(E73=E$1:E72)))))</f>
        <v>0</v>
      </c>
      <c r="L73" s="16"/>
    </row>
    <row r="74" customFormat="false" ht="12.75" hidden="false" customHeight="false" outlineLevel="0" collapsed="false">
      <c r="A74" s="1" t="s">
        <v>31</v>
      </c>
      <c r="E74" s="10" t="str">
        <f aca="false">IF(D74="?OLD","!!!","")</f>
        <v/>
      </c>
      <c r="F74" s="11" t="str">
        <f aca="false">IF(OR(E74="",E74="!!!"),"",IF(NOT(ISNA(VLOOKUP(E74,E$1:E73,1,FALSE()))),"OLD",IF(AND(E74&lt;&gt;"",E74&lt;&gt;"!!!"),"NEW","")))</f>
        <v/>
      </c>
      <c r="G74" s="12" t="str">
        <f aca="false"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13" t="str">
        <f aca="false">IF(J74&lt;&gt;1,"",IF(I74="SBJ","CB","?"))</f>
        <v/>
      </c>
      <c r="I74" s="14" t="str">
        <f aca="false">IF(OR(E74="",E74="!!!",F74="NEW"),"",INDEX(B$2:B73,-1+SUMPRODUCT(MAX(ROW(E$2:E73)*(E74=E$2:E73)))))</f>
        <v/>
      </c>
      <c r="J74" s="15" t="str">
        <f aca="true">IF(OR(E74="",E74="!!!",F74="NEW"),"",COUNTBLANK(OFFSET(A$1,,,SUMPRODUCT(MAX(ROW(E$2:E74)*(E74=E$2:E74)))))-COUNTBLANK(OFFSET(A$1,,,SUMPRODUCT(MAX(ROW(E$1:E73)*(E74=E$1:E73))))))</f>
        <v/>
      </c>
      <c r="K74" s="15" t="str">
        <f aca="false">IF(OR(E74="",E74="!!!",F74="NEW"),"",INDEX(J$1:J73,SUMPRODUCT(MAX(ROW(E$1:E73)*(E74=E$1:E73)))))</f>
        <v/>
      </c>
      <c r="L74" s="16"/>
    </row>
    <row r="75" customFormat="false" ht="12.75" hidden="false" customHeight="false" outlineLevel="0" collapsed="false">
      <c r="A75" s="1" t="s">
        <v>82</v>
      </c>
      <c r="B75" s="1" t="s">
        <v>41</v>
      </c>
      <c r="E75" s="10" t="str">
        <f aca="false">IF(D75="?OLD","!!!","")</f>
        <v/>
      </c>
      <c r="F75" s="11" t="str">
        <f aca="false">IF(OR(E75="",E75="!!!"),"",IF(NOT(ISNA(VLOOKUP(E75,E$1:E74,1,FALSE()))),"OLD",IF(AND(E75&lt;&gt;"",E75&lt;&gt;"!!!"),"NEW","")))</f>
        <v/>
      </c>
      <c r="G75" s="12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13" t="str">
        <f aca="false">IF(J75&lt;&gt;1,"",IF(I75="SBJ","CB","?"))</f>
        <v/>
      </c>
      <c r="I75" s="14" t="str">
        <f aca="false">IF(OR(E75="",E75="!!!",F75="NEW"),"",INDEX(B$2:B74,-1+SUMPRODUCT(MAX(ROW(E$2:E74)*(E75=E$2:E74)))))</f>
        <v/>
      </c>
      <c r="J75" s="15" t="str">
        <f aca="true">IF(OR(E75="",E75="!!!",F75="NEW"),"",COUNTBLANK(OFFSET(A$1,,,SUMPRODUCT(MAX(ROW(E$2:E75)*(E75=E$2:E75)))))-COUNTBLANK(OFFSET(A$1,,,SUMPRODUCT(MAX(ROW(E$1:E74)*(E75=E$1:E74))))))</f>
        <v/>
      </c>
      <c r="K75" s="15" t="str">
        <f aca="false">IF(OR(E75="",E75="!!!",F75="NEW"),"",INDEX(J$1:J74,SUMPRODUCT(MAX(ROW(E$1:E74)*(E75=E$1:E74)))))</f>
        <v/>
      </c>
      <c r="L75" s="16"/>
    </row>
    <row r="76" customFormat="false" ht="12.75" hidden="false" customHeight="false" outlineLevel="0" collapsed="false">
      <c r="A76" s="1" t="s">
        <v>99</v>
      </c>
      <c r="E76" s="10" t="str">
        <f aca="false">IF(D76="?OLD","!!!","")</f>
        <v/>
      </c>
      <c r="F76" s="11" t="str">
        <f aca="false">IF(OR(E76="",E76="!!!"),"",IF(NOT(ISNA(VLOOKUP(E76,E$1:E75,1,FALSE()))),"OLD",IF(AND(E76&lt;&gt;"",E76&lt;&gt;"!!!"),"NEW","")))</f>
        <v/>
      </c>
      <c r="G76" s="12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13" t="str">
        <f aca="false">IF(J76&lt;&gt;1,"",IF(I76="SBJ","CB","?"))</f>
        <v/>
      </c>
      <c r="I76" s="14" t="str">
        <f aca="false">IF(OR(E76="",E76="!!!",F76="NEW"),"",INDEX(B$2:B75,-1+SUMPRODUCT(MAX(ROW(E$2:E75)*(E76=E$2:E75)))))</f>
        <v/>
      </c>
      <c r="J76" s="15" t="str">
        <f aca="true">IF(OR(E76="",E76="!!!",F76="NEW"),"",COUNTBLANK(OFFSET(A$1,,,SUMPRODUCT(MAX(ROW(E$2:E76)*(E76=E$2:E76)))))-COUNTBLANK(OFFSET(A$1,,,SUMPRODUCT(MAX(ROW(E$1:E75)*(E76=E$1:E75))))))</f>
        <v/>
      </c>
      <c r="K76" s="15" t="str">
        <f aca="false">IF(OR(E76="",E76="!!!",F76="NEW"),"",INDEX(J$1:J75,SUMPRODUCT(MAX(ROW(E$1:E75)*(E76=E$1:E75)))))</f>
        <v/>
      </c>
      <c r="L76" s="16"/>
    </row>
    <row r="77" customFormat="false" ht="12.75" hidden="false" customHeight="false" outlineLevel="0" collapsed="false">
      <c r="A77" s="1" t="s">
        <v>94</v>
      </c>
      <c r="B77" s="1" t="s">
        <v>100</v>
      </c>
      <c r="C77" s="1" t="s">
        <v>38</v>
      </c>
      <c r="D77" s="1" t="s">
        <v>16</v>
      </c>
      <c r="E77" s="10" t="s">
        <v>24</v>
      </c>
      <c r="F77" s="11" t="str">
        <f aca="false">IF(OR(E77="",E77="!!!"),"",IF(NOT(ISNA(VLOOKUP(E77,E$1:E76,1,FALSE()))),"OLD",IF(AND(E77&lt;&gt;"",E77&lt;&gt;"!!!"),"NEW","")))</f>
        <v>OLD</v>
      </c>
      <c r="G77" s="12" t="s">
        <v>39</v>
      </c>
      <c r="H77" s="13" t="str">
        <f aca="false">IF(J77&lt;&gt;1,"",IF(I77="SBJ","CB","?"))</f>
        <v/>
      </c>
      <c r="I77" s="14" t="str">
        <f aca="false">IF(OR(E77="",E77="!!!",F77="NEW"),"",INDEX(B$2:B76,-1+SUMPRODUCT(MAX(ROW(E$2:E76)*(E77=E$2:E76)))))</f>
        <v>other</v>
      </c>
      <c r="J77" s="15" t="n">
        <f aca="true">IF(OR(E77="",E77="!!!",F77="NEW"),"",COUNTBLANK(OFFSET(A$1,,,SUMPRODUCT(MAX(ROW(E$2:E77)*(E77=E$2:E77)))))-COUNTBLANK(OFFSET(A$1,,,SUMPRODUCT(MAX(ROW(E$1:E76)*(E77=E$1:E76))))))</f>
        <v>0</v>
      </c>
      <c r="K77" s="15" t="n">
        <f aca="false">IF(OR(E77="",E77="!!!",F77="NEW"),"",INDEX(J$1:J76,SUMPRODUCT(MAX(ROW(E$1:E76)*(E77=E$1:E76)))))</f>
        <v>1</v>
      </c>
      <c r="L77" s="16"/>
    </row>
    <row r="78" customFormat="false" ht="12.75" hidden="false" customHeight="false" outlineLevel="0" collapsed="false">
      <c r="A78" s="1" t="s">
        <v>101</v>
      </c>
      <c r="E78" s="10" t="str">
        <f aca="false">IF(D78="?OLD","!!!","")</f>
        <v/>
      </c>
      <c r="F78" s="11" t="str">
        <f aca="false">IF(OR(E78="",E78="!!!"),"",IF(NOT(ISNA(VLOOKUP(E78,E$1:E77,1,FALSE()))),"OLD",IF(AND(E78&lt;&gt;"",E78&lt;&gt;"!!!"),"NEW","")))</f>
        <v/>
      </c>
      <c r="G78" s="12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13" t="str">
        <f aca="false">IF(J78&lt;&gt;1,"",IF(I78="SBJ","CB","?"))</f>
        <v/>
      </c>
      <c r="I78" s="14" t="str">
        <f aca="false">IF(OR(E78="",E78="!!!",F78="NEW"),"",INDEX(B$2:B77,-1+SUMPRODUCT(MAX(ROW(E$2:E77)*(E78=E$2:E77)))))</f>
        <v/>
      </c>
      <c r="J78" s="15" t="str">
        <f aca="true">IF(OR(E78="",E78="!!!",F78="NEW"),"",COUNTBLANK(OFFSET(A$1,,,SUMPRODUCT(MAX(ROW(E$2:E78)*(E78=E$2:E78)))))-COUNTBLANK(OFFSET(A$1,,,SUMPRODUCT(MAX(ROW(E$1:E77)*(E78=E$1:E77))))))</f>
        <v/>
      </c>
      <c r="K78" s="15" t="str">
        <f aca="false">IF(OR(E78="",E78="!!!",F78="NEW"),"",INDEX(J$1:J77,SUMPRODUCT(MAX(ROW(E$1:E77)*(E78=E$1:E77)))))</f>
        <v/>
      </c>
      <c r="L78" s="16"/>
    </row>
    <row r="79" customFormat="false" ht="12.75" hidden="false" customHeight="false" outlineLevel="0" collapsed="false">
      <c r="A79" s="1" t="s">
        <v>50</v>
      </c>
      <c r="E79" s="10" t="str">
        <f aca="false">IF(D79="?OLD","!!!","")</f>
        <v/>
      </c>
      <c r="F79" s="11" t="str">
        <f aca="false">IF(OR(E79="",E79="!!!"),"",IF(NOT(ISNA(VLOOKUP(E79,E$1:E78,1,FALSE()))),"OLD",IF(AND(E79&lt;&gt;"",E79&lt;&gt;"!!!"),"NEW","")))</f>
        <v/>
      </c>
      <c r="G79" s="12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13" t="str">
        <f aca="false">IF(J79&lt;&gt;1,"",IF(I79="SBJ","CB","?"))</f>
        <v/>
      </c>
      <c r="I79" s="14" t="str">
        <f aca="false">IF(OR(E79="",E79="!!!",F79="NEW"),"",INDEX(B$2:B78,-1+SUMPRODUCT(MAX(ROW(E$2:E78)*(E79=E$2:E78)))))</f>
        <v/>
      </c>
      <c r="J79" s="15" t="str">
        <f aca="true">IF(OR(E79="",E79="!!!",F79="NEW"),"",COUNTBLANK(OFFSET(A$1,,,SUMPRODUCT(MAX(ROW(E$2:E79)*(E79=E$2:E79)))))-COUNTBLANK(OFFSET(A$1,,,SUMPRODUCT(MAX(ROW(E$1:E78)*(E79=E$1:E78))))))</f>
        <v/>
      </c>
      <c r="K79" s="15" t="str">
        <f aca="false">IF(OR(E79="",E79="!!!",F79="NEW"),"",INDEX(J$1:J78,SUMPRODUCT(MAX(ROW(E$1:E78)*(E79=E$1:E78)))))</f>
        <v/>
      </c>
      <c r="L79" s="16"/>
    </row>
    <row r="80" customFormat="false" ht="12.75" hidden="false" customHeight="false" outlineLevel="0" collapsed="false">
      <c r="A80" s="1" t="s">
        <v>102</v>
      </c>
      <c r="E80" s="10" t="str">
        <f aca="false">IF(D80="?OLD","!!!","")</f>
        <v/>
      </c>
      <c r="F80" s="11" t="str">
        <f aca="false">IF(OR(E80="",E80="!!!"),"",IF(NOT(ISNA(VLOOKUP(E80,E$1:E79,1,FALSE()))),"OLD",IF(AND(E80&lt;&gt;"",E80&lt;&gt;"!!!"),"NEW","")))</f>
        <v/>
      </c>
      <c r="G80" s="12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13" t="str">
        <f aca="false">IF(J80&lt;&gt;1,"",IF(I80="SBJ","CB","?"))</f>
        <v/>
      </c>
      <c r="I80" s="14" t="str">
        <f aca="false">IF(OR(E80="",E80="!!!",F80="NEW"),"",INDEX(B$2:B79,-1+SUMPRODUCT(MAX(ROW(E$2:E79)*(E80=E$2:E79)))))</f>
        <v/>
      </c>
      <c r="J80" s="15" t="str">
        <f aca="true">IF(OR(E80="",E80="!!!",F80="NEW"),"",COUNTBLANK(OFFSET(A$1,,,SUMPRODUCT(MAX(ROW(E$2:E80)*(E80=E$2:E80)))))-COUNTBLANK(OFFSET(A$1,,,SUMPRODUCT(MAX(ROW(E$1:E79)*(E80=E$1:E79))))))</f>
        <v/>
      </c>
      <c r="K80" s="15" t="str">
        <f aca="false">IF(OR(E80="",E80="!!!",F80="NEW"),"",INDEX(J$1:J79,SUMPRODUCT(MAX(ROW(E$1:E79)*(E80=E$1:E79)))))</f>
        <v/>
      </c>
      <c r="L80" s="16"/>
    </row>
    <row r="81" customFormat="false" ht="12.75" hidden="false" customHeight="false" outlineLevel="0" collapsed="false">
      <c r="A81" s="1" t="s">
        <v>59</v>
      </c>
      <c r="E81" s="10" t="str">
        <f aca="false">IF(D81="?OLD","!!!","")</f>
        <v/>
      </c>
      <c r="F81" s="11" t="str">
        <f aca="false">IF(OR(E81="",E81="!!!"),"",IF(NOT(ISNA(VLOOKUP(E81,E$1:E80,1,FALSE()))),"OLD",IF(AND(E81&lt;&gt;"",E81&lt;&gt;"!!!"),"NEW","")))</f>
        <v/>
      </c>
      <c r="G81" s="12" t="str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13" t="str">
        <f aca="false">IF(J81&lt;&gt;1,"",IF(I81="SBJ","CB","?"))</f>
        <v/>
      </c>
      <c r="I81" s="14" t="str">
        <f aca="false">IF(OR(E81="",E81="!!!",F81="NEW"),"",INDEX(B$2:B80,-1+SUMPRODUCT(MAX(ROW(E$2:E80)*(E81=E$2:E80)))))</f>
        <v/>
      </c>
      <c r="J81" s="15" t="str">
        <f aca="true">IF(OR(E81="",E81="!!!",F81="NEW"),"",COUNTBLANK(OFFSET(A$1,,,SUMPRODUCT(MAX(ROW(E$2:E81)*(E81=E$2:E81)))))-COUNTBLANK(OFFSET(A$1,,,SUMPRODUCT(MAX(ROW(E$1:E80)*(E81=E$1:E80))))))</f>
        <v/>
      </c>
      <c r="K81" s="15" t="str">
        <f aca="false">IF(OR(E81="",E81="!!!",F81="NEW"),"",INDEX(J$1:J80,SUMPRODUCT(MAX(ROW(E$1:E80)*(E81=E$1:E80)))))</f>
        <v/>
      </c>
      <c r="L81" s="16"/>
    </row>
    <row r="82" customFormat="false" ht="12.75" hidden="false" customHeight="false" outlineLevel="0" collapsed="false">
      <c r="A82" s="1" t="s">
        <v>103</v>
      </c>
      <c r="B82" s="1" t="s">
        <v>104</v>
      </c>
      <c r="C82" s="1" t="s">
        <v>42</v>
      </c>
      <c r="E82" s="10" t="str">
        <f aca="false">IF(D82="?OLD","!!!","")</f>
        <v/>
      </c>
      <c r="F82" s="11" t="str">
        <f aca="false">IF(OR(E82="",E82="!!!"),"",IF(NOT(ISNA(VLOOKUP(E82,E$1:E81,1,FALSE()))),"OLD",IF(AND(E82&lt;&gt;"",E82&lt;&gt;"!!!"),"NEW","")))</f>
        <v/>
      </c>
      <c r="G82" s="12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13" t="str">
        <f aca="false">IF(J82&lt;&gt;1,"",IF(I82="SBJ","CB","?"))</f>
        <v/>
      </c>
      <c r="I82" s="14" t="str">
        <f aca="false">IF(OR(E82="",E82="!!!",F82="NEW"),"",INDEX(B$2:B81,-1+SUMPRODUCT(MAX(ROW(E$2:E81)*(E82=E$2:E81)))))</f>
        <v/>
      </c>
      <c r="J82" s="15" t="str">
        <f aca="true">IF(OR(E82="",E82="!!!",F82="NEW"),"",COUNTBLANK(OFFSET(A$1,,,SUMPRODUCT(MAX(ROW(E$2:E82)*(E82=E$2:E82)))))-COUNTBLANK(OFFSET(A$1,,,SUMPRODUCT(MAX(ROW(E$1:E81)*(E82=E$1:E81))))))</f>
        <v/>
      </c>
      <c r="K82" s="15" t="str">
        <f aca="false">IF(OR(E82="",E82="!!!",F82="NEW"),"",INDEX(J$1:J81,SUMPRODUCT(MAX(ROW(E$1:E81)*(E82=E$1:E81)))))</f>
        <v/>
      </c>
      <c r="L82" s="16"/>
    </row>
    <row r="83" customFormat="false" ht="12.75" hidden="false" customHeight="false" outlineLevel="0" collapsed="false">
      <c r="A83" s="1" t="s">
        <v>70</v>
      </c>
      <c r="E83" s="10" t="str">
        <f aca="false">IF(D83="?OLD","!!!","")</f>
        <v/>
      </c>
      <c r="F83" s="11" t="str">
        <f aca="false">IF(OR(E83="",E83="!!!"),"",IF(NOT(ISNA(VLOOKUP(E83,E$1:E82,1,FALSE()))),"OLD",IF(AND(E83&lt;&gt;"",E83&lt;&gt;"!!!"),"NEW","")))</f>
        <v/>
      </c>
      <c r="G83" s="12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13" t="str">
        <f aca="false">IF(J83&lt;&gt;1,"",IF(I83="SBJ","CB","?"))</f>
        <v/>
      </c>
      <c r="I83" s="14" t="str">
        <f aca="false">IF(OR(E83="",E83="!!!",F83="NEW"),"",INDEX(B$2:B82,-1+SUMPRODUCT(MAX(ROW(E$2:E82)*(E83=E$2:E82)))))</f>
        <v/>
      </c>
      <c r="J83" s="15" t="str">
        <f aca="true">IF(OR(E83="",E83="!!!",F83="NEW"),"",COUNTBLANK(OFFSET(A$1,,,SUMPRODUCT(MAX(ROW(E$2:E83)*(E83=E$2:E83)))))-COUNTBLANK(OFFSET(A$1,,,SUMPRODUCT(MAX(ROW(E$1:E82)*(E83=E$1:E82))))))</f>
        <v/>
      </c>
      <c r="K83" s="15" t="str">
        <f aca="false">IF(OR(E83="",E83="!!!",F83="NEW"),"",INDEX(J$1:J82,SUMPRODUCT(MAX(ROW(E$1:E82)*(E83=E$1:E82)))))</f>
        <v/>
      </c>
      <c r="L83" s="16"/>
    </row>
    <row r="84" customFormat="false" ht="12.75" hidden="false" customHeight="false" outlineLevel="0" collapsed="false">
      <c r="E84" s="10" t="str">
        <f aca="false">IF(D84="?OLD","!!!","")</f>
        <v/>
      </c>
      <c r="F84" s="11" t="str">
        <f aca="false">IF(OR(E84="",E84="!!!"),"",IF(NOT(ISNA(VLOOKUP(E84,E$1:E83,1,FALSE()))),"OLD",IF(AND(E84&lt;&gt;"",E84&lt;&gt;"!!!"),"NEW","")))</f>
        <v/>
      </c>
      <c r="G84" s="12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13" t="str">
        <f aca="false">IF(J84&lt;&gt;1,"",IF(I84="SBJ","CB","?"))</f>
        <v/>
      </c>
      <c r="I84" s="14" t="str">
        <f aca="false">IF(OR(E84="",E84="!!!",F84="NEW"),"",INDEX(B$2:B83,-1+SUMPRODUCT(MAX(ROW(E$2:E83)*(E84=E$2:E83)))))</f>
        <v/>
      </c>
      <c r="J84" s="15" t="str">
        <f aca="true">IF(OR(E84="",E84="!!!",F84="NEW"),"",COUNTBLANK(OFFSET(A$1,,,SUMPRODUCT(MAX(ROW(E$2:E84)*(E84=E$2:E84)))))-COUNTBLANK(OFFSET(A$1,,,SUMPRODUCT(MAX(ROW(E$1:E83)*(E84=E$1:E83))))))</f>
        <v/>
      </c>
      <c r="K84" s="15" t="str">
        <f aca="false">IF(OR(E84="",E84="!!!",F84="NEW"),"",INDEX(J$1:J83,SUMPRODUCT(MAX(ROW(E$1:E83)*(E84=E$1:E83)))))</f>
        <v/>
      </c>
      <c r="L84" s="16"/>
    </row>
    <row r="85" customFormat="false" ht="12.75" hidden="false" customHeight="false" outlineLevel="0" collapsed="false">
      <c r="A85" s="1" t="s">
        <v>105</v>
      </c>
      <c r="E85" s="10" t="str">
        <f aca="false">IF(D85="?OLD","!!!","")</f>
        <v/>
      </c>
      <c r="F85" s="11" t="str">
        <f aca="false">IF(OR(E85="",E85="!!!"),"",IF(NOT(ISNA(VLOOKUP(E85,E$1:E84,1,FALSE()))),"OLD",IF(AND(E85&lt;&gt;"",E85&lt;&gt;"!!!"),"NEW","")))</f>
        <v/>
      </c>
      <c r="G85" s="12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13" t="str">
        <f aca="false">IF(J85&lt;&gt;1,"",IF(I85="SBJ","CB","?"))</f>
        <v/>
      </c>
      <c r="I85" s="14" t="str">
        <f aca="false">IF(OR(E85="",E85="!!!",F85="NEW"),"",INDEX(B$2:B84,-1+SUMPRODUCT(MAX(ROW(E$2:E84)*(E85=E$2:E84)))))</f>
        <v/>
      </c>
      <c r="J85" s="15" t="str">
        <f aca="true">IF(OR(E85="",E85="!!!",F85="NEW"),"",COUNTBLANK(OFFSET(A$1,,,SUMPRODUCT(MAX(ROW(E$2:E85)*(E85=E$2:E85)))))-COUNTBLANK(OFFSET(A$1,,,SUMPRODUCT(MAX(ROW(E$1:E84)*(E85=E$1:E84))))))</f>
        <v/>
      </c>
      <c r="K85" s="15" t="str">
        <f aca="false">IF(OR(E85="",E85="!!!",F85="NEW"),"",INDEX(J$1:J84,SUMPRODUCT(MAX(ROW(E$1:E84)*(E85=E$1:E84)))))</f>
        <v/>
      </c>
      <c r="L85" s="16"/>
    </row>
    <row r="86" customFormat="false" ht="12.75" hidden="false" customHeight="false" outlineLevel="0" collapsed="false">
      <c r="A86" s="1" t="s">
        <v>106</v>
      </c>
      <c r="E86" s="10" t="str">
        <f aca="false">IF(D86="?OLD","!!!","")</f>
        <v/>
      </c>
      <c r="F86" s="11" t="str">
        <f aca="false">IF(OR(E86="",E86="!!!"),"",IF(NOT(ISNA(VLOOKUP(E86,E$1:E85,1,FALSE()))),"OLD",IF(AND(E86&lt;&gt;"",E86&lt;&gt;"!!!"),"NEW","")))</f>
        <v/>
      </c>
      <c r="G86" s="12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13" t="str">
        <f aca="false">IF(J86&lt;&gt;1,"",IF(I86="SBJ","CB","?"))</f>
        <v/>
      </c>
      <c r="I86" s="14" t="str">
        <f aca="false">IF(OR(E86="",E86="!!!",F86="NEW"),"",INDEX(B$2:B85,-1+SUMPRODUCT(MAX(ROW(E$2:E85)*(E86=E$2:E85)))))</f>
        <v/>
      </c>
      <c r="J86" s="15" t="str">
        <f aca="true">IF(OR(E86="",E86="!!!",F86="NEW"),"",COUNTBLANK(OFFSET(A$1,,,SUMPRODUCT(MAX(ROW(E$2:E86)*(E86=E$2:E86)))))-COUNTBLANK(OFFSET(A$1,,,SUMPRODUCT(MAX(ROW(E$1:E85)*(E86=E$1:E85))))))</f>
        <v/>
      </c>
      <c r="K86" s="15" t="str">
        <f aca="false">IF(OR(E86="",E86="!!!",F86="NEW"),"",INDEX(J$1:J85,SUMPRODUCT(MAX(ROW(E$1:E85)*(E86=E$1:E85)))))</f>
        <v/>
      </c>
      <c r="L86" s="16"/>
    </row>
    <row r="87" customFormat="false" ht="12.75" hidden="false" customHeight="false" outlineLevel="0" collapsed="false">
      <c r="A87" s="1" t="s">
        <v>107</v>
      </c>
      <c r="B87" s="1" t="s">
        <v>14</v>
      </c>
      <c r="C87" s="1" t="s">
        <v>108</v>
      </c>
      <c r="D87" s="1" t="s">
        <v>16</v>
      </c>
      <c r="E87" s="10" t="s">
        <v>107</v>
      </c>
      <c r="F87" s="11" t="str">
        <f aca="false">IF(OR(E87="",E87="!!!"),"",IF(NOT(ISNA(VLOOKUP(E87,E$1:E86,1,FALSE()))),"OLD",IF(AND(E87&lt;&gt;"",E87&lt;&gt;"!!!"),"NEW","")))</f>
        <v>NEW</v>
      </c>
      <c r="G87" s="12" t="s">
        <v>18</v>
      </c>
      <c r="H87" s="13" t="str">
        <f aca="false">IF(J87&lt;&gt;1,"",IF(I87="SBJ","CB","?"))</f>
        <v/>
      </c>
      <c r="I87" s="14" t="str">
        <f aca="false">IF(OR(E87="",E87="!!!",F87="NEW"),"",INDEX(B$2:B86,-1+SUMPRODUCT(MAX(ROW(E$2:E86)*(E87=E$2:E86)))))</f>
        <v/>
      </c>
      <c r="J87" s="15" t="str">
        <f aca="true">IF(OR(E87="",E87="!!!",F87="NEW"),"",COUNTBLANK(OFFSET(A$1,,,SUMPRODUCT(MAX(ROW(E$2:E87)*(E87=E$2:E87)))))-COUNTBLANK(OFFSET(A$1,,,SUMPRODUCT(MAX(ROW(E$1:E86)*(E87=E$1:E86))))))</f>
        <v/>
      </c>
      <c r="K87" s="15" t="str">
        <f aca="false">IF(OR(E87="",E87="!!!",F87="NEW"),"",INDEX(J$1:J86,SUMPRODUCT(MAX(ROW(E$1:E86)*(E87=E$1:E86)))))</f>
        <v/>
      </c>
      <c r="L87" s="16"/>
    </row>
    <row r="88" customFormat="false" ht="12.75" hidden="false" customHeight="false" outlineLevel="0" collapsed="false">
      <c r="A88" s="1" t="s">
        <v>31</v>
      </c>
      <c r="E88" s="10" t="str">
        <f aca="false">IF(D88="?OLD","!!!","")</f>
        <v/>
      </c>
      <c r="F88" s="11" t="str">
        <f aca="false">IF(OR(E88="",E88="!!!"),"",IF(NOT(ISNA(VLOOKUP(E88,E$1:E87,1,FALSE()))),"OLD",IF(AND(E88&lt;&gt;"",E88&lt;&gt;"!!!"),"NEW","")))</f>
        <v/>
      </c>
      <c r="G88" s="12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13" t="str">
        <f aca="false">IF(J88&lt;&gt;1,"",IF(I88="SBJ","CB","?"))</f>
        <v/>
      </c>
      <c r="I88" s="14" t="str">
        <f aca="false">IF(OR(E88="",E88="!!!",F88="NEW"),"",INDEX(B$2:B87,-1+SUMPRODUCT(MAX(ROW(E$2:E87)*(E88=E$2:E87)))))</f>
        <v/>
      </c>
      <c r="J88" s="15" t="str">
        <f aca="true">IF(OR(E88="",E88="!!!",F88="NEW"),"",COUNTBLANK(OFFSET(A$1,,,SUMPRODUCT(MAX(ROW(E$2:E88)*(E88=E$2:E88)))))-COUNTBLANK(OFFSET(A$1,,,SUMPRODUCT(MAX(ROW(E$1:E87)*(E88=E$1:E87))))))</f>
        <v/>
      </c>
      <c r="K88" s="15" t="str">
        <f aca="false">IF(OR(E88="",E88="!!!",F88="NEW"),"",INDEX(J$1:J87,SUMPRODUCT(MAX(ROW(E$1:E87)*(E88=E$1:E87)))))</f>
        <v/>
      </c>
      <c r="L88" s="16"/>
    </row>
    <row r="89" customFormat="false" ht="12.75" hidden="false" customHeight="false" outlineLevel="0" collapsed="false">
      <c r="A89" s="1" t="s">
        <v>109</v>
      </c>
      <c r="E89" s="10" t="str">
        <f aca="false">IF(D89="?OLD","!!!","")</f>
        <v/>
      </c>
      <c r="F89" s="11" t="str">
        <f aca="false">IF(OR(E89="",E89="!!!"),"",IF(NOT(ISNA(VLOOKUP(E89,E$1:E88,1,FALSE()))),"OLD",IF(AND(E89&lt;&gt;"",E89&lt;&gt;"!!!"),"NEW","")))</f>
        <v/>
      </c>
      <c r="G89" s="12" t="str">
        <f aca="false"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13" t="str">
        <f aca="false">IF(J89&lt;&gt;1,"",IF(I89="SBJ","CB","?"))</f>
        <v/>
      </c>
      <c r="I89" s="14" t="str">
        <f aca="false">IF(OR(E89="",E89="!!!",F89="NEW"),"",INDEX(B$2:B88,-1+SUMPRODUCT(MAX(ROW(E$2:E88)*(E89=E$2:E88)))))</f>
        <v/>
      </c>
      <c r="J89" s="15" t="str">
        <f aca="true">IF(OR(E89="",E89="!!!",F89="NEW"),"",COUNTBLANK(OFFSET(A$1,,,SUMPRODUCT(MAX(ROW(E$2:E89)*(E89=E$2:E89)))))-COUNTBLANK(OFFSET(A$1,,,SUMPRODUCT(MAX(ROW(E$1:E88)*(E89=E$1:E88))))))</f>
        <v/>
      </c>
      <c r="K89" s="15" t="str">
        <f aca="false">IF(OR(E89="",E89="!!!",F89="NEW"),"",INDEX(J$1:J88,SUMPRODUCT(MAX(ROW(E$1:E88)*(E89=E$1:E88)))))</f>
        <v/>
      </c>
      <c r="L89" s="16"/>
    </row>
    <row r="90" customFormat="false" ht="12.75" hidden="false" customHeight="false" outlineLevel="0" collapsed="false">
      <c r="A90" s="1" t="s">
        <v>31</v>
      </c>
      <c r="E90" s="10" t="str">
        <f aca="false">IF(D90="?OLD","!!!","")</f>
        <v/>
      </c>
      <c r="F90" s="11" t="str">
        <f aca="false">IF(OR(E90="",E90="!!!"),"",IF(NOT(ISNA(VLOOKUP(E90,E$1:E89,1,FALSE()))),"OLD",IF(AND(E90&lt;&gt;"",E90&lt;&gt;"!!!"),"NEW","")))</f>
        <v/>
      </c>
      <c r="G90" s="12" t="str">
        <f aca="false"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13" t="str">
        <f aca="false">IF(J90&lt;&gt;1,"",IF(I90="SBJ","CB","?"))</f>
        <v/>
      </c>
      <c r="I90" s="14" t="str">
        <f aca="false">IF(OR(E90="",E90="!!!",F90="NEW"),"",INDEX(B$2:B89,-1+SUMPRODUCT(MAX(ROW(E$2:E89)*(E90=E$2:E89)))))</f>
        <v/>
      </c>
      <c r="J90" s="15" t="str">
        <f aca="true">IF(OR(E90="",E90="!!!",F90="NEW"),"",COUNTBLANK(OFFSET(A$1,,,SUMPRODUCT(MAX(ROW(E$2:E90)*(E90=E$2:E90)))))-COUNTBLANK(OFFSET(A$1,,,SUMPRODUCT(MAX(ROW(E$1:E89)*(E90=E$1:E89))))))</f>
        <v/>
      </c>
      <c r="K90" s="15" t="str">
        <f aca="false">IF(OR(E90="",E90="!!!",F90="NEW"),"",INDEX(J$1:J89,SUMPRODUCT(MAX(ROW(E$1:E89)*(E90=E$1:E89)))))</f>
        <v/>
      </c>
      <c r="L90" s="16"/>
    </row>
    <row r="91" customFormat="false" ht="12.75" hidden="false" customHeight="false" outlineLevel="0" collapsed="false">
      <c r="A91" s="1" t="s">
        <v>47</v>
      </c>
      <c r="E91" s="10" t="str">
        <f aca="false">IF(D91="?OLD","!!!","")</f>
        <v/>
      </c>
      <c r="F91" s="11" t="str">
        <f aca="false">IF(OR(E91="",E91="!!!"),"",IF(NOT(ISNA(VLOOKUP(E91,E$1:E90,1,FALSE()))),"OLD",IF(AND(E91&lt;&gt;"",E91&lt;&gt;"!!!"),"NEW","")))</f>
        <v/>
      </c>
      <c r="G91" s="12" t="str">
        <f aca="false"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13" t="str">
        <f aca="false">IF(J91&lt;&gt;1,"",IF(I91="SBJ","CB","?"))</f>
        <v/>
      </c>
      <c r="I91" s="14" t="str">
        <f aca="false">IF(OR(E91="",E91="!!!",F91="NEW"),"",INDEX(B$2:B90,-1+SUMPRODUCT(MAX(ROW(E$2:E90)*(E91=E$2:E90)))))</f>
        <v/>
      </c>
      <c r="J91" s="15" t="str">
        <f aca="true">IF(OR(E91="",E91="!!!",F91="NEW"),"",COUNTBLANK(OFFSET(A$1,,,SUMPRODUCT(MAX(ROW(E$2:E91)*(E91=E$2:E91)))))-COUNTBLANK(OFFSET(A$1,,,SUMPRODUCT(MAX(ROW(E$1:E90)*(E91=E$1:E90))))))</f>
        <v/>
      </c>
      <c r="K91" s="15" t="str">
        <f aca="false">IF(OR(E91="",E91="!!!",F91="NEW"),"",INDEX(J$1:J90,SUMPRODUCT(MAX(ROW(E$1:E90)*(E91=E$1:E90)))))</f>
        <v/>
      </c>
      <c r="L91" s="16"/>
    </row>
    <row r="92" customFormat="false" ht="12.75" hidden="false" customHeight="false" outlineLevel="0" collapsed="false">
      <c r="A92" s="1" t="s">
        <v>110</v>
      </c>
      <c r="E92" s="10" t="str">
        <f aca="false">IF(D92="?OLD","!!!","")</f>
        <v/>
      </c>
      <c r="F92" s="11" t="str">
        <f aca="false">IF(OR(E92="",E92="!!!"),"",IF(NOT(ISNA(VLOOKUP(E92,E$1:E91,1,FALSE()))),"OLD",IF(AND(E92&lt;&gt;"",E92&lt;&gt;"!!!"),"NEW","")))</f>
        <v/>
      </c>
      <c r="G92" s="12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13" t="str">
        <f aca="false">IF(J92&lt;&gt;1,"",IF(I92="SBJ","CB","?"))</f>
        <v/>
      </c>
      <c r="I92" s="14" t="str">
        <f aca="false">IF(OR(E92="",E92="!!!",F92="NEW"),"",INDEX(B$2:B91,-1+SUMPRODUCT(MAX(ROW(E$2:E91)*(E92=E$2:E91)))))</f>
        <v/>
      </c>
      <c r="J92" s="15" t="str">
        <f aca="true">IF(OR(E92="",E92="!!!",F92="NEW"),"",COUNTBLANK(OFFSET(A$1,,,SUMPRODUCT(MAX(ROW(E$2:E92)*(E92=E$2:E92)))))-COUNTBLANK(OFFSET(A$1,,,SUMPRODUCT(MAX(ROW(E$1:E91)*(E92=E$1:E91))))))</f>
        <v/>
      </c>
      <c r="K92" s="15" t="str">
        <f aca="false">IF(OR(E92="",E92="!!!",F92="NEW"),"",INDEX(J$1:J91,SUMPRODUCT(MAX(ROW(E$1:E91)*(E92=E$1:E91)))))</f>
        <v/>
      </c>
      <c r="L92" s="16"/>
    </row>
    <row r="93" customFormat="false" ht="12.75" hidden="false" customHeight="false" outlineLevel="0" collapsed="false">
      <c r="A93" s="1" t="s">
        <v>111</v>
      </c>
      <c r="E93" s="10" t="str">
        <f aca="false">IF(D93="?OLD","!!!","")</f>
        <v/>
      </c>
      <c r="F93" s="11" t="str">
        <f aca="false">IF(OR(E93="",E93="!!!"),"",IF(NOT(ISNA(VLOOKUP(E93,E$1:E92,1,FALSE()))),"OLD",IF(AND(E93&lt;&gt;"",E93&lt;&gt;"!!!"),"NEW","")))</f>
        <v/>
      </c>
      <c r="G93" s="12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13" t="str">
        <f aca="false">IF(J93&lt;&gt;1,"",IF(I93="SBJ","CB","?"))</f>
        <v/>
      </c>
      <c r="I93" s="14" t="str">
        <f aca="false">IF(OR(E93="",E93="!!!",F93="NEW"),"",INDEX(B$2:B92,-1+SUMPRODUCT(MAX(ROW(E$2:E92)*(E93=E$2:E92)))))</f>
        <v/>
      </c>
      <c r="J93" s="15" t="str">
        <f aca="true">IF(OR(E93="",E93="!!!",F93="NEW"),"",COUNTBLANK(OFFSET(A$1,,,SUMPRODUCT(MAX(ROW(E$2:E93)*(E93=E$2:E93)))))-COUNTBLANK(OFFSET(A$1,,,SUMPRODUCT(MAX(ROW(E$1:E92)*(E93=E$1:E92))))))</f>
        <v/>
      </c>
      <c r="K93" s="15" t="str">
        <f aca="false">IF(OR(E93="",E93="!!!",F93="NEW"),"",INDEX(J$1:J92,SUMPRODUCT(MAX(ROW(E$1:E92)*(E93=E$1:E92)))))</f>
        <v/>
      </c>
      <c r="L93" s="16"/>
    </row>
    <row r="94" customFormat="false" ht="12.75" hidden="false" customHeight="false" outlineLevel="0" collapsed="false">
      <c r="A94" s="1" t="s">
        <v>112</v>
      </c>
      <c r="E94" s="10" t="str">
        <f aca="false">IF(D94="?OLD","!!!","")</f>
        <v/>
      </c>
      <c r="F94" s="11" t="str">
        <f aca="false">IF(OR(E94="",E94="!!!"),"",IF(NOT(ISNA(VLOOKUP(E94,E$1:E93,1,FALSE()))),"OLD",IF(AND(E94&lt;&gt;"",E94&lt;&gt;"!!!"),"NEW","")))</f>
        <v/>
      </c>
      <c r="G94" s="12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13" t="str">
        <f aca="false">IF(J94&lt;&gt;1,"",IF(I94="SBJ","CB","?"))</f>
        <v/>
      </c>
      <c r="I94" s="14" t="str">
        <f aca="false">IF(OR(E94="",E94="!!!",F94="NEW"),"",INDEX(B$2:B93,-1+SUMPRODUCT(MAX(ROW(E$2:E93)*(E94=E$2:E93)))))</f>
        <v/>
      </c>
      <c r="J94" s="15" t="str">
        <f aca="true">IF(OR(E94="",E94="!!!",F94="NEW"),"",COUNTBLANK(OFFSET(A$1,,,SUMPRODUCT(MAX(ROW(E$2:E94)*(E94=E$2:E94)))))-COUNTBLANK(OFFSET(A$1,,,SUMPRODUCT(MAX(ROW(E$1:E93)*(E94=E$1:E93))))))</f>
        <v/>
      </c>
      <c r="K94" s="15" t="str">
        <f aca="false">IF(OR(E94="",E94="!!!",F94="NEW"),"",INDEX(J$1:J93,SUMPRODUCT(MAX(ROW(E$1:E93)*(E94=E$1:E93)))))</f>
        <v/>
      </c>
      <c r="L94" s="16"/>
    </row>
    <row r="95" customFormat="false" ht="12.75" hidden="false" customHeight="false" outlineLevel="0" collapsed="false">
      <c r="A95" s="1" t="s">
        <v>87</v>
      </c>
      <c r="B95" s="1" t="s">
        <v>60</v>
      </c>
      <c r="C95" s="1" t="s">
        <v>89</v>
      </c>
      <c r="D95" s="1" t="s">
        <v>16</v>
      </c>
      <c r="E95" s="10" t="s">
        <v>113</v>
      </c>
      <c r="F95" s="11" t="str">
        <f aca="false">IF(OR(E95="",E95="!!!"),"",IF(NOT(ISNA(VLOOKUP(E95,E$1:E94,1,FALSE()))),"OLD",IF(AND(E95&lt;&gt;"",E95&lt;&gt;"!!!"),"NEW","")))</f>
        <v>NEW</v>
      </c>
      <c r="G95" s="12" t="s">
        <v>18</v>
      </c>
      <c r="H95" s="13" t="str">
        <f aca="false">IF(J95&lt;&gt;1,"",IF(I95="SBJ","CB","?"))</f>
        <v/>
      </c>
      <c r="I95" s="14" t="str">
        <f aca="false">IF(OR(E95="",E95="!!!",F95="NEW"),"",INDEX(B$2:B94,-1+SUMPRODUCT(MAX(ROW(E$2:E94)*(E95=E$2:E94)))))</f>
        <v/>
      </c>
      <c r="J95" s="15" t="str">
        <f aca="true">IF(OR(E95="",E95="!!!",F95="NEW"),"",COUNTBLANK(OFFSET(A$1,,,SUMPRODUCT(MAX(ROW(E$2:E95)*(E95=E$2:E95)))))-COUNTBLANK(OFFSET(A$1,,,SUMPRODUCT(MAX(ROW(E$1:E94)*(E95=E$1:E94))))))</f>
        <v/>
      </c>
      <c r="K95" s="15" t="str">
        <f aca="false">IF(OR(E95="",E95="!!!",F95="NEW"),"",INDEX(J$1:J94,SUMPRODUCT(MAX(ROW(E$1:E94)*(E95=E$1:E94)))))</f>
        <v/>
      </c>
      <c r="L95" s="16"/>
    </row>
    <row r="96" customFormat="false" ht="12.75" hidden="false" customHeight="false" outlineLevel="0" collapsed="false">
      <c r="A96" s="1" t="s">
        <v>90</v>
      </c>
      <c r="B96" s="1" t="s">
        <v>46</v>
      </c>
      <c r="E96" s="10" t="str">
        <f aca="false">IF(D96="?OLD","!!!","")</f>
        <v/>
      </c>
      <c r="F96" s="11" t="str">
        <f aca="false">IF(OR(E96="",E96="!!!"),"",IF(NOT(ISNA(VLOOKUP(E96,E$1:E95,1,FALSE()))),"OLD",IF(AND(E96&lt;&gt;"",E96&lt;&gt;"!!!"),"NEW","")))</f>
        <v/>
      </c>
      <c r="G96" s="12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13" t="str">
        <f aca="false">IF(J96&lt;&gt;1,"",IF(I96="SBJ","CB","?"))</f>
        <v/>
      </c>
      <c r="I96" s="14" t="str">
        <f aca="false">IF(OR(E96="",E96="!!!",F96="NEW"),"",INDEX(B$2:B95,-1+SUMPRODUCT(MAX(ROW(E$2:E95)*(E96=E$2:E95)))))</f>
        <v/>
      </c>
      <c r="J96" s="15" t="str">
        <f aca="true">IF(OR(E96="",E96="!!!",F96="NEW"),"",COUNTBLANK(OFFSET(A$1,,,SUMPRODUCT(MAX(ROW(E$2:E96)*(E96=E$2:E96)))))-COUNTBLANK(OFFSET(A$1,,,SUMPRODUCT(MAX(ROW(E$1:E95)*(E96=E$1:E95))))))</f>
        <v/>
      </c>
      <c r="K96" s="15" t="str">
        <f aca="false">IF(OR(E96="",E96="!!!",F96="NEW"),"",INDEX(J$1:J95,SUMPRODUCT(MAX(ROW(E$1:E95)*(E96=E$1:E95)))))</f>
        <v/>
      </c>
      <c r="L96" s="16"/>
    </row>
    <row r="97" customFormat="false" ht="12.75" hidden="false" customHeight="false" outlineLevel="0" collapsed="false">
      <c r="A97" s="1" t="s">
        <v>92</v>
      </c>
      <c r="E97" s="10" t="str">
        <f aca="false">IF(D97="?OLD","!!!","")</f>
        <v/>
      </c>
      <c r="F97" s="11" t="str">
        <f aca="false">IF(OR(E97="",E97="!!!"),"",IF(NOT(ISNA(VLOOKUP(E97,E$1:E96,1,FALSE()))),"OLD",IF(AND(E97&lt;&gt;"",E97&lt;&gt;"!!!"),"NEW","")))</f>
        <v/>
      </c>
      <c r="G97" s="12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13" t="str">
        <f aca="false">IF(J97&lt;&gt;1,"",IF(I97="SBJ","CB","?"))</f>
        <v/>
      </c>
      <c r="I97" s="14" t="str">
        <f aca="false">IF(OR(E97="",E97="!!!",F97="NEW"),"",INDEX(B$2:B96,-1+SUMPRODUCT(MAX(ROW(E$2:E96)*(E97=E$2:E96)))))</f>
        <v/>
      </c>
      <c r="J97" s="15" t="str">
        <f aca="true">IF(OR(E97="",E97="!!!",F97="NEW"),"",COUNTBLANK(OFFSET(A$1,,,SUMPRODUCT(MAX(ROW(E$2:E97)*(E97=E$2:E97)))))-COUNTBLANK(OFFSET(A$1,,,SUMPRODUCT(MAX(ROW(E$1:E96)*(E97=E$1:E96))))))</f>
        <v/>
      </c>
      <c r="K97" s="15" t="str">
        <f aca="false">IF(OR(E97="",E97="!!!",F97="NEW"),"",INDEX(J$1:J96,SUMPRODUCT(MAX(ROW(E$1:E96)*(E97=E$1:E96)))))</f>
        <v/>
      </c>
      <c r="L97" s="16"/>
    </row>
    <row r="98" customFormat="false" ht="12.75" hidden="false" customHeight="false" outlineLevel="0" collapsed="false">
      <c r="A98" s="1" t="s">
        <v>114</v>
      </c>
      <c r="E98" s="10" t="str">
        <f aca="false">IF(D98="?OLD","!!!","")</f>
        <v/>
      </c>
      <c r="F98" s="11" t="str">
        <f aca="false">IF(OR(E98="",E98="!!!"),"",IF(NOT(ISNA(VLOOKUP(E98,E$1:E97,1,FALSE()))),"OLD",IF(AND(E98&lt;&gt;"",E98&lt;&gt;"!!!"),"NEW","")))</f>
        <v/>
      </c>
      <c r="G98" s="12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13" t="str">
        <f aca="false">IF(J98&lt;&gt;1,"",IF(I98="SBJ","CB","?"))</f>
        <v/>
      </c>
      <c r="I98" s="14" t="str">
        <f aca="false">IF(OR(E98="",E98="!!!",F98="NEW"),"",INDEX(B$2:B97,-1+SUMPRODUCT(MAX(ROW(E$2:E97)*(E98=E$2:E97)))))</f>
        <v/>
      </c>
      <c r="J98" s="15" t="str">
        <f aca="true">IF(OR(E98="",E98="!!!",F98="NEW"),"",COUNTBLANK(OFFSET(A$1,,,SUMPRODUCT(MAX(ROW(E$2:E98)*(E98=E$2:E98)))))-COUNTBLANK(OFFSET(A$1,,,SUMPRODUCT(MAX(ROW(E$1:E97)*(E98=E$1:E97))))))</f>
        <v/>
      </c>
      <c r="K98" s="15" t="str">
        <f aca="false">IF(OR(E98="",E98="!!!",F98="NEW"),"",INDEX(J$1:J97,SUMPRODUCT(MAX(ROW(E$1:E97)*(E98=E$1:E97)))))</f>
        <v/>
      </c>
      <c r="L98" s="16"/>
    </row>
    <row r="99" customFormat="false" ht="12.75" hidden="false" customHeight="false" outlineLevel="0" collapsed="false">
      <c r="A99" s="1" t="s">
        <v>115</v>
      </c>
      <c r="E99" s="10" t="str">
        <f aca="false">IF(D99="?OLD","!!!","")</f>
        <v/>
      </c>
      <c r="F99" s="11" t="str">
        <f aca="false">IF(OR(E99="",E99="!!!"),"",IF(NOT(ISNA(VLOOKUP(E99,E$1:E98,1,FALSE()))),"OLD",IF(AND(E99&lt;&gt;"",E99&lt;&gt;"!!!"),"NEW","")))</f>
        <v/>
      </c>
      <c r="G99" s="12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13" t="str">
        <f aca="false">IF(J99&lt;&gt;1,"",IF(I99="SBJ","CB","?"))</f>
        <v/>
      </c>
      <c r="I99" s="14" t="str">
        <f aca="false">IF(OR(E99="",E99="!!!",F99="NEW"),"",INDEX(B$2:B98,-1+SUMPRODUCT(MAX(ROW(E$2:E98)*(E99=E$2:E98)))))</f>
        <v/>
      </c>
      <c r="J99" s="15" t="str">
        <f aca="true">IF(OR(E99="",E99="!!!",F99="NEW"),"",COUNTBLANK(OFFSET(A$1,,,SUMPRODUCT(MAX(ROW(E$2:E99)*(E99=E$2:E99)))))-COUNTBLANK(OFFSET(A$1,,,SUMPRODUCT(MAX(ROW(E$1:E98)*(E99=E$1:E98))))))</f>
        <v/>
      </c>
      <c r="K99" s="15" t="str">
        <f aca="false">IF(OR(E99="",E99="!!!",F99="NEW"),"",INDEX(J$1:J98,SUMPRODUCT(MAX(ROW(E$1:E98)*(E99=E$1:E98)))))</f>
        <v/>
      </c>
      <c r="L99" s="16"/>
    </row>
    <row r="100" customFormat="false" ht="12.75" hidden="false" customHeight="false" outlineLevel="0" collapsed="false">
      <c r="A100" s="1" t="s">
        <v>52</v>
      </c>
      <c r="B100" s="1" t="s">
        <v>62</v>
      </c>
      <c r="C100" s="1" t="s">
        <v>54</v>
      </c>
      <c r="D100" s="1" t="s">
        <v>16</v>
      </c>
      <c r="E100" s="10" t="s">
        <v>24</v>
      </c>
      <c r="F100" s="11" t="str">
        <f aca="false">IF(OR(E100="",E100="!!!"),"",IF(NOT(ISNA(VLOOKUP(E100,E$1:E99,1,FALSE()))),"OLD",IF(AND(E100&lt;&gt;"",E100&lt;&gt;"!!!"),"NEW","")))</f>
        <v>OLD</v>
      </c>
      <c r="G100" s="12" t="s">
        <v>77</v>
      </c>
      <c r="H100" s="13" t="s">
        <v>7</v>
      </c>
      <c r="I100" s="14" t="str">
        <f aca="false">IF(OR(E100="",E100="!!!",F100="NEW"),"",INDEX(B$2:B99,-1+SUMPRODUCT(MAX(ROW(E$2:E99)*(E100=E$2:E99)))))</f>
        <v>OBJ_2</v>
      </c>
      <c r="J100" s="15" t="n">
        <f aca="true">IF(OR(E100="",E100="!!!",F100="NEW"),"",COUNTBLANK(OFFSET(A$1,,,SUMPRODUCT(MAX(ROW(E$2:E100)*(E100=E$2:E100)))))-COUNTBLANK(OFFSET(A$1,,,SUMPRODUCT(MAX(ROW(E$1:E99)*(E100=E$1:E99))))))</f>
        <v>1</v>
      </c>
      <c r="K100" s="15" t="n">
        <f aca="false">IF(OR(E100="",E100="!!!",F100="NEW"),"",INDEX(J$1:J99,SUMPRODUCT(MAX(ROW(E$1:E99)*(E100=E$1:E99)))))</f>
        <v>0</v>
      </c>
      <c r="L100" s="16"/>
    </row>
    <row r="101" customFormat="false" ht="12.75" hidden="false" customHeight="false" outlineLevel="0" collapsed="false">
      <c r="A101" s="1" t="s">
        <v>116</v>
      </c>
      <c r="B101" s="1" t="s">
        <v>22</v>
      </c>
      <c r="C101" s="1" t="s">
        <v>15</v>
      </c>
      <c r="D101" s="1" t="s">
        <v>16</v>
      </c>
      <c r="E101" s="10"/>
      <c r="F101" s="11" t="s">
        <v>117</v>
      </c>
      <c r="G101" s="12"/>
      <c r="H101" s="13" t="str">
        <f aca="false">IF(J101&lt;&gt;1,"",IF(I101="SBJ","CB","?"))</f>
        <v/>
      </c>
      <c r="I101" s="14" t="str">
        <f aca="false">IF(OR(E101="",E101="!!!",F101="NEW"),"",INDEX(B$2:B100,-1+SUMPRODUCT(MAX(ROW(E$2:E100)*(E101=E$2:E100)))))</f>
        <v/>
      </c>
      <c r="J101" s="15" t="str">
        <f aca="true">IF(OR(E101="",E101="!!!",F101="NEW"),"",COUNTBLANK(OFFSET(A$1,,,SUMPRODUCT(MAX(ROW(E$2:E101)*(E101=E$2:E101)))))-COUNTBLANK(OFFSET(A$1,,,SUMPRODUCT(MAX(ROW(E$1:E100)*(E101=E$1:E100))))))</f>
        <v/>
      </c>
      <c r="K101" s="15" t="str">
        <f aca="false">IF(OR(E101="",E101="!!!",F101="NEW"),"",INDEX(J$1:J100,SUMPRODUCT(MAX(ROW(E$1:E100)*(E101=E$1:E100)))))</f>
        <v/>
      </c>
      <c r="L101" s="16"/>
    </row>
    <row r="102" customFormat="false" ht="12.75" hidden="false" customHeight="false" outlineLevel="0" collapsed="false">
      <c r="A102" s="1" t="s">
        <v>85</v>
      </c>
      <c r="E102" s="10" t="str">
        <f aca="false">IF(D102="?OLD","!!!","")</f>
        <v/>
      </c>
      <c r="F102" s="11" t="str">
        <f aca="false">IF(OR(E102="",E102="!!!"),"",IF(NOT(ISNA(VLOOKUP(E102,E$1:E101,1,FALSE()))),"OLD",IF(AND(E102&lt;&gt;"",E102&lt;&gt;"!!!"),"NEW","")))</f>
        <v/>
      </c>
      <c r="G102" s="12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13" t="str">
        <f aca="false">IF(J102&lt;&gt;1,"",IF(I102="SBJ","CB","?"))</f>
        <v/>
      </c>
      <c r="I102" s="14" t="str">
        <f aca="false">IF(OR(E102="",E102="!!!",F102="NEW"),"",INDEX(B$2:B101,-1+SUMPRODUCT(MAX(ROW(E$2:E101)*(E102=E$2:E101)))))</f>
        <v/>
      </c>
      <c r="J102" s="15" t="str">
        <f aca="true">IF(OR(E102="",E102="!!!",F102="NEW"),"",COUNTBLANK(OFFSET(A$1,,,SUMPRODUCT(MAX(ROW(E$2:E102)*(E102=E$2:E102)))))-COUNTBLANK(OFFSET(A$1,,,SUMPRODUCT(MAX(ROW(E$1:E101)*(E102=E$1:E101))))))</f>
        <v/>
      </c>
      <c r="K102" s="15" t="str">
        <f aca="false">IF(OR(E102="",E102="!!!",F102="NEW"),"",INDEX(J$1:J101,SUMPRODUCT(MAX(ROW(E$1:E101)*(E102=E$1:E101)))))</f>
        <v/>
      </c>
      <c r="L102" s="16"/>
    </row>
    <row r="103" customFormat="false" ht="12.75" hidden="false" customHeight="false" outlineLevel="0" collapsed="false">
      <c r="A103" s="1" t="s">
        <v>118</v>
      </c>
      <c r="B103" s="1" t="s">
        <v>62</v>
      </c>
      <c r="C103" s="1" t="s">
        <v>119</v>
      </c>
      <c r="E103" s="10" t="str">
        <f aca="false">IF(D103="?OLD","!!!","")</f>
        <v/>
      </c>
      <c r="F103" s="11" t="str">
        <f aca="false">IF(OR(E103="",E103="!!!"),"",IF(NOT(ISNA(VLOOKUP(E103,E$1:E102,1,FALSE()))),"OLD",IF(AND(E103&lt;&gt;"",E103&lt;&gt;"!!!"),"NEW","")))</f>
        <v/>
      </c>
      <c r="G103" s="12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13" t="str">
        <f aca="false">IF(J103&lt;&gt;1,"",IF(I103="SBJ","CB","?"))</f>
        <v/>
      </c>
      <c r="I103" s="14" t="str">
        <f aca="false">IF(OR(E103="",E103="!!!",F103="NEW"),"",INDEX(B$2:B102,-1+SUMPRODUCT(MAX(ROW(E$2:E102)*(E103=E$2:E102)))))</f>
        <v/>
      </c>
      <c r="J103" s="15" t="str">
        <f aca="true">IF(OR(E103="",E103="!!!",F103="NEW"),"",COUNTBLANK(OFFSET(A$1,,,SUMPRODUCT(MAX(ROW(E$2:E103)*(E103=E$2:E103)))))-COUNTBLANK(OFFSET(A$1,,,SUMPRODUCT(MAX(ROW(E$1:E102)*(E103=E$1:E102))))))</f>
        <v/>
      </c>
      <c r="K103" s="15" t="str">
        <f aca="false">IF(OR(E103="",E103="!!!",F103="NEW"),"",INDEX(J$1:J102,SUMPRODUCT(MAX(ROW(E$1:E102)*(E103=E$1:E102)))))</f>
        <v/>
      </c>
      <c r="L103" s="16"/>
    </row>
    <row r="104" customFormat="false" ht="12.75" hidden="false" customHeight="false" outlineLevel="0" collapsed="false">
      <c r="A104" s="1" t="s">
        <v>70</v>
      </c>
      <c r="E104" s="10" t="str">
        <f aca="false">IF(D104="?OLD","!!!","")</f>
        <v/>
      </c>
      <c r="F104" s="11" t="str">
        <f aca="false">IF(OR(E104="",E104="!!!"),"",IF(NOT(ISNA(VLOOKUP(E104,E$1:E103,1,FALSE()))),"OLD",IF(AND(E104&lt;&gt;"",E104&lt;&gt;"!!!"),"NEW","")))</f>
        <v/>
      </c>
      <c r="G104" s="12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13" t="str">
        <f aca="false">IF(J104&lt;&gt;1,"",IF(I104="SBJ","CB","?"))</f>
        <v/>
      </c>
      <c r="I104" s="14" t="str">
        <f aca="false">IF(OR(E104="",E104="!!!",F104="NEW"),"",INDEX(B$2:B103,-1+SUMPRODUCT(MAX(ROW(E$2:E103)*(E104=E$2:E103)))))</f>
        <v/>
      </c>
      <c r="J104" s="15" t="str">
        <f aca="true">IF(OR(E104="",E104="!!!",F104="NEW"),"",COUNTBLANK(OFFSET(A$1,,,SUMPRODUCT(MAX(ROW(E$2:E104)*(E104=E$2:E104)))))-COUNTBLANK(OFFSET(A$1,,,SUMPRODUCT(MAX(ROW(E$1:E103)*(E104=E$1:E103))))))</f>
        <v/>
      </c>
      <c r="K104" s="15" t="str">
        <f aca="false">IF(OR(E104="",E104="!!!",F104="NEW"),"",INDEX(J$1:J103,SUMPRODUCT(MAX(ROW(E$1:E103)*(E104=E$1:E103)))))</f>
        <v/>
      </c>
      <c r="L104" s="16"/>
    </row>
    <row r="105" customFormat="false" ht="12.75" hidden="false" customHeight="false" outlineLevel="0" collapsed="false">
      <c r="E105" s="10" t="str">
        <f aca="false">IF(D105="?OLD","!!!","")</f>
        <v/>
      </c>
      <c r="F105" s="11" t="str">
        <f aca="false">IF(OR(E105="",E105="!!!"),"",IF(NOT(ISNA(VLOOKUP(E105,E$1:E104,1,FALSE()))),"OLD",IF(AND(E105&lt;&gt;"",E105&lt;&gt;"!!!"),"NEW","")))</f>
        <v/>
      </c>
      <c r="G105" s="12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13" t="str">
        <f aca="false">IF(J105&lt;&gt;1,"",IF(I105="SBJ","CB","?"))</f>
        <v/>
      </c>
      <c r="I105" s="14" t="str">
        <f aca="false">IF(OR(E105="",E105="!!!",F105="NEW"),"",INDEX(B$2:B104,-1+SUMPRODUCT(MAX(ROW(E$2:E104)*(E105=E$2:E104)))))</f>
        <v/>
      </c>
      <c r="J105" s="15" t="str">
        <f aca="true">IF(OR(E105="",E105="!!!",F105="NEW"),"",COUNTBLANK(OFFSET(A$1,,,SUMPRODUCT(MAX(ROW(E$2:E105)*(E105=E$2:E105)))))-COUNTBLANK(OFFSET(A$1,,,SUMPRODUCT(MAX(ROW(E$1:E104)*(E105=E$1:E104))))))</f>
        <v/>
      </c>
      <c r="K105" s="15" t="str">
        <f aca="false">IF(OR(E105="",E105="!!!",F105="NEW"),"",INDEX(J$1:J104,SUMPRODUCT(MAX(ROW(E$1:E104)*(E105=E$1:E104)))))</f>
        <v/>
      </c>
      <c r="L105" s="16"/>
    </row>
    <row r="106" customFormat="false" ht="12.75" hidden="false" customHeight="false" outlineLevel="0" collapsed="false">
      <c r="A106" s="1" t="s">
        <v>120</v>
      </c>
      <c r="E106" s="10" t="str">
        <f aca="false">IF(D106="?OLD","!!!","")</f>
        <v/>
      </c>
      <c r="F106" s="11" t="str">
        <f aca="false">IF(OR(E106="",E106="!!!"),"",IF(NOT(ISNA(VLOOKUP(E106,E$1:E105,1,FALSE()))),"OLD",IF(AND(E106&lt;&gt;"",E106&lt;&gt;"!!!"),"NEW","")))</f>
        <v/>
      </c>
      <c r="G106" s="12" t="str">
        <f aca="false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13" t="str">
        <f aca="false">IF(J106&lt;&gt;1,"",IF(I106="SBJ","CB","?"))</f>
        <v/>
      </c>
      <c r="I106" s="14" t="str">
        <f aca="false">IF(OR(E106="",E106="!!!",F106="NEW"),"",INDEX(B$2:B105,-1+SUMPRODUCT(MAX(ROW(E$2:E105)*(E106=E$2:E105)))))</f>
        <v/>
      </c>
      <c r="J106" s="15" t="str">
        <f aca="true">IF(OR(E106="",E106="!!!",F106="NEW"),"",COUNTBLANK(OFFSET(A$1,,,SUMPRODUCT(MAX(ROW(E$2:E106)*(E106=E$2:E106)))))-COUNTBLANK(OFFSET(A$1,,,SUMPRODUCT(MAX(ROW(E$1:E105)*(E106=E$1:E105))))))</f>
        <v/>
      </c>
      <c r="K106" s="15" t="str">
        <f aca="false">IF(OR(E106="",E106="!!!",F106="NEW"),"",INDEX(J$1:J105,SUMPRODUCT(MAX(ROW(E$1:E105)*(E106=E$1:E105)))))</f>
        <v/>
      </c>
      <c r="L106" s="16"/>
    </row>
    <row r="107" customFormat="false" ht="12.75" hidden="false" customHeight="false" outlineLevel="0" collapsed="false">
      <c r="A107" s="1" t="s">
        <v>121</v>
      </c>
      <c r="B107" s="1" t="s">
        <v>14</v>
      </c>
      <c r="C107" s="1" t="s">
        <v>38</v>
      </c>
      <c r="D107" s="1" t="s">
        <v>16</v>
      </c>
      <c r="E107" s="10" t="s">
        <v>122</v>
      </c>
      <c r="F107" s="11" t="str">
        <f aca="false">IF(OR(E107="",E107="!!!"),"",IF(NOT(ISNA(VLOOKUP(E107,E$1:E106,1,FALSE()))),"OLD",IF(AND(E107&lt;&gt;"",E107&lt;&gt;"!!!"),"NEW","")))</f>
        <v>NEW</v>
      </c>
      <c r="G107" s="12" t="s">
        <v>25</v>
      </c>
      <c r="H107" s="13" t="str">
        <f aca="false">IF(J107&lt;&gt;1,"",IF(I107="SBJ","CB","?"))</f>
        <v/>
      </c>
      <c r="I107" s="14" t="str">
        <f aca="false">IF(OR(E107="",E107="!!!",F107="NEW"),"",INDEX(B$2:B106,-1+SUMPRODUCT(MAX(ROW(E$2:E106)*(E107=E$2:E106)))))</f>
        <v/>
      </c>
      <c r="J107" s="15" t="str">
        <f aca="true">IF(OR(E107="",E107="!!!",F107="NEW"),"",COUNTBLANK(OFFSET(A$1,,,SUMPRODUCT(MAX(ROW(E$2:E107)*(E107=E$2:E107)))))-COUNTBLANK(OFFSET(A$1,,,SUMPRODUCT(MAX(ROW(E$1:E106)*(E107=E$1:E106))))))</f>
        <v/>
      </c>
      <c r="K107" s="15" t="str">
        <f aca="false">IF(OR(E107="",E107="!!!",F107="NEW"),"",INDEX(J$1:J106,SUMPRODUCT(MAX(ROW(E$1:E106)*(E107=E$1:E106)))))</f>
        <v/>
      </c>
      <c r="L107" s="16"/>
    </row>
    <row r="108" customFormat="false" ht="12.75" hidden="false" customHeight="false" outlineLevel="0" collapsed="false">
      <c r="A108" s="1" t="s">
        <v>123</v>
      </c>
      <c r="E108" s="10" t="str">
        <f aca="false">IF(D108="?OLD","!!!","")</f>
        <v/>
      </c>
      <c r="F108" s="11" t="str">
        <f aca="false">IF(OR(E108="",E108="!!!"),"",IF(NOT(ISNA(VLOOKUP(E108,E$1:E107,1,FALSE()))),"OLD",IF(AND(E108&lt;&gt;"",E108&lt;&gt;"!!!"),"NEW","")))</f>
        <v/>
      </c>
      <c r="G108" s="12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13" t="str">
        <f aca="false">IF(J108&lt;&gt;1,"",IF(I108="SBJ","CB","?"))</f>
        <v/>
      </c>
      <c r="I108" s="14" t="str">
        <f aca="false">IF(OR(E108="",E108="!!!",F108="NEW"),"",INDEX(B$2:B107,-1+SUMPRODUCT(MAX(ROW(E$2:E107)*(E108=E$2:E107)))))</f>
        <v/>
      </c>
      <c r="J108" s="15" t="str">
        <f aca="true">IF(OR(E108="",E108="!!!",F108="NEW"),"",COUNTBLANK(OFFSET(A$1,,,SUMPRODUCT(MAX(ROW(E$2:E108)*(E108=E$2:E108)))))-COUNTBLANK(OFFSET(A$1,,,SUMPRODUCT(MAX(ROW(E$1:E107)*(E108=E$1:E107))))))</f>
        <v/>
      </c>
      <c r="K108" s="15" t="str">
        <f aca="false">IF(OR(E108="",E108="!!!",F108="NEW"),"",INDEX(J$1:J107,SUMPRODUCT(MAX(ROW(E$1:E107)*(E108=E$1:E107)))))</f>
        <v/>
      </c>
      <c r="L108" s="16"/>
    </row>
    <row r="109" customFormat="false" ht="12.75" hidden="false" customHeight="false" outlineLevel="0" collapsed="false">
      <c r="A109" s="1" t="s">
        <v>124</v>
      </c>
      <c r="E109" s="10" t="str">
        <f aca="false">IF(D109="?OLD","!!!","")</f>
        <v/>
      </c>
      <c r="F109" s="11" t="str">
        <f aca="false">IF(OR(E109="",E109="!!!"),"",IF(NOT(ISNA(VLOOKUP(E109,E$1:E108,1,FALSE()))),"OLD",IF(AND(E109&lt;&gt;"",E109&lt;&gt;"!!!"),"NEW","")))</f>
        <v/>
      </c>
      <c r="G109" s="12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13" t="str">
        <f aca="false">IF(J109&lt;&gt;1,"",IF(I109="SBJ","CB","?"))</f>
        <v/>
      </c>
      <c r="I109" s="14" t="str">
        <f aca="false">IF(OR(E109="",E109="!!!",F109="NEW"),"",INDEX(B$2:B108,-1+SUMPRODUCT(MAX(ROW(E$2:E108)*(E109=E$2:E108)))))</f>
        <v/>
      </c>
      <c r="J109" s="15" t="str">
        <f aca="true">IF(OR(E109="",E109="!!!",F109="NEW"),"",COUNTBLANK(OFFSET(A$1,,,SUMPRODUCT(MAX(ROW(E$2:E109)*(E109=E$2:E109)))))-COUNTBLANK(OFFSET(A$1,,,SUMPRODUCT(MAX(ROW(E$1:E108)*(E109=E$1:E108))))))</f>
        <v/>
      </c>
      <c r="K109" s="15" t="str">
        <f aca="false">IF(OR(E109="",E109="!!!",F109="NEW"),"",INDEX(J$1:J108,SUMPRODUCT(MAX(ROW(E$1:E108)*(E109=E$1:E108)))))</f>
        <v/>
      </c>
      <c r="L109" s="16"/>
    </row>
    <row r="110" customFormat="false" ht="12.75" hidden="false" customHeight="false" outlineLevel="0" collapsed="false">
      <c r="A110" s="1" t="s">
        <v>125</v>
      </c>
      <c r="E110" s="10" t="str">
        <f aca="false">IF(D110="?OLD","!!!","")</f>
        <v/>
      </c>
      <c r="F110" s="11" t="str">
        <f aca="false">IF(OR(E110="",E110="!!!"),"",IF(NOT(ISNA(VLOOKUP(E110,E$1:E109,1,FALSE()))),"OLD",IF(AND(E110&lt;&gt;"",E110&lt;&gt;"!!!"),"NEW","")))</f>
        <v/>
      </c>
      <c r="G110" s="12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13" t="str">
        <f aca="false">IF(J110&lt;&gt;1,"",IF(I110="SBJ","CB","?"))</f>
        <v/>
      </c>
      <c r="I110" s="14" t="str">
        <f aca="false">IF(OR(E110="",E110="!!!",F110="NEW"),"",INDEX(B$2:B109,-1+SUMPRODUCT(MAX(ROW(E$2:E109)*(E110=E$2:E109)))))</f>
        <v/>
      </c>
      <c r="J110" s="15" t="str">
        <f aca="true">IF(OR(E110="",E110="!!!",F110="NEW"),"",COUNTBLANK(OFFSET(A$1,,,SUMPRODUCT(MAX(ROW(E$2:E110)*(E110=E$2:E110)))))-COUNTBLANK(OFFSET(A$1,,,SUMPRODUCT(MAX(ROW(E$1:E109)*(E110=E$1:E109))))))</f>
        <v/>
      </c>
      <c r="K110" s="15" t="str">
        <f aca="false">IF(OR(E110="",E110="!!!",F110="NEW"),"",INDEX(J$1:J109,SUMPRODUCT(MAX(ROW(E$1:E109)*(E110=E$1:E109)))))</f>
        <v/>
      </c>
      <c r="L110" s="16"/>
    </row>
    <row r="111" customFormat="false" ht="12.75" hidden="false" customHeight="false" outlineLevel="0" collapsed="false">
      <c r="A111" s="1" t="s">
        <v>126</v>
      </c>
      <c r="E111" s="10" t="str">
        <f aca="false">IF(D111="?OLD","!!!","")</f>
        <v/>
      </c>
      <c r="F111" s="11" t="str">
        <f aca="false">IF(OR(E111="",E111="!!!"),"",IF(NOT(ISNA(VLOOKUP(E111,E$1:E110,1,FALSE()))),"OLD",IF(AND(E111&lt;&gt;"",E111&lt;&gt;"!!!"),"NEW","")))</f>
        <v/>
      </c>
      <c r="G111" s="12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13" t="str">
        <f aca="false">IF(J111&lt;&gt;1,"",IF(I111="SBJ","CB","?"))</f>
        <v/>
      </c>
      <c r="I111" s="14" t="str">
        <f aca="false">IF(OR(E111="",E111="!!!",F111="NEW"),"",INDEX(B$2:B110,-1+SUMPRODUCT(MAX(ROW(E$2:E110)*(E111=E$2:E110)))))</f>
        <v/>
      </c>
      <c r="J111" s="15" t="str">
        <f aca="true">IF(OR(E111="",E111="!!!",F111="NEW"),"",COUNTBLANK(OFFSET(A$1,,,SUMPRODUCT(MAX(ROW(E$2:E111)*(E111=E$2:E111)))))-COUNTBLANK(OFFSET(A$1,,,SUMPRODUCT(MAX(ROW(E$1:E110)*(E111=E$1:E110))))))</f>
        <v/>
      </c>
      <c r="K111" s="15" t="str">
        <f aca="false">IF(OR(E111="",E111="!!!",F111="NEW"),"",INDEX(J$1:J110,SUMPRODUCT(MAX(ROW(E$1:E110)*(E111=E$1:E110)))))</f>
        <v/>
      </c>
      <c r="L111" s="16"/>
    </row>
    <row r="112" customFormat="false" ht="12.75" hidden="false" customHeight="false" outlineLevel="0" collapsed="false">
      <c r="A112" s="1" t="s">
        <v>36</v>
      </c>
      <c r="B112" s="1" t="s">
        <v>60</v>
      </c>
      <c r="C112" s="1" t="s">
        <v>38</v>
      </c>
      <c r="D112" s="1" t="s">
        <v>16</v>
      </c>
      <c r="E112" s="10" t="s">
        <v>17</v>
      </c>
      <c r="F112" s="11" t="str">
        <f aca="false">IF(OR(E112="",E112="!!!"),"",IF(NOT(ISNA(VLOOKUP(E112,E$1:E111,1,FALSE()))),"OLD",IF(AND(E112&lt;&gt;"",E112&lt;&gt;"!!!"),"NEW","")))</f>
        <v>OLD</v>
      </c>
      <c r="G112" s="12" t="s">
        <v>25</v>
      </c>
      <c r="H112" s="13" t="str">
        <f aca="false">IF(J112&lt;&gt;1,"",IF(I112="SBJ","CB","?"))</f>
        <v/>
      </c>
      <c r="I112" s="14" t="str">
        <f aca="false">IF(OR(E112="",E112="!!!",F112="NEW"),"",INDEX(B$2:B111,-1+SUMPRODUCT(MAX(ROW(E$2:E111)*(E112=E$2:E111)))))</f>
        <v>SBJ</v>
      </c>
      <c r="J112" s="15" t="n">
        <f aca="true">IF(OR(E112="",E112="!!!",F112="NEW"),"",COUNTBLANK(OFFSET(A$1,,,SUMPRODUCT(MAX(ROW(E$2:E112)*(E112=E$2:E112)))))-COUNTBLANK(OFFSET(A$1,,,SUMPRODUCT(MAX(ROW(E$1:E111)*(E112=E$1:E111))))))</f>
        <v>3</v>
      </c>
      <c r="K112" s="15" t="n">
        <f aca="false">IF(OR(E112="",E112="!!!",F112="NEW"),"",INDEX(J$1:J111,SUMPRODUCT(MAX(ROW(E$1:E111)*(E112=E$1:E111)))))</f>
        <v>1</v>
      </c>
      <c r="L112" s="16"/>
    </row>
    <row r="113" customFormat="false" ht="12.75" hidden="false" customHeight="false" outlineLevel="0" collapsed="false">
      <c r="A113" s="1" t="s">
        <v>31</v>
      </c>
      <c r="E113" s="10" t="str">
        <f aca="false">IF(D113="?OLD","!!!","")</f>
        <v/>
      </c>
      <c r="F113" s="11" t="str">
        <f aca="false">IF(OR(E113="",E113="!!!"),"",IF(NOT(ISNA(VLOOKUP(E113,E$1:E112,1,FALSE()))),"OLD",IF(AND(E113&lt;&gt;"",E113&lt;&gt;"!!!"),"NEW","")))</f>
        <v/>
      </c>
      <c r="G113" s="12" t="str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13" t="str">
        <f aca="false">IF(J113&lt;&gt;1,"",IF(I113="SBJ","CB","?"))</f>
        <v/>
      </c>
      <c r="I113" s="14" t="str">
        <f aca="false">IF(OR(E113="",E113="!!!",F113="NEW"),"",INDEX(B$2:B112,-1+SUMPRODUCT(MAX(ROW(E$2:E112)*(E113=E$2:E112)))))</f>
        <v/>
      </c>
      <c r="J113" s="15" t="str">
        <f aca="true">IF(OR(E113="",E113="!!!",F113="NEW"),"",COUNTBLANK(OFFSET(A$1,,,SUMPRODUCT(MAX(ROW(E$2:E113)*(E113=E$2:E113)))))-COUNTBLANK(OFFSET(A$1,,,SUMPRODUCT(MAX(ROW(E$1:E112)*(E113=E$1:E112))))))</f>
        <v/>
      </c>
      <c r="K113" s="15" t="str">
        <f aca="false">IF(OR(E113="",E113="!!!",F113="NEW"),"",INDEX(J$1:J112,SUMPRODUCT(MAX(ROW(E$1:E112)*(E113=E$1:E112)))))</f>
        <v/>
      </c>
      <c r="L113" s="16"/>
    </row>
    <row r="114" customFormat="false" ht="12.75" hidden="false" customHeight="false" outlineLevel="0" collapsed="false">
      <c r="A114" s="1" t="s">
        <v>127</v>
      </c>
      <c r="E114" s="10" t="str">
        <f aca="false">IF(D114="?OLD","!!!","")</f>
        <v/>
      </c>
      <c r="F114" s="11" t="str">
        <f aca="false">IF(OR(E114="",E114="!!!"),"",IF(NOT(ISNA(VLOOKUP(E114,E$1:E113,1,FALSE()))),"OLD",IF(AND(E114&lt;&gt;"",E114&lt;&gt;"!!!"),"NEW","")))</f>
        <v/>
      </c>
      <c r="G114" s="12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13" t="str">
        <f aca="false">IF(J114&lt;&gt;1,"",IF(I114="SBJ","CB","?"))</f>
        <v/>
      </c>
      <c r="I114" s="14" t="str">
        <f aca="false">IF(OR(E114="",E114="!!!",F114="NEW"),"",INDEX(B$2:B113,-1+SUMPRODUCT(MAX(ROW(E$2:E113)*(E114=E$2:E113)))))</f>
        <v/>
      </c>
      <c r="J114" s="15" t="str">
        <f aca="true">IF(OR(E114="",E114="!!!",F114="NEW"),"",COUNTBLANK(OFFSET(A$1,,,SUMPRODUCT(MAX(ROW(E$2:E114)*(E114=E$2:E114)))))-COUNTBLANK(OFFSET(A$1,,,SUMPRODUCT(MAX(ROW(E$1:E113)*(E114=E$1:E113))))))</f>
        <v/>
      </c>
      <c r="K114" s="15" t="str">
        <f aca="false">IF(OR(E114="",E114="!!!",F114="NEW"),"",INDEX(J$1:J113,SUMPRODUCT(MAX(ROW(E$1:E113)*(E114=E$1:E113)))))</f>
        <v/>
      </c>
      <c r="L114" s="16"/>
    </row>
    <row r="115" customFormat="false" ht="12.75" hidden="false" customHeight="false" outlineLevel="0" collapsed="false">
      <c r="A115" s="1" t="s">
        <v>101</v>
      </c>
      <c r="E115" s="10" t="str">
        <f aca="false">IF(D115="?OLD","!!!","")</f>
        <v/>
      </c>
      <c r="F115" s="11" t="str">
        <f aca="false">IF(OR(E115="",E115="!!!"),"",IF(NOT(ISNA(VLOOKUP(E115,E$1:E114,1,FALSE()))),"OLD",IF(AND(E115&lt;&gt;"",E115&lt;&gt;"!!!"),"NEW","")))</f>
        <v/>
      </c>
      <c r="G115" s="12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13" t="str">
        <f aca="false">IF(J115&lt;&gt;1,"",IF(I115="SBJ","CB","?"))</f>
        <v/>
      </c>
      <c r="I115" s="14" t="str">
        <f aca="false">IF(OR(E115="",E115="!!!",F115="NEW"),"",INDEX(B$2:B114,-1+SUMPRODUCT(MAX(ROW(E$2:E114)*(E115=E$2:E114)))))</f>
        <v/>
      </c>
      <c r="J115" s="15" t="str">
        <f aca="true">IF(OR(E115="",E115="!!!",F115="NEW"),"",COUNTBLANK(OFFSET(A$1,,,SUMPRODUCT(MAX(ROW(E$2:E115)*(E115=E$2:E115)))))-COUNTBLANK(OFFSET(A$1,,,SUMPRODUCT(MAX(ROW(E$1:E114)*(E115=E$1:E114))))))</f>
        <v/>
      </c>
      <c r="K115" s="15" t="str">
        <f aca="false">IF(OR(E115="",E115="!!!",F115="NEW"),"",INDEX(J$1:J114,SUMPRODUCT(MAX(ROW(E$1:E114)*(E115=E$1:E114)))))</f>
        <v/>
      </c>
      <c r="L115" s="16"/>
    </row>
    <row r="116" customFormat="false" ht="12.75" hidden="false" customHeight="false" outlineLevel="0" collapsed="false">
      <c r="A116" s="1" t="s">
        <v>128</v>
      </c>
      <c r="E116" s="10" t="str">
        <f aca="false">IF(D116="?OLD","!!!","")</f>
        <v/>
      </c>
      <c r="F116" s="11" t="str">
        <f aca="false">IF(OR(E116="",E116="!!!"),"",IF(NOT(ISNA(VLOOKUP(E116,E$1:E115,1,FALSE()))),"OLD",IF(AND(E116&lt;&gt;"",E116&lt;&gt;"!!!"),"NEW","")))</f>
        <v/>
      </c>
      <c r="G116" s="12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13" t="str">
        <f aca="false">IF(J116&lt;&gt;1,"",IF(I116="SBJ","CB","?"))</f>
        <v/>
      </c>
      <c r="I116" s="14" t="str">
        <f aca="false">IF(OR(E116="",E116="!!!",F116="NEW"),"",INDEX(B$2:B115,-1+SUMPRODUCT(MAX(ROW(E$2:E115)*(E116=E$2:E115)))))</f>
        <v/>
      </c>
      <c r="J116" s="15" t="str">
        <f aca="true">IF(OR(E116="",E116="!!!",F116="NEW"),"",COUNTBLANK(OFFSET(A$1,,,SUMPRODUCT(MAX(ROW(E$2:E116)*(E116=E$2:E116)))))-COUNTBLANK(OFFSET(A$1,,,SUMPRODUCT(MAX(ROW(E$1:E115)*(E116=E$1:E115))))))</f>
        <v/>
      </c>
      <c r="K116" s="15" t="str">
        <f aca="false">IF(OR(E116="",E116="!!!",F116="NEW"),"",INDEX(J$1:J115,SUMPRODUCT(MAX(ROW(E$1:E115)*(E116=E$1:E115)))))</f>
        <v/>
      </c>
      <c r="L116" s="16"/>
    </row>
    <row r="117" customFormat="false" ht="12.75" hidden="false" customHeight="false" outlineLevel="0" collapsed="false">
      <c r="A117" s="1" t="s">
        <v>129</v>
      </c>
      <c r="E117" s="10" t="str">
        <f aca="false">IF(D117="?OLD","!!!","")</f>
        <v/>
      </c>
      <c r="F117" s="11" t="str">
        <f aca="false">IF(OR(E117="",E117="!!!"),"",IF(NOT(ISNA(VLOOKUP(E117,E$1:E116,1,FALSE()))),"OLD",IF(AND(E117&lt;&gt;"",E117&lt;&gt;"!!!"),"NEW","")))</f>
        <v/>
      </c>
      <c r="G117" s="12" t="str">
        <f aca="false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13" t="str">
        <f aca="false">IF(J117&lt;&gt;1,"",IF(I117="SBJ","CB","?"))</f>
        <v/>
      </c>
      <c r="I117" s="14" t="str">
        <f aca="false">IF(OR(E117="",E117="!!!",F117="NEW"),"",INDEX(B$2:B116,-1+SUMPRODUCT(MAX(ROW(E$2:E116)*(E117=E$2:E116)))))</f>
        <v/>
      </c>
      <c r="J117" s="15" t="str">
        <f aca="true">IF(OR(E117="",E117="!!!",F117="NEW"),"",COUNTBLANK(OFFSET(A$1,,,SUMPRODUCT(MAX(ROW(E$2:E117)*(E117=E$2:E117)))))-COUNTBLANK(OFFSET(A$1,,,SUMPRODUCT(MAX(ROW(E$1:E116)*(E117=E$1:E116))))))</f>
        <v/>
      </c>
      <c r="K117" s="15" t="str">
        <f aca="false">IF(OR(E117="",E117="!!!",F117="NEW"),"",INDEX(J$1:J116,SUMPRODUCT(MAX(ROW(E$1:E116)*(E117=E$1:E116)))))</f>
        <v/>
      </c>
      <c r="L117" s="16"/>
    </row>
    <row r="118" customFormat="false" ht="12.75" hidden="false" customHeight="false" outlineLevel="0" collapsed="false">
      <c r="A118" s="1" t="s">
        <v>130</v>
      </c>
      <c r="E118" s="10" t="str">
        <f aca="false">IF(D118="?OLD","!!!","")</f>
        <v/>
      </c>
      <c r="F118" s="11" t="str">
        <f aca="false">IF(OR(E118="",E118="!!!"),"",IF(NOT(ISNA(VLOOKUP(E118,E$1:E117,1,FALSE()))),"OLD",IF(AND(E118&lt;&gt;"",E118&lt;&gt;"!!!"),"NEW","")))</f>
        <v/>
      </c>
      <c r="G118" s="12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13" t="str">
        <f aca="false">IF(J118&lt;&gt;1,"",IF(I118="SBJ","CB","?"))</f>
        <v/>
      </c>
      <c r="I118" s="14" t="str">
        <f aca="false">IF(OR(E118="",E118="!!!",F118="NEW"),"",INDEX(B$2:B117,-1+SUMPRODUCT(MAX(ROW(E$2:E117)*(E118=E$2:E117)))))</f>
        <v/>
      </c>
      <c r="J118" s="15" t="str">
        <f aca="true">IF(OR(E118="",E118="!!!",F118="NEW"),"",COUNTBLANK(OFFSET(A$1,,,SUMPRODUCT(MAX(ROW(E$2:E118)*(E118=E$2:E118)))))-COUNTBLANK(OFFSET(A$1,,,SUMPRODUCT(MAX(ROW(E$1:E117)*(E118=E$1:E117))))))</f>
        <v/>
      </c>
      <c r="K118" s="15" t="str">
        <f aca="false">IF(OR(E118="",E118="!!!",F118="NEW"),"",INDEX(J$1:J117,SUMPRODUCT(MAX(ROW(E$1:E117)*(E118=E$1:E117)))))</f>
        <v/>
      </c>
      <c r="L118" s="16"/>
    </row>
    <row r="119" customFormat="false" ht="12.75" hidden="false" customHeight="false" outlineLevel="0" collapsed="false">
      <c r="A119" s="1" t="s">
        <v>131</v>
      </c>
      <c r="E119" s="10" t="str">
        <f aca="false">IF(D119="?OLD","!!!","")</f>
        <v/>
      </c>
      <c r="F119" s="11" t="str">
        <f aca="false">IF(OR(E119="",E119="!!!"),"",IF(NOT(ISNA(VLOOKUP(E119,E$1:E118,1,FALSE()))),"OLD",IF(AND(E119&lt;&gt;"",E119&lt;&gt;"!!!"),"NEW","")))</f>
        <v/>
      </c>
      <c r="G119" s="12" t="str">
        <f aca="false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13" t="str">
        <f aca="false">IF(J119&lt;&gt;1,"",IF(I119="SBJ","CB","?"))</f>
        <v/>
      </c>
      <c r="I119" s="14" t="str">
        <f aca="false">IF(OR(E119="",E119="!!!",F119="NEW"),"",INDEX(B$2:B118,-1+SUMPRODUCT(MAX(ROW(E$2:E118)*(E119=E$2:E118)))))</f>
        <v/>
      </c>
      <c r="J119" s="15" t="str">
        <f aca="true">IF(OR(E119="",E119="!!!",F119="NEW"),"",COUNTBLANK(OFFSET(A$1,,,SUMPRODUCT(MAX(ROW(E$2:E119)*(E119=E$2:E119)))))-COUNTBLANK(OFFSET(A$1,,,SUMPRODUCT(MAX(ROW(E$1:E118)*(E119=E$1:E118))))))</f>
        <v/>
      </c>
      <c r="K119" s="15" t="str">
        <f aca="false">IF(OR(E119="",E119="!!!",F119="NEW"),"",INDEX(J$1:J118,SUMPRODUCT(MAX(ROW(E$1:E118)*(E119=E$1:E118)))))</f>
        <v/>
      </c>
      <c r="L119" s="16"/>
    </row>
    <row r="120" customFormat="false" ht="12.75" hidden="false" customHeight="false" outlineLevel="0" collapsed="false">
      <c r="A120" s="1" t="s">
        <v>44</v>
      </c>
      <c r="E120" s="10" t="str">
        <f aca="false">IF(D120="?OLD","!!!","")</f>
        <v/>
      </c>
      <c r="F120" s="11" t="str">
        <f aca="false">IF(OR(E120="",E120="!!!"),"",IF(NOT(ISNA(VLOOKUP(E120,E$1:E119,1,FALSE()))),"OLD",IF(AND(E120&lt;&gt;"",E120&lt;&gt;"!!!"),"NEW","")))</f>
        <v/>
      </c>
      <c r="G120" s="12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13" t="str">
        <f aca="false">IF(J120&lt;&gt;1,"",IF(I120="SBJ","CB","?"))</f>
        <v/>
      </c>
      <c r="I120" s="14" t="str">
        <f aca="false">IF(OR(E120="",E120="!!!",F120="NEW"),"",INDEX(B$2:B119,-1+SUMPRODUCT(MAX(ROW(E$2:E119)*(E120=E$2:E119)))))</f>
        <v/>
      </c>
      <c r="J120" s="15" t="str">
        <f aca="true">IF(OR(E120="",E120="!!!",F120="NEW"),"",COUNTBLANK(OFFSET(A$1,,,SUMPRODUCT(MAX(ROW(E$2:E120)*(E120=E$2:E120)))))-COUNTBLANK(OFFSET(A$1,,,SUMPRODUCT(MAX(ROW(E$1:E119)*(E120=E$1:E119))))))</f>
        <v/>
      </c>
      <c r="K120" s="15" t="str">
        <f aca="false">IF(OR(E120="",E120="!!!",F120="NEW"),"",INDEX(J$1:J119,SUMPRODUCT(MAX(ROW(E$1:E119)*(E120=E$1:E119)))))</f>
        <v/>
      </c>
      <c r="L120" s="16"/>
    </row>
    <row r="121" customFormat="false" ht="12.75" hidden="false" customHeight="false" outlineLevel="0" collapsed="false">
      <c r="A121" s="1" t="s">
        <v>132</v>
      </c>
      <c r="E121" s="10" t="str">
        <f aca="false">IF(D121="?OLD","!!!","")</f>
        <v/>
      </c>
      <c r="F121" s="11" t="str">
        <f aca="false">IF(OR(E121="",E121="!!!"),"",IF(NOT(ISNA(VLOOKUP(E121,E$1:E120,1,FALSE()))),"OLD",IF(AND(E121&lt;&gt;"",E121&lt;&gt;"!!!"),"NEW","")))</f>
        <v/>
      </c>
      <c r="G121" s="12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13" t="str">
        <f aca="false">IF(J121&lt;&gt;1,"",IF(I121="SBJ","CB","?"))</f>
        <v/>
      </c>
      <c r="I121" s="14" t="str">
        <f aca="false">IF(OR(E121="",E121="!!!",F121="NEW"),"",INDEX(B$2:B120,-1+SUMPRODUCT(MAX(ROW(E$2:E120)*(E121=E$2:E120)))))</f>
        <v/>
      </c>
      <c r="J121" s="15" t="str">
        <f aca="true">IF(OR(E121="",E121="!!!",F121="NEW"),"",COUNTBLANK(OFFSET(A$1,,,SUMPRODUCT(MAX(ROW(E$2:E121)*(E121=E$2:E121)))))-COUNTBLANK(OFFSET(A$1,,,SUMPRODUCT(MAX(ROW(E$1:E120)*(E121=E$1:E120))))))</f>
        <v/>
      </c>
      <c r="K121" s="15" t="str">
        <f aca="false">IF(OR(E121="",E121="!!!",F121="NEW"),"",INDEX(J$1:J120,SUMPRODUCT(MAX(ROW(E$1:E120)*(E121=E$1:E120)))))</f>
        <v/>
      </c>
      <c r="L121" s="16"/>
    </row>
    <row r="122" customFormat="false" ht="12.75" hidden="false" customHeight="false" outlineLevel="0" collapsed="false">
      <c r="A122" s="1" t="s">
        <v>133</v>
      </c>
      <c r="B122" s="1" t="s">
        <v>60</v>
      </c>
      <c r="C122" s="1" t="s">
        <v>134</v>
      </c>
      <c r="D122" s="1" t="s">
        <v>16</v>
      </c>
      <c r="E122" s="10" t="s">
        <v>133</v>
      </c>
      <c r="F122" s="11" t="str">
        <f aca="false">IF(OR(E122="",E122="!!!"),"",IF(NOT(ISNA(VLOOKUP(E122,E$1:E121,1,FALSE()))),"OLD",IF(AND(E122&lt;&gt;"",E122&lt;&gt;"!!!"),"NEW","")))</f>
        <v>NEW</v>
      </c>
      <c r="G122" s="12" t="s">
        <v>58</v>
      </c>
      <c r="H122" s="13" t="str">
        <f aca="false">IF(J122&lt;&gt;1,"",IF(I122="SBJ","CB","?"))</f>
        <v/>
      </c>
      <c r="I122" s="14" t="str">
        <f aca="false">IF(OR(E122="",E122="!!!",F122="NEW"),"",INDEX(B$2:B121,-1+SUMPRODUCT(MAX(ROW(E$2:E121)*(E122=E$2:E121)))))</f>
        <v/>
      </c>
      <c r="J122" s="15" t="str">
        <f aca="true">IF(OR(E122="",E122="!!!",F122="NEW"),"",COUNTBLANK(OFFSET(A$1,,,SUMPRODUCT(MAX(ROW(E$2:E122)*(E122=E$2:E122)))))-COUNTBLANK(OFFSET(A$1,,,SUMPRODUCT(MAX(ROW(E$1:E121)*(E122=E$1:E121))))))</f>
        <v/>
      </c>
      <c r="K122" s="15" t="str">
        <f aca="false">IF(OR(E122="",E122="!!!",F122="NEW"),"",INDEX(J$1:J121,SUMPRODUCT(MAX(ROW(E$1:E121)*(E122=E$1:E121)))))</f>
        <v/>
      </c>
      <c r="L122" s="16"/>
    </row>
    <row r="123" customFormat="false" ht="12.75" hidden="false" customHeight="false" outlineLevel="0" collapsed="false">
      <c r="A123" s="1" t="s">
        <v>135</v>
      </c>
      <c r="E123" s="10" t="str">
        <f aca="false">IF(D123="?OLD","!!!","")</f>
        <v/>
      </c>
      <c r="F123" s="11" t="str">
        <f aca="false">IF(OR(E123="",E123="!!!"),"",IF(NOT(ISNA(VLOOKUP(E123,E$1:E122,1,FALSE()))),"OLD",IF(AND(E123&lt;&gt;"",E123&lt;&gt;"!!!"),"NEW","")))</f>
        <v/>
      </c>
      <c r="G123" s="12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13" t="str">
        <f aca="false">IF(J123&lt;&gt;1,"",IF(I123="SBJ","CB","?"))</f>
        <v/>
      </c>
      <c r="I123" s="14" t="str">
        <f aca="false">IF(OR(E123="",E123="!!!",F123="NEW"),"",INDEX(B$2:B122,-1+SUMPRODUCT(MAX(ROW(E$2:E122)*(E123=E$2:E122)))))</f>
        <v/>
      </c>
      <c r="J123" s="15" t="str">
        <f aca="true">IF(OR(E123="",E123="!!!",F123="NEW"),"",COUNTBLANK(OFFSET(A$1,,,SUMPRODUCT(MAX(ROW(E$2:E123)*(E123=E$2:E123)))))-COUNTBLANK(OFFSET(A$1,,,SUMPRODUCT(MAX(ROW(E$1:E122)*(E123=E$1:E122))))))</f>
        <v/>
      </c>
      <c r="K123" s="15" t="str">
        <f aca="false">IF(OR(E123="",E123="!!!",F123="NEW"),"",INDEX(J$1:J122,SUMPRODUCT(MAX(ROW(E$1:E122)*(E123=E$1:E122)))))</f>
        <v/>
      </c>
      <c r="L123" s="16"/>
    </row>
    <row r="124" customFormat="false" ht="12.75" hidden="false" customHeight="false" outlineLevel="0" collapsed="false">
      <c r="A124" s="1" t="s">
        <v>64</v>
      </c>
      <c r="E124" s="10" t="str">
        <f aca="false">IF(D124="?OLD","!!!","")</f>
        <v/>
      </c>
      <c r="F124" s="11" t="str">
        <f aca="false">IF(OR(E124="",E124="!!!"),"",IF(NOT(ISNA(VLOOKUP(E124,E$1:E123,1,FALSE()))),"OLD",IF(AND(E124&lt;&gt;"",E124&lt;&gt;"!!!"),"NEW","")))</f>
        <v/>
      </c>
      <c r="G124" s="12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13" t="str">
        <f aca="false">IF(J124&lt;&gt;1,"",IF(I124="SBJ","CB","?"))</f>
        <v/>
      </c>
      <c r="I124" s="14" t="str">
        <f aca="false">IF(OR(E124="",E124="!!!",F124="NEW"),"",INDEX(B$2:B123,-1+SUMPRODUCT(MAX(ROW(E$2:E123)*(E124=E$2:E123)))))</f>
        <v/>
      </c>
      <c r="J124" s="15" t="str">
        <f aca="true">IF(OR(E124="",E124="!!!",F124="NEW"),"",COUNTBLANK(OFFSET(A$1,,,SUMPRODUCT(MAX(ROW(E$2:E124)*(E124=E$2:E124)))))-COUNTBLANK(OFFSET(A$1,,,SUMPRODUCT(MAX(ROW(E$1:E123)*(E124=E$1:E123))))))</f>
        <v/>
      </c>
      <c r="K124" s="15" t="str">
        <f aca="false">IF(OR(E124="",E124="!!!",F124="NEW"),"",INDEX(J$1:J123,SUMPRODUCT(MAX(ROW(E$1:E123)*(E124=E$1:E123)))))</f>
        <v/>
      </c>
      <c r="L124" s="16"/>
    </row>
    <row r="125" customFormat="false" ht="12.75" hidden="false" customHeight="false" outlineLevel="0" collapsed="false">
      <c r="A125" s="1" t="s">
        <v>136</v>
      </c>
      <c r="B125" s="1" t="s">
        <v>28</v>
      </c>
      <c r="C125" s="1" t="s">
        <v>108</v>
      </c>
      <c r="D125" s="1" t="s">
        <v>16</v>
      </c>
      <c r="E125" s="10"/>
      <c r="F125" s="11" t="s">
        <v>29</v>
      </c>
      <c r="G125" s="12"/>
      <c r="H125" s="13" t="str">
        <f aca="false">IF(J125&lt;&gt;1,"",IF(I125="SBJ","CB","?"))</f>
        <v/>
      </c>
      <c r="I125" s="14" t="str">
        <f aca="false">IF(OR(E125="",E125="!!!",F125="NEW"),"",INDEX(B$2:B124,-1+SUMPRODUCT(MAX(ROW(E$2:E124)*(E125=E$2:E124)))))</f>
        <v/>
      </c>
      <c r="J125" s="15" t="str">
        <f aca="true">IF(OR(E125="",E125="!!!",F125="NEW"),"",COUNTBLANK(OFFSET(A$1,,,SUMPRODUCT(MAX(ROW(E$2:E125)*(E125=E$2:E125)))))-COUNTBLANK(OFFSET(A$1,,,SUMPRODUCT(MAX(ROW(E$1:E124)*(E125=E$1:E124))))))</f>
        <v/>
      </c>
      <c r="K125" s="15" t="str">
        <f aca="false">IF(OR(E125="",E125="!!!",F125="NEW"),"",INDEX(J$1:J124,SUMPRODUCT(MAX(ROW(E$1:E124)*(E125=E$1:E124)))))</f>
        <v/>
      </c>
      <c r="L125" s="16"/>
    </row>
    <row r="126" customFormat="false" ht="12.75" hidden="false" customHeight="false" outlineLevel="0" collapsed="false">
      <c r="A126" s="1" t="s">
        <v>70</v>
      </c>
      <c r="E126" s="10" t="str">
        <f aca="false">IF(D126="?OLD","!!!","")</f>
        <v/>
      </c>
      <c r="F126" s="11" t="str">
        <f aca="false">IF(OR(E126="",E126="!!!"),"",IF(NOT(ISNA(VLOOKUP(E126,E$1:E125,1,FALSE()))),"OLD",IF(AND(E126&lt;&gt;"",E126&lt;&gt;"!!!"),"NEW","")))</f>
        <v/>
      </c>
      <c r="G126" s="12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13" t="str">
        <f aca="false">IF(J126&lt;&gt;1,"",IF(I126="SBJ","CB","?"))</f>
        <v/>
      </c>
      <c r="I126" s="14" t="str">
        <f aca="false">IF(OR(E126="",E126="!!!",F126="NEW"),"",INDEX(B$2:B125,-1+SUMPRODUCT(MAX(ROW(E$2:E125)*(E126=E$2:E125)))))</f>
        <v/>
      </c>
      <c r="J126" s="15" t="str">
        <f aca="true">IF(OR(E126="",E126="!!!",F126="NEW"),"",COUNTBLANK(OFFSET(A$1,,,SUMPRODUCT(MAX(ROW(E$2:E126)*(E126=E$2:E126)))))-COUNTBLANK(OFFSET(A$1,,,SUMPRODUCT(MAX(ROW(E$1:E125)*(E126=E$1:E125))))))</f>
        <v/>
      </c>
      <c r="K126" s="15" t="str">
        <f aca="false">IF(OR(E126="",E126="!!!",F126="NEW"),"",INDEX(J$1:J125,SUMPRODUCT(MAX(ROW(E$1:E125)*(E126=E$1:E125)))))</f>
        <v/>
      </c>
      <c r="L126" s="16"/>
    </row>
    <row r="127" customFormat="false" ht="12.75" hidden="false" customHeight="false" outlineLevel="0" collapsed="false">
      <c r="E127" s="10" t="str">
        <f aca="false">IF(D127="?OLD","!!!","")</f>
        <v/>
      </c>
      <c r="F127" s="11" t="str">
        <f aca="false">IF(OR(E127="",E127="!!!"),"",IF(NOT(ISNA(VLOOKUP(E127,E$1:E126,1,FALSE()))),"OLD",IF(AND(E127&lt;&gt;"",E127&lt;&gt;"!!!"),"NEW","")))</f>
        <v/>
      </c>
      <c r="G127" s="12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13" t="str">
        <f aca="false">IF(J127&lt;&gt;1,"",IF(I127="SBJ","CB","?"))</f>
        <v/>
      </c>
      <c r="I127" s="14" t="str">
        <f aca="false">IF(OR(E127="",E127="!!!",F127="NEW"),"",INDEX(B$2:B126,-1+SUMPRODUCT(MAX(ROW(E$2:E126)*(E127=E$2:E126)))))</f>
        <v/>
      </c>
      <c r="J127" s="15" t="str">
        <f aca="true">IF(OR(E127="",E127="!!!",F127="NEW"),"",COUNTBLANK(OFFSET(A$1,,,SUMPRODUCT(MAX(ROW(E$2:E127)*(E127=E$2:E127)))))-COUNTBLANK(OFFSET(A$1,,,SUMPRODUCT(MAX(ROW(E$1:E126)*(E127=E$1:E126))))))</f>
        <v/>
      </c>
      <c r="K127" s="15" t="str">
        <f aca="false">IF(OR(E127="",E127="!!!",F127="NEW"),"",INDEX(J$1:J126,SUMPRODUCT(MAX(ROW(E$1:E126)*(E127=E$1:E126)))))</f>
        <v/>
      </c>
      <c r="L127" s="16"/>
    </row>
    <row r="128" customFormat="false" ht="12.75" hidden="false" customHeight="false" outlineLevel="0" collapsed="false">
      <c r="A128" s="1" t="s">
        <v>137</v>
      </c>
      <c r="E128" s="10" t="str">
        <f aca="false">IF(D128="?OLD","!!!","")</f>
        <v/>
      </c>
      <c r="F128" s="11" t="str">
        <f aca="false">IF(OR(E128="",E128="!!!"),"",IF(NOT(ISNA(VLOOKUP(E128,E$1:E127,1,FALSE()))),"OLD",IF(AND(E128&lt;&gt;"",E128&lt;&gt;"!!!"),"NEW","")))</f>
        <v/>
      </c>
      <c r="G128" s="12" t="str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13" t="str">
        <f aca="false">IF(J128&lt;&gt;1,"",IF(I128="SBJ","CB","?"))</f>
        <v/>
      </c>
      <c r="I128" s="14" t="str">
        <f aca="false">IF(OR(E128="",E128="!!!",F128="NEW"),"",INDEX(B$2:B127,-1+SUMPRODUCT(MAX(ROW(E$2:E127)*(E128=E$2:E127)))))</f>
        <v/>
      </c>
      <c r="J128" s="15" t="str">
        <f aca="true">IF(OR(E128="",E128="!!!",F128="NEW"),"",COUNTBLANK(OFFSET(A$1,,,SUMPRODUCT(MAX(ROW(E$2:E128)*(E128=E$2:E128)))))-COUNTBLANK(OFFSET(A$1,,,SUMPRODUCT(MAX(ROW(E$1:E127)*(E128=E$1:E127))))))</f>
        <v/>
      </c>
      <c r="K128" s="15" t="str">
        <f aca="false">IF(OR(E128="",E128="!!!",F128="NEW"),"",INDEX(J$1:J127,SUMPRODUCT(MAX(ROW(E$1:E127)*(E128=E$1:E127)))))</f>
        <v/>
      </c>
      <c r="L128" s="16"/>
    </row>
    <row r="129" customFormat="false" ht="12.75" hidden="false" customHeight="false" outlineLevel="0" collapsed="false">
      <c r="A129" s="1" t="s">
        <v>106</v>
      </c>
      <c r="E129" s="10" t="str">
        <f aca="false">IF(D129="?OLD","!!!","")</f>
        <v/>
      </c>
      <c r="F129" s="11" t="str">
        <f aca="false">IF(OR(E129="",E129="!!!"),"",IF(NOT(ISNA(VLOOKUP(E129,E$1:E128,1,FALSE()))),"OLD",IF(AND(E129&lt;&gt;"",E129&lt;&gt;"!!!"),"NEW","")))</f>
        <v/>
      </c>
      <c r="G129" s="12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13" t="str">
        <f aca="false">IF(J129&lt;&gt;1,"",IF(I129="SBJ","CB","?"))</f>
        <v/>
      </c>
      <c r="I129" s="14" t="str">
        <f aca="false">IF(OR(E129="",E129="!!!",F129="NEW"),"",INDEX(B$2:B128,-1+SUMPRODUCT(MAX(ROW(E$2:E128)*(E129=E$2:E128)))))</f>
        <v/>
      </c>
      <c r="J129" s="15" t="str">
        <f aca="true">IF(OR(E129="",E129="!!!",F129="NEW"),"",COUNTBLANK(OFFSET(A$1,,,SUMPRODUCT(MAX(ROW(E$2:E129)*(E129=E$2:E129)))))-COUNTBLANK(OFFSET(A$1,,,SUMPRODUCT(MAX(ROW(E$1:E128)*(E129=E$1:E128))))))</f>
        <v/>
      </c>
      <c r="K129" s="15" t="str">
        <f aca="false">IF(OR(E129="",E129="!!!",F129="NEW"),"",INDEX(J$1:J128,SUMPRODUCT(MAX(ROW(E$1:E128)*(E129=E$1:E128)))))</f>
        <v/>
      </c>
      <c r="L129" s="16"/>
    </row>
    <row r="130" customFormat="false" ht="12.75" hidden="false" customHeight="false" outlineLevel="0" collapsed="false">
      <c r="A130" s="1" t="s">
        <v>138</v>
      </c>
      <c r="E130" s="10" t="str">
        <f aca="false">IF(D130="?OLD","!!!","")</f>
        <v/>
      </c>
      <c r="F130" s="11" t="str">
        <f aca="false">IF(OR(E130="",E130="!!!"),"",IF(NOT(ISNA(VLOOKUP(E130,E$1:E129,1,FALSE()))),"OLD",IF(AND(E130&lt;&gt;"",E130&lt;&gt;"!!!"),"NEW","")))</f>
        <v/>
      </c>
      <c r="G130" s="12" t="str">
        <f aca="false"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13" t="str">
        <f aca="false">IF(J130&lt;&gt;1,"",IF(I130="SBJ","CB","?"))</f>
        <v/>
      </c>
      <c r="I130" s="14" t="str">
        <f aca="false">IF(OR(E130="",E130="!!!",F130="NEW"),"",INDEX(B$2:B129,-1+SUMPRODUCT(MAX(ROW(E$2:E129)*(E130=E$2:E129)))))</f>
        <v/>
      </c>
      <c r="J130" s="15" t="str">
        <f aca="true">IF(OR(E130="",E130="!!!",F130="NEW"),"",COUNTBLANK(OFFSET(A$1,,,SUMPRODUCT(MAX(ROW(E$2:E130)*(E130=E$2:E130)))))-COUNTBLANK(OFFSET(A$1,,,SUMPRODUCT(MAX(ROW(E$1:E129)*(E130=E$1:E129))))))</f>
        <v/>
      </c>
      <c r="K130" s="15" t="str">
        <f aca="false">IF(OR(E130="",E130="!!!",F130="NEW"),"",INDEX(J$1:J129,SUMPRODUCT(MAX(ROW(E$1:E129)*(E130=E$1:E129)))))</f>
        <v/>
      </c>
      <c r="L130" s="16"/>
    </row>
    <row r="131" customFormat="false" ht="12.75" hidden="false" customHeight="false" outlineLevel="0" collapsed="false">
      <c r="A131" s="1" t="s">
        <v>139</v>
      </c>
      <c r="B131" s="1" t="s">
        <v>14</v>
      </c>
      <c r="C131" s="1" t="s">
        <v>108</v>
      </c>
      <c r="D131" s="1" t="s">
        <v>16</v>
      </c>
      <c r="E131" s="10" t="s">
        <v>133</v>
      </c>
      <c r="F131" s="11" t="str">
        <f aca="false">IF(OR(E131="",E131="!!!"),"",IF(NOT(ISNA(VLOOKUP(E131,E$1:E130,1,FALSE()))),"OLD",IF(AND(E131&lt;&gt;"",E131&lt;&gt;"!!!"),"NEW","")))</f>
        <v>OLD</v>
      </c>
      <c r="G131" s="12" t="s">
        <v>77</v>
      </c>
      <c r="H131" s="13"/>
      <c r="I131" s="14" t="str">
        <f aca="false">IF(OR(E131="",E131="!!!",F131="NEW"),"",INDEX(B$2:B130,-1+SUMPRODUCT(MAX(ROW(E$2:E130)*(E131=E$2:E130)))))</f>
        <v>other</v>
      </c>
      <c r="J131" s="15" t="n">
        <f aca="true">IF(OR(E131="",E131="!!!",F131="NEW"),"",COUNTBLANK(OFFSET(A$1,,,SUMPRODUCT(MAX(ROW(E$2:E131)*(E131=E$2:E131)))))-COUNTBLANK(OFFSET(A$1,,,SUMPRODUCT(MAX(ROW(E$1:E130)*(E131=E$1:E130))))))</f>
        <v>1</v>
      </c>
      <c r="K131" s="15" t="str">
        <f aca="false">IF(OR(E131="",E131="!!!",F131="NEW"),"",INDEX(J$1:J130,SUMPRODUCT(MAX(ROW(E$1:E130)*(E131=E$1:E130)))))</f>
        <v/>
      </c>
      <c r="L131" s="16" t="s">
        <v>140</v>
      </c>
    </row>
    <row r="132" customFormat="false" ht="12.75" hidden="false" customHeight="false" outlineLevel="0" collapsed="false">
      <c r="A132" s="1" t="s">
        <v>47</v>
      </c>
      <c r="E132" s="10" t="str">
        <f aca="false">IF(D132="?OLD","!!!","")</f>
        <v/>
      </c>
      <c r="F132" s="11" t="str">
        <f aca="false">IF(OR(E132="",E132="!!!"),"",IF(NOT(ISNA(VLOOKUP(E132,E$1:E131,1,FALSE()))),"OLD",IF(AND(E132&lt;&gt;"",E132&lt;&gt;"!!!"),"NEW","")))</f>
        <v/>
      </c>
      <c r="G132" s="12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13" t="str">
        <f aca="false">IF(J132&lt;&gt;1,"",IF(I132="SBJ","CB","?"))</f>
        <v/>
      </c>
      <c r="I132" s="14" t="str">
        <f aca="false">IF(OR(E132="",E132="!!!",F132="NEW"),"",INDEX(B$2:B131,-1+SUMPRODUCT(MAX(ROW(E$2:E131)*(E132=E$2:E131)))))</f>
        <v/>
      </c>
      <c r="J132" s="15" t="str">
        <f aca="true">IF(OR(E132="",E132="!!!",F132="NEW"),"",COUNTBLANK(OFFSET(A$1,,,SUMPRODUCT(MAX(ROW(E$2:E132)*(E132=E$2:E132)))))-COUNTBLANK(OFFSET(A$1,,,SUMPRODUCT(MAX(ROW(E$1:E131)*(E132=E$1:E131))))))</f>
        <v/>
      </c>
      <c r="K132" s="15" t="str">
        <f aca="false">IF(OR(E132="",E132="!!!",F132="NEW"),"",INDEX(J$1:J131,SUMPRODUCT(MAX(ROW(E$1:E131)*(E132=E$1:E131)))))</f>
        <v/>
      </c>
      <c r="L132" s="16"/>
    </row>
    <row r="133" customFormat="false" ht="12.75" hidden="false" customHeight="false" outlineLevel="0" collapsed="false">
      <c r="A133" s="1" t="s">
        <v>135</v>
      </c>
      <c r="E133" s="10" t="str">
        <f aca="false">IF(D133="?OLD","!!!","")</f>
        <v/>
      </c>
      <c r="F133" s="11" t="str">
        <f aca="false">IF(OR(E133="",E133="!!!"),"",IF(NOT(ISNA(VLOOKUP(E133,E$1:E132,1,FALSE()))),"OLD",IF(AND(E133&lt;&gt;"",E133&lt;&gt;"!!!"),"NEW","")))</f>
        <v/>
      </c>
      <c r="G133" s="12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13" t="str">
        <f aca="false">IF(J133&lt;&gt;1,"",IF(I133="SBJ","CB","?"))</f>
        <v/>
      </c>
      <c r="I133" s="14" t="str">
        <f aca="false">IF(OR(E133="",E133="!!!",F133="NEW"),"",INDEX(B$2:B132,-1+SUMPRODUCT(MAX(ROW(E$2:E132)*(E133=E$2:E132)))))</f>
        <v/>
      </c>
      <c r="J133" s="15" t="str">
        <f aca="true">IF(OR(E133="",E133="!!!",F133="NEW"),"",COUNTBLANK(OFFSET(A$1,,,SUMPRODUCT(MAX(ROW(E$2:E133)*(E133=E$2:E133)))))-COUNTBLANK(OFFSET(A$1,,,SUMPRODUCT(MAX(ROW(E$1:E132)*(E133=E$1:E132))))))</f>
        <v/>
      </c>
      <c r="K133" s="15" t="str">
        <f aca="false">IF(OR(E133="",E133="!!!",F133="NEW"),"",INDEX(J$1:J132,SUMPRODUCT(MAX(ROW(E$1:E132)*(E133=E$1:E132)))))</f>
        <v/>
      </c>
      <c r="L133" s="16"/>
    </row>
    <row r="134" customFormat="false" ht="12.75" hidden="false" customHeight="false" outlineLevel="0" collapsed="false">
      <c r="A134" s="1" t="s">
        <v>141</v>
      </c>
      <c r="B134" s="1" t="s">
        <v>60</v>
      </c>
      <c r="C134" s="1" t="s">
        <v>15</v>
      </c>
      <c r="D134" s="1" t="s">
        <v>16</v>
      </c>
      <c r="E134" s="10" t="str">
        <f aca="false">IF(D134="?OLD","!!!","")</f>
        <v>!!!</v>
      </c>
      <c r="F134" s="11" t="str">
        <f aca="false">IF(OR(E134="",E134="!!!"),"",IF(NOT(ISNA(VLOOKUP(E134,E$1:E133,1,FALSE()))),"OLD",IF(AND(E134&lt;&gt;"",E134&lt;&gt;"!!!"),"NEW","")))</f>
        <v/>
      </c>
      <c r="G134" s="12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13" t="str">
        <f aca="false">IF(J134&lt;&gt;1,"",IF(I134="SBJ","CB","?"))</f>
        <v/>
      </c>
      <c r="I134" s="14" t="str">
        <f aca="false">IF(OR(E134="",E134="!!!",F134="NEW"),"",INDEX(B$2:B133,-1+SUMPRODUCT(MAX(ROW(E$2:E133)*(E134=E$2:E133)))))</f>
        <v/>
      </c>
      <c r="J134" s="15" t="str">
        <f aca="true">IF(OR(E134="",E134="!!!",F134="NEW"),"",COUNTBLANK(OFFSET(A$1,,,SUMPRODUCT(MAX(ROW(E$2:E134)*(E134=E$2:E134)))))-COUNTBLANK(OFFSET(A$1,,,SUMPRODUCT(MAX(ROW(E$1:E133)*(E134=E$1:E133))))))</f>
        <v/>
      </c>
      <c r="K134" s="15" t="str">
        <f aca="false">IF(OR(E134="",E134="!!!",F134="NEW"),"",INDEX(J$1:J133,SUMPRODUCT(MAX(ROW(E$1:E133)*(E134=E$1:E133)))))</f>
        <v/>
      </c>
      <c r="L134" s="16"/>
    </row>
    <row r="135" customFormat="false" ht="12.75" hidden="false" customHeight="false" outlineLevel="0" collapsed="false">
      <c r="A135" s="1" t="s">
        <v>19</v>
      </c>
      <c r="E135" s="10" t="str">
        <f aca="false">IF(D135="?OLD","!!!","")</f>
        <v/>
      </c>
      <c r="F135" s="11" t="str">
        <f aca="false">IF(OR(E135="",E135="!!!"),"",IF(NOT(ISNA(VLOOKUP(E135,E$1:E134,1,FALSE()))),"OLD",IF(AND(E135&lt;&gt;"",E135&lt;&gt;"!!!"),"NEW","")))</f>
        <v/>
      </c>
      <c r="G135" s="12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13" t="str">
        <f aca="false">IF(J135&lt;&gt;1,"",IF(I135="SBJ","CB","?"))</f>
        <v/>
      </c>
      <c r="I135" s="14" t="str">
        <f aca="false">IF(OR(E135="",E135="!!!",F135="NEW"),"",INDEX(B$2:B134,-1+SUMPRODUCT(MAX(ROW(E$2:E134)*(E135=E$2:E134)))))</f>
        <v/>
      </c>
      <c r="J135" s="15" t="str">
        <f aca="true">IF(OR(E135="",E135="!!!",F135="NEW"),"",COUNTBLANK(OFFSET(A$1,,,SUMPRODUCT(MAX(ROW(E$2:E135)*(E135=E$2:E135)))))-COUNTBLANK(OFFSET(A$1,,,SUMPRODUCT(MAX(ROW(E$1:E134)*(E135=E$1:E134))))))</f>
        <v/>
      </c>
      <c r="K135" s="15" t="str">
        <f aca="false">IF(OR(E135="",E135="!!!",F135="NEW"),"",INDEX(J$1:J134,SUMPRODUCT(MAX(ROW(E$1:E134)*(E135=E$1:E134)))))</f>
        <v/>
      </c>
      <c r="L135" s="16"/>
    </row>
    <row r="136" customFormat="false" ht="12.75" hidden="false" customHeight="false" outlineLevel="0" collapsed="false">
      <c r="A136" s="1" t="s">
        <v>142</v>
      </c>
      <c r="B136" s="1" t="s">
        <v>60</v>
      </c>
      <c r="C136" s="1" t="s">
        <v>38</v>
      </c>
      <c r="D136" s="1" t="s">
        <v>16</v>
      </c>
      <c r="E136" s="10" t="s">
        <v>143</v>
      </c>
      <c r="F136" s="11" t="s">
        <v>144</v>
      </c>
      <c r="G136" s="12" t="s">
        <v>77</v>
      </c>
      <c r="H136" s="13"/>
      <c r="I136" s="14" t="e">
        <f aca="false">IF(OR(E136="",E136="!!!",F136="NEW"),"",INDEX(B$2:B135,-1+SUMPRODUCT(MAX(ROW(E$2:E135)*(E136=E$2:E135)))))</f>
        <v>#VALUE!</v>
      </c>
      <c r="J136" s="15" t="e">
        <f aca="true">IF(OR(E136="",E136="!!!",F136="NEW"),"",COUNTBLANK(OFFSET(A$1,,,SUMPRODUCT(MAX(ROW(E$2:E136)*(E136=E$2:E136)))))-COUNTBLANK(OFFSET(A$1,,,SUMPRODUCT(MAX(ROW(E$1:E135)*(E136=E$1:E135))))))</f>
        <v>#VALUE!</v>
      </c>
      <c r="K136" s="15" t="e">
        <f aca="false">IF(OR(E136="",E136="!!!",F136="NEW"),"",INDEX(J$1:J135,SUMPRODUCT(MAX(ROW(E$1:E135)*(E136=E$1:E135)))))</f>
        <v>#VALUE!</v>
      </c>
      <c r="L136" s="16"/>
    </row>
    <row r="137" customFormat="false" ht="12.75" hidden="false" customHeight="false" outlineLevel="0" collapsed="false">
      <c r="A137" s="1" t="s">
        <v>145</v>
      </c>
      <c r="E137" s="10" t="str">
        <f aca="false">IF(D137="?OLD","!!!","")</f>
        <v/>
      </c>
      <c r="F137" s="11" t="str">
        <f aca="false">IF(OR(E137="",E137="!!!"),"",IF(NOT(ISNA(VLOOKUP(E137,E$1:E136,1,FALSE()))),"OLD",IF(AND(E137&lt;&gt;"",E137&lt;&gt;"!!!"),"NEW","")))</f>
        <v/>
      </c>
      <c r="G137" s="12" t="str">
        <f aca="false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13" t="str">
        <f aca="false">IF(J137&lt;&gt;1,"",IF(I137="SBJ","CB","?"))</f>
        <v/>
      </c>
      <c r="I137" s="14" t="str">
        <f aca="false">IF(OR(E137="",E137="!!!",F137="NEW"),"",INDEX(B$2:B136,-1+SUMPRODUCT(MAX(ROW(E$2:E136)*(E137=E$2:E136)))))</f>
        <v/>
      </c>
      <c r="J137" s="15" t="str">
        <f aca="true">IF(OR(E137="",E137="!!!",F137="NEW"),"",COUNTBLANK(OFFSET(A$1,,,SUMPRODUCT(MAX(ROW(E$2:E137)*(E137=E$2:E137)))))-COUNTBLANK(OFFSET(A$1,,,SUMPRODUCT(MAX(ROW(E$1:E136)*(E137=E$1:E136))))))</f>
        <v/>
      </c>
      <c r="K137" s="15" t="str">
        <f aca="false">IF(OR(E137="",E137="!!!",F137="NEW"),"",INDEX(J$1:J136,SUMPRODUCT(MAX(ROW(E$1:E136)*(E137=E$1:E136)))))</f>
        <v/>
      </c>
      <c r="L137" s="16"/>
    </row>
    <row r="138" customFormat="false" ht="12.75" hidden="false" customHeight="false" outlineLevel="0" collapsed="false">
      <c r="A138" s="1" t="s">
        <v>146</v>
      </c>
      <c r="E138" s="10" t="str">
        <f aca="false">IF(D138="?OLD","!!!","")</f>
        <v/>
      </c>
      <c r="F138" s="11" t="str">
        <f aca="false">IF(OR(E138="",E138="!!!"),"",IF(NOT(ISNA(VLOOKUP(E138,E$1:E137,1,FALSE()))),"OLD",IF(AND(E138&lt;&gt;"",E138&lt;&gt;"!!!"),"NEW","")))</f>
        <v/>
      </c>
      <c r="G138" s="12" t="str">
        <f aca="false"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13" t="str">
        <f aca="false">IF(J138&lt;&gt;1,"",IF(I138="SBJ","CB","?"))</f>
        <v/>
      </c>
      <c r="I138" s="14" t="str">
        <f aca="false">IF(OR(E138="",E138="!!!",F138="NEW"),"",INDEX(B$2:B137,-1+SUMPRODUCT(MAX(ROW(E$2:E137)*(E138=E$2:E137)))))</f>
        <v/>
      </c>
      <c r="J138" s="15" t="str">
        <f aca="true">IF(OR(E138="",E138="!!!",F138="NEW"),"",COUNTBLANK(OFFSET(A$1,,,SUMPRODUCT(MAX(ROW(E$2:E138)*(E138=E$2:E138)))))-COUNTBLANK(OFFSET(A$1,,,SUMPRODUCT(MAX(ROW(E$1:E137)*(E138=E$1:E137))))))</f>
        <v/>
      </c>
      <c r="K138" s="15" t="str">
        <f aca="false">IF(OR(E138="",E138="!!!",F138="NEW"),"",INDEX(J$1:J137,SUMPRODUCT(MAX(ROW(E$1:E137)*(E138=E$1:E137)))))</f>
        <v/>
      </c>
      <c r="L138" s="16"/>
    </row>
    <row r="139" customFormat="false" ht="12.75" hidden="false" customHeight="false" outlineLevel="0" collapsed="false">
      <c r="A139" s="1" t="s">
        <v>147</v>
      </c>
      <c r="E139" s="10" t="str">
        <f aca="false">IF(D139="?OLD","!!!","")</f>
        <v/>
      </c>
      <c r="F139" s="11" t="str">
        <f aca="false">IF(OR(E139="",E139="!!!"),"",IF(NOT(ISNA(VLOOKUP(E139,E$1:E138,1,FALSE()))),"OLD",IF(AND(E139&lt;&gt;"",E139&lt;&gt;"!!!"),"NEW","")))</f>
        <v/>
      </c>
      <c r="G139" s="12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13" t="str">
        <f aca="false">IF(J139&lt;&gt;1,"",IF(I139="SBJ","CB","?"))</f>
        <v/>
      </c>
      <c r="I139" s="14" t="str">
        <f aca="false">IF(OR(E139="",E139="!!!",F139="NEW"),"",INDEX(B$2:B138,-1+SUMPRODUCT(MAX(ROW(E$2:E138)*(E139=E$2:E138)))))</f>
        <v/>
      </c>
      <c r="J139" s="15" t="str">
        <f aca="true">IF(OR(E139="",E139="!!!",F139="NEW"),"",COUNTBLANK(OFFSET(A$1,,,SUMPRODUCT(MAX(ROW(E$2:E139)*(E139=E$2:E139)))))-COUNTBLANK(OFFSET(A$1,,,SUMPRODUCT(MAX(ROW(E$1:E138)*(E139=E$1:E138))))))</f>
        <v/>
      </c>
      <c r="K139" s="15" t="str">
        <f aca="false">IF(OR(E139="",E139="!!!",F139="NEW"),"",INDEX(J$1:J138,SUMPRODUCT(MAX(ROW(E$1:E138)*(E139=E$1:E138)))))</f>
        <v/>
      </c>
      <c r="L139" s="16"/>
    </row>
    <row r="140" customFormat="false" ht="12.75" hidden="false" customHeight="false" outlineLevel="0" collapsed="false">
      <c r="A140" s="1" t="s">
        <v>148</v>
      </c>
      <c r="B140" s="1" t="s">
        <v>41</v>
      </c>
      <c r="C140" s="1" t="s">
        <v>38</v>
      </c>
      <c r="D140" s="1" t="s">
        <v>16</v>
      </c>
      <c r="E140" s="10" t="s">
        <v>149</v>
      </c>
      <c r="F140" s="11" t="s">
        <v>150</v>
      </c>
      <c r="G140" s="12" t="s">
        <v>39</v>
      </c>
      <c r="H140" s="13"/>
      <c r="I140" s="14" t="e">
        <f aca="false">IF(OR(E140="",E140="!!!",F140="NEW"),"",INDEX(B$2:B139,-1+SUMPRODUCT(MAX(ROW(E$2:E139)*(E140=E$2:E139)))))</f>
        <v>#VALUE!</v>
      </c>
      <c r="J140" s="15" t="e">
        <f aca="true">IF(OR(E140="",E140="!!!",F140="NEW"),"",COUNTBLANK(OFFSET(A$1,,,SUMPRODUCT(MAX(ROW(E$2:E140)*(E140=E$2:E140)))))-COUNTBLANK(OFFSET(A$1,,,SUMPRODUCT(MAX(ROW(E$1:E139)*(E140=E$1:E139))))))</f>
        <v>#VALUE!</v>
      </c>
      <c r="K140" s="15" t="e">
        <f aca="false">IF(OR(E140="",E140="!!!",F140="NEW"),"",INDEX(J$1:J139,SUMPRODUCT(MAX(ROW(E$1:E139)*(E140=E$1:E139)))))</f>
        <v>#VALUE!</v>
      </c>
      <c r="L140" s="16"/>
    </row>
    <row r="141" customFormat="false" ht="12.75" hidden="false" customHeight="false" outlineLevel="0" collapsed="false">
      <c r="A141" s="1" t="s">
        <v>92</v>
      </c>
      <c r="E141" s="10" t="str">
        <f aca="false">IF(D141="?OLD","!!!","")</f>
        <v/>
      </c>
      <c r="F141" s="11" t="str">
        <f aca="false">IF(OR(E141="",E141="!!!"),"",IF(NOT(ISNA(VLOOKUP(E141,E$1:E140,1,FALSE()))),"OLD",IF(AND(E141&lt;&gt;"",E141&lt;&gt;"!!!"),"NEW","")))</f>
        <v/>
      </c>
      <c r="G141" s="12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13" t="str">
        <f aca="false">IF(J141&lt;&gt;1,"",IF(I141="SBJ","CB","?"))</f>
        <v/>
      </c>
      <c r="I141" s="14" t="str">
        <f aca="false">IF(OR(E141="",E141="!!!",F141="NEW"),"",INDEX(B$2:B140,-1+SUMPRODUCT(MAX(ROW(E$2:E140)*(E141=E$2:E140)))))</f>
        <v/>
      </c>
      <c r="J141" s="15" t="str">
        <f aca="true">IF(OR(E141="",E141="!!!",F141="NEW"),"",COUNTBLANK(OFFSET(A$1,,,SUMPRODUCT(MAX(ROW(E$2:E141)*(E141=E$2:E141)))))-COUNTBLANK(OFFSET(A$1,,,SUMPRODUCT(MAX(ROW(E$1:E140)*(E141=E$1:E140))))))</f>
        <v/>
      </c>
      <c r="K141" s="15" t="str">
        <f aca="false">IF(OR(E141="",E141="!!!",F141="NEW"),"",INDEX(J$1:J140,SUMPRODUCT(MAX(ROW(E$1:E140)*(E141=E$1:E140)))))</f>
        <v/>
      </c>
      <c r="L141" s="16"/>
    </row>
    <row r="142" customFormat="false" ht="12.75" hidden="false" customHeight="false" outlineLevel="0" collapsed="false">
      <c r="A142" s="1" t="s">
        <v>151</v>
      </c>
      <c r="E142" s="10" t="str">
        <f aca="false">IF(D142="?OLD","!!!","")</f>
        <v/>
      </c>
      <c r="F142" s="11" t="str">
        <f aca="false">IF(OR(E142="",E142="!!!"),"",IF(NOT(ISNA(VLOOKUP(E142,E$1:E141,1,FALSE()))),"OLD",IF(AND(E142&lt;&gt;"",E142&lt;&gt;"!!!"),"NEW","")))</f>
        <v/>
      </c>
      <c r="G142" s="12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13" t="str">
        <f aca="false">IF(J142&lt;&gt;1,"",IF(I142="SBJ","CB","?"))</f>
        <v/>
      </c>
      <c r="I142" s="14" t="str">
        <f aca="false">IF(OR(E142="",E142="!!!",F142="NEW"),"",INDEX(B$2:B141,-1+SUMPRODUCT(MAX(ROW(E$2:E141)*(E142=E$2:E141)))))</f>
        <v/>
      </c>
      <c r="J142" s="15" t="str">
        <f aca="true">IF(OR(E142="",E142="!!!",F142="NEW"),"",COUNTBLANK(OFFSET(A$1,,,SUMPRODUCT(MAX(ROW(E$2:E142)*(E142=E$2:E142)))))-COUNTBLANK(OFFSET(A$1,,,SUMPRODUCT(MAX(ROW(E$1:E141)*(E142=E$1:E141))))))</f>
        <v/>
      </c>
      <c r="K142" s="15" t="str">
        <f aca="false">IF(OR(E142="",E142="!!!",F142="NEW"),"",INDEX(J$1:J141,SUMPRODUCT(MAX(ROW(E$1:E141)*(E142=E$1:E141)))))</f>
        <v/>
      </c>
      <c r="L142" s="16"/>
    </row>
    <row r="143" customFormat="false" ht="12.75" hidden="false" customHeight="false" outlineLevel="0" collapsed="false">
      <c r="A143" s="1" t="s">
        <v>50</v>
      </c>
      <c r="E143" s="10" t="str">
        <f aca="false">IF(D143="?OLD","!!!","")</f>
        <v/>
      </c>
      <c r="F143" s="11" t="str">
        <f aca="false">IF(OR(E143="",E143="!!!"),"",IF(NOT(ISNA(VLOOKUP(E143,E$1:E142,1,FALSE()))),"OLD",IF(AND(E143&lt;&gt;"",E143&lt;&gt;"!!!"),"NEW","")))</f>
        <v/>
      </c>
      <c r="G143" s="12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13" t="str">
        <f aca="false">IF(J143&lt;&gt;1,"",IF(I143="SBJ","CB","?"))</f>
        <v/>
      </c>
      <c r="I143" s="14" t="str">
        <f aca="false">IF(OR(E143="",E143="!!!",F143="NEW"),"",INDEX(B$2:B142,-1+SUMPRODUCT(MAX(ROW(E$2:E142)*(E143=E$2:E142)))))</f>
        <v/>
      </c>
      <c r="J143" s="15" t="str">
        <f aca="true">IF(OR(E143="",E143="!!!",F143="NEW"),"",COUNTBLANK(OFFSET(A$1,,,SUMPRODUCT(MAX(ROW(E$2:E143)*(E143=E$2:E143)))))-COUNTBLANK(OFFSET(A$1,,,SUMPRODUCT(MAX(ROW(E$1:E142)*(E143=E$1:E142))))))</f>
        <v/>
      </c>
      <c r="K143" s="15" t="str">
        <f aca="false">IF(OR(E143="",E143="!!!",F143="NEW"),"",INDEX(J$1:J142,SUMPRODUCT(MAX(ROW(E$1:E142)*(E143=E$1:E142)))))</f>
        <v/>
      </c>
      <c r="L143" s="16"/>
    </row>
    <row r="144" customFormat="false" ht="12.75" hidden="false" customHeight="false" outlineLevel="0" collapsed="false">
      <c r="A144" s="1" t="s">
        <v>152</v>
      </c>
      <c r="E144" s="10" t="str">
        <f aca="false">IF(D144="?OLD","!!!","")</f>
        <v/>
      </c>
      <c r="F144" s="11" t="str">
        <f aca="false">IF(OR(E144="",E144="!!!"),"",IF(NOT(ISNA(VLOOKUP(E144,E$1:E143,1,FALSE()))),"OLD",IF(AND(E144&lt;&gt;"",E144&lt;&gt;"!!!"),"NEW","")))</f>
        <v/>
      </c>
      <c r="G144" s="12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13" t="str">
        <f aca="false">IF(J144&lt;&gt;1,"",IF(I144="SBJ","CB","?"))</f>
        <v/>
      </c>
      <c r="I144" s="14" t="str">
        <f aca="false">IF(OR(E144="",E144="!!!",F144="NEW"),"",INDEX(B$2:B143,-1+SUMPRODUCT(MAX(ROW(E$2:E143)*(E144=E$2:E143)))))</f>
        <v/>
      </c>
      <c r="J144" s="15" t="str">
        <f aca="true">IF(OR(E144="",E144="!!!",F144="NEW"),"",COUNTBLANK(OFFSET(A$1,,,SUMPRODUCT(MAX(ROW(E$2:E144)*(E144=E$2:E144)))))-COUNTBLANK(OFFSET(A$1,,,SUMPRODUCT(MAX(ROW(E$1:E143)*(E144=E$1:E143))))))</f>
        <v/>
      </c>
      <c r="K144" s="15" t="str">
        <f aca="false">IF(OR(E144="",E144="!!!",F144="NEW"),"",INDEX(J$1:J143,SUMPRODUCT(MAX(ROW(E$1:E143)*(E144=E$1:E143)))))</f>
        <v/>
      </c>
      <c r="L144" s="16"/>
    </row>
    <row r="145" customFormat="false" ht="12.75" hidden="false" customHeight="false" outlineLevel="0" collapsed="false">
      <c r="A145" s="1" t="s">
        <v>153</v>
      </c>
      <c r="B145" s="1" t="s">
        <v>22</v>
      </c>
      <c r="C145" s="1" t="s">
        <v>54</v>
      </c>
      <c r="D145" s="1" t="s">
        <v>16</v>
      </c>
      <c r="E145" s="10" t="s">
        <v>149</v>
      </c>
      <c r="F145" s="11" t="str">
        <f aca="false">IF(OR(E145="",E145="!!!"),"",IF(NOT(ISNA(VLOOKUP(E145,E$1:E144,1,FALSE()))),"OLD",IF(AND(E145&lt;&gt;"",E145&lt;&gt;"!!!"),"NEW","")))</f>
        <v>OLD</v>
      </c>
      <c r="G145" s="12" t="s">
        <v>39</v>
      </c>
      <c r="H145" s="13" t="str">
        <f aca="false">IF(J145&lt;&gt;1,"",IF(I145="SBJ","CB","?"))</f>
        <v/>
      </c>
      <c r="I145" s="14" t="str">
        <f aca="false">IF(OR(E145="",E145="!!!",F145="NEW"),"",INDEX(B$2:B144,-1+SUMPRODUCT(MAX(ROW(E$2:E144)*(E145=E$2:E144)))))</f>
        <v>SBJ_2</v>
      </c>
      <c r="J145" s="15" t="n">
        <f aca="true">IF(OR(E145="",E145="!!!",F145="NEW"),"",COUNTBLANK(OFFSET(A$1,,,SUMPRODUCT(MAX(ROW(E$2:E145)*(E145=E$2:E145)))))-COUNTBLANK(OFFSET(A$1,,,SUMPRODUCT(MAX(ROW(E$1:E144)*(E145=E$1:E144))))))</f>
        <v>0</v>
      </c>
      <c r="K145" s="15" t="e">
        <f aca="false">IF(OR(E145="",E145="!!!",F145="NEW"),"",INDEX(J$1:J144,SUMPRODUCT(MAX(ROW(E$1:E144)*(E145=E$1:E144)))))</f>
        <v>#VALUE!</v>
      </c>
      <c r="L145" s="16"/>
    </row>
    <row r="146" customFormat="false" ht="12.75" hidden="false" customHeight="false" outlineLevel="0" collapsed="false">
      <c r="A146" s="1" t="s">
        <v>154</v>
      </c>
      <c r="E146" s="10" t="str">
        <f aca="false">IF(D146="?OLD","!!!","")</f>
        <v/>
      </c>
      <c r="F146" s="11" t="str">
        <f aca="false">IF(OR(E146="",E146="!!!"),"",IF(NOT(ISNA(VLOOKUP(E146,E$1:E145,1,FALSE()))),"OLD",IF(AND(E146&lt;&gt;"",E146&lt;&gt;"!!!"),"NEW","")))</f>
        <v/>
      </c>
      <c r="G146" s="12" t="str">
        <f aca="false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13" t="str">
        <f aca="false">IF(J146&lt;&gt;1,"",IF(I146="SBJ","CB","?"))</f>
        <v/>
      </c>
      <c r="I146" s="14" t="str">
        <f aca="false">IF(OR(E146="",E146="!!!",F146="NEW"),"",INDEX(B$2:B145,-1+SUMPRODUCT(MAX(ROW(E$2:E145)*(E146=E$2:E145)))))</f>
        <v/>
      </c>
      <c r="J146" s="15" t="str">
        <f aca="true">IF(OR(E146="",E146="!!!",F146="NEW"),"",COUNTBLANK(OFFSET(A$1,,,SUMPRODUCT(MAX(ROW(E$2:E146)*(E146=E$2:E146)))))-COUNTBLANK(OFFSET(A$1,,,SUMPRODUCT(MAX(ROW(E$1:E145)*(E146=E$1:E145))))))</f>
        <v/>
      </c>
      <c r="K146" s="15" t="str">
        <f aca="false">IF(OR(E146="",E146="!!!",F146="NEW"),"",INDEX(J$1:J145,SUMPRODUCT(MAX(ROW(E$1:E145)*(E146=E$1:E145)))))</f>
        <v/>
      </c>
      <c r="L146" s="16"/>
    </row>
    <row r="147" customFormat="false" ht="12.75" hidden="false" customHeight="false" outlineLevel="0" collapsed="false">
      <c r="A147" s="1" t="s">
        <v>155</v>
      </c>
      <c r="B147" s="1" t="s">
        <v>100</v>
      </c>
      <c r="C147" s="1" t="s">
        <v>15</v>
      </c>
      <c r="D147" s="1" t="s">
        <v>16</v>
      </c>
      <c r="E147" s="10"/>
      <c r="F147" s="11" t="s">
        <v>81</v>
      </c>
      <c r="G147" s="12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13" t="str">
        <f aca="false">IF(J147&lt;&gt;1,"",IF(I147="SBJ","CB","?"))</f>
        <v/>
      </c>
      <c r="I147" s="14" t="str">
        <f aca="false">IF(OR(E147="",E147="!!!",F147="NEW"),"",INDEX(B$2:B146,-1+SUMPRODUCT(MAX(ROW(E$2:E146)*(E147=E$2:E146)))))</f>
        <v/>
      </c>
      <c r="J147" s="15" t="str">
        <f aca="true">IF(OR(E147="",E147="!!!",F147="NEW"),"",COUNTBLANK(OFFSET(A$1,,,SUMPRODUCT(MAX(ROW(E$2:E147)*(E147=E$2:E147)))))-COUNTBLANK(OFFSET(A$1,,,SUMPRODUCT(MAX(ROW(E$1:E146)*(E147=E$1:E146))))))</f>
        <v/>
      </c>
      <c r="K147" s="15" t="str">
        <f aca="false">IF(OR(E147="",E147="!!!",F147="NEW"),"",INDEX(J$1:J146,SUMPRODUCT(MAX(ROW(E$1:E146)*(E147=E$1:E146)))))</f>
        <v/>
      </c>
      <c r="L147" s="16"/>
    </row>
    <row r="148" customFormat="false" ht="12.75" hidden="false" customHeight="false" outlineLevel="0" collapsed="false">
      <c r="A148" s="1" t="s">
        <v>31</v>
      </c>
      <c r="E148" s="10" t="str">
        <f aca="false">IF(D148="?OLD","!!!","")</f>
        <v/>
      </c>
      <c r="F148" s="11" t="str">
        <f aca="false">IF(OR(E148="",E148="!!!"),"",IF(NOT(ISNA(VLOOKUP(E148,E$1:E147,1,FALSE()))),"OLD",IF(AND(E148&lt;&gt;"",E148&lt;&gt;"!!!"),"NEW","")))</f>
        <v/>
      </c>
      <c r="G148" s="12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13" t="str">
        <f aca="false">IF(J148&lt;&gt;1,"",IF(I148="SBJ","CB","?"))</f>
        <v/>
      </c>
      <c r="I148" s="14" t="str">
        <f aca="false">IF(OR(E148="",E148="!!!",F148="NEW"),"",INDEX(B$2:B147,-1+SUMPRODUCT(MAX(ROW(E$2:E147)*(E148=E$2:E147)))))</f>
        <v/>
      </c>
      <c r="J148" s="15" t="str">
        <f aca="true">IF(OR(E148="",E148="!!!",F148="NEW"),"",COUNTBLANK(OFFSET(A$1,,,SUMPRODUCT(MAX(ROW(E$2:E148)*(E148=E$2:E148)))))-COUNTBLANK(OFFSET(A$1,,,SUMPRODUCT(MAX(ROW(E$1:E147)*(E148=E$1:E147))))))</f>
        <v/>
      </c>
      <c r="K148" s="15" t="str">
        <f aca="false">IF(OR(E148="",E148="!!!",F148="NEW"),"",INDEX(J$1:J147,SUMPRODUCT(MAX(ROW(E$1:E147)*(E148=E$1:E147)))))</f>
        <v/>
      </c>
      <c r="L148" s="16"/>
    </row>
    <row r="149" customFormat="false" ht="12.75" hidden="false" customHeight="false" outlineLevel="0" collapsed="false">
      <c r="A149" s="1" t="s">
        <v>85</v>
      </c>
      <c r="E149" s="10" t="str">
        <f aca="false">IF(D149="?OLD","!!!","")</f>
        <v/>
      </c>
      <c r="F149" s="11" t="str">
        <f aca="false">IF(OR(E149="",E149="!!!"),"",IF(NOT(ISNA(VLOOKUP(E149,E$1:E148,1,FALSE()))),"OLD",IF(AND(E149&lt;&gt;"",E149&lt;&gt;"!!!"),"NEW","")))</f>
        <v/>
      </c>
      <c r="G149" s="12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13" t="str">
        <f aca="false">IF(J149&lt;&gt;1,"",IF(I149="SBJ","CB","?"))</f>
        <v/>
      </c>
      <c r="I149" s="14" t="str">
        <f aca="false">IF(OR(E149="",E149="!!!",F149="NEW"),"",INDEX(B$2:B148,-1+SUMPRODUCT(MAX(ROW(E$2:E148)*(E149=E$2:E148)))))</f>
        <v/>
      </c>
      <c r="J149" s="15" t="str">
        <f aca="true">IF(OR(E149="",E149="!!!",F149="NEW"),"",COUNTBLANK(OFFSET(A$1,,,SUMPRODUCT(MAX(ROW(E$2:E149)*(E149=E$2:E149)))))-COUNTBLANK(OFFSET(A$1,,,SUMPRODUCT(MAX(ROW(E$1:E148)*(E149=E$1:E148))))))</f>
        <v/>
      </c>
      <c r="K149" s="15" t="str">
        <f aca="false">IF(OR(E149="",E149="!!!",F149="NEW"),"",INDEX(J$1:J148,SUMPRODUCT(MAX(ROW(E$1:E148)*(E149=E$1:E148)))))</f>
        <v/>
      </c>
      <c r="L149" s="16"/>
    </row>
    <row r="150" customFormat="false" ht="12.75" hidden="false" customHeight="false" outlineLevel="0" collapsed="false">
      <c r="A150" s="1" t="s">
        <v>156</v>
      </c>
      <c r="E150" s="10" t="str">
        <f aca="false">IF(D150="?OLD","!!!","")</f>
        <v/>
      </c>
      <c r="F150" s="11" t="str">
        <f aca="false">IF(OR(E150="",E150="!!!"),"",IF(NOT(ISNA(VLOOKUP(E150,E$1:E149,1,FALSE()))),"OLD",IF(AND(E150&lt;&gt;"",E150&lt;&gt;"!!!"),"NEW","")))</f>
        <v/>
      </c>
      <c r="G150" s="12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13" t="str">
        <f aca="false">IF(J150&lt;&gt;1,"",IF(I150="SBJ","CB","?"))</f>
        <v/>
      </c>
      <c r="I150" s="14" t="str">
        <f aca="false">IF(OR(E150="",E150="!!!",F150="NEW"),"",INDEX(B$2:B149,-1+SUMPRODUCT(MAX(ROW(E$2:E149)*(E150=E$2:E149)))))</f>
        <v/>
      </c>
      <c r="J150" s="15" t="str">
        <f aca="true">IF(OR(E150="",E150="!!!",F150="NEW"),"",COUNTBLANK(OFFSET(A$1,,,SUMPRODUCT(MAX(ROW(E$2:E150)*(E150=E$2:E150)))))-COUNTBLANK(OFFSET(A$1,,,SUMPRODUCT(MAX(ROW(E$1:E149)*(E150=E$1:E149))))))</f>
        <v/>
      </c>
      <c r="K150" s="15" t="str">
        <f aca="false">IF(OR(E150="",E150="!!!",F150="NEW"),"",INDEX(J$1:J149,SUMPRODUCT(MAX(ROW(E$1:E149)*(E150=E$1:E149)))))</f>
        <v/>
      </c>
      <c r="L150" s="16"/>
    </row>
    <row r="151" customFormat="false" ht="12.75" hidden="false" customHeight="false" outlineLevel="0" collapsed="false">
      <c r="A151" s="1" t="s">
        <v>21</v>
      </c>
      <c r="B151" s="1" t="s">
        <v>41</v>
      </c>
      <c r="C151" s="1" t="s">
        <v>119</v>
      </c>
      <c r="E151" s="10" t="s">
        <v>24</v>
      </c>
      <c r="F151" s="11" t="str">
        <f aca="false">IF(OR(E151="",E151="!!!"),"",IF(NOT(ISNA(VLOOKUP(E151,E$1:E150,1,FALSE()))),"OLD",IF(AND(E151&lt;&gt;"",E151&lt;&gt;"!!!"),"NEW","")))</f>
        <v>OLD</v>
      </c>
      <c r="G151" s="12" t="s">
        <v>39</v>
      </c>
      <c r="H151" s="13" t="str">
        <f aca="false">IF(J151&lt;&gt;1,"",IF(I151="SBJ","CB","?"))</f>
        <v/>
      </c>
      <c r="I151" s="14" t="str">
        <f aca="false">IF(OR(E151="",E151="!!!",F151="NEW"),"",INDEX(B$2:B150,-1+SUMPRODUCT(MAX(ROW(E$2:E150)*(E151=E$2:E150)))))</f>
        <v>other_4</v>
      </c>
      <c r="J151" s="15" t="n">
        <f aca="true">IF(OR(E151="",E151="!!!",F151="NEW"),"",COUNTBLANK(OFFSET(A$1,,,SUMPRODUCT(MAX(ROW(E$2:E151)*(E151=E$2:E151)))))-COUNTBLANK(OFFSET(A$1,,,SUMPRODUCT(MAX(ROW(E$1:E150)*(E151=E$1:E150))))))</f>
        <v>2</v>
      </c>
      <c r="K151" s="15" t="n">
        <f aca="false">IF(OR(E151="",E151="!!!",F151="NEW"),"",INDEX(J$1:J150,SUMPRODUCT(MAX(ROW(E$1:E150)*(E151=E$1:E150)))))</f>
        <v>1</v>
      </c>
      <c r="L151" s="16" t="s">
        <v>157</v>
      </c>
    </row>
    <row r="152" customFormat="false" ht="12.75" hidden="false" customHeight="false" outlineLevel="0" collapsed="false">
      <c r="A152" s="1" t="s">
        <v>123</v>
      </c>
      <c r="E152" s="10" t="str">
        <f aca="false">IF(D152="?OLD","!!!","")</f>
        <v/>
      </c>
      <c r="F152" s="11" t="str">
        <f aca="false">IF(OR(E152="",E152="!!!"),"",IF(NOT(ISNA(VLOOKUP(E152,E$1:E151,1,FALSE()))),"OLD",IF(AND(E152&lt;&gt;"",E152&lt;&gt;"!!!"),"NEW","")))</f>
        <v/>
      </c>
      <c r="G152" s="12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13" t="str">
        <f aca="false">IF(J152&lt;&gt;1,"",IF(I152="SBJ","CB","?"))</f>
        <v/>
      </c>
      <c r="I152" s="14" t="str">
        <f aca="false">IF(OR(E152="",E152="!!!",F152="NEW"),"",INDEX(B$2:B151,-1+SUMPRODUCT(MAX(ROW(E$2:E151)*(E152=E$2:E151)))))</f>
        <v/>
      </c>
      <c r="J152" s="15" t="str">
        <f aca="true">IF(OR(E152="",E152="!!!",F152="NEW"),"",COUNTBLANK(OFFSET(A$1,,,SUMPRODUCT(MAX(ROW(E$2:E152)*(E152=E$2:E152)))))-COUNTBLANK(OFFSET(A$1,,,SUMPRODUCT(MAX(ROW(E$1:E151)*(E152=E$1:E151))))))</f>
        <v/>
      </c>
      <c r="K152" s="15" t="str">
        <f aca="false">IF(OR(E152="",E152="!!!",F152="NEW"),"",INDEX(J$1:J151,SUMPRODUCT(MAX(ROW(E$1:E151)*(E152=E$1:E151)))))</f>
        <v/>
      </c>
      <c r="L152" s="16"/>
    </row>
    <row r="153" customFormat="false" ht="12.75" hidden="false" customHeight="false" outlineLevel="0" collapsed="false">
      <c r="A153" s="1" t="s">
        <v>158</v>
      </c>
      <c r="E153" s="10" t="str">
        <f aca="false">IF(D153="?OLD","!!!","")</f>
        <v/>
      </c>
      <c r="F153" s="11" t="str">
        <f aca="false">IF(OR(E153="",E153="!!!"),"",IF(NOT(ISNA(VLOOKUP(E153,E$1:E152,1,FALSE()))),"OLD",IF(AND(E153&lt;&gt;"",E153&lt;&gt;"!!!"),"NEW","")))</f>
        <v/>
      </c>
      <c r="G153" s="12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13" t="str">
        <f aca="false">IF(J153&lt;&gt;1,"",IF(I153="SBJ","CB","?"))</f>
        <v/>
      </c>
      <c r="I153" s="14" t="str">
        <f aca="false">IF(OR(E153="",E153="!!!",F153="NEW"),"",INDEX(B$2:B152,-1+SUMPRODUCT(MAX(ROW(E$2:E152)*(E153=E$2:E152)))))</f>
        <v/>
      </c>
      <c r="J153" s="15" t="str">
        <f aca="true">IF(OR(E153="",E153="!!!",F153="NEW"),"",COUNTBLANK(OFFSET(A$1,,,SUMPRODUCT(MAX(ROW(E$2:E153)*(E153=E$2:E153)))))-COUNTBLANK(OFFSET(A$1,,,SUMPRODUCT(MAX(ROW(E$1:E152)*(E153=E$1:E152))))))</f>
        <v/>
      </c>
      <c r="K153" s="15" t="str">
        <f aca="false">IF(OR(E153="",E153="!!!",F153="NEW"),"",INDEX(J$1:J152,SUMPRODUCT(MAX(ROW(E$1:E152)*(E153=E$1:E152)))))</f>
        <v/>
      </c>
      <c r="L153" s="16"/>
    </row>
    <row r="154" customFormat="false" ht="12.75" hidden="false" customHeight="false" outlineLevel="0" collapsed="false">
      <c r="A154" s="1" t="s">
        <v>159</v>
      </c>
      <c r="B154" s="1" t="s">
        <v>100</v>
      </c>
      <c r="C154" s="1" t="s">
        <v>160</v>
      </c>
      <c r="D154" s="1" t="s">
        <v>16</v>
      </c>
      <c r="E154" s="10"/>
      <c r="F154" s="11" t="str">
        <f aca="false">IF(OR(E154="",E154="!!!"),"",IF(NOT(ISNA(VLOOKUP(E154,E$1:E153,1,FALSE()))),"OLD",IF(AND(E154&lt;&gt;"",E154&lt;&gt;"!!!"),"NEW","")))</f>
        <v/>
      </c>
      <c r="G154" s="12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13" t="str">
        <f aca="false">IF(J154&lt;&gt;1,"",IF(I154="SBJ","CB","?"))</f>
        <v/>
      </c>
      <c r="I154" s="14" t="str">
        <f aca="false">IF(OR(E154="",E154="!!!",F154="NEW"),"",INDEX(B$2:B153,-1+SUMPRODUCT(MAX(ROW(E$2:E153)*(E154=E$2:E153)))))</f>
        <v/>
      </c>
      <c r="J154" s="15" t="str">
        <f aca="true">IF(OR(E154="",E154="!!!",F154="NEW"),"",COUNTBLANK(OFFSET(A$1,,,SUMPRODUCT(MAX(ROW(E$2:E154)*(E154=E$2:E154)))))-COUNTBLANK(OFFSET(A$1,,,SUMPRODUCT(MAX(ROW(E$1:E153)*(E154=E$1:E153))))))</f>
        <v/>
      </c>
      <c r="K154" s="15" t="str">
        <f aca="false">IF(OR(E154="",E154="!!!",F154="NEW"),"",INDEX(J$1:J153,SUMPRODUCT(MAX(ROW(E$1:E153)*(E154=E$1:E153)))))</f>
        <v/>
      </c>
      <c r="L154" s="16" t="s">
        <v>161</v>
      </c>
    </row>
    <row r="155" customFormat="false" ht="12.75" hidden="false" customHeight="false" outlineLevel="0" collapsed="false">
      <c r="A155" s="1" t="s">
        <v>31</v>
      </c>
      <c r="E155" s="10" t="str">
        <f aca="false">IF(D155="?OLD","!!!","")</f>
        <v/>
      </c>
      <c r="F155" s="11" t="str">
        <f aca="false">IF(OR(E155="",E155="!!!"),"",IF(NOT(ISNA(VLOOKUP(E155,E$1:E154,1,FALSE()))),"OLD",IF(AND(E155&lt;&gt;"",E155&lt;&gt;"!!!"),"NEW","")))</f>
        <v/>
      </c>
      <c r="G155" s="12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13" t="str">
        <f aca="false">IF(J155&lt;&gt;1,"",IF(I155="SBJ","CB","?"))</f>
        <v/>
      </c>
      <c r="I155" s="14" t="str">
        <f aca="false">IF(OR(E155="",E155="!!!",F155="NEW"),"",INDEX(B$2:B154,-1+SUMPRODUCT(MAX(ROW(E$2:E154)*(E155=E$2:E154)))))</f>
        <v/>
      </c>
      <c r="J155" s="15" t="str">
        <f aca="true">IF(OR(E155="",E155="!!!",F155="NEW"),"",COUNTBLANK(OFFSET(A$1,,,SUMPRODUCT(MAX(ROW(E$2:E155)*(E155=E$2:E155)))))-COUNTBLANK(OFFSET(A$1,,,SUMPRODUCT(MAX(ROW(E$1:E154)*(E155=E$1:E154))))))</f>
        <v/>
      </c>
      <c r="K155" s="15" t="str">
        <f aca="false">IF(OR(E155="",E155="!!!",F155="NEW"),"",INDEX(J$1:J154,SUMPRODUCT(MAX(ROW(E$1:E154)*(E155=E$1:E154)))))</f>
        <v/>
      </c>
      <c r="L155" s="16"/>
    </row>
    <row r="156" customFormat="false" ht="12.75" hidden="false" customHeight="false" outlineLevel="0" collapsed="false">
      <c r="A156" s="1" t="s">
        <v>85</v>
      </c>
      <c r="E156" s="10" t="str">
        <f aca="false">IF(D156="?OLD","!!!","")</f>
        <v/>
      </c>
      <c r="F156" s="11" t="str">
        <f aca="false">IF(OR(E156="",E156="!!!"),"",IF(NOT(ISNA(VLOOKUP(E156,E$1:E155,1,FALSE()))),"OLD",IF(AND(E156&lt;&gt;"",E156&lt;&gt;"!!!"),"NEW","")))</f>
        <v/>
      </c>
      <c r="G156" s="12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13" t="str">
        <f aca="false">IF(J156&lt;&gt;1,"",IF(I156="SBJ","CB","?"))</f>
        <v/>
      </c>
      <c r="I156" s="14" t="str">
        <f aca="false">IF(OR(E156="",E156="!!!",F156="NEW"),"",INDEX(B$2:B155,-1+SUMPRODUCT(MAX(ROW(E$2:E155)*(E156=E$2:E155)))))</f>
        <v/>
      </c>
      <c r="J156" s="15" t="str">
        <f aca="true">IF(OR(E156="",E156="!!!",F156="NEW"),"",COUNTBLANK(OFFSET(A$1,,,SUMPRODUCT(MAX(ROW(E$2:E156)*(E156=E$2:E156)))))-COUNTBLANK(OFFSET(A$1,,,SUMPRODUCT(MAX(ROW(E$1:E155)*(E156=E$1:E155))))))</f>
        <v/>
      </c>
      <c r="K156" s="15" t="str">
        <f aca="false">IF(OR(E156="",E156="!!!",F156="NEW"),"",INDEX(J$1:J155,SUMPRODUCT(MAX(ROW(E$1:E155)*(E156=E$1:E155)))))</f>
        <v/>
      </c>
      <c r="L156" s="16"/>
    </row>
    <row r="157" customFormat="false" ht="12.75" hidden="false" customHeight="false" outlineLevel="0" collapsed="false">
      <c r="A157" s="1" t="s">
        <v>121</v>
      </c>
      <c r="B157" s="1" t="s">
        <v>162</v>
      </c>
      <c r="C157" s="1" t="s">
        <v>38</v>
      </c>
      <c r="D157" s="1" t="s">
        <v>16</v>
      </c>
      <c r="E157" s="10" t="s">
        <v>122</v>
      </c>
      <c r="F157" s="11" t="str">
        <f aca="false">IF(OR(E157="",E157="!!!"),"",IF(NOT(ISNA(VLOOKUP(E157,E$1:E156,1,FALSE()))),"OLD",IF(AND(E157&lt;&gt;"",E157&lt;&gt;"!!!"),"NEW","")))</f>
        <v>OLD</v>
      </c>
      <c r="G157" s="12" t="s">
        <v>39</v>
      </c>
      <c r="H157" s="13" t="str">
        <f aca="false">IF(J157&lt;&gt;1,"",IF(I157="SBJ","CB","?"))</f>
        <v>CB</v>
      </c>
      <c r="I157" s="14" t="str">
        <f aca="false">IF(OR(E157="",E157="!!!",F157="NEW"),"",INDEX(B$2:B156,-1+SUMPRODUCT(MAX(ROW(E$2:E156)*(E157=E$2:E156)))))</f>
        <v>SBJ</v>
      </c>
      <c r="J157" s="15" t="n">
        <f aca="true">IF(OR(E157="",E157="!!!",F157="NEW"),"",COUNTBLANK(OFFSET(A$1,,,SUMPRODUCT(MAX(ROW(E$2:E157)*(E157=E$2:E157)))))-COUNTBLANK(OFFSET(A$1,,,SUMPRODUCT(MAX(ROW(E$1:E156)*(E157=E$1:E156))))))</f>
        <v>1</v>
      </c>
      <c r="K157" s="15" t="str">
        <f aca="false">IF(OR(E157="",E157="!!!",F157="NEW"),"",INDEX(J$1:J156,SUMPRODUCT(MAX(ROW(E$1:E156)*(E157=E$1:E156)))))</f>
        <v/>
      </c>
      <c r="L157" s="16"/>
    </row>
    <row r="158" customFormat="false" ht="12.75" hidden="false" customHeight="false" outlineLevel="0" collapsed="false">
      <c r="A158" s="1" t="s">
        <v>163</v>
      </c>
      <c r="E158" s="10" t="str">
        <f aca="false">IF(D158="?OLD","!!!","")</f>
        <v/>
      </c>
      <c r="F158" s="11" t="str">
        <f aca="false">IF(OR(E158="",E158="!!!"),"",IF(NOT(ISNA(VLOOKUP(E158,E$1:E157,1,FALSE()))),"OLD",IF(AND(E158&lt;&gt;"",E158&lt;&gt;"!!!"),"NEW","")))</f>
        <v/>
      </c>
      <c r="G158" s="12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13" t="str">
        <f aca="false">IF(J158&lt;&gt;1,"",IF(I158="SBJ","CB","?"))</f>
        <v/>
      </c>
      <c r="I158" s="14" t="str">
        <f aca="false">IF(OR(E158="",E158="!!!",F158="NEW"),"",INDEX(B$2:B157,-1+SUMPRODUCT(MAX(ROW(E$2:E157)*(E158=E$2:E157)))))</f>
        <v/>
      </c>
      <c r="J158" s="15" t="str">
        <f aca="true">IF(OR(E158="",E158="!!!",F158="NEW"),"",COUNTBLANK(OFFSET(A$1,,,SUMPRODUCT(MAX(ROW(E$2:E158)*(E158=E$2:E158)))))-COUNTBLANK(OFFSET(A$1,,,SUMPRODUCT(MAX(ROW(E$1:E157)*(E158=E$1:E157))))))</f>
        <v/>
      </c>
      <c r="K158" s="15" t="str">
        <f aca="false">IF(OR(E158="",E158="!!!",F158="NEW"),"",INDEX(J$1:J157,SUMPRODUCT(MAX(ROW(E$1:E157)*(E158=E$1:E157)))))</f>
        <v/>
      </c>
      <c r="L158" s="16"/>
    </row>
    <row r="159" customFormat="false" ht="12.75" hidden="false" customHeight="false" outlineLevel="0" collapsed="false">
      <c r="A159" s="1" t="s">
        <v>164</v>
      </c>
      <c r="E159" s="10" t="str">
        <f aca="false">IF(D159="?OLD","!!!","")</f>
        <v/>
      </c>
      <c r="F159" s="11" t="str">
        <f aca="false">IF(OR(E159="",E159="!!!"),"",IF(NOT(ISNA(VLOOKUP(E159,E$1:E158,1,FALSE()))),"OLD",IF(AND(E159&lt;&gt;"",E159&lt;&gt;"!!!"),"NEW","")))</f>
        <v/>
      </c>
      <c r="G159" s="12" t="str">
        <f aca="false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13" t="str">
        <f aca="false">IF(J159&lt;&gt;1,"",IF(I159="SBJ","CB","?"))</f>
        <v/>
      </c>
      <c r="I159" s="14" t="str">
        <f aca="false">IF(OR(E159="",E159="!!!",F159="NEW"),"",INDEX(B$2:B158,-1+SUMPRODUCT(MAX(ROW(E$2:E158)*(E159=E$2:E158)))))</f>
        <v/>
      </c>
      <c r="J159" s="15" t="str">
        <f aca="true">IF(OR(E159="",E159="!!!",F159="NEW"),"",COUNTBLANK(OFFSET(A$1,,,SUMPRODUCT(MAX(ROW(E$2:E159)*(E159=E$2:E159)))))-COUNTBLANK(OFFSET(A$1,,,SUMPRODUCT(MAX(ROW(E$1:E158)*(E159=E$1:E158))))))</f>
        <v/>
      </c>
      <c r="K159" s="15" t="str">
        <f aca="false">IF(OR(E159="",E159="!!!",F159="NEW"),"",INDEX(J$1:J158,SUMPRODUCT(MAX(ROW(E$1:E158)*(E159=E$1:E158)))))</f>
        <v/>
      </c>
      <c r="L159" s="16"/>
    </row>
    <row r="160" customFormat="false" ht="12.75" hidden="false" customHeight="false" outlineLevel="0" collapsed="false">
      <c r="A160" s="1" t="s">
        <v>165</v>
      </c>
      <c r="E160" s="10" t="str">
        <f aca="false">IF(D160="?OLD","!!!","")</f>
        <v/>
      </c>
      <c r="F160" s="11" t="str">
        <f aca="false">IF(OR(E160="",E160="!!!"),"",IF(NOT(ISNA(VLOOKUP(E160,E$1:E159,1,FALSE()))),"OLD",IF(AND(E160&lt;&gt;"",E160&lt;&gt;"!!!"),"NEW","")))</f>
        <v/>
      </c>
      <c r="G160" s="12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13" t="str">
        <f aca="false">IF(J160&lt;&gt;1,"",IF(I160="SBJ","CB","?"))</f>
        <v/>
      </c>
      <c r="I160" s="14" t="str">
        <f aca="false">IF(OR(E160="",E160="!!!",F160="NEW"),"",INDEX(B$2:B159,-1+SUMPRODUCT(MAX(ROW(E$2:E159)*(E160=E$2:E159)))))</f>
        <v/>
      </c>
      <c r="J160" s="15" t="str">
        <f aca="true">IF(OR(E160="",E160="!!!",F160="NEW"),"",COUNTBLANK(OFFSET(A$1,,,SUMPRODUCT(MAX(ROW(E$2:E160)*(E160=E$2:E160)))))-COUNTBLANK(OFFSET(A$1,,,SUMPRODUCT(MAX(ROW(E$1:E159)*(E160=E$1:E159))))))</f>
        <v/>
      </c>
      <c r="K160" s="15" t="str">
        <f aca="false">IF(OR(E160="",E160="!!!",F160="NEW"),"",INDEX(J$1:J159,SUMPRODUCT(MAX(ROW(E$1:E159)*(E160=E$1:E159)))))</f>
        <v/>
      </c>
      <c r="L160" s="16"/>
    </row>
    <row r="161" customFormat="false" ht="12.75" hidden="false" customHeight="false" outlineLevel="0" collapsed="false">
      <c r="A161" s="1" t="s">
        <v>166</v>
      </c>
      <c r="B161" s="1" t="s">
        <v>57</v>
      </c>
      <c r="C161" s="1" t="s">
        <v>167</v>
      </c>
      <c r="E161" s="10" t="str">
        <f aca="false">IF(D161="?OLD","!!!","")</f>
        <v/>
      </c>
      <c r="F161" s="11" t="str">
        <f aca="false">IF(OR(E161="",E161="!!!"),"",IF(NOT(ISNA(VLOOKUP(E161,E$1:E160,1,FALSE()))),"OLD",IF(AND(E161&lt;&gt;"",E161&lt;&gt;"!!!"),"NEW","")))</f>
        <v/>
      </c>
      <c r="G161" s="12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13" t="str">
        <f aca="false">IF(J161&lt;&gt;1,"",IF(I161="SBJ","CB","?"))</f>
        <v/>
      </c>
      <c r="I161" s="14" t="str">
        <f aca="false">IF(OR(E161="",E161="!!!",F161="NEW"),"",INDEX(B$2:B160,-1+SUMPRODUCT(MAX(ROW(E$2:E160)*(E161=E$2:E160)))))</f>
        <v/>
      </c>
      <c r="J161" s="15" t="str">
        <f aca="true">IF(OR(E161="",E161="!!!",F161="NEW"),"",COUNTBLANK(OFFSET(A$1,,,SUMPRODUCT(MAX(ROW(E$2:E161)*(E161=E$2:E161)))))-COUNTBLANK(OFFSET(A$1,,,SUMPRODUCT(MAX(ROW(E$1:E160)*(E161=E$1:E160))))))</f>
        <v/>
      </c>
      <c r="K161" s="15" t="str">
        <f aca="false">IF(OR(E161="",E161="!!!",F161="NEW"),"",INDEX(J$1:J160,SUMPRODUCT(MAX(ROW(E$1:E160)*(E161=E$1:E160)))))</f>
        <v/>
      </c>
      <c r="L161" s="16"/>
    </row>
    <row r="162" customFormat="false" ht="12.75" hidden="false" customHeight="false" outlineLevel="0" collapsed="false">
      <c r="A162" s="1" t="s">
        <v>52</v>
      </c>
      <c r="B162" s="1" t="s">
        <v>168</v>
      </c>
      <c r="C162" s="1" t="s">
        <v>54</v>
      </c>
      <c r="D162" s="1" t="s">
        <v>16</v>
      </c>
      <c r="E162" s="10" t="s">
        <v>24</v>
      </c>
      <c r="F162" s="11" t="str">
        <f aca="false">IF(OR(E162="",E162="!!!"),"",IF(NOT(ISNA(VLOOKUP(E162,E$1:E161,1,FALSE()))),"OLD",IF(AND(E162&lt;&gt;"",E162&lt;&gt;"!!!"),"NEW","")))</f>
        <v>OLD</v>
      </c>
      <c r="G162" s="12" t="s">
        <v>39</v>
      </c>
      <c r="H162" s="13" t="str">
        <f aca="false">IF(J162&lt;&gt;1,"",IF(I162="SBJ","CB","?"))</f>
        <v/>
      </c>
      <c r="I162" s="14" t="str">
        <f aca="false">IF(OR(E162="",E162="!!!",F162="NEW"),"",INDEX(B$2:B161,-1+SUMPRODUCT(MAX(ROW(E$2:E161)*(E162=E$2:E161)))))</f>
        <v>SBJ_2</v>
      </c>
      <c r="J162" s="15" t="n">
        <f aca="true">IF(OR(E162="",E162="!!!",F162="NEW"),"",COUNTBLANK(OFFSET(A$1,,,SUMPRODUCT(MAX(ROW(E$2:E162)*(E162=E$2:E162)))))-COUNTBLANK(OFFSET(A$1,,,SUMPRODUCT(MAX(ROW(E$1:E161)*(E162=E$1:E161))))))</f>
        <v>0</v>
      </c>
      <c r="K162" s="15" t="n">
        <f aca="false">IF(OR(E162="",E162="!!!",F162="NEW"),"",INDEX(J$1:J161,SUMPRODUCT(MAX(ROW(E$1:E161)*(E162=E$1:E161)))))</f>
        <v>2</v>
      </c>
      <c r="L162" s="16"/>
    </row>
    <row r="163" customFormat="false" ht="12.75" hidden="false" customHeight="false" outlineLevel="0" collapsed="false">
      <c r="A163" s="1" t="s">
        <v>169</v>
      </c>
      <c r="B163" s="1" t="s">
        <v>170</v>
      </c>
      <c r="C163" s="1" t="s">
        <v>15</v>
      </c>
      <c r="D163" s="1" t="s">
        <v>16</v>
      </c>
      <c r="E163" s="10"/>
      <c r="F163" s="11" t="s">
        <v>81</v>
      </c>
      <c r="G163" s="12"/>
      <c r="H163" s="13" t="str">
        <f aca="false">IF(J163&lt;&gt;1,"",IF(I163="SBJ","CB","?"))</f>
        <v/>
      </c>
      <c r="I163" s="14" t="str">
        <f aca="false">IF(OR(E163="",E163="!!!",F163="NEW"),"",INDEX(B$2:B162,-1+SUMPRODUCT(MAX(ROW(E$2:E162)*(E163=E$2:E162)))))</f>
        <v/>
      </c>
      <c r="J163" s="15" t="str">
        <f aca="true">IF(OR(E163="",E163="!!!",F163="NEW"),"",COUNTBLANK(OFFSET(A$1,,,SUMPRODUCT(MAX(ROW(E$2:E163)*(E163=E$2:E163)))))-COUNTBLANK(OFFSET(A$1,,,SUMPRODUCT(MAX(ROW(E$1:E162)*(E163=E$1:E162))))))</f>
        <v/>
      </c>
      <c r="K163" s="15" t="str">
        <f aca="false">IF(OR(E163="",E163="!!!",F163="NEW"),"",INDEX(J$1:J162,SUMPRODUCT(MAX(ROW(E$1:E162)*(E163=E$1:E162)))))</f>
        <v/>
      </c>
      <c r="L163" s="16"/>
    </row>
    <row r="164" customFormat="false" ht="12.75" hidden="false" customHeight="false" outlineLevel="0" collapsed="false">
      <c r="A164" s="1" t="s">
        <v>19</v>
      </c>
      <c r="E164" s="10" t="str">
        <f aca="false">IF(D164="?OLD","!!!","")</f>
        <v/>
      </c>
      <c r="F164" s="11" t="str">
        <f aca="false">IF(OR(E164="",E164="!!!"),"",IF(NOT(ISNA(VLOOKUP(E164,E$1:E163,1,FALSE()))),"OLD",IF(AND(E164&lt;&gt;"",E164&lt;&gt;"!!!"),"NEW","")))</f>
        <v/>
      </c>
      <c r="G164" s="12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13" t="str">
        <f aca="false">IF(J164&lt;&gt;1,"",IF(I164="SBJ","CB","?"))</f>
        <v/>
      </c>
      <c r="I164" s="14" t="str">
        <f aca="false">IF(OR(E164="",E164="!!!",F164="NEW"),"",INDEX(B$2:B163,-1+SUMPRODUCT(MAX(ROW(E$2:E163)*(E164=E$2:E163)))))</f>
        <v/>
      </c>
      <c r="J164" s="15" t="str">
        <f aca="true">IF(OR(E164="",E164="!!!",F164="NEW"),"",COUNTBLANK(OFFSET(A$1,,,SUMPRODUCT(MAX(ROW(E$2:E164)*(E164=E$2:E164)))))-COUNTBLANK(OFFSET(A$1,,,SUMPRODUCT(MAX(ROW(E$1:E163)*(E164=E$1:E163))))))</f>
        <v/>
      </c>
      <c r="K164" s="15" t="str">
        <f aca="false">IF(OR(E164="",E164="!!!",F164="NEW"),"",INDEX(J$1:J163,SUMPRODUCT(MAX(ROW(E$1:E163)*(E164=E$1:E163)))))</f>
        <v/>
      </c>
      <c r="L164" s="16"/>
    </row>
    <row r="165" customFormat="false" ht="12.75" hidden="false" customHeight="false" outlineLevel="0" collapsed="false">
      <c r="A165" s="1" t="s">
        <v>171</v>
      </c>
      <c r="B165" s="1" t="s">
        <v>168</v>
      </c>
      <c r="C165" s="1" t="s">
        <v>119</v>
      </c>
      <c r="E165" s="10" t="str">
        <f aca="false">IF(D165="?OLD","!!!","")</f>
        <v/>
      </c>
      <c r="F165" s="11" t="str">
        <f aca="false">IF(OR(E165="",E165="!!!"),"",IF(NOT(ISNA(VLOOKUP(E165,E$1:E164,1,FALSE()))),"OLD",IF(AND(E165&lt;&gt;"",E165&lt;&gt;"!!!"),"NEW","")))</f>
        <v/>
      </c>
      <c r="G165" s="12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13" t="str">
        <f aca="false">IF(J165&lt;&gt;1,"",IF(I165="SBJ","CB","?"))</f>
        <v/>
      </c>
      <c r="I165" s="14" t="str">
        <f aca="false">IF(OR(E165="",E165="!!!",F165="NEW"),"",INDEX(B$2:B164,-1+SUMPRODUCT(MAX(ROW(E$2:E164)*(E165=E$2:E164)))))</f>
        <v/>
      </c>
      <c r="J165" s="15" t="str">
        <f aca="true">IF(OR(E165="",E165="!!!",F165="NEW"),"",COUNTBLANK(OFFSET(A$1,,,SUMPRODUCT(MAX(ROW(E$2:E165)*(E165=E$2:E165)))))-COUNTBLANK(OFFSET(A$1,,,SUMPRODUCT(MAX(ROW(E$1:E164)*(E165=E$1:E164))))))</f>
        <v/>
      </c>
      <c r="K165" s="15" t="str">
        <f aca="false">IF(OR(E165="",E165="!!!",F165="NEW"),"",INDEX(J$1:J164,SUMPRODUCT(MAX(ROW(E$1:E164)*(E165=E$1:E164)))))</f>
        <v/>
      </c>
      <c r="L165" s="16"/>
    </row>
    <row r="166" customFormat="false" ht="12.75" hidden="false" customHeight="false" outlineLevel="0" collapsed="false">
      <c r="A166" s="1" t="s">
        <v>172</v>
      </c>
      <c r="E166" s="10" t="str">
        <f aca="false">IF(D166="?OLD","!!!","")</f>
        <v/>
      </c>
      <c r="F166" s="11" t="str">
        <f aca="false">IF(OR(E166="",E166="!!!"),"",IF(NOT(ISNA(VLOOKUP(E166,E$1:E165,1,FALSE()))),"OLD",IF(AND(E166&lt;&gt;"",E166&lt;&gt;"!!!"),"NEW","")))</f>
        <v/>
      </c>
      <c r="G166" s="12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13" t="str">
        <f aca="false">IF(J166&lt;&gt;1,"",IF(I166="SBJ","CB","?"))</f>
        <v/>
      </c>
      <c r="I166" s="14" t="str">
        <f aca="false">IF(OR(E166="",E166="!!!",F166="NEW"),"",INDEX(B$2:B165,-1+SUMPRODUCT(MAX(ROW(E$2:E165)*(E166=E$2:E165)))))</f>
        <v/>
      </c>
      <c r="J166" s="15" t="str">
        <f aca="true">IF(OR(E166="",E166="!!!",F166="NEW"),"",COUNTBLANK(OFFSET(A$1,,,SUMPRODUCT(MAX(ROW(E$2:E166)*(E166=E$2:E166)))))-COUNTBLANK(OFFSET(A$1,,,SUMPRODUCT(MAX(ROW(E$1:E165)*(E166=E$1:E165))))))</f>
        <v/>
      </c>
      <c r="K166" s="15" t="str">
        <f aca="false">IF(OR(E166="",E166="!!!",F166="NEW"),"",INDEX(J$1:J165,SUMPRODUCT(MAX(ROW(E$1:E165)*(E166=E$1:E165)))))</f>
        <v/>
      </c>
      <c r="L166" s="16"/>
    </row>
    <row r="167" customFormat="false" ht="12.75" hidden="false" customHeight="false" outlineLevel="0" collapsed="false">
      <c r="A167" s="1" t="s">
        <v>173</v>
      </c>
      <c r="E167" s="10" t="str">
        <f aca="false">IF(D167="?OLD","!!!","")</f>
        <v/>
      </c>
      <c r="F167" s="11" t="str">
        <f aca="false">IF(OR(E167="",E167="!!!"),"",IF(NOT(ISNA(VLOOKUP(E167,E$1:E166,1,FALSE()))),"OLD",IF(AND(E167&lt;&gt;"",E167&lt;&gt;"!!!"),"NEW","")))</f>
        <v/>
      </c>
      <c r="G167" s="12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13" t="str">
        <f aca="false">IF(J167&lt;&gt;1,"",IF(I167="SBJ","CB","?"))</f>
        <v/>
      </c>
      <c r="I167" s="14" t="str">
        <f aca="false">IF(OR(E167="",E167="!!!",F167="NEW"),"",INDEX(B$2:B166,-1+SUMPRODUCT(MAX(ROW(E$2:E166)*(E167=E$2:E166)))))</f>
        <v/>
      </c>
      <c r="J167" s="15" t="str">
        <f aca="true">IF(OR(E167="",E167="!!!",F167="NEW"),"",COUNTBLANK(OFFSET(A$1,,,SUMPRODUCT(MAX(ROW(E$2:E167)*(E167=E$2:E167)))))-COUNTBLANK(OFFSET(A$1,,,SUMPRODUCT(MAX(ROW(E$1:E166)*(E167=E$1:E166))))))</f>
        <v/>
      </c>
      <c r="K167" s="15" t="str">
        <f aca="false">IF(OR(E167="",E167="!!!",F167="NEW"),"",INDEX(J$1:J166,SUMPRODUCT(MAX(ROW(E$1:E166)*(E167=E$1:E166)))))</f>
        <v/>
      </c>
      <c r="L167" s="16"/>
    </row>
    <row r="168" customFormat="false" ht="12.75" hidden="false" customHeight="false" outlineLevel="0" collapsed="false">
      <c r="A168" s="1" t="s">
        <v>70</v>
      </c>
      <c r="E168" s="10" t="str">
        <f aca="false">IF(D168="?OLD","!!!","")</f>
        <v/>
      </c>
      <c r="F168" s="11" t="str">
        <f aca="false">IF(OR(E168="",E168="!!!"),"",IF(NOT(ISNA(VLOOKUP(E168,E$1:E167,1,FALSE()))),"OLD",IF(AND(E168&lt;&gt;"",E168&lt;&gt;"!!!"),"NEW","")))</f>
        <v/>
      </c>
      <c r="G168" s="12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13" t="str">
        <f aca="false">IF(J168&lt;&gt;1,"",IF(I168="SBJ","CB","?"))</f>
        <v/>
      </c>
      <c r="I168" s="14" t="str">
        <f aca="false">IF(OR(E168="",E168="!!!",F168="NEW"),"",INDEX(B$2:B167,-1+SUMPRODUCT(MAX(ROW(E$2:E167)*(E168=E$2:E167)))))</f>
        <v/>
      </c>
      <c r="J168" s="15" t="str">
        <f aca="true">IF(OR(E168="",E168="!!!",F168="NEW"),"",COUNTBLANK(OFFSET(A$1,,,SUMPRODUCT(MAX(ROW(E$2:E168)*(E168=E$2:E168)))))-COUNTBLANK(OFFSET(A$1,,,SUMPRODUCT(MAX(ROW(E$1:E167)*(E168=E$1:E167))))))</f>
        <v/>
      </c>
      <c r="K168" s="15" t="str">
        <f aca="false">IF(OR(E168="",E168="!!!",F168="NEW"),"",INDEX(J$1:J167,SUMPRODUCT(MAX(ROW(E$1:E167)*(E168=E$1:E167)))))</f>
        <v/>
      </c>
      <c r="L168" s="16"/>
    </row>
    <row r="169" customFormat="false" ht="12.75" hidden="false" customHeight="false" outlineLevel="0" collapsed="false">
      <c r="E169" s="10" t="str">
        <f aca="false">IF(D169="?OLD","!!!","")</f>
        <v/>
      </c>
      <c r="F169" s="11" t="str">
        <f aca="false">IF(OR(E169="",E169="!!!"),"",IF(NOT(ISNA(VLOOKUP(E169,E$1:E168,1,FALSE()))),"OLD",IF(AND(E169&lt;&gt;"",E169&lt;&gt;"!!!"),"NEW","")))</f>
        <v/>
      </c>
      <c r="G169" s="12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13" t="str">
        <f aca="false">IF(J169&lt;&gt;1,"",IF(I169="SBJ","CB","?"))</f>
        <v/>
      </c>
      <c r="I169" s="14" t="str">
        <f aca="false">IF(OR(E169="",E169="!!!",F169="NEW"),"",INDEX(B$2:B168,-1+SUMPRODUCT(MAX(ROW(E$2:E168)*(E169=E$2:E168)))))</f>
        <v/>
      </c>
      <c r="J169" s="15" t="str">
        <f aca="true">IF(OR(E169="",E169="!!!",F169="NEW"),"",COUNTBLANK(OFFSET(A$1,,,SUMPRODUCT(MAX(ROW(E$2:E169)*(E169=E$2:E169)))))-COUNTBLANK(OFFSET(A$1,,,SUMPRODUCT(MAX(ROW(E$1:E168)*(E169=E$1:E168))))))</f>
        <v/>
      </c>
      <c r="K169" s="15" t="str">
        <f aca="false">IF(OR(E169="",E169="!!!",F169="NEW"),"",INDEX(J$1:J168,SUMPRODUCT(MAX(ROW(E$1:E168)*(E169=E$1:E168)))))</f>
        <v/>
      </c>
      <c r="L169" s="16"/>
    </row>
    <row r="170" customFormat="false" ht="12.8" hidden="false" customHeight="false" outlineLevel="0" collapsed="false">
      <c r="A170" s="1"/>
      <c r="E170" s="10"/>
      <c r="F170" s="11"/>
      <c r="G170" s="12"/>
      <c r="H170" s="13"/>
      <c r="I170" s="14"/>
      <c r="J170" s="15"/>
      <c r="K170" s="15"/>
      <c r="L170" s="16"/>
    </row>
    <row r="171" customFormat="false" ht="12.8" hidden="false" customHeight="false" outlineLevel="0" collapsed="false">
      <c r="A171" s="1"/>
      <c r="B171" s="1"/>
      <c r="C171" s="1"/>
      <c r="D171" s="1"/>
      <c r="E171" s="10"/>
      <c r="F171" s="11"/>
      <c r="G171" s="12"/>
      <c r="H171" s="13"/>
      <c r="I171" s="14"/>
      <c r="J171" s="15"/>
      <c r="K171" s="15"/>
      <c r="L171" s="16"/>
    </row>
    <row r="172" customFormat="false" ht="12.8" hidden="false" customHeight="false" outlineLevel="0" collapsed="false">
      <c r="A172" s="1"/>
      <c r="B172" s="1"/>
      <c r="C172" s="1"/>
      <c r="D172" s="1"/>
      <c r="E172" s="10"/>
      <c r="F172" s="11"/>
      <c r="G172" s="12"/>
      <c r="H172" s="13"/>
      <c r="I172" s="14"/>
      <c r="J172" s="15"/>
      <c r="K172" s="15"/>
      <c r="L172" s="16"/>
    </row>
    <row r="173" customFormat="false" ht="12.8" hidden="false" customHeight="false" outlineLevel="0" collapsed="false">
      <c r="A173" s="1"/>
      <c r="E173" s="10"/>
      <c r="F173" s="11"/>
      <c r="G173" s="12"/>
      <c r="H173" s="13"/>
      <c r="I173" s="14"/>
      <c r="J173" s="15"/>
      <c r="K173" s="15"/>
      <c r="L173" s="16"/>
    </row>
    <row r="174" customFormat="false" ht="12.8" hidden="false" customHeight="false" outlineLevel="0" collapsed="false">
      <c r="A174" s="1"/>
      <c r="E174" s="10"/>
      <c r="F174" s="11"/>
      <c r="G174" s="12"/>
      <c r="H174" s="13"/>
      <c r="I174" s="14"/>
      <c r="J174" s="15"/>
      <c r="K174" s="15"/>
      <c r="L174" s="16"/>
    </row>
    <row r="175" customFormat="false" ht="12.8" hidden="false" customHeight="false" outlineLevel="0" collapsed="false">
      <c r="A175" s="1"/>
      <c r="B175" s="1"/>
      <c r="C175" s="1"/>
      <c r="E175" s="10"/>
      <c r="F175" s="11"/>
      <c r="G175" s="12"/>
      <c r="H175" s="13"/>
      <c r="I175" s="14"/>
      <c r="J175" s="15"/>
      <c r="K175" s="15"/>
      <c r="L175" s="16"/>
    </row>
    <row r="176" customFormat="false" ht="12.8" hidden="false" customHeight="false" outlineLevel="0" collapsed="false">
      <c r="A176" s="1"/>
      <c r="E176" s="10"/>
      <c r="F176" s="11"/>
      <c r="G176" s="12"/>
      <c r="H176" s="13"/>
      <c r="I176" s="14"/>
      <c r="J176" s="15"/>
      <c r="K176" s="15"/>
      <c r="L176" s="16"/>
    </row>
    <row r="177" customFormat="false" ht="12.8" hidden="false" customHeight="false" outlineLevel="0" collapsed="false">
      <c r="A177" s="1"/>
      <c r="E177" s="10"/>
      <c r="F177" s="11"/>
      <c r="G177" s="12"/>
      <c r="H177" s="13"/>
      <c r="I177" s="14"/>
      <c r="J177" s="15"/>
      <c r="K177" s="15"/>
      <c r="L177" s="16"/>
    </row>
    <row r="178" customFormat="false" ht="12.8" hidden="false" customHeight="false" outlineLevel="0" collapsed="false">
      <c r="A178" s="1"/>
      <c r="E178" s="10"/>
      <c r="F178" s="11"/>
      <c r="G178" s="12"/>
      <c r="H178" s="13"/>
      <c r="I178" s="14"/>
      <c r="J178" s="15"/>
      <c r="K178" s="15"/>
      <c r="L178" s="16"/>
    </row>
    <row r="179" customFormat="false" ht="12.8" hidden="false" customHeight="false" outlineLevel="0" collapsed="false">
      <c r="A179" s="1"/>
      <c r="E179" s="10"/>
      <c r="F179" s="11"/>
      <c r="G179" s="12"/>
      <c r="H179" s="13"/>
      <c r="I179" s="14"/>
      <c r="J179" s="15"/>
      <c r="K179" s="15"/>
      <c r="L179" s="16"/>
    </row>
    <row r="180" customFormat="false" ht="12.8" hidden="false" customHeight="false" outlineLevel="0" collapsed="false">
      <c r="A180" s="1"/>
      <c r="E180" s="10"/>
      <c r="F180" s="11"/>
      <c r="G180" s="12"/>
      <c r="H180" s="13"/>
      <c r="I180" s="14"/>
      <c r="J180" s="15"/>
      <c r="K180" s="15"/>
      <c r="L180" s="16"/>
    </row>
    <row r="181" customFormat="false" ht="12.8" hidden="false" customHeight="false" outlineLevel="0" collapsed="false">
      <c r="A181" s="1"/>
      <c r="B181" s="1"/>
      <c r="C181" s="1"/>
      <c r="D181" s="1"/>
      <c r="E181" s="10"/>
      <c r="F181" s="11"/>
      <c r="G181" s="12"/>
      <c r="H181" s="13"/>
      <c r="I181" s="14"/>
      <c r="J181" s="15"/>
      <c r="K181" s="15"/>
      <c r="L181" s="16"/>
    </row>
    <row r="182" customFormat="false" ht="12.8" hidden="false" customHeight="false" outlineLevel="0" collapsed="false">
      <c r="A182" s="1"/>
      <c r="E182" s="10"/>
      <c r="F182" s="11"/>
      <c r="G182" s="12"/>
      <c r="H182" s="13"/>
      <c r="I182" s="14"/>
      <c r="J182" s="15"/>
      <c r="K182" s="15"/>
      <c r="L182" s="16"/>
    </row>
    <row r="183" customFormat="false" ht="12.8" hidden="false" customHeight="false" outlineLevel="0" collapsed="false">
      <c r="A183" s="1"/>
      <c r="B183" s="1"/>
      <c r="C183" s="1"/>
      <c r="D183" s="1"/>
      <c r="E183" s="10"/>
      <c r="F183" s="11"/>
      <c r="G183" s="12"/>
      <c r="H183" s="13"/>
      <c r="I183" s="14"/>
      <c r="J183" s="15"/>
      <c r="K183" s="15"/>
      <c r="L183" s="16"/>
    </row>
    <row r="184" customFormat="false" ht="12.8" hidden="false" customHeight="false" outlineLevel="0" collapsed="false">
      <c r="A184" s="1"/>
      <c r="B184" s="1"/>
      <c r="C184" s="1"/>
      <c r="D184" s="1"/>
      <c r="E184" s="10"/>
      <c r="F184" s="11"/>
      <c r="G184" s="12"/>
      <c r="H184" s="13"/>
      <c r="I184" s="14"/>
      <c r="J184" s="15"/>
      <c r="K184" s="15"/>
      <c r="L184" s="16"/>
    </row>
    <row r="185" customFormat="false" ht="12.8" hidden="false" customHeight="false" outlineLevel="0" collapsed="false">
      <c r="A185" s="1"/>
      <c r="E185" s="10"/>
      <c r="F185" s="11"/>
      <c r="G185" s="12"/>
      <c r="H185" s="13"/>
      <c r="I185" s="14"/>
      <c r="J185" s="15"/>
      <c r="K185" s="15"/>
      <c r="L185" s="16"/>
    </row>
    <row r="186" customFormat="false" ht="12.8" hidden="false" customHeight="false" outlineLevel="0" collapsed="false">
      <c r="A186" s="1"/>
      <c r="E186" s="10"/>
      <c r="F186" s="11"/>
      <c r="G186" s="12"/>
      <c r="H186" s="13"/>
      <c r="I186" s="14"/>
      <c r="J186" s="15"/>
      <c r="K186" s="15"/>
      <c r="L186" s="16"/>
    </row>
    <row r="187" customFormat="false" ht="12.8" hidden="false" customHeight="false" outlineLevel="0" collapsed="false">
      <c r="A187" s="1"/>
      <c r="E187" s="10"/>
      <c r="F187" s="11"/>
      <c r="G187" s="12"/>
      <c r="H187" s="13"/>
      <c r="I187" s="14"/>
      <c r="J187" s="15"/>
      <c r="K187" s="15"/>
      <c r="L187" s="16"/>
    </row>
    <row r="188" customFormat="false" ht="12.8" hidden="false" customHeight="false" outlineLevel="0" collapsed="false">
      <c r="A188" s="1"/>
      <c r="E188" s="10"/>
      <c r="F188" s="11"/>
      <c r="G188" s="12"/>
      <c r="H188" s="13"/>
      <c r="I188" s="14"/>
      <c r="J188" s="15"/>
      <c r="K188" s="15"/>
      <c r="L188" s="16"/>
    </row>
    <row r="189" customFormat="false" ht="12.8" hidden="false" customHeight="false" outlineLevel="0" collapsed="false">
      <c r="A189" s="1"/>
      <c r="E189" s="10"/>
      <c r="F189" s="11"/>
      <c r="G189" s="12"/>
      <c r="H189" s="13"/>
      <c r="I189" s="14"/>
      <c r="J189" s="15"/>
      <c r="K189" s="15"/>
      <c r="L189" s="16"/>
    </row>
    <row r="190" customFormat="false" ht="12.8" hidden="false" customHeight="false" outlineLevel="0" collapsed="false">
      <c r="A190" s="1"/>
      <c r="B190" s="1"/>
      <c r="C190" s="1"/>
      <c r="D190" s="1"/>
      <c r="E190" s="10"/>
      <c r="F190" s="11"/>
      <c r="G190" s="12"/>
      <c r="H190" s="13"/>
      <c r="I190" s="14"/>
      <c r="J190" s="15"/>
      <c r="K190" s="15"/>
      <c r="L190" s="16"/>
    </row>
    <row r="191" customFormat="false" ht="12.8" hidden="false" customHeight="false" outlineLevel="0" collapsed="false">
      <c r="A191" s="1"/>
      <c r="E191" s="10"/>
      <c r="F191" s="11"/>
      <c r="G191" s="12"/>
      <c r="H191" s="13"/>
      <c r="I191" s="14"/>
      <c r="J191" s="15"/>
      <c r="K191" s="15"/>
      <c r="L191" s="16"/>
    </row>
    <row r="192" customFormat="false" ht="12.8" hidden="false" customHeight="false" outlineLevel="0" collapsed="false">
      <c r="A192" s="1"/>
      <c r="E192" s="10"/>
      <c r="F192" s="11"/>
      <c r="G192" s="12"/>
      <c r="H192" s="13"/>
      <c r="I192" s="14"/>
      <c r="J192" s="15"/>
      <c r="K192" s="15"/>
      <c r="L192" s="16"/>
    </row>
    <row r="193" customFormat="false" ht="12.8" hidden="false" customHeight="false" outlineLevel="0" collapsed="false">
      <c r="A193" s="1"/>
      <c r="B193" s="1"/>
      <c r="C193" s="1"/>
      <c r="E193" s="10"/>
      <c r="F193" s="11"/>
      <c r="G193" s="12"/>
      <c r="H193" s="13"/>
      <c r="I193" s="14"/>
      <c r="J193" s="15"/>
      <c r="K193" s="15"/>
      <c r="L193" s="16"/>
    </row>
    <row r="194" customFormat="false" ht="12.8" hidden="false" customHeight="false" outlineLevel="0" collapsed="false">
      <c r="A194" s="1"/>
      <c r="E194" s="10"/>
      <c r="F194" s="11"/>
      <c r="G194" s="12"/>
      <c r="H194" s="13"/>
      <c r="I194" s="14"/>
      <c r="J194" s="15"/>
      <c r="K194" s="15"/>
      <c r="L194" s="16"/>
    </row>
    <row r="195" customFormat="false" ht="12.8" hidden="false" customHeight="false" outlineLevel="0" collapsed="false">
      <c r="A195" s="1"/>
      <c r="E195" s="10"/>
      <c r="F195" s="11"/>
      <c r="G195" s="12"/>
      <c r="H195" s="13"/>
      <c r="I195" s="14"/>
      <c r="J195" s="15"/>
      <c r="K195" s="15"/>
      <c r="L195" s="16"/>
    </row>
    <row r="196" customFormat="false" ht="12.8" hidden="false" customHeight="false" outlineLevel="0" collapsed="false">
      <c r="A196" s="1"/>
      <c r="E196" s="10"/>
      <c r="F196" s="11"/>
      <c r="G196" s="12"/>
      <c r="H196" s="13"/>
      <c r="I196" s="14"/>
      <c r="J196" s="15"/>
      <c r="K196" s="15"/>
      <c r="L196" s="16"/>
    </row>
    <row r="197" customFormat="false" ht="12.8" hidden="false" customHeight="false" outlineLevel="0" collapsed="false">
      <c r="A197" s="1"/>
      <c r="B197" s="1"/>
      <c r="C197" s="1"/>
      <c r="D197" s="1"/>
      <c r="E197" s="10"/>
      <c r="F197" s="11"/>
      <c r="G197" s="12"/>
      <c r="H197" s="13"/>
      <c r="I197" s="14"/>
      <c r="J197" s="15"/>
      <c r="K197" s="15"/>
      <c r="L197" s="16"/>
    </row>
    <row r="198" customFormat="false" ht="12.8" hidden="false" customHeight="false" outlineLevel="0" collapsed="false">
      <c r="A198" s="1"/>
      <c r="E198" s="10"/>
      <c r="F198" s="11"/>
      <c r="G198" s="12"/>
      <c r="H198" s="13"/>
      <c r="I198" s="14"/>
      <c r="J198" s="15"/>
      <c r="K198" s="15"/>
      <c r="L198" s="16"/>
    </row>
    <row r="199" customFormat="false" ht="12.8" hidden="false" customHeight="false" outlineLevel="0" collapsed="false">
      <c r="A199" s="1"/>
      <c r="B199" s="1"/>
      <c r="C199" s="1"/>
      <c r="D199" s="1"/>
      <c r="E199" s="10"/>
      <c r="F199" s="11"/>
      <c r="G199" s="12"/>
      <c r="H199" s="13"/>
      <c r="I199" s="14"/>
      <c r="J199" s="15"/>
      <c r="K199" s="15"/>
      <c r="L199" s="16"/>
    </row>
    <row r="200" customFormat="false" ht="12.8" hidden="false" customHeight="false" outlineLevel="0" collapsed="false">
      <c r="A200" s="1"/>
      <c r="E200" s="10"/>
      <c r="F200" s="11"/>
      <c r="G200" s="12"/>
      <c r="H200" s="13"/>
      <c r="I200" s="14"/>
      <c r="J200" s="15"/>
      <c r="K200" s="15"/>
      <c r="L200" s="16"/>
    </row>
    <row r="201" customFormat="false" ht="12.8" hidden="false" customHeight="false" outlineLevel="0" collapsed="false">
      <c r="A201" s="1"/>
      <c r="B201" s="1"/>
      <c r="C201" s="1"/>
      <c r="D201" s="1"/>
      <c r="E201" s="10"/>
      <c r="F201" s="11"/>
      <c r="G201" s="12"/>
      <c r="H201" s="13"/>
      <c r="I201" s="14"/>
      <c r="J201" s="15"/>
      <c r="K201" s="15"/>
      <c r="L201" s="16"/>
    </row>
    <row r="202" customFormat="false" ht="12.8" hidden="false" customHeight="false" outlineLevel="0" collapsed="false">
      <c r="A202" s="1"/>
      <c r="E202" s="10"/>
      <c r="F202" s="11"/>
      <c r="G202" s="12"/>
      <c r="H202" s="13"/>
      <c r="I202" s="14"/>
      <c r="J202" s="15"/>
      <c r="K202" s="15"/>
      <c r="L202" s="16"/>
    </row>
    <row r="203" customFormat="false" ht="12.8" hidden="false" customHeight="false" outlineLevel="0" collapsed="false">
      <c r="A203" s="1"/>
      <c r="E203" s="10"/>
      <c r="F203" s="11"/>
      <c r="G203" s="12"/>
      <c r="H203" s="13"/>
      <c r="I203" s="14"/>
      <c r="J203" s="15"/>
      <c r="K203" s="15"/>
      <c r="L203" s="16"/>
    </row>
    <row r="204" customFormat="false" ht="12.8" hidden="false" customHeight="false" outlineLevel="0" collapsed="false">
      <c r="A204" s="1"/>
      <c r="E204" s="10"/>
      <c r="F204" s="11"/>
      <c r="G204" s="12"/>
      <c r="H204" s="13"/>
      <c r="I204" s="14"/>
      <c r="J204" s="15"/>
      <c r="K204" s="15"/>
      <c r="L204" s="16"/>
    </row>
    <row r="205" customFormat="false" ht="12.8" hidden="false" customHeight="false" outlineLevel="0" collapsed="false">
      <c r="A205" s="1"/>
      <c r="E205" s="10"/>
      <c r="F205" s="11"/>
      <c r="G205" s="12"/>
      <c r="H205" s="13"/>
      <c r="I205" s="14"/>
      <c r="J205" s="15"/>
      <c r="K205" s="15"/>
      <c r="L205" s="16"/>
    </row>
    <row r="206" customFormat="false" ht="12.8" hidden="false" customHeight="false" outlineLevel="0" collapsed="false">
      <c r="A206" s="1"/>
      <c r="B206" s="1"/>
      <c r="C206" s="1"/>
      <c r="D206" s="1"/>
      <c r="E206" s="10"/>
      <c r="F206" s="11"/>
      <c r="G206" s="12"/>
      <c r="H206" s="13"/>
      <c r="I206" s="14"/>
      <c r="J206" s="15"/>
      <c r="K206" s="15"/>
      <c r="L206" s="16"/>
    </row>
    <row r="207" customFormat="false" ht="12.8" hidden="false" customHeight="false" outlineLevel="0" collapsed="false">
      <c r="A207" s="1"/>
      <c r="E207" s="10"/>
      <c r="F207" s="11"/>
      <c r="G207" s="12"/>
      <c r="H207" s="13"/>
      <c r="I207" s="14"/>
      <c r="J207" s="15"/>
      <c r="K207" s="15"/>
      <c r="L207" s="16"/>
    </row>
    <row r="208" customFormat="false" ht="12.8" hidden="false" customHeight="false" outlineLevel="0" collapsed="false">
      <c r="A208" s="1"/>
      <c r="E208" s="10"/>
      <c r="F208" s="11"/>
      <c r="G208" s="12"/>
      <c r="H208" s="13"/>
      <c r="I208" s="14"/>
      <c r="J208" s="15"/>
      <c r="K208" s="15"/>
      <c r="L208" s="16"/>
    </row>
    <row r="209" customFormat="false" ht="12.8" hidden="false" customHeight="false" outlineLevel="0" collapsed="false">
      <c r="A209" s="1"/>
      <c r="E209" s="10"/>
      <c r="F209" s="11"/>
      <c r="G209" s="12"/>
      <c r="H209" s="13"/>
      <c r="I209" s="14"/>
      <c r="J209" s="15"/>
      <c r="K209" s="15"/>
      <c r="L209" s="16"/>
    </row>
    <row r="210" customFormat="false" ht="12.8" hidden="false" customHeight="false" outlineLevel="0" collapsed="false">
      <c r="E210" s="10"/>
      <c r="F210" s="11"/>
      <c r="G210" s="12"/>
      <c r="H210" s="13"/>
      <c r="I210" s="14"/>
      <c r="J210" s="15"/>
      <c r="K210" s="15"/>
      <c r="L210" s="16"/>
    </row>
    <row r="211" customFormat="false" ht="12.8" hidden="false" customHeight="false" outlineLevel="0" collapsed="false">
      <c r="A211" s="1"/>
      <c r="E211" s="10"/>
      <c r="F211" s="11"/>
      <c r="G211" s="12"/>
      <c r="H211" s="13"/>
      <c r="I211" s="14"/>
      <c r="J211" s="15"/>
      <c r="K211" s="15"/>
      <c r="L211" s="16"/>
    </row>
    <row r="212" customFormat="false" ht="12.8" hidden="false" customHeight="false" outlineLevel="0" collapsed="false">
      <c r="A212" s="1"/>
      <c r="E212" s="10"/>
      <c r="F212" s="11"/>
      <c r="G212" s="12"/>
      <c r="H212" s="13"/>
      <c r="I212" s="14"/>
      <c r="J212" s="15"/>
      <c r="K212" s="15"/>
      <c r="L212" s="16"/>
    </row>
    <row r="213" customFormat="false" ht="12.8" hidden="false" customHeight="false" outlineLevel="0" collapsed="false">
      <c r="A213" s="1"/>
      <c r="B213" s="1"/>
      <c r="C213" s="1"/>
      <c r="E213" s="10"/>
      <c r="F213" s="11"/>
      <c r="G213" s="12"/>
      <c r="H213" s="13"/>
      <c r="I213" s="14"/>
      <c r="J213" s="15"/>
      <c r="K213" s="15"/>
      <c r="L213" s="16"/>
    </row>
    <row r="214" customFormat="false" ht="12.8" hidden="false" customHeight="false" outlineLevel="0" collapsed="false">
      <c r="A214" s="1"/>
      <c r="E214" s="10"/>
      <c r="F214" s="11"/>
      <c r="G214" s="12"/>
      <c r="H214" s="13"/>
      <c r="I214" s="14"/>
      <c r="J214" s="15"/>
      <c r="K214" s="15"/>
      <c r="L214" s="16"/>
    </row>
    <row r="215" customFormat="false" ht="12.8" hidden="false" customHeight="false" outlineLevel="0" collapsed="false">
      <c r="A215" s="1"/>
      <c r="E215" s="10"/>
      <c r="F215" s="11"/>
      <c r="G215" s="12"/>
      <c r="H215" s="13"/>
      <c r="I215" s="14"/>
      <c r="J215" s="15"/>
      <c r="K215" s="15"/>
      <c r="L215" s="16"/>
    </row>
    <row r="216" customFormat="false" ht="12.8" hidden="false" customHeight="false" outlineLevel="0" collapsed="false">
      <c r="A216" s="1"/>
      <c r="B216" s="1"/>
      <c r="C216" s="1"/>
      <c r="D216" s="1"/>
      <c r="E216" s="10"/>
      <c r="F216" s="11"/>
      <c r="G216" s="12"/>
      <c r="H216" s="13"/>
      <c r="I216" s="14"/>
      <c r="J216" s="15"/>
      <c r="K216" s="15"/>
      <c r="L216" s="16"/>
    </row>
    <row r="217" customFormat="false" ht="12.8" hidden="false" customHeight="false" outlineLevel="0" collapsed="false">
      <c r="A217" s="1"/>
      <c r="E217" s="10"/>
      <c r="F217" s="11"/>
      <c r="G217" s="12"/>
      <c r="H217" s="13"/>
      <c r="I217" s="14"/>
      <c r="J217" s="15"/>
      <c r="K217" s="15"/>
      <c r="L217" s="16"/>
    </row>
    <row r="218" customFormat="false" ht="12.8" hidden="false" customHeight="false" outlineLevel="0" collapsed="false">
      <c r="A218" s="1"/>
      <c r="E218" s="10"/>
      <c r="F218" s="11"/>
      <c r="G218" s="12"/>
      <c r="H218" s="13"/>
      <c r="I218" s="14"/>
      <c r="J218" s="15"/>
      <c r="K218" s="15"/>
      <c r="L218" s="16"/>
    </row>
    <row r="219" customFormat="false" ht="12.8" hidden="false" customHeight="false" outlineLevel="0" collapsed="false">
      <c r="A219" s="1"/>
      <c r="B219" s="1"/>
      <c r="C219" s="1"/>
      <c r="E219" s="10"/>
      <c r="F219" s="11"/>
      <c r="G219" s="12"/>
      <c r="H219" s="13"/>
      <c r="I219" s="14"/>
      <c r="J219" s="15"/>
      <c r="K219" s="15"/>
      <c r="L219" s="16"/>
    </row>
    <row r="220" customFormat="false" ht="12.8" hidden="false" customHeight="false" outlineLevel="0" collapsed="false">
      <c r="A220" s="1"/>
      <c r="E220" s="10"/>
      <c r="F220" s="11"/>
      <c r="G220" s="12"/>
      <c r="H220" s="13"/>
      <c r="I220" s="14"/>
      <c r="J220" s="15"/>
      <c r="K220" s="15"/>
      <c r="L220" s="16"/>
    </row>
    <row r="221" customFormat="false" ht="12.8" hidden="false" customHeight="false" outlineLevel="0" collapsed="false">
      <c r="A221" s="1"/>
      <c r="E221" s="10"/>
      <c r="F221" s="11"/>
      <c r="G221" s="12"/>
      <c r="H221" s="13"/>
      <c r="I221" s="14"/>
      <c r="J221" s="15"/>
      <c r="K221" s="15"/>
      <c r="L221" s="16"/>
    </row>
    <row r="222" customFormat="false" ht="12.8" hidden="false" customHeight="false" outlineLevel="0" collapsed="false">
      <c r="A222" s="1"/>
      <c r="B222" s="1"/>
      <c r="C222" s="1"/>
      <c r="D222" s="1"/>
      <c r="E222" s="10"/>
      <c r="F222" s="11"/>
      <c r="G222" s="12"/>
      <c r="H222" s="13"/>
      <c r="I222" s="14"/>
      <c r="J222" s="15"/>
      <c r="K222" s="15"/>
      <c r="L222" s="16"/>
    </row>
    <row r="223" customFormat="false" ht="12.8" hidden="false" customHeight="false" outlineLevel="0" collapsed="false">
      <c r="A223" s="1"/>
      <c r="E223" s="10"/>
      <c r="F223" s="11"/>
      <c r="G223" s="12"/>
      <c r="H223" s="13"/>
      <c r="I223" s="14"/>
      <c r="J223" s="15"/>
      <c r="K223" s="15"/>
      <c r="L223" s="16"/>
    </row>
    <row r="224" customFormat="false" ht="12.8" hidden="false" customHeight="false" outlineLevel="0" collapsed="false">
      <c r="A224" s="1"/>
      <c r="E224" s="10"/>
      <c r="F224" s="11"/>
      <c r="G224" s="12"/>
      <c r="H224" s="13"/>
      <c r="I224" s="14"/>
      <c r="J224" s="15"/>
      <c r="K224" s="15"/>
      <c r="L224" s="16"/>
    </row>
    <row r="225" customFormat="false" ht="12.8" hidden="false" customHeight="false" outlineLevel="0" collapsed="false">
      <c r="A225" s="1"/>
      <c r="B225" s="1"/>
      <c r="C225" s="1"/>
      <c r="D225" s="1"/>
      <c r="E225" s="10"/>
      <c r="F225" s="11"/>
      <c r="G225" s="12"/>
      <c r="H225" s="13"/>
      <c r="I225" s="14"/>
      <c r="J225" s="15"/>
      <c r="K225" s="15"/>
      <c r="L225" s="16"/>
    </row>
    <row r="226" customFormat="false" ht="12.8" hidden="false" customHeight="false" outlineLevel="0" collapsed="false">
      <c r="A226" s="1"/>
      <c r="E226" s="10"/>
      <c r="F226" s="11"/>
      <c r="G226" s="12"/>
      <c r="H226" s="13"/>
      <c r="I226" s="14"/>
      <c r="J226" s="15"/>
      <c r="K226" s="15"/>
      <c r="L226" s="16"/>
    </row>
    <row r="227" customFormat="false" ht="12.8" hidden="false" customHeight="false" outlineLevel="0" collapsed="false">
      <c r="A227" s="1"/>
      <c r="E227" s="10"/>
      <c r="F227" s="11"/>
      <c r="G227" s="12"/>
      <c r="H227" s="13"/>
      <c r="I227" s="14"/>
      <c r="J227" s="15"/>
      <c r="K227" s="15"/>
      <c r="L227" s="16"/>
    </row>
    <row r="228" customFormat="false" ht="12.8" hidden="false" customHeight="false" outlineLevel="0" collapsed="false">
      <c r="A228" s="1"/>
      <c r="B228" s="1"/>
      <c r="C228" s="1"/>
      <c r="D228" s="1"/>
      <c r="E228" s="10"/>
      <c r="F228" s="11"/>
      <c r="G228" s="12"/>
      <c r="H228" s="13"/>
      <c r="I228" s="14"/>
      <c r="J228" s="15"/>
      <c r="K228" s="15"/>
      <c r="L228" s="16"/>
    </row>
    <row r="229" customFormat="false" ht="12.8" hidden="false" customHeight="false" outlineLevel="0" collapsed="false">
      <c r="A229" s="1"/>
      <c r="E229" s="10"/>
      <c r="F229" s="11"/>
      <c r="G229" s="12"/>
      <c r="H229" s="13"/>
      <c r="I229" s="14"/>
      <c r="J229" s="15"/>
      <c r="K229" s="15"/>
      <c r="L229" s="16"/>
    </row>
    <row r="230" customFormat="false" ht="12.8" hidden="false" customHeight="false" outlineLevel="0" collapsed="false">
      <c r="A230" s="1"/>
      <c r="B230" s="1"/>
      <c r="C230" s="1"/>
      <c r="D230" s="1"/>
      <c r="E230" s="10"/>
      <c r="F230" s="11"/>
      <c r="G230" s="12"/>
      <c r="H230" s="13"/>
      <c r="I230" s="14"/>
      <c r="J230" s="15"/>
      <c r="K230" s="15"/>
      <c r="L230" s="16"/>
    </row>
    <row r="231" customFormat="false" ht="12.8" hidden="false" customHeight="false" outlineLevel="0" collapsed="false">
      <c r="A231" s="1"/>
      <c r="E231" s="10"/>
      <c r="F231" s="11"/>
      <c r="G231" s="12"/>
      <c r="H231" s="13"/>
      <c r="I231" s="14"/>
      <c r="J231" s="15"/>
      <c r="K231" s="15"/>
      <c r="L231" s="16"/>
    </row>
    <row r="232" customFormat="false" ht="12.8" hidden="false" customHeight="false" outlineLevel="0" collapsed="false">
      <c r="E232" s="10"/>
      <c r="F232" s="11"/>
      <c r="G232" s="12"/>
      <c r="H232" s="13"/>
      <c r="I232" s="14"/>
      <c r="J232" s="15"/>
      <c r="K232" s="15"/>
      <c r="L232" s="16"/>
    </row>
    <row r="233" customFormat="false" ht="12.8" hidden="false" customHeight="false" outlineLevel="0" collapsed="false">
      <c r="A233" s="1"/>
      <c r="E233" s="10"/>
      <c r="F233" s="11"/>
      <c r="G233" s="12"/>
      <c r="H233" s="13"/>
      <c r="I233" s="14"/>
      <c r="J233" s="15"/>
      <c r="K233" s="15"/>
      <c r="L233" s="16"/>
    </row>
    <row r="234" customFormat="false" ht="12.8" hidden="false" customHeight="false" outlineLevel="0" collapsed="false">
      <c r="A234" s="1"/>
      <c r="B234" s="1"/>
      <c r="C234" s="1"/>
      <c r="D234" s="1"/>
      <c r="E234" s="10"/>
      <c r="F234" s="11"/>
      <c r="G234" s="12"/>
      <c r="H234" s="13"/>
      <c r="I234" s="14"/>
      <c r="J234" s="15"/>
      <c r="K234" s="15"/>
      <c r="L234" s="16"/>
    </row>
    <row r="235" customFormat="false" ht="12.8" hidden="false" customHeight="false" outlineLevel="0" collapsed="false">
      <c r="A235" s="1"/>
      <c r="B235" s="1"/>
      <c r="C235" s="1"/>
      <c r="D235" s="1"/>
      <c r="E235" s="10"/>
      <c r="F235" s="11"/>
      <c r="G235" s="12"/>
      <c r="H235" s="13"/>
      <c r="I235" s="14"/>
      <c r="J235" s="15"/>
      <c r="K235" s="15"/>
      <c r="L235" s="16"/>
    </row>
    <row r="236" customFormat="false" ht="12.8" hidden="false" customHeight="false" outlineLevel="0" collapsed="false">
      <c r="A236" s="1"/>
      <c r="E236" s="10"/>
      <c r="F236" s="11"/>
      <c r="G236" s="12"/>
      <c r="H236" s="13"/>
      <c r="I236" s="14"/>
      <c r="J236" s="15"/>
      <c r="K236" s="15"/>
      <c r="L236" s="16"/>
    </row>
    <row r="237" customFormat="false" ht="12.8" hidden="false" customHeight="false" outlineLevel="0" collapsed="false">
      <c r="A237" s="1"/>
      <c r="E237" s="10"/>
      <c r="F237" s="11"/>
      <c r="G237" s="12"/>
      <c r="H237" s="13"/>
      <c r="I237" s="14"/>
      <c r="J237" s="15"/>
      <c r="K237" s="15"/>
      <c r="L237" s="16"/>
    </row>
    <row r="238" customFormat="false" ht="12.8" hidden="false" customHeight="false" outlineLevel="0" collapsed="false">
      <c r="A238" s="1"/>
      <c r="E238" s="10"/>
      <c r="F238" s="11"/>
      <c r="G238" s="12"/>
      <c r="H238" s="13"/>
      <c r="I238" s="14"/>
      <c r="J238" s="15"/>
      <c r="K238" s="15"/>
      <c r="L238" s="16"/>
    </row>
    <row r="239" customFormat="false" ht="12.8" hidden="false" customHeight="false" outlineLevel="0" collapsed="false">
      <c r="A239" s="1"/>
      <c r="E239" s="10"/>
      <c r="F239" s="11"/>
      <c r="G239" s="12"/>
      <c r="H239" s="13"/>
      <c r="I239" s="14"/>
      <c r="J239" s="15"/>
      <c r="K239" s="15"/>
      <c r="L239" s="16"/>
    </row>
    <row r="240" customFormat="false" ht="12.8" hidden="false" customHeight="false" outlineLevel="0" collapsed="false">
      <c r="A240" s="1"/>
      <c r="B240" s="1"/>
      <c r="C240" s="1"/>
      <c r="D240" s="1"/>
      <c r="E240" s="10"/>
      <c r="F240" s="11"/>
      <c r="G240" s="12"/>
      <c r="H240" s="13"/>
      <c r="I240" s="14"/>
      <c r="J240" s="15"/>
      <c r="K240" s="15"/>
      <c r="L240" s="16"/>
    </row>
    <row r="241" customFormat="false" ht="12.8" hidden="false" customHeight="false" outlineLevel="0" collapsed="false">
      <c r="A241" s="1"/>
      <c r="E241" s="10"/>
      <c r="F241" s="11"/>
      <c r="G241" s="12"/>
      <c r="H241" s="13"/>
      <c r="I241" s="14"/>
      <c r="J241" s="15"/>
      <c r="K241" s="15"/>
      <c r="L241" s="16"/>
    </row>
    <row r="242" customFormat="false" ht="12.8" hidden="false" customHeight="false" outlineLevel="0" collapsed="false">
      <c r="A242" s="1"/>
      <c r="E242" s="10"/>
      <c r="F242" s="11"/>
      <c r="G242" s="12"/>
      <c r="H242" s="13"/>
      <c r="I242" s="14"/>
      <c r="J242" s="15"/>
      <c r="K242" s="15"/>
      <c r="L242" s="16"/>
    </row>
    <row r="243" customFormat="false" ht="12.8" hidden="false" customHeight="false" outlineLevel="0" collapsed="false">
      <c r="A243" s="1"/>
      <c r="B243" s="1"/>
      <c r="C243" s="1"/>
      <c r="D243" s="1"/>
      <c r="E243" s="10"/>
      <c r="F243" s="11"/>
      <c r="G243" s="12"/>
      <c r="H243" s="13"/>
      <c r="I243" s="14"/>
      <c r="J243" s="15"/>
      <c r="K243" s="15"/>
      <c r="L243" s="16"/>
    </row>
    <row r="244" customFormat="false" ht="12.8" hidden="false" customHeight="false" outlineLevel="0" collapsed="false">
      <c r="A244" s="1"/>
      <c r="E244" s="10"/>
      <c r="F244" s="11"/>
      <c r="G244" s="12"/>
      <c r="H244" s="13"/>
      <c r="I244" s="14"/>
      <c r="J244" s="15"/>
      <c r="K244" s="15"/>
      <c r="L244" s="16"/>
    </row>
    <row r="245" customFormat="false" ht="12.8" hidden="false" customHeight="false" outlineLevel="0" collapsed="false">
      <c r="A245" s="1"/>
      <c r="E245" s="10"/>
      <c r="F245" s="11"/>
      <c r="G245" s="12"/>
      <c r="H245" s="13"/>
      <c r="I245" s="14"/>
      <c r="J245" s="15"/>
      <c r="K245" s="15"/>
      <c r="L245" s="16"/>
    </row>
    <row r="246" customFormat="false" ht="12.8" hidden="false" customHeight="false" outlineLevel="0" collapsed="false">
      <c r="A246" s="1"/>
      <c r="E246" s="10"/>
      <c r="F246" s="11"/>
      <c r="G246" s="12"/>
      <c r="H246" s="13"/>
      <c r="I246" s="14"/>
      <c r="J246" s="15"/>
      <c r="K246" s="15"/>
      <c r="L246" s="16"/>
    </row>
    <row r="247" customFormat="false" ht="12.8" hidden="false" customHeight="false" outlineLevel="0" collapsed="false">
      <c r="A247" s="1"/>
      <c r="B247" s="1"/>
      <c r="C247" s="1"/>
      <c r="D247" s="1"/>
      <c r="E247" s="10"/>
      <c r="F247" s="11"/>
      <c r="G247" s="12"/>
      <c r="H247" s="13"/>
      <c r="I247" s="14"/>
      <c r="J247" s="15"/>
      <c r="K247" s="15"/>
      <c r="L247" s="16"/>
    </row>
    <row r="248" customFormat="false" ht="12.8" hidden="false" customHeight="false" outlineLevel="0" collapsed="false">
      <c r="A248" s="1"/>
      <c r="E248" s="10"/>
      <c r="F248" s="11"/>
      <c r="G248" s="12"/>
      <c r="H248" s="13"/>
      <c r="I248" s="14"/>
      <c r="J248" s="15"/>
      <c r="K248" s="15"/>
      <c r="L248" s="16"/>
    </row>
    <row r="249" customFormat="false" ht="12.8" hidden="false" customHeight="false" outlineLevel="0" collapsed="false">
      <c r="A249" s="1"/>
      <c r="E249" s="10"/>
      <c r="F249" s="11"/>
      <c r="G249" s="12"/>
      <c r="H249" s="13"/>
      <c r="I249" s="14"/>
      <c r="J249" s="15"/>
      <c r="K249" s="15"/>
      <c r="L249" s="16"/>
    </row>
    <row r="250" customFormat="false" ht="12.8" hidden="false" customHeight="false" outlineLevel="0" collapsed="false">
      <c r="A250" s="1"/>
      <c r="E250" s="10"/>
      <c r="F250" s="11"/>
      <c r="G250" s="12"/>
      <c r="H250" s="13"/>
      <c r="I250" s="14"/>
      <c r="J250" s="15"/>
      <c r="K250" s="15"/>
      <c r="L250" s="16"/>
    </row>
    <row r="251" customFormat="false" ht="12.8" hidden="false" customHeight="false" outlineLevel="0" collapsed="false">
      <c r="A251" s="1"/>
      <c r="B251" s="1"/>
      <c r="C251" s="1"/>
      <c r="D251" s="1"/>
      <c r="E251" s="10"/>
      <c r="F251" s="11"/>
      <c r="G251" s="12"/>
      <c r="H251" s="13"/>
      <c r="I251" s="14"/>
      <c r="J251" s="15"/>
      <c r="K251" s="15"/>
      <c r="L251" s="16"/>
    </row>
    <row r="252" customFormat="false" ht="12.8" hidden="false" customHeight="false" outlineLevel="0" collapsed="false">
      <c r="A252" s="1"/>
      <c r="E252" s="10"/>
      <c r="F252" s="11"/>
      <c r="G252" s="12"/>
      <c r="H252" s="13"/>
      <c r="I252" s="14"/>
      <c r="J252" s="15"/>
      <c r="K252" s="15"/>
      <c r="L252" s="16"/>
    </row>
    <row r="253" customFormat="false" ht="12.8" hidden="false" customHeight="false" outlineLevel="0" collapsed="false">
      <c r="A253" s="1"/>
      <c r="E253" s="10"/>
      <c r="F253" s="11"/>
      <c r="G253" s="12"/>
      <c r="H253" s="13"/>
      <c r="I253" s="14"/>
      <c r="J253" s="15"/>
      <c r="K253" s="15"/>
      <c r="L253" s="16"/>
    </row>
    <row r="254" customFormat="false" ht="12.8" hidden="false" customHeight="false" outlineLevel="0" collapsed="false">
      <c r="A254" s="1"/>
      <c r="E254" s="10"/>
      <c r="F254" s="11"/>
      <c r="G254" s="12"/>
      <c r="H254" s="13"/>
      <c r="I254" s="14"/>
      <c r="J254" s="15"/>
      <c r="K254" s="15"/>
      <c r="L254" s="16"/>
    </row>
    <row r="255" customFormat="false" ht="12.8" hidden="false" customHeight="false" outlineLevel="0" collapsed="false">
      <c r="A255" s="1"/>
      <c r="E255" s="10"/>
      <c r="F255" s="11"/>
      <c r="G255" s="12"/>
      <c r="H255" s="13"/>
      <c r="I255" s="14"/>
      <c r="J255" s="15"/>
      <c r="K255" s="15"/>
      <c r="L255" s="16"/>
    </row>
    <row r="256" customFormat="false" ht="12.8" hidden="false" customHeight="false" outlineLevel="0" collapsed="false">
      <c r="A256" s="1"/>
      <c r="E256" s="10"/>
      <c r="F256" s="11"/>
      <c r="G256" s="12"/>
      <c r="H256" s="13"/>
      <c r="I256" s="14"/>
      <c r="J256" s="15"/>
      <c r="K256" s="15"/>
      <c r="L256" s="16"/>
    </row>
    <row r="257" customFormat="false" ht="12.8" hidden="false" customHeight="false" outlineLevel="0" collapsed="false">
      <c r="A257" s="1"/>
      <c r="E257" s="10"/>
      <c r="F257" s="11"/>
      <c r="G257" s="12"/>
      <c r="H257" s="13"/>
      <c r="I257" s="14"/>
      <c r="J257" s="15"/>
      <c r="K257" s="15"/>
      <c r="L257" s="16"/>
    </row>
    <row r="258" customFormat="false" ht="12.8" hidden="false" customHeight="false" outlineLevel="0" collapsed="false">
      <c r="A258" s="1"/>
      <c r="B258" s="1"/>
      <c r="C258" s="1"/>
      <c r="E258" s="10"/>
      <c r="F258" s="11"/>
      <c r="G258" s="12"/>
      <c r="H258" s="13"/>
      <c r="I258" s="14"/>
      <c r="J258" s="15"/>
      <c r="K258" s="15"/>
      <c r="L258" s="16"/>
    </row>
    <row r="259" customFormat="false" ht="12.8" hidden="false" customHeight="false" outlineLevel="0" collapsed="false">
      <c r="A259" s="1"/>
      <c r="E259" s="10"/>
      <c r="F259" s="11"/>
      <c r="G259" s="12"/>
      <c r="H259" s="13"/>
      <c r="I259" s="14"/>
      <c r="J259" s="15"/>
      <c r="K259" s="15"/>
      <c r="L259" s="16"/>
    </row>
    <row r="260" customFormat="false" ht="12.8" hidden="false" customHeight="false" outlineLevel="0" collapsed="false">
      <c r="A260" s="1"/>
      <c r="B260" s="1"/>
      <c r="C260" s="1"/>
      <c r="D260" s="1"/>
      <c r="E260" s="10"/>
      <c r="F260" s="11"/>
      <c r="G260" s="12"/>
      <c r="H260" s="13"/>
      <c r="I260" s="14"/>
      <c r="J260" s="15"/>
      <c r="K260" s="15"/>
      <c r="L260" s="16"/>
    </row>
    <row r="261" customFormat="false" ht="12.8" hidden="false" customHeight="false" outlineLevel="0" collapsed="false">
      <c r="A261" s="1"/>
      <c r="B261" s="1"/>
      <c r="C261" s="1"/>
      <c r="D261" s="1"/>
      <c r="E261" s="10"/>
      <c r="F261" s="11"/>
      <c r="G261" s="12"/>
      <c r="H261" s="13"/>
      <c r="I261" s="14"/>
      <c r="J261" s="15"/>
      <c r="K261" s="15"/>
      <c r="L261" s="16"/>
    </row>
    <row r="262" customFormat="false" ht="12.8" hidden="false" customHeight="false" outlineLevel="0" collapsed="false">
      <c r="A262" s="1"/>
      <c r="E262" s="10"/>
      <c r="F262" s="11"/>
      <c r="G262" s="12"/>
      <c r="H262" s="13"/>
      <c r="I262" s="14"/>
      <c r="J262" s="15"/>
      <c r="K262" s="15"/>
      <c r="L262" s="16"/>
    </row>
    <row r="263" customFormat="false" ht="12.8" hidden="false" customHeight="false" outlineLevel="0" collapsed="false">
      <c r="A263" s="1"/>
      <c r="E263" s="10"/>
      <c r="F263" s="11"/>
      <c r="G263" s="12"/>
      <c r="H263" s="13"/>
      <c r="I263" s="14"/>
      <c r="J263" s="15"/>
      <c r="K263" s="15"/>
      <c r="L263" s="16"/>
    </row>
    <row r="264" customFormat="false" ht="12.8" hidden="false" customHeight="false" outlineLevel="0" collapsed="false">
      <c r="A264" s="1"/>
      <c r="E264" s="10"/>
      <c r="F264" s="11"/>
      <c r="G264" s="12"/>
      <c r="H264" s="13"/>
      <c r="I264" s="14"/>
      <c r="J264" s="15"/>
      <c r="K264" s="15"/>
      <c r="L264" s="16"/>
    </row>
    <row r="265" customFormat="false" ht="12.8" hidden="false" customHeight="false" outlineLevel="0" collapsed="false">
      <c r="A265" s="1"/>
      <c r="B265" s="1"/>
      <c r="C265" s="1"/>
      <c r="E265" s="10"/>
      <c r="F265" s="11"/>
      <c r="G265" s="12"/>
      <c r="H265" s="13"/>
      <c r="I265" s="14"/>
      <c r="J265" s="15"/>
      <c r="K265" s="15"/>
      <c r="L265" s="16"/>
    </row>
    <row r="266" customFormat="false" ht="12.8" hidden="false" customHeight="false" outlineLevel="0" collapsed="false">
      <c r="A266" s="1"/>
      <c r="E266" s="10"/>
      <c r="F266" s="11"/>
      <c r="G266" s="12"/>
      <c r="H266" s="13"/>
      <c r="I266" s="14"/>
      <c r="J266" s="15"/>
      <c r="K266" s="15"/>
      <c r="L266" s="16"/>
    </row>
    <row r="267" customFormat="false" ht="12.8" hidden="false" customHeight="false" outlineLevel="0" collapsed="false">
      <c r="A267" s="1"/>
      <c r="B267" s="1"/>
      <c r="C267" s="1"/>
      <c r="E267" s="10"/>
      <c r="F267" s="11"/>
      <c r="G267" s="12"/>
      <c r="H267" s="13"/>
      <c r="I267" s="14"/>
      <c r="J267" s="15"/>
      <c r="K267" s="15"/>
      <c r="L267" s="16"/>
    </row>
    <row r="268" customFormat="false" ht="12.8" hidden="false" customHeight="false" outlineLevel="0" collapsed="false">
      <c r="A268" s="1"/>
      <c r="E268" s="10"/>
      <c r="F268" s="11"/>
      <c r="G268" s="12"/>
      <c r="H268" s="13"/>
      <c r="I268" s="14"/>
      <c r="J268" s="15"/>
      <c r="K268" s="15"/>
      <c r="L268" s="16"/>
    </row>
    <row r="269" customFormat="false" ht="12.8" hidden="false" customHeight="false" outlineLevel="0" collapsed="false">
      <c r="E269" s="10"/>
      <c r="F269" s="11"/>
      <c r="G269" s="12"/>
      <c r="H269" s="13"/>
      <c r="I269" s="14"/>
      <c r="J269" s="15"/>
      <c r="K269" s="15"/>
      <c r="L269" s="16"/>
    </row>
    <row r="270" customFormat="false" ht="12.8" hidden="false" customHeight="false" outlineLevel="0" collapsed="false">
      <c r="A270" s="1"/>
      <c r="E270" s="10"/>
      <c r="F270" s="11"/>
      <c r="G270" s="12"/>
      <c r="H270" s="13"/>
      <c r="I270" s="14"/>
      <c r="J270" s="15"/>
      <c r="K270" s="15"/>
      <c r="L270" s="16"/>
    </row>
    <row r="271" customFormat="false" ht="12.8" hidden="false" customHeight="false" outlineLevel="0" collapsed="false">
      <c r="A271" s="1"/>
      <c r="B271" s="1"/>
      <c r="C271" s="1"/>
      <c r="D271" s="1"/>
      <c r="E271" s="10"/>
      <c r="F271" s="11"/>
      <c r="G271" s="12"/>
      <c r="H271" s="13"/>
      <c r="I271" s="14"/>
      <c r="J271" s="15"/>
      <c r="K271" s="15"/>
      <c r="L271" s="16"/>
    </row>
    <row r="272" customFormat="false" ht="12.8" hidden="false" customHeight="false" outlineLevel="0" collapsed="false">
      <c r="A272" s="1"/>
      <c r="E272" s="10"/>
      <c r="F272" s="11"/>
      <c r="G272" s="12"/>
      <c r="H272" s="13"/>
      <c r="I272" s="14"/>
      <c r="J272" s="15"/>
      <c r="K272" s="15"/>
      <c r="L272" s="16"/>
    </row>
    <row r="273" customFormat="false" ht="12.8" hidden="false" customHeight="false" outlineLevel="0" collapsed="false">
      <c r="A273" s="1"/>
      <c r="E273" s="10"/>
      <c r="F273" s="11"/>
      <c r="G273" s="12"/>
      <c r="H273" s="13"/>
      <c r="I273" s="14"/>
      <c r="J273" s="15"/>
      <c r="K273" s="15"/>
      <c r="L273" s="16"/>
    </row>
    <row r="274" customFormat="false" ht="12.8" hidden="false" customHeight="false" outlineLevel="0" collapsed="false">
      <c r="A274" s="1"/>
      <c r="B274" s="1"/>
      <c r="C274" s="1"/>
      <c r="E274" s="10"/>
      <c r="F274" s="11"/>
      <c r="G274" s="12"/>
      <c r="H274" s="13"/>
      <c r="I274" s="14"/>
      <c r="J274" s="15"/>
      <c r="K274" s="15"/>
      <c r="L274" s="16"/>
    </row>
    <row r="275" customFormat="false" ht="12.8" hidden="false" customHeight="false" outlineLevel="0" collapsed="false">
      <c r="A275" s="1"/>
      <c r="E275" s="10"/>
      <c r="F275" s="11"/>
      <c r="G275" s="12"/>
      <c r="H275" s="13"/>
      <c r="I275" s="14"/>
      <c r="J275" s="15"/>
      <c r="K275" s="15"/>
      <c r="L275" s="16"/>
    </row>
    <row r="276" customFormat="false" ht="12.8" hidden="false" customHeight="false" outlineLevel="0" collapsed="false">
      <c r="A276" s="1"/>
      <c r="B276" s="1"/>
      <c r="C276" s="1"/>
      <c r="D276" s="1"/>
      <c r="E276" s="10"/>
      <c r="F276" s="11"/>
      <c r="G276" s="12"/>
      <c r="H276" s="13"/>
      <c r="I276" s="14"/>
      <c r="J276" s="15"/>
      <c r="K276" s="15"/>
      <c r="L276" s="16"/>
    </row>
    <row r="277" customFormat="false" ht="12.8" hidden="false" customHeight="false" outlineLevel="0" collapsed="false">
      <c r="A277" s="1"/>
      <c r="E277" s="10"/>
      <c r="F277" s="11"/>
      <c r="G277" s="12"/>
      <c r="H277" s="13"/>
      <c r="I277" s="14"/>
      <c r="J277" s="15"/>
      <c r="K277" s="15"/>
      <c r="L277" s="16"/>
    </row>
    <row r="278" customFormat="false" ht="12.8" hidden="false" customHeight="false" outlineLevel="0" collapsed="false">
      <c r="A278" s="1"/>
      <c r="E278" s="10"/>
      <c r="F278" s="11"/>
      <c r="G278" s="12"/>
      <c r="H278" s="13"/>
      <c r="I278" s="14"/>
      <c r="J278" s="15"/>
      <c r="K278" s="15"/>
      <c r="L278" s="16"/>
    </row>
    <row r="279" customFormat="false" ht="12.8" hidden="false" customHeight="false" outlineLevel="0" collapsed="false">
      <c r="A279" s="1"/>
      <c r="E279" s="10"/>
      <c r="F279" s="11"/>
      <c r="G279" s="12"/>
      <c r="H279" s="13"/>
      <c r="I279" s="14"/>
      <c r="J279" s="15"/>
      <c r="K279" s="15"/>
      <c r="L279" s="16"/>
    </row>
    <row r="280" customFormat="false" ht="12.8" hidden="false" customHeight="false" outlineLevel="0" collapsed="false">
      <c r="A280" s="1"/>
      <c r="E280" s="10"/>
      <c r="F280" s="11"/>
      <c r="G280" s="12"/>
      <c r="H280" s="13"/>
      <c r="I280" s="14"/>
      <c r="J280" s="15"/>
      <c r="K280" s="15"/>
      <c r="L280" s="16"/>
    </row>
    <row r="281" customFormat="false" ht="12.8" hidden="false" customHeight="false" outlineLevel="0" collapsed="false">
      <c r="A281" s="1"/>
      <c r="B281" s="1"/>
      <c r="C281" s="1"/>
      <c r="D281" s="1"/>
      <c r="E281" s="10"/>
      <c r="F281" s="11"/>
      <c r="G281" s="12"/>
      <c r="H281" s="13"/>
      <c r="I281" s="14"/>
      <c r="J281" s="15"/>
      <c r="K281" s="15"/>
      <c r="L281" s="16"/>
    </row>
    <row r="282" customFormat="false" ht="12.8" hidden="false" customHeight="false" outlineLevel="0" collapsed="false">
      <c r="A282" s="1"/>
      <c r="E282" s="10"/>
      <c r="F282" s="11"/>
      <c r="G282" s="12"/>
      <c r="H282" s="13"/>
      <c r="I282" s="14"/>
      <c r="J282" s="15"/>
      <c r="K282" s="15"/>
      <c r="L282" s="16"/>
    </row>
    <row r="283" customFormat="false" ht="12.8" hidden="false" customHeight="false" outlineLevel="0" collapsed="false">
      <c r="A283" s="1"/>
      <c r="E283" s="10"/>
      <c r="F283" s="11"/>
      <c r="G283" s="12"/>
      <c r="H283" s="13"/>
      <c r="I283" s="14"/>
      <c r="J283" s="15"/>
      <c r="K283" s="15"/>
      <c r="L283" s="16"/>
    </row>
    <row r="284" customFormat="false" ht="12.8" hidden="false" customHeight="false" outlineLevel="0" collapsed="false">
      <c r="A284" s="1"/>
      <c r="B284" s="1"/>
      <c r="C284" s="1"/>
      <c r="D284" s="1"/>
      <c r="E284" s="10"/>
      <c r="F284" s="11"/>
      <c r="G284" s="12"/>
      <c r="H284" s="13"/>
      <c r="I284" s="14"/>
      <c r="J284" s="15"/>
      <c r="K284" s="15"/>
      <c r="L284" s="16"/>
    </row>
    <row r="285" customFormat="false" ht="12.8" hidden="false" customHeight="false" outlineLevel="0" collapsed="false">
      <c r="A285" s="1"/>
      <c r="E285" s="10"/>
      <c r="F285" s="11"/>
      <c r="G285" s="12"/>
      <c r="H285" s="13"/>
      <c r="I285" s="14"/>
      <c r="J285" s="15"/>
      <c r="K285" s="15"/>
      <c r="L285" s="16"/>
    </row>
    <row r="286" customFormat="false" ht="12.8" hidden="false" customHeight="false" outlineLevel="0" collapsed="false">
      <c r="A286" s="1"/>
      <c r="E286" s="10"/>
      <c r="F286" s="11"/>
      <c r="G286" s="12"/>
      <c r="H286" s="13"/>
      <c r="I286" s="14"/>
      <c r="J286" s="15"/>
      <c r="K286" s="15"/>
      <c r="L286" s="16"/>
    </row>
    <row r="287" customFormat="false" ht="12.8" hidden="false" customHeight="false" outlineLevel="0" collapsed="false">
      <c r="A287" s="1"/>
      <c r="E287" s="10"/>
      <c r="F287" s="11"/>
      <c r="G287" s="12"/>
      <c r="H287" s="13"/>
      <c r="I287" s="14"/>
      <c r="J287" s="15"/>
      <c r="K287" s="15"/>
      <c r="L287" s="16"/>
    </row>
    <row r="288" customFormat="false" ht="12.8" hidden="false" customHeight="false" outlineLevel="0" collapsed="false">
      <c r="A288" s="1"/>
      <c r="B288" s="1"/>
      <c r="C288" s="1"/>
      <c r="D288" s="1"/>
      <c r="E288" s="10"/>
      <c r="F288" s="11"/>
      <c r="G288" s="12"/>
      <c r="H288" s="13"/>
      <c r="I288" s="14"/>
      <c r="J288" s="15"/>
      <c r="K288" s="15"/>
      <c r="L288" s="16"/>
    </row>
    <row r="289" customFormat="false" ht="12.8" hidden="false" customHeight="false" outlineLevel="0" collapsed="false">
      <c r="A289" s="1"/>
      <c r="E289" s="10"/>
      <c r="F289" s="11"/>
      <c r="G289" s="12"/>
      <c r="H289" s="13"/>
      <c r="I289" s="14"/>
      <c r="J289" s="15"/>
      <c r="K289" s="15"/>
      <c r="L289" s="16"/>
    </row>
    <row r="290" customFormat="false" ht="12.8" hidden="false" customHeight="false" outlineLevel="0" collapsed="false">
      <c r="A290" s="1"/>
      <c r="B290" s="1"/>
      <c r="C290" s="1"/>
      <c r="D290" s="1"/>
      <c r="E290" s="10"/>
      <c r="F290" s="11"/>
      <c r="G290" s="12"/>
      <c r="H290" s="13"/>
      <c r="I290" s="14"/>
      <c r="J290" s="15"/>
      <c r="K290" s="15"/>
      <c r="L290" s="16"/>
    </row>
    <row r="291" customFormat="false" ht="12.8" hidden="false" customHeight="false" outlineLevel="0" collapsed="false">
      <c r="A291" s="1"/>
      <c r="E291" s="10"/>
      <c r="F291" s="11"/>
      <c r="G291" s="12"/>
      <c r="H291" s="13"/>
      <c r="I291" s="14"/>
      <c r="J291" s="15"/>
      <c r="K291" s="15"/>
      <c r="L291" s="16"/>
    </row>
    <row r="292" customFormat="false" ht="12.8" hidden="false" customHeight="false" outlineLevel="0" collapsed="false">
      <c r="A292" s="1"/>
      <c r="E292" s="10"/>
      <c r="F292" s="11"/>
      <c r="G292" s="12"/>
      <c r="H292" s="13"/>
      <c r="I292" s="14"/>
      <c r="J292" s="15"/>
      <c r="K292" s="15"/>
      <c r="L292" s="16"/>
    </row>
    <row r="293" customFormat="false" ht="12.8" hidden="false" customHeight="false" outlineLevel="0" collapsed="false">
      <c r="A293" s="1"/>
      <c r="E293" s="10"/>
      <c r="F293" s="11"/>
      <c r="G293" s="12"/>
      <c r="H293" s="13"/>
      <c r="I293" s="14"/>
      <c r="J293" s="15"/>
      <c r="K293" s="15"/>
      <c r="L293" s="16"/>
    </row>
    <row r="294" customFormat="false" ht="12.8" hidden="false" customHeight="false" outlineLevel="0" collapsed="false">
      <c r="A294" s="1"/>
      <c r="B294" s="1"/>
      <c r="C294" s="1"/>
      <c r="D294" s="1"/>
      <c r="E294" s="10"/>
      <c r="F294" s="11"/>
      <c r="G294" s="12"/>
      <c r="H294" s="13"/>
      <c r="I294" s="14"/>
      <c r="J294" s="15"/>
      <c r="K294" s="15"/>
      <c r="L294" s="16"/>
    </row>
    <row r="295" customFormat="false" ht="12.8" hidden="false" customHeight="false" outlineLevel="0" collapsed="false">
      <c r="A295" s="1"/>
      <c r="E295" s="10"/>
      <c r="F295" s="11"/>
      <c r="G295" s="12"/>
      <c r="H295" s="13"/>
      <c r="I295" s="14"/>
      <c r="J295" s="15"/>
      <c r="K295" s="15"/>
      <c r="L295" s="16"/>
    </row>
    <row r="296" customFormat="false" ht="12.8" hidden="false" customHeight="false" outlineLevel="0" collapsed="false">
      <c r="A296" s="1"/>
      <c r="E296" s="10"/>
      <c r="F296" s="11"/>
      <c r="G296" s="12"/>
      <c r="H296" s="13"/>
      <c r="I296" s="14"/>
      <c r="J296" s="15"/>
      <c r="K296" s="15"/>
      <c r="L296" s="16"/>
    </row>
    <row r="297" customFormat="false" ht="12.8" hidden="false" customHeight="false" outlineLevel="0" collapsed="false">
      <c r="A297" s="1"/>
      <c r="E297" s="10"/>
      <c r="F297" s="11"/>
      <c r="G297" s="12"/>
      <c r="H297" s="13"/>
      <c r="I297" s="14"/>
      <c r="J297" s="15"/>
      <c r="K297" s="15"/>
      <c r="L297" s="16"/>
    </row>
    <row r="298" customFormat="false" ht="12.8" hidden="false" customHeight="false" outlineLevel="0" collapsed="false">
      <c r="A298" s="1"/>
      <c r="E298" s="10"/>
      <c r="F298" s="11"/>
      <c r="G298" s="12"/>
      <c r="H298" s="13"/>
      <c r="I298" s="14"/>
      <c r="J298" s="15"/>
      <c r="K298" s="15"/>
      <c r="L298" s="16"/>
    </row>
    <row r="299" customFormat="false" ht="12.8" hidden="false" customHeight="false" outlineLevel="0" collapsed="false">
      <c r="A299" s="1"/>
      <c r="E299" s="10"/>
      <c r="F299" s="11"/>
      <c r="G299" s="12"/>
      <c r="H299" s="13"/>
      <c r="I299" s="14"/>
      <c r="J299" s="15"/>
      <c r="K299" s="15"/>
      <c r="L299" s="16"/>
    </row>
    <row r="300" customFormat="false" ht="12.8" hidden="false" customHeight="false" outlineLevel="0" collapsed="false">
      <c r="A300" s="1"/>
      <c r="B300" s="1"/>
      <c r="C300" s="1"/>
      <c r="D300" s="1"/>
      <c r="E300" s="10"/>
      <c r="F300" s="11"/>
      <c r="G300" s="12"/>
      <c r="H300" s="13"/>
      <c r="I300" s="14"/>
      <c r="J300" s="15"/>
      <c r="K300" s="15"/>
      <c r="L300" s="16"/>
    </row>
    <row r="301" customFormat="false" ht="12.8" hidden="false" customHeight="false" outlineLevel="0" collapsed="false">
      <c r="A301" s="1"/>
      <c r="E301" s="10"/>
      <c r="F301" s="11"/>
      <c r="G301" s="12"/>
      <c r="H301" s="13"/>
      <c r="I301" s="14"/>
      <c r="J301" s="15"/>
      <c r="K301" s="15"/>
      <c r="L301" s="16"/>
    </row>
    <row r="302" customFormat="false" ht="12.8" hidden="false" customHeight="false" outlineLevel="0" collapsed="false">
      <c r="A302" s="1"/>
      <c r="E302" s="10"/>
      <c r="F302" s="11"/>
      <c r="G302" s="12"/>
      <c r="H302" s="13"/>
      <c r="I302" s="14"/>
      <c r="J302" s="15"/>
      <c r="K302" s="15"/>
      <c r="L302" s="16"/>
    </row>
    <row r="303" customFormat="false" ht="12.8" hidden="false" customHeight="false" outlineLevel="0" collapsed="false">
      <c r="A303" s="1"/>
      <c r="E303" s="10"/>
      <c r="F303" s="11"/>
      <c r="G303" s="12"/>
      <c r="H303" s="13"/>
      <c r="I303" s="14"/>
      <c r="J303" s="15"/>
      <c r="K303" s="15"/>
      <c r="L303" s="16"/>
    </row>
    <row r="304" customFormat="false" ht="12.8" hidden="false" customHeight="false" outlineLevel="0" collapsed="false">
      <c r="A304" s="1"/>
      <c r="B304" s="1"/>
      <c r="C304" s="1"/>
      <c r="D304" s="1"/>
      <c r="E304" s="10"/>
      <c r="F304" s="11"/>
      <c r="G304" s="12"/>
      <c r="H304" s="13"/>
      <c r="I304" s="14"/>
      <c r="J304" s="15"/>
      <c r="K304" s="15"/>
      <c r="L304" s="16"/>
    </row>
    <row r="305" customFormat="false" ht="12.8" hidden="false" customHeight="false" outlineLevel="0" collapsed="false">
      <c r="A305" s="1"/>
      <c r="E305" s="10"/>
      <c r="F305" s="11"/>
      <c r="G305" s="12"/>
      <c r="H305" s="13"/>
      <c r="I305" s="14"/>
      <c r="J305" s="15"/>
      <c r="K305" s="15"/>
      <c r="L305" s="16"/>
    </row>
    <row r="306" customFormat="false" ht="12.8" hidden="false" customHeight="false" outlineLevel="0" collapsed="false">
      <c r="A306" s="1"/>
      <c r="B306" s="1"/>
      <c r="C306" s="1"/>
      <c r="E306" s="10"/>
      <c r="F306" s="11"/>
      <c r="G306" s="12"/>
      <c r="H306" s="13"/>
      <c r="I306" s="14"/>
      <c r="J306" s="15"/>
      <c r="K306" s="15"/>
      <c r="L306" s="16"/>
    </row>
    <row r="307" customFormat="false" ht="12.8" hidden="false" customHeight="false" outlineLevel="0" collapsed="false">
      <c r="A307" s="1"/>
      <c r="E307" s="10"/>
      <c r="F307" s="11"/>
      <c r="G307" s="12"/>
      <c r="H307" s="13"/>
      <c r="I307" s="14"/>
      <c r="J307" s="15"/>
      <c r="K307" s="15"/>
      <c r="L307" s="16"/>
    </row>
    <row r="308" customFormat="false" ht="12.8" hidden="false" customHeight="false" outlineLevel="0" collapsed="false">
      <c r="E308" s="10"/>
      <c r="F308" s="11"/>
      <c r="G308" s="12"/>
      <c r="H308" s="13"/>
      <c r="I308" s="14"/>
      <c r="J308" s="15"/>
      <c r="K308" s="15"/>
      <c r="L308" s="16"/>
    </row>
    <row r="309" customFormat="false" ht="12.8" hidden="false" customHeight="false" outlineLevel="0" collapsed="false">
      <c r="A309" s="1"/>
      <c r="E309" s="10"/>
      <c r="F309" s="11"/>
      <c r="G309" s="12"/>
      <c r="H309" s="13"/>
      <c r="I309" s="14"/>
      <c r="J309" s="15"/>
      <c r="K309" s="15"/>
      <c r="L309" s="16"/>
    </row>
    <row r="310" customFormat="false" ht="12.8" hidden="false" customHeight="false" outlineLevel="0" collapsed="false">
      <c r="A310" s="1"/>
      <c r="B310" s="1"/>
      <c r="C310" s="1"/>
      <c r="D310" s="1"/>
      <c r="E310" s="10"/>
      <c r="F310" s="11"/>
      <c r="G310" s="12"/>
      <c r="H310" s="13"/>
      <c r="I310" s="14"/>
      <c r="J310" s="15"/>
      <c r="K310" s="15"/>
      <c r="L310" s="16"/>
    </row>
    <row r="311" customFormat="false" ht="12.8" hidden="false" customHeight="false" outlineLevel="0" collapsed="false">
      <c r="A311" s="1"/>
      <c r="E311" s="10"/>
      <c r="F311" s="11"/>
      <c r="G311" s="12"/>
      <c r="H311" s="13"/>
      <c r="I311" s="14"/>
      <c r="J311" s="15"/>
      <c r="K311" s="15"/>
      <c r="L311" s="16"/>
    </row>
    <row r="312" customFormat="false" ht="12.8" hidden="false" customHeight="false" outlineLevel="0" collapsed="false">
      <c r="A312" s="1"/>
      <c r="E312" s="10"/>
      <c r="F312" s="11"/>
      <c r="G312" s="12"/>
      <c r="H312" s="13"/>
      <c r="I312" s="14"/>
      <c r="J312" s="15"/>
      <c r="K312" s="15"/>
      <c r="L312" s="16"/>
    </row>
    <row r="313" customFormat="false" ht="12.8" hidden="false" customHeight="false" outlineLevel="0" collapsed="false">
      <c r="A313" s="1"/>
      <c r="E313" s="10"/>
      <c r="F313" s="11"/>
      <c r="G313" s="12"/>
      <c r="H313" s="13"/>
      <c r="I313" s="14"/>
      <c r="J313" s="15"/>
      <c r="K313" s="15"/>
      <c r="L313" s="16"/>
    </row>
    <row r="314" customFormat="false" ht="12.8" hidden="false" customHeight="false" outlineLevel="0" collapsed="false">
      <c r="A314" s="1"/>
      <c r="E314" s="10"/>
      <c r="F314" s="11"/>
      <c r="G314" s="12"/>
      <c r="H314" s="13"/>
      <c r="I314" s="14"/>
      <c r="J314" s="15"/>
      <c r="K314" s="15"/>
      <c r="L314" s="16"/>
    </row>
    <row r="315" customFormat="false" ht="12.8" hidden="false" customHeight="false" outlineLevel="0" collapsed="false">
      <c r="A315" s="1"/>
      <c r="E315" s="10"/>
      <c r="F315" s="11"/>
      <c r="G315" s="12"/>
      <c r="H315" s="13"/>
      <c r="I315" s="14"/>
      <c r="J315" s="15"/>
      <c r="K315" s="15"/>
      <c r="L315" s="16"/>
    </row>
    <row r="316" customFormat="false" ht="12.8" hidden="false" customHeight="false" outlineLevel="0" collapsed="false">
      <c r="A316" s="1"/>
      <c r="E316" s="10"/>
      <c r="F316" s="11"/>
      <c r="G316" s="12"/>
      <c r="H316" s="13"/>
      <c r="I316" s="14"/>
      <c r="J316" s="15"/>
      <c r="K316" s="15"/>
      <c r="L316" s="16"/>
    </row>
    <row r="317" customFormat="false" ht="12.8" hidden="false" customHeight="false" outlineLevel="0" collapsed="false">
      <c r="A317" s="1"/>
      <c r="B317" s="1"/>
      <c r="C317" s="1"/>
      <c r="D317" s="1"/>
      <c r="E317" s="10"/>
      <c r="F317" s="11"/>
      <c r="G317" s="12"/>
      <c r="H317" s="13"/>
      <c r="I317" s="14"/>
      <c r="J317" s="15"/>
      <c r="K317" s="15"/>
      <c r="L317" s="16"/>
    </row>
    <row r="318" customFormat="false" ht="12.8" hidden="false" customHeight="false" outlineLevel="0" collapsed="false">
      <c r="A318" s="1"/>
      <c r="E318" s="10"/>
      <c r="F318" s="11"/>
      <c r="G318" s="12"/>
      <c r="H318" s="13"/>
      <c r="I318" s="14"/>
      <c r="J318" s="15"/>
      <c r="K318" s="15"/>
      <c r="L318" s="16"/>
    </row>
    <row r="319" customFormat="false" ht="12.8" hidden="false" customHeight="false" outlineLevel="0" collapsed="false">
      <c r="A319" s="1"/>
      <c r="E319" s="10"/>
      <c r="F319" s="11"/>
      <c r="G319" s="12"/>
      <c r="H319" s="13"/>
      <c r="I319" s="14"/>
      <c r="J319" s="15"/>
      <c r="K319" s="15"/>
      <c r="L319" s="16"/>
    </row>
    <row r="320" customFormat="false" ht="12.8" hidden="false" customHeight="false" outlineLevel="0" collapsed="false">
      <c r="A320" s="1"/>
      <c r="E320" s="10"/>
      <c r="F320" s="11"/>
      <c r="G320" s="12"/>
      <c r="H320" s="13"/>
      <c r="I320" s="14"/>
      <c r="J320" s="15"/>
      <c r="K320" s="15"/>
      <c r="L320" s="16"/>
    </row>
    <row r="321" customFormat="false" ht="12.8" hidden="false" customHeight="false" outlineLevel="0" collapsed="false">
      <c r="A321" s="1"/>
      <c r="E321" s="10"/>
      <c r="F321" s="11"/>
      <c r="G321" s="12"/>
      <c r="H321" s="13"/>
      <c r="I321" s="14"/>
      <c r="J321" s="15"/>
      <c r="K321" s="15"/>
      <c r="L321" s="16"/>
    </row>
    <row r="322" customFormat="false" ht="12.8" hidden="false" customHeight="false" outlineLevel="0" collapsed="false">
      <c r="A322" s="1"/>
      <c r="E322" s="10"/>
      <c r="F322" s="11"/>
      <c r="G322" s="12"/>
      <c r="H322" s="13"/>
      <c r="I322" s="14"/>
      <c r="J322" s="15"/>
      <c r="K322" s="15"/>
      <c r="L322" s="16"/>
    </row>
    <row r="323" customFormat="false" ht="12.8" hidden="false" customHeight="false" outlineLevel="0" collapsed="false">
      <c r="A323" s="1"/>
      <c r="B323" s="1"/>
      <c r="C323" s="1"/>
      <c r="D323" s="1"/>
      <c r="E323" s="10"/>
      <c r="F323" s="11"/>
      <c r="G323" s="12"/>
      <c r="H323" s="13"/>
      <c r="I323" s="14"/>
      <c r="J323" s="15"/>
      <c r="K323" s="15"/>
      <c r="L323" s="16"/>
    </row>
    <row r="324" customFormat="false" ht="12.8" hidden="false" customHeight="false" outlineLevel="0" collapsed="false">
      <c r="A324" s="1"/>
      <c r="E324" s="10"/>
      <c r="F324" s="11"/>
      <c r="G324" s="12"/>
      <c r="H324" s="13"/>
      <c r="I324" s="14"/>
      <c r="J324" s="15"/>
      <c r="K324" s="15"/>
      <c r="L324" s="16"/>
    </row>
    <row r="325" customFormat="false" ht="12.8" hidden="false" customHeight="false" outlineLevel="0" collapsed="false">
      <c r="A325" s="1"/>
      <c r="E325" s="10"/>
      <c r="F325" s="11"/>
      <c r="G325" s="12"/>
      <c r="H325" s="13"/>
      <c r="I325" s="14"/>
      <c r="J325" s="15"/>
      <c r="K325" s="15"/>
      <c r="L325" s="16"/>
    </row>
    <row r="326" customFormat="false" ht="12.8" hidden="false" customHeight="false" outlineLevel="0" collapsed="false">
      <c r="A326" s="1"/>
      <c r="B326" s="1"/>
      <c r="C326" s="1"/>
      <c r="D326" s="1"/>
      <c r="E326" s="10"/>
      <c r="F326" s="11"/>
      <c r="G326" s="12"/>
      <c r="H326" s="13"/>
      <c r="I326" s="14"/>
      <c r="J326" s="15"/>
      <c r="K326" s="15"/>
      <c r="L326" s="16"/>
    </row>
    <row r="327" customFormat="false" ht="12.8" hidden="false" customHeight="false" outlineLevel="0" collapsed="false">
      <c r="A327" s="1"/>
      <c r="E327" s="10"/>
      <c r="F327" s="11"/>
      <c r="G327" s="12"/>
      <c r="H327" s="13"/>
      <c r="I327" s="14"/>
      <c r="J327" s="15"/>
      <c r="K327" s="15"/>
      <c r="L327" s="16"/>
    </row>
    <row r="328" customFormat="false" ht="12.8" hidden="false" customHeight="false" outlineLevel="0" collapsed="false">
      <c r="E328" s="10"/>
      <c r="F328" s="11"/>
      <c r="G328" s="12"/>
      <c r="H328" s="13"/>
      <c r="I328" s="14"/>
      <c r="J328" s="15"/>
      <c r="K328" s="15"/>
      <c r="L328" s="16"/>
    </row>
    <row r="329" customFormat="false" ht="12.8" hidden="false" customHeight="false" outlineLevel="0" collapsed="false">
      <c r="A329" s="1"/>
      <c r="E329" s="10"/>
      <c r="F329" s="11"/>
      <c r="G329" s="12"/>
      <c r="H329" s="13"/>
      <c r="I329" s="14"/>
      <c r="J329" s="15"/>
      <c r="K329" s="15"/>
      <c r="L329" s="16"/>
    </row>
    <row r="330" customFormat="false" ht="12.8" hidden="false" customHeight="false" outlineLevel="0" collapsed="false">
      <c r="A330" s="1"/>
      <c r="E330" s="10"/>
      <c r="F330" s="11"/>
      <c r="G330" s="12"/>
      <c r="H330" s="13"/>
      <c r="I330" s="14"/>
      <c r="J330" s="15"/>
      <c r="K330" s="15"/>
      <c r="L330" s="16"/>
    </row>
    <row r="331" customFormat="false" ht="12.8" hidden="false" customHeight="false" outlineLevel="0" collapsed="false">
      <c r="A331" s="1"/>
      <c r="B331" s="1"/>
      <c r="C331" s="1"/>
      <c r="D331" s="1"/>
      <c r="E331" s="10"/>
      <c r="F331" s="11"/>
      <c r="G331" s="12"/>
      <c r="H331" s="13"/>
      <c r="I331" s="14"/>
      <c r="J331" s="15"/>
      <c r="K331" s="15"/>
      <c r="L331" s="16"/>
    </row>
    <row r="332" customFormat="false" ht="12.8" hidden="false" customHeight="false" outlineLevel="0" collapsed="false">
      <c r="A332" s="1"/>
      <c r="E332" s="10"/>
      <c r="F332" s="11"/>
      <c r="G332" s="12"/>
      <c r="H332" s="13"/>
      <c r="I332" s="14"/>
      <c r="J332" s="15"/>
      <c r="K332" s="15"/>
      <c r="L332" s="16"/>
    </row>
    <row r="333" customFormat="false" ht="12.8" hidden="false" customHeight="false" outlineLevel="0" collapsed="false">
      <c r="A333" s="1"/>
      <c r="E333" s="10"/>
      <c r="F333" s="11"/>
      <c r="G333" s="12"/>
      <c r="H333" s="13"/>
      <c r="I333" s="14"/>
      <c r="J333" s="15"/>
      <c r="K333" s="15"/>
      <c r="L333" s="16"/>
    </row>
    <row r="334" customFormat="false" ht="12.8" hidden="false" customHeight="false" outlineLevel="0" collapsed="false">
      <c r="A334" s="1"/>
      <c r="E334" s="10"/>
      <c r="F334" s="11"/>
      <c r="G334" s="12"/>
      <c r="H334" s="13"/>
      <c r="I334" s="14"/>
      <c r="J334" s="15"/>
      <c r="K334" s="15"/>
      <c r="L334" s="16"/>
    </row>
    <row r="335" customFormat="false" ht="12.8" hidden="false" customHeight="false" outlineLevel="0" collapsed="false">
      <c r="A335" s="1"/>
      <c r="E335" s="10"/>
      <c r="F335" s="11"/>
      <c r="G335" s="12"/>
      <c r="H335" s="13"/>
      <c r="I335" s="14"/>
      <c r="J335" s="15"/>
      <c r="K335" s="15"/>
      <c r="L335" s="16"/>
    </row>
    <row r="336" customFormat="false" ht="12.8" hidden="false" customHeight="false" outlineLevel="0" collapsed="false">
      <c r="A336" s="1"/>
      <c r="E336" s="10"/>
      <c r="F336" s="11"/>
      <c r="G336" s="12"/>
      <c r="H336" s="13"/>
      <c r="I336" s="14"/>
      <c r="J336" s="15"/>
      <c r="K336" s="15"/>
      <c r="L336" s="16"/>
    </row>
    <row r="337" customFormat="false" ht="12.8" hidden="false" customHeight="false" outlineLevel="0" collapsed="false">
      <c r="A337" s="1"/>
      <c r="E337" s="10"/>
      <c r="F337" s="11"/>
      <c r="G337" s="12"/>
      <c r="H337" s="13"/>
      <c r="I337" s="14"/>
      <c r="J337" s="15"/>
      <c r="K337" s="15"/>
      <c r="L337" s="16"/>
    </row>
    <row r="338" customFormat="false" ht="12.8" hidden="false" customHeight="false" outlineLevel="0" collapsed="false">
      <c r="A338" s="1"/>
      <c r="E338" s="10"/>
      <c r="F338" s="11"/>
      <c r="G338" s="12"/>
      <c r="H338" s="13"/>
      <c r="I338" s="14"/>
      <c r="J338" s="15"/>
      <c r="K338" s="15"/>
      <c r="L338" s="16"/>
    </row>
    <row r="339" customFormat="false" ht="12.8" hidden="false" customHeight="false" outlineLevel="0" collapsed="false">
      <c r="A339" s="1"/>
      <c r="E339" s="10"/>
      <c r="F339" s="11"/>
      <c r="G339" s="12"/>
      <c r="H339" s="13"/>
      <c r="I339" s="14"/>
      <c r="J339" s="15"/>
      <c r="K339" s="15"/>
      <c r="L339" s="16"/>
    </row>
    <row r="340" customFormat="false" ht="12.8" hidden="false" customHeight="false" outlineLevel="0" collapsed="false">
      <c r="A340" s="1"/>
      <c r="B340" s="1"/>
      <c r="C340" s="1"/>
      <c r="D340" s="1"/>
      <c r="E340" s="10"/>
      <c r="F340" s="11"/>
      <c r="G340" s="12"/>
      <c r="H340" s="13"/>
      <c r="I340" s="14"/>
      <c r="J340" s="15"/>
      <c r="K340" s="15"/>
      <c r="L340" s="16"/>
    </row>
    <row r="341" customFormat="false" ht="12.8" hidden="false" customHeight="false" outlineLevel="0" collapsed="false">
      <c r="A341" s="1"/>
      <c r="E341" s="10"/>
      <c r="F341" s="11"/>
      <c r="G341" s="12"/>
      <c r="H341" s="13"/>
      <c r="I341" s="14"/>
      <c r="J341" s="15"/>
      <c r="K341" s="15"/>
      <c r="L341" s="16"/>
    </row>
    <row r="342" customFormat="false" ht="12.8" hidden="false" customHeight="false" outlineLevel="0" collapsed="false">
      <c r="A342" s="1"/>
      <c r="E342" s="10"/>
      <c r="F342" s="11"/>
      <c r="G342" s="12"/>
      <c r="H342" s="13"/>
      <c r="I342" s="14"/>
      <c r="J342" s="15"/>
      <c r="K342" s="15"/>
      <c r="L342" s="16"/>
    </row>
    <row r="343" customFormat="false" ht="12.8" hidden="false" customHeight="false" outlineLevel="0" collapsed="false">
      <c r="A343" s="1"/>
      <c r="E343" s="10"/>
      <c r="F343" s="11"/>
      <c r="G343" s="12"/>
      <c r="H343" s="13"/>
      <c r="I343" s="14"/>
      <c r="J343" s="15"/>
      <c r="K343" s="15"/>
      <c r="L343" s="16"/>
    </row>
    <row r="344" customFormat="false" ht="12.8" hidden="false" customHeight="false" outlineLevel="0" collapsed="false">
      <c r="A344" s="1"/>
      <c r="E344" s="10"/>
      <c r="F344" s="11"/>
      <c r="G344" s="12"/>
      <c r="H344" s="13"/>
      <c r="I344" s="14"/>
      <c r="J344" s="15"/>
      <c r="K344" s="15"/>
      <c r="L344" s="16"/>
    </row>
    <row r="345" customFormat="false" ht="12.8" hidden="false" customHeight="false" outlineLevel="0" collapsed="false">
      <c r="A345" s="1"/>
      <c r="B345" s="1"/>
      <c r="C345" s="1"/>
      <c r="D345" s="1"/>
      <c r="E345" s="10"/>
      <c r="F345" s="11"/>
      <c r="G345" s="12"/>
      <c r="H345" s="13"/>
      <c r="I345" s="14"/>
      <c r="J345" s="15"/>
      <c r="K345" s="15"/>
      <c r="L345" s="16"/>
    </row>
    <row r="346" customFormat="false" ht="12.8" hidden="false" customHeight="false" outlineLevel="0" collapsed="false">
      <c r="A346" s="1"/>
      <c r="E346" s="10"/>
      <c r="F346" s="11"/>
      <c r="G346" s="12"/>
      <c r="H346" s="13"/>
      <c r="I346" s="14"/>
      <c r="J346" s="15"/>
      <c r="K346" s="15"/>
      <c r="L346" s="16"/>
    </row>
    <row r="347" customFormat="false" ht="12.8" hidden="false" customHeight="false" outlineLevel="0" collapsed="false">
      <c r="A347" s="1"/>
      <c r="E347" s="10"/>
      <c r="F347" s="11"/>
      <c r="G347" s="12"/>
      <c r="H347" s="13"/>
      <c r="I347" s="14"/>
      <c r="J347" s="15"/>
      <c r="K347" s="15"/>
      <c r="L347" s="16"/>
    </row>
    <row r="348" customFormat="false" ht="12.8" hidden="false" customHeight="false" outlineLevel="0" collapsed="false">
      <c r="A348" s="1"/>
      <c r="E348" s="10"/>
      <c r="F348" s="11"/>
      <c r="G348" s="12"/>
      <c r="H348" s="13"/>
      <c r="I348" s="14"/>
      <c r="J348" s="15"/>
      <c r="K348" s="15"/>
      <c r="L348" s="16"/>
    </row>
    <row r="349" customFormat="false" ht="12.8" hidden="false" customHeight="false" outlineLevel="0" collapsed="false">
      <c r="A349" s="1"/>
      <c r="E349" s="10"/>
      <c r="F349" s="11"/>
      <c r="G349" s="12"/>
      <c r="H349" s="13"/>
      <c r="I349" s="14"/>
      <c r="J349" s="15"/>
      <c r="K349" s="15"/>
      <c r="L349" s="16"/>
    </row>
    <row r="350" customFormat="false" ht="12.8" hidden="false" customHeight="false" outlineLevel="0" collapsed="false">
      <c r="A350" s="1"/>
      <c r="E350" s="10"/>
      <c r="F350" s="11"/>
      <c r="G350" s="12"/>
      <c r="H350" s="13"/>
      <c r="I350" s="14"/>
      <c r="J350" s="15"/>
      <c r="K350" s="15"/>
      <c r="L350" s="16"/>
    </row>
    <row r="351" customFormat="false" ht="12.8" hidden="false" customHeight="false" outlineLevel="0" collapsed="false">
      <c r="A351" s="1"/>
      <c r="B351" s="1"/>
      <c r="C351" s="1"/>
      <c r="D351" s="1"/>
      <c r="E351" s="10"/>
      <c r="F351" s="11"/>
      <c r="G351" s="12"/>
      <c r="H351" s="13"/>
      <c r="I351" s="14"/>
      <c r="J351" s="15"/>
      <c r="K351" s="15"/>
      <c r="L351" s="16"/>
    </row>
    <row r="352" customFormat="false" ht="12.8" hidden="false" customHeight="false" outlineLevel="0" collapsed="false">
      <c r="A352" s="1"/>
      <c r="E352" s="10"/>
      <c r="F352" s="11"/>
      <c r="G352" s="12"/>
      <c r="H352" s="13"/>
      <c r="I352" s="14"/>
      <c r="J352" s="15"/>
      <c r="K352" s="15"/>
      <c r="L352" s="16"/>
    </row>
    <row r="353" customFormat="false" ht="12.8" hidden="false" customHeight="false" outlineLevel="0" collapsed="false">
      <c r="E353" s="10"/>
      <c r="F353" s="11"/>
      <c r="G353" s="12"/>
      <c r="H353" s="13"/>
      <c r="I353" s="14"/>
      <c r="J353" s="15"/>
      <c r="K353" s="15"/>
      <c r="L353" s="16"/>
    </row>
    <row r="354" customFormat="false" ht="12.8" hidden="false" customHeight="false" outlineLevel="0" collapsed="false">
      <c r="A354" s="1"/>
      <c r="E354" s="10"/>
      <c r="F354" s="11"/>
      <c r="G354" s="12"/>
      <c r="H354" s="13"/>
      <c r="I354" s="14"/>
      <c r="J354" s="15"/>
      <c r="K354" s="15"/>
      <c r="L354" s="16"/>
    </row>
    <row r="355" customFormat="false" ht="12.8" hidden="false" customHeight="false" outlineLevel="0" collapsed="false">
      <c r="A355" s="1"/>
      <c r="E355" s="10"/>
      <c r="F355" s="11"/>
      <c r="G355" s="12"/>
      <c r="H355" s="13"/>
      <c r="I355" s="14"/>
      <c r="J355" s="15"/>
      <c r="K355" s="15"/>
      <c r="L355" s="16"/>
    </row>
    <row r="356" customFormat="false" ht="12.8" hidden="false" customHeight="false" outlineLevel="0" collapsed="false">
      <c r="A356" s="1"/>
      <c r="E356" s="10"/>
      <c r="F356" s="11"/>
      <c r="G356" s="12"/>
      <c r="H356" s="13"/>
      <c r="I356" s="14"/>
      <c r="J356" s="15"/>
      <c r="K356" s="15"/>
      <c r="L356" s="16"/>
    </row>
    <row r="357" customFormat="false" ht="12.8" hidden="false" customHeight="false" outlineLevel="0" collapsed="false">
      <c r="A357" s="1"/>
      <c r="E357" s="10"/>
      <c r="F357" s="11"/>
      <c r="G357" s="12"/>
      <c r="H357" s="13"/>
      <c r="I357" s="14"/>
      <c r="J357" s="15"/>
      <c r="K357" s="15"/>
      <c r="L357" s="16"/>
    </row>
    <row r="358" customFormat="false" ht="12.8" hidden="false" customHeight="false" outlineLevel="0" collapsed="false">
      <c r="A358" s="1"/>
      <c r="B358" s="1"/>
      <c r="C358" s="1"/>
      <c r="D358" s="1"/>
      <c r="E358" s="10"/>
      <c r="F358" s="11"/>
      <c r="G358" s="12"/>
      <c r="H358" s="13"/>
      <c r="I358" s="14"/>
      <c r="J358" s="15"/>
      <c r="K358" s="15"/>
      <c r="L358" s="16"/>
    </row>
    <row r="359" customFormat="false" ht="12.8" hidden="false" customHeight="false" outlineLevel="0" collapsed="false">
      <c r="A359" s="1"/>
      <c r="E359" s="10"/>
      <c r="F359" s="11"/>
      <c r="G359" s="12"/>
      <c r="H359" s="13"/>
      <c r="I359" s="14"/>
      <c r="J359" s="15"/>
      <c r="K359" s="15"/>
      <c r="L359" s="16"/>
    </row>
    <row r="360" customFormat="false" ht="12.8" hidden="false" customHeight="false" outlineLevel="0" collapsed="false">
      <c r="A360" s="1"/>
      <c r="E360" s="10"/>
      <c r="F360" s="11"/>
      <c r="G360" s="12"/>
      <c r="H360" s="13"/>
      <c r="I360" s="14"/>
      <c r="J360" s="15"/>
      <c r="K360" s="15"/>
      <c r="L360" s="16"/>
    </row>
    <row r="361" customFormat="false" ht="12.8" hidden="false" customHeight="false" outlineLevel="0" collapsed="false">
      <c r="A361" s="1"/>
      <c r="B361" s="1"/>
      <c r="C361" s="1"/>
      <c r="D361" s="1"/>
      <c r="E361" s="10"/>
      <c r="F361" s="11"/>
      <c r="G361" s="12"/>
      <c r="H361" s="13"/>
      <c r="I361" s="14"/>
      <c r="J361" s="15"/>
      <c r="K361" s="15"/>
      <c r="L361" s="16"/>
    </row>
    <row r="362" customFormat="false" ht="12.8" hidden="false" customHeight="false" outlineLevel="0" collapsed="false">
      <c r="A362" s="1"/>
      <c r="E362" s="10"/>
      <c r="F362" s="11"/>
      <c r="G362" s="12"/>
      <c r="H362" s="13"/>
      <c r="I362" s="14"/>
      <c r="J362" s="15"/>
      <c r="K362" s="15"/>
      <c r="L362" s="16"/>
    </row>
    <row r="363" customFormat="false" ht="12.8" hidden="false" customHeight="false" outlineLevel="0" collapsed="false">
      <c r="A363" s="1"/>
      <c r="E363" s="10"/>
      <c r="F363" s="11"/>
      <c r="G363" s="12"/>
      <c r="H363" s="13"/>
      <c r="I363" s="14"/>
      <c r="J363" s="15"/>
      <c r="K363" s="15"/>
      <c r="L363" s="16"/>
    </row>
    <row r="364" customFormat="false" ht="12.8" hidden="false" customHeight="false" outlineLevel="0" collapsed="false">
      <c r="E364" s="10"/>
      <c r="F364" s="11"/>
      <c r="G364" s="12"/>
      <c r="H364" s="13"/>
      <c r="I364" s="14"/>
      <c r="J364" s="15"/>
      <c r="K364" s="15"/>
      <c r="L364" s="16"/>
    </row>
    <row r="365" customFormat="false" ht="12.8" hidden="false" customHeight="false" outlineLevel="0" collapsed="false">
      <c r="A365" s="1"/>
      <c r="E365" s="10"/>
      <c r="F365" s="11"/>
      <c r="G365" s="12"/>
      <c r="H365" s="13"/>
      <c r="I365" s="14"/>
      <c r="J365" s="15"/>
      <c r="K365" s="15"/>
      <c r="L365" s="16"/>
    </row>
    <row r="366" customFormat="false" ht="12.8" hidden="false" customHeight="false" outlineLevel="0" collapsed="false">
      <c r="A366" s="1"/>
      <c r="E366" s="10"/>
      <c r="F366" s="11"/>
      <c r="G366" s="12"/>
      <c r="H366" s="13"/>
      <c r="I366" s="14"/>
      <c r="J366" s="15"/>
      <c r="K366" s="15"/>
      <c r="L366" s="16"/>
    </row>
    <row r="367" customFormat="false" ht="12.8" hidden="false" customHeight="false" outlineLevel="0" collapsed="false">
      <c r="A367" s="1"/>
      <c r="E367" s="10"/>
      <c r="F367" s="11"/>
      <c r="G367" s="12"/>
      <c r="H367" s="13"/>
      <c r="I367" s="14"/>
      <c r="J367" s="15"/>
      <c r="K367" s="15"/>
      <c r="L367" s="16"/>
    </row>
    <row r="368" customFormat="false" ht="12.8" hidden="false" customHeight="false" outlineLevel="0" collapsed="false">
      <c r="A368" s="1"/>
      <c r="B368" s="1"/>
      <c r="C368" s="1"/>
      <c r="D368" s="1"/>
      <c r="E368" s="10"/>
      <c r="F368" s="11"/>
      <c r="G368" s="12"/>
      <c r="H368" s="13"/>
      <c r="I368" s="14"/>
      <c r="J368" s="15"/>
      <c r="K368" s="15"/>
      <c r="L368" s="16"/>
    </row>
    <row r="369" customFormat="false" ht="12.8" hidden="false" customHeight="false" outlineLevel="0" collapsed="false">
      <c r="A369" s="1"/>
      <c r="E369" s="10"/>
      <c r="F369" s="11"/>
      <c r="G369" s="12"/>
      <c r="H369" s="13"/>
      <c r="I369" s="14"/>
      <c r="J369" s="15"/>
      <c r="K369" s="15"/>
      <c r="L369" s="16"/>
    </row>
    <row r="370" customFormat="false" ht="12.8" hidden="false" customHeight="false" outlineLevel="0" collapsed="false">
      <c r="A370" s="1"/>
      <c r="E370" s="10"/>
      <c r="F370" s="11"/>
      <c r="G370" s="12"/>
      <c r="H370" s="13"/>
      <c r="I370" s="14"/>
      <c r="J370" s="15"/>
      <c r="K370" s="15"/>
      <c r="L370" s="16"/>
    </row>
    <row r="371" customFormat="false" ht="12.8" hidden="false" customHeight="false" outlineLevel="0" collapsed="false">
      <c r="E371" s="10"/>
      <c r="F371" s="11"/>
      <c r="G371" s="12"/>
      <c r="H371" s="13"/>
      <c r="I371" s="14"/>
      <c r="J371" s="15"/>
      <c r="K371" s="15"/>
      <c r="L371" s="16"/>
    </row>
    <row r="372" customFormat="false" ht="12.8" hidden="false" customHeight="false" outlineLevel="0" collapsed="false">
      <c r="A372" s="1"/>
      <c r="E372" s="10"/>
      <c r="F372" s="11"/>
      <c r="G372" s="12"/>
      <c r="H372" s="13"/>
      <c r="I372" s="14"/>
      <c r="J372" s="15"/>
      <c r="K372" s="15"/>
      <c r="L372" s="16"/>
    </row>
    <row r="373" customFormat="false" ht="12.8" hidden="false" customHeight="false" outlineLevel="0" collapsed="false">
      <c r="A373" s="1"/>
      <c r="E373" s="10"/>
      <c r="F373" s="11"/>
      <c r="G373" s="12"/>
      <c r="H373" s="13"/>
      <c r="I373" s="14"/>
      <c r="J373" s="15"/>
      <c r="K373" s="15"/>
      <c r="L373" s="16"/>
    </row>
    <row r="374" customFormat="false" ht="12.8" hidden="false" customHeight="false" outlineLevel="0" collapsed="false">
      <c r="A374" s="1"/>
      <c r="E374" s="10"/>
      <c r="F374" s="11"/>
      <c r="G374" s="12"/>
      <c r="H374" s="13"/>
      <c r="I374" s="14"/>
      <c r="J374" s="15"/>
      <c r="K374" s="15"/>
      <c r="L374" s="16"/>
    </row>
    <row r="375" customFormat="false" ht="12.8" hidden="false" customHeight="false" outlineLevel="0" collapsed="false">
      <c r="A375" s="1"/>
      <c r="E375" s="10"/>
      <c r="F375" s="11"/>
      <c r="G375" s="12"/>
      <c r="H375" s="13"/>
      <c r="I375" s="14"/>
      <c r="J375" s="15"/>
      <c r="K375" s="15"/>
      <c r="L375" s="16"/>
    </row>
    <row r="376" customFormat="false" ht="12.8" hidden="false" customHeight="false" outlineLevel="0" collapsed="false">
      <c r="A376" s="1"/>
      <c r="E376" s="10"/>
      <c r="F376" s="11"/>
      <c r="G376" s="12"/>
      <c r="H376" s="13"/>
      <c r="I376" s="14"/>
      <c r="J376" s="15"/>
      <c r="K376" s="15"/>
      <c r="L376" s="16"/>
    </row>
    <row r="377" customFormat="false" ht="12.8" hidden="false" customHeight="false" outlineLevel="0" collapsed="false">
      <c r="A377" s="1"/>
      <c r="E377" s="10"/>
      <c r="F377" s="11"/>
      <c r="G377" s="12"/>
      <c r="H377" s="13"/>
      <c r="I377" s="14"/>
      <c r="J377" s="15"/>
      <c r="K377" s="15"/>
      <c r="L377" s="16"/>
    </row>
    <row r="378" customFormat="false" ht="12.8" hidden="false" customHeight="false" outlineLevel="0" collapsed="false">
      <c r="A378" s="1"/>
      <c r="B378" s="1"/>
      <c r="C378" s="1"/>
      <c r="D378" s="1"/>
      <c r="E378" s="10"/>
      <c r="F378" s="11"/>
      <c r="G378" s="12"/>
      <c r="H378" s="13"/>
      <c r="I378" s="14"/>
      <c r="J378" s="15"/>
      <c r="K378" s="15"/>
      <c r="L378" s="16"/>
    </row>
    <row r="379" customFormat="false" ht="12.8" hidden="false" customHeight="false" outlineLevel="0" collapsed="false">
      <c r="A379" s="1"/>
      <c r="E379" s="10"/>
      <c r="F379" s="11"/>
      <c r="G379" s="12"/>
      <c r="H379" s="13"/>
      <c r="I379" s="14"/>
      <c r="J379" s="15"/>
      <c r="K379" s="15"/>
      <c r="L379" s="16"/>
    </row>
    <row r="380" customFormat="false" ht="12.8" hidden="false" customHeight="false" outlineLevel="0" collapsed="false">
      <c r="A380" s="1"/>
      <c r="B380" s="1"/>
      <c r="C380" s="1"/>
      <c r="D380" s="1"/>
      <c r="E380" s="10"/>
      <c r="F380" s="11"/>
      <c r="G380" s="12"/>
      <c r="H380" s="13"/>
      <c r="I380" s="14"/>
      <c r="J380" s="15"/>
      <c r="K380" s="15"/>
      <c r="L380" s="16"/>
    </row>
    <row r="381" customFormat="false" ht="12.8" hidden="false" customHeight="false" outlineLevel="0" collapsed="false">
      <c r="A381" s="1"/>
      <c r="B381" s="1"/>
      <c r="C381" s="1"/>
      <c r="D381" s="1"/>
      <c r="E381" s="10"/>
      <c r="F381" s="11"/>
      <c r="G381" s="12"/>
      <c r="H381" s="13"/>
      <c r="I381" s="14"/>
      <c r="J381" s="15"/>
      <c r="K381" s="15"/>
      <c r="L381" s="16"/>
    </row>
    <row r="382" customFormat="false" ht="12.8" hidden="false" customHeight="false" outlineLevel="0" collapsed="false">
      <c r="A382" s="1"/>
      <c r="B382" s="1"/>
      <c r="C382" s="1"/>
      <c r="D382" s="1"/>
      <c r="E382" s="10"/>
      <c r="F382" s="11"/>
      <c r="G382" s="12"/>
      <c r="H382" s="13"/>
      <c r="I382" s="14"/>
      <c r="J382" s="15"/>
      <c r="K382" s="15"/>
      <c r="L382" s="16"/>
    </row>
    <row r="383" customFormat="false" ht="12.8" hidden="false" customHeight="false" outlineLevel="0" collapsed="false">
      <c r="A383" s="1"/>
      <c r="E383" s="10"/>
      <c r="F383" s="11"/>
      <c r="G383" s="12"/>
      <c r="H383" s="13"/>
      <c r="I383" s="14"/>
      <c r="J383" s="15"/>
      <c r="K383" s="15"/>
      <c r="L383" s="16"/>
    </row>
    <row r="384" customFormat="false" ht="12.8" hidden="false" customHeight="false" outlineLevel="0" collapsed="false">
      <c r="A384" s="1"/>
      <c r="E384" s="10"/>
      <c r="F384" s="11"/>
      <c r="G384" s="12"/>
      <c r="H384" s="13"/>
      <c r="I384" s="14"/>
      <c r="J384" s="15"/>
      <c r="K384" s="15"/>
      <c r="L384" s="16"/>
    </row>
    <row r="385" customFormat="false" ht="12.8" hidden="false" customHeight="false" outlineLevel="0" collapsed="false">
      <c r="A385" s="1"/>
      <c r="E385" s="10"/>
      <c r="F385" s="11"/>
      <c r="G385" s="12"/>
      <c r="H385" s="13"/>
      <c r="I385" s="14"/>
      <c r="J385" s="15"/>
      <c r="K385" s="15"/>
      <c r="L385" s="16"/>
    </row>
    <row r="386" customFormat="false" ht="12.8" hidden="false" customHeight="false" outlineLevel="0" collapsed="false">
      <c r="A386" s="1"/>
      <c r="E386" s="10"/>
      <c r="F386" s="11"/>
      <c r="G386" s="12"/>
      <c r="H386" s="13"/>
      <c r="I386" s="14"/>
      <c r="J386" s="15"/>
      <c r="K386" s="15"/>
      <c r="L386" s="16"/>
    </row>
    <row r="387" customFormat="false" ht="12.8" hidden="false" customHeight="false" outlineLevel="0" collapsed="false">
      <c r="A387" s="1"/>
      <c r="B387" s="1"/>
      <c r="C387" s="1"/>
      <c r="E387" s="10"/>
      <c r="F387" s="11"/>
      <c r="G387" s="12"/>
      <c r="H387" s="13"/>
      <c r="I387" s="14"/>
      <c r="J387" s="15"/>
      <c r="K387" s="15"/>
      <c r="L387" s="16"/>
    </row>
    <row r="388" customFormat="false" ht="12.8" hidden="false" customHeight="false" outlineLevel="0" collapsed="false">
      <c r="A388" s="1"/>
      <c r="E388" s="10"/>
      <c r="F388" s="11"/>
      <c r="G388" s="12"/>
      <c r="H388" s="13"/>
      <c r="I388" s="14"/>
      <c r="J388" s="15"/>
      <c r="K388" s="15"/>
      <c r="L388" s="16"/>
    </row>
    <row r="389" customFormat="false" ht="12.8" hidden="false" customHeight="false" outlineLevel="0" collapsed="false">
      <c r="A389" s="1"/>
      <c r="E389" s="10"/>
      <c r="F389" s="11"/>
      <c r="G389" s="12"/>
      <c r="H389" s="13"/>
      <c r="I389" s="14"/>
      <c r="J389" s="15"/>
      <c r="K389" s="15"/>
      <c r="L389" s="16"/>
    </row>
    <row r="390" customFormat="false" ht="12.8" hidden="false" customHeight="false" outlineLevel="0" collapsed="false">
      <c r="A390" s="1"/>
      <c r="E390" s="10"/>
      <c r="F390" s="11"/>
      <c r="G390" s="12"/>
      <c r="H390" s="13"/>
      <c r="I390" s="14"/>
      <c r="J390" s="15"/>
      <c r="K390" s="15"/>
      <c r="L390" s="16"/>
    </row>
    <row r="391" customFormat="false" ht="12.8" hidden="false" customHeight="false" outlineLevel="0" collapsed="false">
      <c r="A391" s="1"/>
      <c r="E391" s="10"/>
      <c r="F391" s="11"/>
      <c r="G391" s="12"/>
      <c r="H391" s="13"/>
      <c r="I391" s="14"/>
      <c r="J391" s="15"/>
      <c r="K391" s="15"/>
      <c r="L391" s="16"/>
    </row>
    <row r="392" customFormat="false" ht="12.8" hidden="false" customHeight="false" outlineLevel="0" collapsed="false">
      <c r="A392" s="1"/>
      <c r="E392" s="10"/>
      <c r="F392" s="11"/>
      <c r="G392" s="12"/>
      <c r="H392" s="13"/>
      <c r="I392" s="14"/>
      <c r="J392" s="15"/>
      <c r="K392" s="15"/>
      <c r="L392" s="16"/>
    </row>
    <row r="393" customFormat="false" ht="12.8" hidden="false" customHeight="false" outlineLevel="0" collapsed="false">
      <c r="A393" s="1"/>
      <c r="B393" s="1"/>
      <c r="C393" s="1"/>
      <c r="D393" s="1"/>
      <c r="E393" s="10"/>
      <c r="F393" s="11"/>
      <c r="G393" s="12"/>
      <c r="H393" s="13"/>
      <c r="I393" s="14"/>
      <c r="J393" s="15"/>
      <c r="K393" s="15"/>
      <c r="L393" s="16"/>
    </row>
    <row r="394" customFormat="false" ht="12.8" hidden="false" customHeight="false" outlineLevel="0" collapsed="false">
      <c r="A394" s="1"/>
      <c r="E394" s="10"/>
      <c r="F394" s="11"/>
      <c r="G394" s="12"/>
      <c r="H394" s="13"/>
      <c r="I394" s="14"/>
      <c r="J394" s="15"/>
      <c r="K394" s="15"/>
      <c r="L394" s="16"/>
    </row>
    <row r="395" customFormat="false" ht="12.8" hidden="false" customHeight="false" outlineLevel="0" collapsed="false">
      <c r="A395" s="1"/>
      <c r="B395" s="1"/>
      <c r="C395" s="1"/>
      <c r="D395" s="1"/>
      <c r="E395" s="10"/>
      <c r="F395" s="11"/>
      <c r="G395" s="12"/>
      <c r="H395" s="13"/>
      <c r="I395" s="14"/>
      <c r="J395" s="15"/>
      <c r="K395" s="15"/>
      <c r="L395" s="16"/>
    </row>
    <row r="396" customFormat="false" ht="12.8" hidden="false" customHeight="false" outlineLevel="0" collapsed="false">
      <c r="A396" s="1"/>
      <c r="E396" s="10"/>
      <c r="F396" s="11"/>
      <c r="G396" s="12"/>
      <c r="H396" s="13"/>
      <c r="I396" s="14"/>
      <c r="J396" s="15"/>
      <c r="K396" s="15"/>
      <c r="L396" s="16"/>
    </row>
    <row r="397" customFormat="false" ht="12.8" hidden="false" customHeight="false" outlineLevel="0" collapsed="false">
      <c r="A397" s="1"/>
      <c r="E397" s="10"/>
      <c r="F397" s="11"/>
      <c r="G397" s="12"/>
      <c r="H397" s="13"/>
      <c r="I397" s="14"/>
      <c r="J397" s="15"/>
      <c r="K397" s="15"/>
      <c r="L397" s="16"/>
    </row>
    <row r="398" customFormat="false" ht="12.8" hidden="false" customHeight="false" outlineLevel="0" collapsed="false">
      <c r="A398" s="1"/>
      <c r="B398" s="1"/>
      <c r="C398" s="1"/>
      <c r="E398" s="10"/>
      <c r="F398" s="11"/>
      <c r="G398" s="12"/>
      <c r="H398" s="13"/>
      <c r="I398" s="14"/>
      <c r="J398" s="15"/>
      <c r="K398" s="15"/>
      <c r="L398" s="16"/>
    </row>
    <row r="399" customFormat="false" ht="12.8" hidden="false" customHeight="false" outlineLevel="0" collapsed="false">
      <c r="A399" s="1"/>
      <c r="B399" s="1"/>
      <c r="C399" s="1"/>
      <c r="D399" s="1"/>
      <c r="E399" s="10"/>
      <c r="F399" s="11"/>
      <c r="G399" s="12"/>
      <c r="H399" s="13"/>
      <c r="I399" s="14"/>
      <c r="J399" s="15"/>
      <c r="K399" s="15"/>
      <c r="L399" s="16"/>
    </row>
    <row r="400" customFormat="false" ht="12.8" hidden="false" customHeight="false" outlineLevel="0" collapsed="false">
      <c r="A400" s="1"/>
      <c r="E400" s="10"/>
      <c r="F400" s="11"/>
      <c r="G400" s="12"/>
      <c r="H400" s="13"/>
      <c r="I400" s="14"/>
      <c r="J400" s="15"/>
      <c r="K400" s="15"/>
      <c r="L400" s="16"/>
    </row>
    <row r="401" customFormat="false" ht="12.8" hidden="false" customHeight="false" outlineLevel="0" collapsed="false">
      <c r="A401" s="1"/>
      <c r="B401" s="1"/>
      <c r="C401" s="1"/>
      <c r="D401" s="1"/>
      <c r="E401" s="10"/>
      <c r="F401" s="11"/>
      <c r="G401" s="12"/>
      <c r="H401" s="13"/>
      <c r="I401" s="14"/>
      <c r="J401" s="15"/>
      <c r="K401" s="15"/>
      <c r="L401" s="16"/>
    </row>
    <row r="402" customFormat="false" ht="12.8" hidden="false" customHeight="false" outlineLevel="0" collapsed="false">
      <c r="A402" s="1"/>
      <c r="E402" s="10"/>
      <c r="F402" s="11"/>
      <c r="G402" s="12"/>
      <c r="H402" s="13"/>
      <c r="I402" s="14"/>
      <c r="J402" s="15"/>
      <c r="K402" s="15"/>
      <c r="L402" s="16"/>
    </row>
    <row r="403" customFormat="false" ht="12.8" hidden="false" customHeight="false" outlineLevel="0" collapsed="false">
      <c r="A403" s="1"/>
      <c r="B403" s="1"/>
      <c r="C403" s="1"/>
      <c r="D403" s="1"/>
      <c r="E403" s="10"/>
      <c r="F403" s="11"/>
      <c r="G403" s="12"/>
      <c r="H403" s="13"/>
      <c r="I403" s="14"/>
      <c r="J403" s="15"/>
      <c r="K403" s="15"/>
      <c r="L403" s="16"/>
    </row>
    <row r="404" customFormat="false" ht="12.8" hidden="false" customHeight="false" outlineLevel="0" collapsed="false">
      <c r="A404" s="1"/>
      <c r="E404" s="10"/>
      <c r="F404" s="11"/>
      <c r="G404" s="12"/>
      <c r="H404" s="13"/>
      <c r="I404" s="14"/>
      <c r="J404" s="15"/>
      <c r="K404" s="15"/>
      <c r="L404" s="16"/>
    </row>
    <row r="405" customFormat="false" ht="12.8" hidden="false" customHeight="false" outlineLevel="0" collapsed="false">
      <c r="A405" s="1"/>
      <c r="E405" s="10"/>
      <c r="F405" s="11"/>
      <c r="G405" s="12"/>
      <c r="H405" s="13"/>
      <c r="I405" s="14"/>
      <c r="J405" s="15"/>
      <c r="K405" s="15"/>
      <c r="L405" s="16"/>
    </row>
    <row r="406" customFormat="false" ht="12.8" hidden="false" customHeight="false" outlineLevel="0" collapsed="false">
      <c r="E406" s="10"/>
      <c r="F406" s="11"/>
      <c r="G406" s="12"/>
      <c r="H406" s="13"/>
      <c r="I406" s="14"/>
      <c r="J406" s="15"/>
      <c r="K406" s="15"/>
      <c r="L406" s="16"/>
    </row>
    <row r="407" customFormat="false" ht="12.8" hidden="false" customHeight="false" outlineLevel="0" collapsed="false">
      <c r="A407" s="1"/>
      <c r="E407" s="10"/>
      <c r="F407" s="11"/>
      <c r="G407" s="12"/>
      <c r="H407" s="13"/>
      <c r="I407" s="14"/>
      <c r="J407" s="15"/>
      <c r="K407" s="15"/>
      <c r="L407" s="16"/>
    </row>
    <row r="408" customFormat="false" ht="12.8" hidden="false" customHeight="false" outlineLevel="0" collapsed="false">
      <c r="A408" s="1"/>
      <c r="E408" s="10"/>
      <c r="F408" s="11"/>
      <c r="G408" s="12"/>
      <c r="H408" s="13"/>
      <c r="I408" s="14"/>
      <c r="J408" s="15"/>
      <c r="K408" s="15"/>
      <c r="L408" s="16"/>
    </row>
    <row r="409" customFormat="false" ht="12.8" hidden="false" customHeight="false" outlineLevel="0" collapsed="false">
      <c r="A409" s="1"/>
      <c r="E409" s="10"/>
      <c r="F409" s="11"/>
      <c r="G409" s="12"/>
      <c r="H409" s="13"/>
      <c r="I409" s="14"/>
      <c r="J409" s="15"/>
      <c r="K409" s="15"/>
      <c r="L409" s="16"/>
    </row>
    <row r="410" customFormat="false" ht="12.8" hidden="false" customHeight="false" outlineLevel="0" collapsed="false">
      <c r="A410" s="1"/>
      <c r="E410" s="10"/>
      <c r="F410" s="11"/>
      <c r="G410" s="12"/>
      <c r="H410" s="13"/>
      <c r="I410" s="14"/>
      <c r="J410" s="15"/>
      <c r="K410" s="15"/>
      <c r="L410" s="16"/>
    </row>
    <row r="411" customFormat="false" ht="12.8" hidden="false" customHeight="false" outlineLevel="0" collapsed="false">
      <c r="A411" s="1"/>
      <c r="E411" s="10"/>
      <c r="F411" s="11"/>
      <c r="G411" s="12"/>
      <c r="H411" s="13"/>
      <c r="I411" s="14"/>
      <c r="J411" s="15"/>
      <c r="K411" s="15"/>
      <c r="L411" s="16"/>
    </row>
    <row r="412" customFormat="false" ht="12.8" hidden="false" customHeight="false" outlineLevel="0" collapsed="false">
      <c r="E412" s="10"/>
      <c r="F412" s="11"/>
      <c r="G412" s="12"/>
      <c r="H412" s="13"/>
      <c r="I412" s="14"/>
      <c r="J412" s="15"/>
      <c r="K412" s="15"/>
      <c r="L412" s="16"/>
    </row>
    <row r="413" customFormat="false" ht="12.8" hidden="false" customHeight="false" outlineLevel="0" collapsed="false">
      <c r="A413" s="1"/>
      <c r="E413" s="10"/>
      <c r="F413" s="11"/>
      <c r="G413" s="12"/>
      <c r="H413" s="13"/>
      <c r="I413" s="14"/>
      <c r="J413" s="15"/>
      <c r="K413" s="15"/>
      <c r="L413" s="16"/>
    </row>
    <row r="414" customFormat="false" ht="12.8" hidden="false" customHeight="false" outlineLevel="0" collapsed="false">
      <c r="A414" s="1"/>
      <c r="E414" s="10"/>
      <c r="F414" s="11"/>
      <c r="G414" s="12"/>
      <c r="H414" s="13"/>
      <c r="I414" s="14"/>
      <c r="J414" s="15"/>
      <c r="K414" s="15"/>
      <c r="L414" s="16"/>
    </row>
    <row r="415" customFormat="false" ht="12.8" hidden="false" customHeight="false" outlineLevel="0" collapsed="false">
      <c r="A415" s="1"/>
      <c r="B415" s="1"/>
      <c r="C415" s="1"/>
      <c r="D415" s="1"/>
      <c r="E415" s="10"/>
      <c r="F415" s="11"/>
      <c r="G415" s="12"/>
      <c r="H415" s="13"/>
      <c r="I415" s="14"/>
      <c r="J415" s="15"/>
      <c r="K415" s="15"/>
      <c r="L415" s="16"/>
    </row>
    <row r="416" customFormat="false" ht="12.8" hidden="false" customHeight="false" outlineLevel="0" collapsed="false">
      <c r="A416" s="1"/>
      <c r="B416" s="1"/>
      <c r="C416" s="1"/>
      <c r="D416" s="1"/>
      <c r="E416" s="10"/>
      <c r="F416" s="11"/>
      <c r="G416" s="12"/>
      <c r="H416" s="13"/>
      <c r="I416" s="14"/>
      <c r="J416" s="15"/>
      <c r="K416" s="15"/>
      <c r="L416" s="16"/>
    </row>
    <row r="417" customFormat="false" ht="12.8" hidden="false" customHeight="false" outlineLevel="0" collapsed="false">
      <c r="A417" s="1"/>
      <c r="E417" s="10"/>
      <c r="F417" s="11"/>
      <c r="G417" s="12"/>
      <c r="H417" s="13"/>
      <c r="I417" s="14"/>
      <c r="J417" s="15"/>
      <c r="K417" s="15"/>
      <c r="L417" s="16"/>
    </row>
    <row r="418" customFormat="false" ht="12.8" hidden="false" customHeight="false" outlineLevel="0" collapsed="false">
      <c r="A418" s="1"/>
      <c r="B418" s="1"/>
      <c r="C418" s="1"/>
      <c r="D418" s="1"/>
      <c r="E418" s="10"/>
      <c r="F418" s="11"/>
      <c r="G418" s="12"/>
      <c r="H418" s="13"/>
      <c r="I418" s="14"/>
      <c r="J418" s="15"/>
      <c r="K418" s="15"/>
      <c r="L418" s="16"/>
    </row>
    <row r="419" customFormat="false" ht="12.8" hidden="false" customHeight="false" outlineLevel="0" collapsed="false">
      <c r="A419" s="1"/>
      <c r="E419" s="10"/>
      <c r="F419" s="11"/>
      <c r="G419" s="12"/>
      <c r="H419" s="13"/>
      <c r="I419" s="14"/>
      <c r="J419" s="15"/>
      <c r="K419" s="15"/>
      <c r="L419" s="16"/>
    </row>
    <row r="420" customFormat="false" ht="12.8" hidden="false" customHeight="false" outlineLevel="0" collapsed="false">
      <c r="A420" s="1"/>
      <c r="E420" s="10"/>
      <c r="F420" s="11"/>
      <c r="G420" s="12"/>
      <c r="H420" s="13"/>
      <c r="I420" s="14"/>
      <c r="J420" s="15"/>
      <c r="K420" s="15"/>
      <c r="L420" s="16"/>
    </row>
    <row r="421" customFormat="false" ht="12.8" hidden="false" customHeight="false" outlineLevel="0" collapsed="false">
      <c r="A421" s="1"/>
      <c r="E421" s="10"/>
      <c r="F421" s="11"/>
      <c r="G421" s="12"/>
      <c r="H421" s="13"/>
      <c r="I421" s="14"/>
      <c r="J421" s="15"/>
      <c r="K421" s="15"/>
      <c r="L421" s="16"/>
    </row>
    <row r="422" customFormat="false" ht="12.8" hidden="false" customHeight="false" outlineLevel="0" collapsed="false">
      <c r="A422" s="1"/>
      <c r="E422" s="10"/>
      <c r="F422" s="11"/>
      <c r="G422" s="12"/>
      <c r="H422" s="13"/>
      <c r="I422" s="14"/>
      <c r="J422" s="15"/>
      <c r="K422" s="15"/>
      <c r="L422" s="16"/>
    </row>
    <row r="423" customFormat="false" ht="12.8" hidden="false" customHeight="false" outlineLevel="0" collapsed="false">
      <c r="A423" s="1"/>
      <c r="B423" s="1"/>
      <c r="C423" s="1"/>
      <c r="E423" s="10"/>
      <c r="F423" s="11"/>
      <c r="G423" s="12"/>
      <c r="H423" s="13"/>
      <c r="I423" s="14"/>
      <c r="J423" s="15"/>
      <c r="K423" s="15"/>
      <c r="L423" s="16"/>
    </row>
    <row r="424" customFormat="false" ht="12.8" hidden="false" customHeight="false" outlineLevel="0" collapsed="false">
      <c r="A424" s="1"/>
      <c r="E424" s="10"/>
      <c r="F424" s="11"/>
      <c r="G424" s="12"/>
      <c r="H424" s="13"/>
      <c r="I424" s="14"/>
      <c r="J424" s="15"/>
      <c r="K424" s="15"/>
      <c r="L424" s="16"/>
    </row>
    <row r="425" customFormat="false" ht="12.8" hidden="false" customHeight="false" outlineLevel="0" collapsed="false">
      <c r="A425" s="1"/>
      <c r="E425" s="10"/>
      <c r="F425" s="11"/>
      <c r="G425" s="12"/>
      <c r="H425" s="13"/>
      <c r="I425" s="14"/>
      <c r="J425" s="15"/>
      <c r="K425" s="15"/>
      <c r="L425" s="16"/>
    </row>
    <row r="426" customFormat="false" ht="12.8" hidden="false" customHeight="false" outlineLevel="0" collapsed="false">
      <c r="E426" s="10"/>
      <c r="F426" s="11"/>
      <c r="G426" s="12"/>
      <c r="H426" s="13"/>
      <c r="I426" s="14"/>
      <c r="J426" s="15"/>
      <c r="K426" s="15"/>
      <c r="L426" s="16"/>
    </row>
    <row r="427" customFormat="false" ht="12.8" hidden="false" customHeight="false" outlineLevel="0" collapsed="false">
      <c r="A427" s="1"/>
      <c r="E427" s="10"/>
      <c r="F427" s="11"/>
      <c r="G427" s="12"/>
      <c r="H427" s="13"/>
      <c r="I427" s="14"/>
      <c r="J427" s="15"/>
      <c r="K427" s="15"/>
      <c r="L427" s="16"/>
    </row>
    <row r="428" customFormat="false" ht="12.8" hidden="false" customHeight="false" outlineLevel="0" collapsed="false">
      <c r="A428" s="1"/>
      <c r="E428" s="10"/>
      <c r="F428" s="11"/>
      <c r="G428" s="12"/>
      <c r="H428" s="13"/>
      <c r="I428" s="14"/>
      <c r="J428" s="15"/>
      <c r="K428" s="15"/>
      <c r="L428" s="16"/>
    </row>
    <row r="429" customFormat="false" ht="12.8" hidden="false" customHeight="false" outlineLevel="0" collapsed="false">
      <c r="A429" s="1"/>
      <c r="E429" s="10"/>
      <c r="F429" s="11"/>
      <c r="G429" s="12"/>
      <c r="H429" s="13"/>
      <c r="I429" s="14"/>
      <c r="J429" s="15"/>
      <c r="K429" s="15"/>
      <c r="L429" s="16"/>
    </row>
    <row r="430" customFormat="false" ht="12.8" hidden="false" customHeight="false" outlineLevel="0" collapsed="false">
      <c r="A430" s="1"/>
      <c r="B430" s="1"/>
      <c r="C430" s="1"/>
      <c r="D430" s="1"/>
      <c r="E430" s="10"/>
      <c r="F430" s="11"/>
      <c r="G430" s="12"/>
      <c r="H430" s="13"/>
      <c r="I430" s="14"/>
      <c r="J430" s="15"/>
      <c r="K430" s="15"/>
      <c r="L430" s="16"/>
    </row>
    <row r="431" customFormat="false" ht="12.8" hidden="false" customHeight="false" outlineLevel="0" collapsed="false">
      <c r="A431" s="1"/>
      <c r="E431" s="10"/>
      <c r="F431" s="11"/>
      <c r="G431" s="12"/>
      <c r="H431" s="13"/>
      <c r="I431" s="14"/>
      <c r="J431" s="15"/>
      <c r="K431" s="15"/>
      <c r="L431" s="16"/>
    </row>
    <row r="432" customFormat="false" ht="12.8" hidden="false" customHeight="false" outlineLevel="0" collapsed="false">
      <c r="A432" s="1"/>
      <c r="E432" s="10"/>
      <c r="F432" s="11"/>
      <c r="G432" s="12"/>
      <c r="H432" s="13"/>
      <c r="I432" s="14"/>
      <c r="J432" s="15"/>
      <c r="K432" s="15"/>
      <c r="L432" s="16"/>
    </row>
    <row r="433" customFormat="false" ht="12.8" hidden="false" customHeight="false" outlineLevel="0" collapsed="false">
      <c r="A433" s="1"/>
      <c r="E433" s="10"/>
      <c r="F433" s="11"/>
      <c r="G433" s="12"/>
      <c r="H433" s="13"/>
      <c r="I433" s="14"/>
      <c r="J433" s="15"/>
      <c r="K433" s="15"/>
      <c r="L433" s="16"/>
    </row>
    <row r="434" customFormat="false" ht="12.8" hidden="false" customHeight="false" outlineLevel="0" collapsed="false">
      <c r="A434" s="1"/>
      <c r="E434" s="10"/>
      <c r="F434" s="11"/>
      <c r="G434" s="12"/>
      <c r="H434" s="13"/>
      <c r="I434" s="14"/>
      <c r="J434" s="15"/>
      <c r="K434" s="15"/>
      <c r="L434" s="16"/>
    </row>
    <row r="435" customFormat="false" ht="12.8" hidden="false" customHeight="false" outlineLevel="0" collapsed="false">
      <c r="A435" s="1"/>
      <c r="E435" s="10"/>
      <c r="F435" s="11"/>
      <c r="G435" s="12"/>
      <c r="H435" s="13"/>
      <c r="I435" s="14"/>
      <c r="J435" s="15"/>
      <c r="K435" s="15"/>
      <c r="L435" s="16"/>
    </row>
    <row r="436" customFormat="false" ht="12.8" hidden="false" customHeight="false" outlineLevel="0" collapsed="false">
      <c r="A436" s="1"/>
      <c r="B436" s="1"/>
      <c r="C436" s="1"/>
      <c r="D436" s="1"/>
      <c r="E436" s="10"/>
      <c r="F436" s="11"/>
      <c r="G436" s="12"/>
      <c r="H436" s="13"/>
      <c r="I436" s="14"/>
      <c r="J436" s="15"/>
      <c r="K436" s="15"/>
      <c r="L436" s="16"/>
    </row>
    <row r="437" customFormat="false" ht="12.8" hidden="false" customHeight="false" outlineLevel="0" collapsed="false">
      <c r="A437" s="1"/>
      <c r="E437" s="10"/>
      <c r="F437" s="11"/>
      <c r="G437" s="12"/>
      <c r="H437" s="13"/>
      <c r="I437" s="14"/>
      <c r="J437" s="15"/>
      <c r="K437" s="15"/>
      <c r="L437" s="16"/>
    </row>
    <row r="438" customFormat="false" ht="12.8" hidden="false" customHeight="false" outlineLevel="0" collapsed="false">
      <c r="A438" s="1"/>
      <c r="B438" s="1"/>
      <c r="C438" s="1"/>
      <c r="D438" s="1"/>
      <c r="E438" s="10"/>
      <c r="F438" s="11"/>
      <c r="G438" s="12"/>
      <c r="H438" s="13"/>
      <c r="I438" s="14"/>
      <c r="J438" s="15"/>
      <c r="K438" s="15"/>
      <c r="L438" s="16"/>
    </row>
    <row r="439" customFormat="false" ht="12.8" hidden="false" customHeight="false" outlineLevel="0" collapsed="false">
      <c r="A439" s="1"/>
      <c r="E439" s="10"/>
      <c r="F439" s="11"/>
      <c r="G439" s="12"/>
      <c r="H439" s="13"/>
      <c r="I439" s="14"/>
      <c r="J439" s="15"/>
      <c r="K439" s="15"/>
      <c r="L439" s="16"/>
    </row>
    <row r="440" customFormat="false" ht="12.8" hidden="false" customHeight="false" outlineLevel="0" collapsed="false">
      <c r="A440" s="1"/>
      <c r="E440" s="10"/>
      <c r="F440" s="11"/>
      <c r="G440" s="12"/>
      <c r="H440" s="13"/>
      <c r="I440" s="14"/>
      <c r="J440" s="15"/>
      <c r="K440" s="15"/>
      <c r="L440" s="16"/>
    </row>
    <row r="441" customFormat="false" ht="12.8" hidden="false" customHeight="false" outlineLevel="0" collapsed="false">
      <c r="E441" s="10"/>
      <c r="F441" s="11"/>
      <c r="G441" s="12"/>
      <c r="H441" s="13"/>
      <c r="I441" s="14"/>
      <c r="J441" s="15"/>
      <c r="K441" s="15"/>
      <c r="L441" s="16"/>
    </row>
    <row r="442" customFormat="false" ht="12.8" hidden="false" customHeight="false" outlineLevel="0" collapsed="false">
      <c r="A442" s="1"/>
      <c r="E442" s="10"/>
      <c r="F442" s="11"/>
      <c r="G442" s="12"/>
      <c r="H442" s="13"/>
      <c r="I442" s="14"/>
      <c r="J442" s="15"/>
      <c r="K442" s="15"/>
      <c r="L442" s="16"/>
    </row>
    <row r="443" customFormat="false" ht="12.8" hidden="false" customHeight="false" outlineLevel="0" collapsed="false">
      <c r="A443" s="1"/>
      <c r="E443" s="10"/>
      <c r="F443" s="11"/>
      <c r="G443" s="12"/>
      <c r="H443" s="13"/>
      <c r="I443" s="14"/>
      <c r="J443" s="15"/>
      <c r="K443" s="15"/>
      <c r="L443" s="16"/>
    </row>
    <row r="444" customFormat="false" ht="12.8" hidden="false" customHeight="false" outlineLevel="0" collapsed="false">
      <c r="A444" s="1"/>
      <c r="B444" s="1"/>
      <c r="C444" s="1"/>
      <c r="E444" s="10"/>
      <c r="F444" s="11"/>
      <c r="G444" s="12"/>
      <c r="H444" s="13"/>
      <c r="I444" s="14"/>
      <c r="J444" s="15"/>
      <c r="K444" s="15"/>
      <c r="L444" s="16"/>
    </row>
    <row r="445" customFormat="false" ht="12.8" hidden="false" customHeight="false" outlineLevel="0" collapsed="false">
      <c r="A445" s="1"/>
      <c r="E445" s="10"/>
      <c r="F445" s="11"/>
      <c r="G445" s="12"/>
      <c r="H445" s="13"/>
      <c r="I445" s="14"/>
      <c r="J445" s="15"/>
      <c r="K445" s="15"/>
      <c r="L445" s="16"/>
    </row>
    <row r="446" customFormat="false" ht="12.8" hidden="false" customHeight="false" outlineLevel="0" collapsed="false">
      <c r="A446" s="1"/>
      <c r="E446" s="10"/>
      <c r="F446" s="11"/>
      <c r="G446" s="12"/>
      <c r="H446" s="13"/>
      <c r="I446" s="14"/>
      <c r="J446" s="15"/>
      <c r="K446" s="15"/>
      <c r="L446" s="16"/>
    </row>
    <row r="447" customFormat="false" ht="12.8" hidden="false" customHeight="false" outlineLevel="0" collapsed="false">
      <c r="A447" s="1"/>
      <c r="B447" s="1"/>
      <c r="C447" s="1"/>
      <c r="D447" s="1"/>
      <c r="E447" s="10"/>
      <c r="F447" s="11"/>
      <c r="G447" s="12"/>
      <c r="H447" s="13"/>
      <c r="I447" s="14"/>
      <c r="J447" s="15"/>
      <c r="K447" s="15"/>
      <c r="L447" s="16"/>
    </row>
    <row r="448" customFormat="false" ht="12.8" hidden="false" customHeight="false" outlineLevel="0" collapsed="false">
      <c r="A448" s="1"/>
      <c r="E448" s="10"/>
      <c r="F448" s="11"/>
      <c r="G448" s="12"/>
      <c r="H448" s="13"/>
      <c r="I448" s="14"/>
      <c r="J448" s="15"/>
      <c r="K448" s="15"/>
      <c r="L448" s="16"/>
    </row>
    <row r="449" customFormat="false" ht="12.8" hidden="false" customHeight="false" outlineLevel="0" collapsed="false">
      <c r="A449" s="1"/>
      <c r="E449" s="10"/>
      <c r="F449" s="11"/>
      <c r="G449" s="12"/>
      <c r="H449" s="13"/>
      <c r="I449" s="14"/>
      <c r="J449" s="15"/>
      <c r="K449" s="15"/>
      <c r="L449" s="16"/>
    </row>
    <row r="450" customFormat="false" ht="12.8" hidden="false" customHeight="false" outlineLevel="0" collapsed="false">
      <c r="A450" s="1"/>
      <c r="E450" s="10"/>
      <c r="F450" s="11"/>
      <c r="G450" s="12"/>
      <c r="H450" s="13"/>
      <c r="I450" s="14"/>
      <c r="J450" s="15"/>
      <c r="K450" s="15"/>
      <c r="L450" s="16"/>
    </row>
    <row r="451" customFormat="false" ht="12.8" hidden="false" customHeight="false" outlineLevel="0" collapsed="false">
      <c r="E451" s="10"/>
      <c r="F451" s="11"/>
      <c r="G451" s="12"/>
      <c r="H451" s="13"/>
      <c r="I451" s="14"/>
      <c r="J451" s="15"/>
      <c r="K451" s="15"/>
      <c r="L451" s="16"/>
    </row>
    <row r="452" customFormat="false" ht="12.8" hidden="false" customHeight="false" outlineLevel="0" collapsed="false">
      <c r="A452" s="1"/>
      <c r="E452" s="10"/>
      <c r="F452" s="11"/>
      <c r="G452" s="12"/>
      <c r="H452" s="13"/>
      <c r="I452" s="14"/>
      <c r="J452" s="15"/>
      <c r="K452" s="15"/>
      <c r="L452" s="16"/>
    </row>
    <row r="453" customFormat="false" ht="12.8" hidden="false" customHeight="false" outlineLevel="0" collapsed="false">
      <c r="A453" s="1"/>
      <c r="E453" s="10"/>
      <c r="F453" s="11"/>
      <c r="G453" s="12"/>
      <c r="H453" s="13"/>
      <c r="I453" s="14"/>
      <c r="J453" s="15"/>
      <c r="K453" s="15"/>
      <c r="L453" s="16"/>
    </row>
    <row r="454" customFormat="false" ht="12.8" hidden="false" customHeight="false" outlineLevel="0" collapsed="false">
      <c r="A454" s="1"/>
      <c r="E454" s="10"/>
      <c r="F454" s="11"/>
      <c r="G454" s="12"/>
      <c r="H454" s="13"/>
      <c r="I454" s="14"/>
      <c r="J454" s="15"/>
      <c r="K454" s="15"/>
      <c r="L454" s="16"/>
    </row>
    <row r="455" customFormat="false" ht="12.8" hidden="false" customHeight="false" outlineLevel="0" collapsed="false">
      <c r="A455" s="1"/>
      <c r="E455" s="10"/>
      <c r="F455" s="11"/>
      <c r="G455" s="12"/>
      <c r="H455" s="13"/>
      <c r="I455" s="14"/>
      <c r="J455" s="15"/>
      <c r="K455" s="15"/>
      <c r="L455" s="16"/>
    </row>
    <row r="456" customFormat="false" ht="12.8" hidden="false" customHeight="false" outlineLevel="0" collapsed="false">
      <c r="A456" s="1"/>
      <c r="E456" s="10"/>
      <c r="F456" s="11"/>
      <c r="G456" s="12"/>
      <c r="H456" s="13"/>
      <c r="I456" s="14"/>
      <c r="J456" s="15"/>
      <c r="K456" s="15"/>
      <c r="L456" s="16"/>
    </row>
    <row r="457" customFormat="false" ht="12.8" hidden="false" customHeight="false" outlineLevel="0" collapsed="false">
      <c r="A457" s="1"/>
      <c r="B457" s="1"/>
      <c r="C457" s="1"/>
      <c r="E457" s="10"/>
      <c r="F457" s="11"/>
      <c r="G457" s="12"/>
      <c r="H457" s="13"/>
      <c r="I457" s="14"/>
      <c r="J457" s="15"/>
      <c r="K457" s="15"/>
      <c r="L457" s="16"/>
    </row>
    <row r="458" customFormat="false" ht="12.8" hidden="false" customHeight="false" outlineLevel="0" collapsed="false">
      <c r="A458" s="1"/>
      <c r="E458" s="10"/>
      <c r="F458" s="11"/>
      <c r="G458" s="12"/>
      <c r="H458" s="13"/>
      <c r="I458" s="14"/>
      <c r="J458" s="15"/>
      <c r="K458" s="15"/>
      <c r="L458" s="16"/>
    </row>
    <row r="459" customFormat="false" ht="12.8" hidden="false" customHeight="false" outlineLevel="0" collapsed="false">
      <c r="A459" s="1"/>
      <c r="E459" s="10"/>
      <c r="F459" s="11"/>
      <c r="G459" s="12"/>
      <c r="H459" s="13"/>
      <c r="I459" s="14"/>
      <c r="J459" s="15"/>
      <c r="K459" s="15"/>
      <c r="L459" s="16"/>
    </row>
    <row r="460" customFormat="false" ht="12.8" hidden="false" customHeight="false" outlineLevel="0" collapsed="false">
      <c r="E460" s="10"/>
      <c r="F460" s="11"/>
      <c r="G460" s="12"/>
      <c r="H460" s="13"/>
      <c r="I460" s="14"/>
      <c r="J460" s="15"/>
      <c r="K460" s="15"/>
      <c r="L460" s="16"/>
    </row>
    <row r="461" customFormat="false" ht="12.8" hidden="false" customHeight="false" outlineLevel="0" collapsed="false">
      <c r="A461" s="1"/>
      <c r="E461" s="10"/>
      <c r="F461" s="11"/>
      <c r="G461" s="12"/>
      <c r="H461" s="13"/>
      <c r="I461" s="14"/>
      <c r="J461" s="15"/>
      <c r="K461" s="15"/>
      <c r="L461" s="16"/>
    </row>
    <row r="462" customFormat="false" ht="12.8" hidden="false" customHeight="false" outlineLevel="0" collapsed="false">
      <c r="A462" s="1"/>
      <c r="E462" s="10"/>
      <c r="F462" s="11"/>
      <c r="G462" s="12"/>
      <c r="H462" s="13"/>
      <c r="I462" s="14"/>
      <c r="J462" s="15"/>
      <c r="K462" s="15"/>
      <c r="L462" s="16"/>
    </row>
    <row r="463" customFormat="false" ht="12.8" hidden="false" customHeight="false" outlineLevel="0" collapsed="false">
      <c r="A463" s="1"/>
      <c r="E463" s="10"/>
      <c r="F463" s="11"/>
      <c r="G463" s="12"/>
      <c r="H463" s="13"/>
      <c r="I463" s="14"/>
      <c r="J463" s="15"/>
      <c r="K463" s="15"/>
      <c r="L463" s="16"/>
    </row>
    <row r="464" customFormat="false" ht="12.8" hidden="false" customHeight="false" outlineLevel="0" collapsed="false">
      <c r="A464" s="1"/>
      <c r="B464" s="1"/>
      <c r="C464" s="1"/>
      <c r="D464" s="1"/>
      <c r="E464" s="10"/>
      <c r="F464" s="11"/>
      <c r="G464" s="12"/>
      <c r="H464" s="13"/>
      <c r="I464" s="14"/>
      <c r="J464" s="15"/>
      <c r="K464" s="15"/>
      <c r="L464" s="16"/>
    </row>
    <row r="465" customFormat="false" ht="12.8" hidden="false" customHeight="false" outlineLevel="0" collapsed="false">
      <c r="A465" s="1"/>
      <c r="B465" s="1"/>
      <c r="C465" s="1"/>
      <c r="D465" s="1"/>
      <c r="E465" s="10"/>
      <c r="F465" s="11"/>
      <c r="G465" s="12"/>
      <c r="H465" s="13"/>
      <c r="I465" s="14"/>
      <c r="J465" s="15"/>
      <c r="K465" s="15"/>
      <c r="L465" s="16"/>
    </row>
    <row r="466" customFormat="false" ht="12.8" hidden="false" customHeight="false" outlineLevel="0" collapsed="false">
      <c r="A466" s="1"/>
      <c r="E466" s="10"/>
      <c r="F466" s="11"/>
      <c r="G466" s="12"/>
      <c r="H466" s="13"/>
      <c r="I466" s="14"/>
      <c r="J466" s="15"/>
      <c r="K466" s="15"/>
      <c r="L466" s="16"/>
    </row>
    <row r="467" customFormat="false" ht="12.8" hidden="false" customHeight="false" outlineLevel="0" collapsed="false">
      <c r="A467" s="1"/>
      <c r="B467" s="1"/>
      <c r="C467" s="1"/>
      <c r="D467" s="1"/>
      <c r="E467" s="10"/>
      <c r="F467" s="11"/>
      <c r="G467" s="12"/>
      <c r="H467" s="13"/>
      <c r="I467" s="14"/>
      <c r="J467" s="15"/>
      <c r="K467" s="15"/>
      <c r="L467" s="16"/>
    </row>
    <row r="468" customFormat="false" ht="12.8" hidden="false" customHeight="false" outlineLevel="0" collapsed="false">
      <c r="A468" s="1"/>
      <c r="E468" s="10"/>
      <c r="F468" s="11"/>
      <c r="G468" s="12"/>
      <c r="H468" s="13"/>
      <c r="I468" s="14"/>
      <c r="J468" s="15"/>
      <c r="K468" s="15"/>
      <c r="L468" s="16"/>
    </row>
    <row r="469" customFormat="false" ht="12.8" hidden="false" customHeight="false" outlineLevel="0" collapsed="false">
      <c r="A469" s="1"/>
      <c r="E469" s="10"/>
      <c r="F469" s="11"/>
      <c r="G469" s="12"/>
      <c r="H469" s="13"/>
      <c r="I469" s="14"/>
      <c r="J469" s="15"/>
      <c r="K469" s="15"/>
      <c r="L469" s="16"/>
    </row>
    <row r="470" customFormat="false" ht="12.8" hidden="false" customHeight="false" outlineLevel="0" collapsed="false">
      <c r="A470" s="1"/>
      <c r="E470" s="10"/>
      <c r="F470" s="11"/>
      <c r="G470" s="12"/>
      <c r="H470" s="13"/>
      <c r="I470" s="14"/>
      <c r="J470" s="15"/>
      <c r="K470" s="15"/>
      <c r="L470" s="16"/>
    </row>
    <row r="471" customFormat="false" ht="12.8" hidden="false" customHeight="false" outlineLevel="0" collapsed="false">
      <c r="A471" s="1"/>
      <c r="E471" s="10"/>
      <c r="F471" s="11"/>
      <c r="G471" s="12"/>
      <c r="H471" s="13"/>
      <c r="I471" s="14"/>
      <c r="J471" s="15"/>
      <c r="K471" s="15"/>
      <c r="L471" s="16"/>
    </row>
    <row r="472" customFormat="false" ht="12.8" hidden="false" customHeight="false" outlineLevel="0" collapsed="false">
      <c r="A472" s="1"/>
      <c r="E472" s="10"/>
      <c r="F472" s="11"/>
      <c r="G472" s="12"/>
      <c r="H472" s="13"/>
      <c r="I472" s="14"/>
      <c r="J472" s="15"/>
      <c r="K472" s="15"/>
      <c r="L472" s="16"/>
    </row>
    <row r="473" customFormat="false" ht="12.8" hidden="false" customHeight="false" outlineLevel="0" collapsed="false">
      <c r="A473" s="1"/>
      <c r="E473" s="10"/>
      <c r="F473" s="11"/>
      <c r="G473" s="12"/>
      <c r="H473" s="13"/>
      <c r="I473" s="14"/>
      <c r="J473" s="15"/>
      <c r="K473" s="15"/>
      <c r="L473" s="16"/>
    </row>
    <row r="474" customFormat="false" ht="12.8" hidden="false" customHeight="false" outlineLevel="0" collapsed="false">
      <c r="A474" s="1"/>
      <c r="B474" s="1"/>
      <c r="C474" s="1"/>
      <c r="E474" s="10"/>
      <c r="F474" s="11"/>
      <c r="G474" s="12"/>
      <c r="H474" s="13"/>
      <c r="I474" s="14"/>
      <c r="J474" s="15"/>
      <c r="K474" s="15"/>
      <c r="L474" s="16"/>
    </row>
    <row r="475" customFormat="false" ht="12.8" hidden="false" customHeight="false" outlineLevel="0" collapsed="false">
      <c r="A475" s="1"/>
      <c r="E475" s="10"/>
      <c r="F475" s="11"/>
      <c r="G475" s="12"/>
      <c r="H475" s="13"/>
      <c r="I475" s="14"/>
      <c r="J475" s="15"/>
      <c r="K475" s="15"/>
      <c r="L475" s="16"/>
    </row>
    <row r="476" customFormat="false" ht="12.8" hidden="false" customHeight="false" outlineLevel="0" collapsed="false">
      <c r="A476" s="1"/>
      <c r="E476" s="10"/>
      <c r="F476" s="11"/>
      <c r="G476" s="12"/>
      <c r="H476" s="13"/>
      <c r="I476" s="14"/>
      <c r="J476" s="15"/>
      <c r="K476" s="15"/>
      <c r="L476" s="16"/>
    </row>
    <row r="477" customFormat="false" ht="12.8" hidden="false" customHeight="false" outlineLevel="0" collapsed="false">
      <c r="A477" s="1"/>
      <c r="E477" s="10"/>
      <c r="F477" s="11"/>
      <c r="G477" s="12"/>
      <c r="H477" s="13"/>
      <c r="I477" s="14"/>
      <c r="J477" s="15"/>
      <c r="K477" s="15"/>
      <c r="L477" s="16"/>
    </row>
    <row r="478" customFormat="false" ht="12.8" hidden="false" customHeight="false" outlineLevel="0" collapsed="false">
      <c r="A478" s="1"/>
      <c r="E478" s="10"/>
      <c r="F478" s="11"/>
      <c r="G478" s="12"/>
      <c r="H478" s="13"/>
      <c r="I478" s="14"/>
      <c r="J478" s="15"/>
      <c r="K478" s="15"/>
      <c r="L478" s="16"/>
    </row>
    <row r="479" customFormat="false" ht="12.8" hidden="false" customHeight="false" outlineLevel="0" collapsed="false">
      <c r="A479" s="1"/>
      <c r="B479" s="1"/>
      <c r="C479" s="1"/>
      <c r="D479" s="1"/>
      <c r="E479" s="10"/>
      <c r="F479" s="11"/>
      <c r="G479" s="12"/>
      <c r="H479" s="13"/>
      <c r="I479" s="14"/>
      <c r="J479" s="15"/>
      <c r="K479" s="15"/>
      <c r="L479" s="16"/>
    </row>
    <row r="480" customFormat="false" ht="12.8" hidden="false" customHeight="false" outlineLevel="0" collapsed="false">
      <c r="A480" s="1"/>
      <c r="E480" s="10"/>
      <c r="F480" s="11"/>
      <c r="G480" s="12"/>
      <c r="H480" s="13"/>
      <c r="I480" s="14"/>
      <c r="J480" s="15"/>
      <c r="K480" s="15"/>
      <c r="L480" s="16"/>
    </row>
    <row r="481" customFormat="false" ht="12.8" hidden="false" customHeight="false" outlineLevel="0" collapsed="false">
      <c r="A481" s="1"/>
      <c r="E481" s="10"/>
      <c r="F481" s="11"/>
      <c r="G481" s="12"/>
      <c r="H481" s="13"/>
      <c r="I481" s="14"/>
      <c r="J481" s="15"/>
      <c r="K481" s="15"/>
      <c r="L481" s="16"/>
    </row>
    <row r="482" customFormat="false" ht="12.8" hidden="false" customHeight="false" outlineLevel="0" collapsed="false">
      <c r="A482" s="1"/>
      <c r="B482" s="1"/>
      <c r="C482" s="1"/>
      <c r="E482" s="10"/>
      <c r="F482" s="11"/>
      <c r="G482" s="12"/>
      <c r="H482" s="13"/>
      <c r="I482" s="14"/>
      <c r="J482" s="15"/>
      <c r="K482" s="15"/>
      <c r="L482" s="16"/>
    </row>
    <row r="483" customFormat="false" ht="12.8" hidden="false" customHeight="false" outlineLevel="0" collapsed="false">
      <c r="A483" s="1"/>
      <c r="E483" s="10"/>
      <c r="F483" s="11"/>
      <c r="G483" s="12"/>
      <c r="H483" s="13"/>
      <c r="I483" s="14"/>
      <c r="J483" s="15"/>
      <c r="K483" s="15"/>
      <c r="L483" s="16"/>
    </row>
    <row r="484" customFormat="false" ht="12.8" hidden="false" customHeight="false" outlineLevel="0" collapsed="false">
      <c r="A484" s="1"/>
      <c r="E484" s="10"/>
      <c r="F484" s="11"/>
      <c r="G484" s="12"/>
      <c r="H484" s="13"/>
      <c r="I484" s="14"/>
      <c r="J484" s="15"/>
      <c r="K484" s="15"/>
      <c r="L484" s="16"/>
    </row>
    <row r="485" customFormat="false" ht="12.8" hidden="false" customHeight="false" outlineLevel="0" collapsed="false">
      <c r="A485" s="1"/>
      <c r="E485" s="10"/>
      <c r="F485" s="11"/>
      <c r="G485" s="12"/>
      <c r="H485" s="13"/>
      <c r="I485" s="14"/>
      <c r="J485" s="15"/>
      <c r="K485" s="15"/>
      <c r="L485" s="16"/>
    </row>
    <row r="486" customFormat="false" ht="12.8" hidden="false" customHeight="false" outlineLevel="0" collapsed="false">
      <c r="A486" s="1"/>
      <c r="B486" s="1"/>
      <c r="C486" s="1"/>
      <c r="D486" s="1"/>
      <c r="E486" s="10"/>
      <c r="F486" s="11"/>
      <c r="G486" s="12"/>
      <c r="H486" s="13"/>
      <c r="I486" s="14"/>
      <c r="J486" s="15"/>
      <c r="K486" s="15"/>
      <c r="L486" s="16"/>
    </row>
    <row r="487" customFormat="false" ht="12.8" hidden="false" customHeight="false" outlineLevel="0" collapsed="false">
      <c r="A487" s="1"/>
      <c r="E487" s="10"/>
      <c r="F487" s="11"/>
      <c r="G487" s="12"/>
      <c r="H487" s="13"/>
      <c r="I487" s="14"/>
      <c r="J487" s="15"/>
      <c r="K487" s="15"/>
      <c r="L487" s="16"/>
    </row>
    <row r="488" customFormat="false" ht="12.8" hidden="false" customHeight="false" outlineLevel="0" collapsed="false">
      <c r="A488" s="1"/>
      <c r="E488" s="10"/>
      <c r="F488" s="11"/>
      <c r="G488" s="12"/>
      <c r="H488" s="13"/>
      <c r="I488" s="14"/>
      <c r="J488" s="15"/>
      <c r="K488" s="15"/>
      <c r="L488" s="16"/>
    </row>
    <row r="489" customFormat="false" ht="12.8" hidden="false" customHeight="false" outlineLevel="0" collapsed="false">
      <c r="A489" s="1"/>
      <c r="E489" s="10"/>
      <c r="F489" s="11"/>
      <c r="G489" s="12"/>
      <c r="H489" s="13"/>
      <c r="I489" s="14"/>
      <c r="J489" s="15"/>
      <c r="K489" s="15"/>
      <c r="L489" s="16"/>
    </row>
    <row r="490" customFormat="false" ht="12.8" hidden="false" customHeight="false" outlineLevel="0" collapsed="false">
      <c r="A490" s="1"/>
      <c r="B490" s="1"/>
      <c r="C490" s="1"/>
      <c r="D490" s="1"/>
      <c r="E490" s="10"/>
      <c r="F490" s="11"/>
      <c r="G490" s="12"/>
      <c r="H490" s="13"/>
      <c r="I490" s="14"/>
      <c r="J490" s="15"/>
      <c r="K490" s="15"/>
      <c r="L490" s="16"/>
    </row>
    <row r="491" customFormat="false" ht="12.8" hidden="false" customHeight="false" outlineLevel="0" collapsed="false">
      <c r="A491" s="1"/>
      <c r="E491" s="10"/>
      <c r="F491" s="11"/>
      <c r="G491" s="12"/>
      <c r="H491" s="13"/>
      <c r="I491" s="14"/>
      <c r="J491" s="15"/>
      <c r="K491" s="15"/>
      <c r="L491" s="16"/>
    </row>
    <row r="492" customFormat="false" ht="12.8" hidden="false" customHeight="false" outlineLevel="0" collapsed="false">
      <c r="A492" s="1"/>
      <c r="E492" s="10"/>
      <c r="F492" s="11"/>
      <c r="G492" s="12"/>
      <c r="H492" s="13"/>
      <c r="I492" s="14"/>
      <c r="J492" s="15"/>
      <c r="K492" s="15"/>
      <c r="L492" s="16"/>
    </row>
    <row r="493" customFormat="false" ht="12.8" hidden="false" customHeight="false" outlineLevel="0" collapsed="false">
      <c r="A493" s="1"/>
      <c r="B493" s="1"/>
      <c r="C493" s="1"/>
      <c r="D493" s="1"/>
      <c r="E493" s="10"/>
      <c r="F493" s="11"/>
      <c r="G493" s="12"/>
      <c r="H493" s="13"/>
      <c r="I493" s="14"/>
      <c r="J493" s="15"/>
      <c r="K493" s="15"/>
      <c r="L493" s="16"/>
    </row>
    <row r="494" customFormat="false" ht="12.8" hidden="false" customHeight="false" outlineLevel="0" collapsed="false">
      <c r="A494" s="1"/>
      <c r="E494" s="10"/>
      <c r="F494" s="11"/>
      <c r="G494" s="12"/>
      <c r="H494" s="13"/>
      <c r="I494" s="14"/>
      <c r="J494" s="15"/>
      <c r="K494" s="15"/>
      <c r="L494" s="16"/>
    </row>
    <row r="495" customFormat="false" ht="12.8" hidden="false" customHeight="false" outlineLevel="0" collapsed="false">
      <c r="A495" s="1"/>
      <c r="E495" s="10"/>
      <c r="F495" s="11"/>
      <c r="G495" s="12"/>
      <c r="H495" s="13"/>
      <c r="I495" s="14"/>
      <c r="J495" s="15"/>
      <c r="K495" s="15"/>
      <c r="L495" s="16"/>
    </row>
    <row r="496" customFormat="false" ht="12.8" hidden="false" customHeight="false" outlineLevel="0" collapsed="false">
      <c r="A496" s="1"/>
      <c r="E496" s="10"/>
      <c r="F496" s="11"/>
      <c r="G496" s="12"/>
      <c r="H496" s="13"/>
      <c r="I496" s="14"/>
      <c r="J496" s="15"/>
      <c r="K496" s="15"/>
      <c r="L496" s="16"/>
    </row>
    <row r="497" customFormat="false" ht="12.8" hidden="false" customHeight="false" outlineLevel="0" collapsed="false">
      <c r="A497" s="1"/>
      <c r="E497" s="10"/>
      <c r="F497" s="11"/>
      <c r="G497" s="12"/>
      <c r="H497" s="13"/>
      <c r="I497" s="14"/>
      <c r="J497" s="15"/>
      <c r="K497" s="15"/>
      <c r="L497" s="16"/>
    </row>
    <row r="498" customFormat="false" ht="12.8" hidden="false" customHeight="false" outlineLevel="0" collapsed="false">
      <c r="A498" s="1"/>
      <c r="B498" s="1"/>
      <c r="C498" s="1"/>
      <c r="D498" s="1"/>
      <c r="E498" s="10"/>
      <c r="F498" s="11"/>
      <c r="G498" s="12"/>
      <c r="H498" s="13"/>
      <c r="I498" s="14"/>
      <c r="J498" s="15"/>
      <c r="K498" s="15"/>
      <c r="L498" s="16"/>
    </row>
    <row r="499" customFormat="false" ht="12.8" hidden="false" customHeight="false" outlineLevel="0" collapsed="false">
      <c r="A499" s="1"/>
      <c r="E499" s="10"/>
      <c r="F499" s="11"/>
      <c r="G499" s="12"/>
      <c r="H499" s="13"/>
      <c r="I499" s="14"/>
      <c r="J499" s="15"/>
      <c r="K499" s="15"/>
      <c r="L499" s="16"/>
    </row>
    <row r="500" customFormat="false" ht="12.8" hidden="false" customHeight="false" outlineLevel="0" collapsed="false">
      <c r="A500" s="1"/>
      <c r="B500" s="1"/>
      <c r="C500" s="1"/>
      <c r="E500" s="10"/>
      <c r="F500" s="11"/>
      <c r="G500" s="12"/>
      <c r="H500" s="13"/>
      <c r="I500" s="14"/>
      <c r="J500" s="15"/>
      <c r="K500" s="15"/>
      <c r="L500" s="16"/>
    </row>
    <row r="501" customFormat="false" ht="12.8" hidden="false" customHeight="false" outlineLevel="0" collapsed="false">
      <c r="A501" s="1"/>
      <c r="B501" s="1"/>
      <c r="E501" s="10"/>
      <c r="F501" s="11"/>
      <c r="G501" s="12"/>
      <c r="H501" s="13"/>
      <c r="I501" s="14"/>
      <c r="J501" s="15"/>
      <c r="K501" s="15"/>
      <c r="L501" s="16"/>
    </row>
    <row r="502" customFormat="false" ht="12.8" hidden="false" customHeight="false" outlineLevel="0" collapsed="false">
      <c r="A502" s="1"/>
      <c r="E502" s="10"/>
      <c r="F502" s="11"/>
      <c r="G502" s="12"/>
      <c r="H502" s="13"/>
      <c r="I502" s="14"/>
      <c r="J502" s="15"/>
      <c r="K502" s="15"/>
      <c r="L502" s="16"/>
    </row>
    <row r="503" customFormat="false" ht="12.8" hidden="false" customHeight="false" outlineLevel="0" collapsed="false">
      <c r="A503" s="1"/>
      <c r="E503" s="10"/>
      <c r="F503" s="11"/>
      <c r="G503" s="12"/>
      <c r="H503" s="13"/>
      <c r="I503" s="14"/>
      <c r="J503" s="15"/>
      <c r="K503" s="15"/>
      <c r="L503" s="16"/>
    </row>
    <row r="504" customFormat="false" ht="12.8" hidden="false" customHeight="false" outlineLevel="0" collapsed="false">
      <c r="A504" s="1"/>
      <c r="E504" s="10"/>
      <c r="F504" s="11"/>
      <c r="G504" s="12"/>
      <c r="H504" s="13"/>
      <c r="I504" s="14"/>
      <c r="J504" s="15"/>
      <c r="K504" s="15"/>
      <c r="L504" s="16"/>
    </row>
    <row r="505" customFormat="false" ht="12.8" hidden="false" customHeight="false" outlineLevel="0" collapsed="false">
      <c r="A505" s="1"/>
      <c r="E505" s="10"/>
      <c r="F505" s="11"/>
      <c r="G505" s="12"/>
      <c r="H505" s="13"/>
      <c r="I505" s="14"/>
      <c r="J505" s="15"/>
      <c r="K505" s="15"/>
      <c r="L505" s="16"/>
    </row>
    <row r="506" customFormat="false" ht="12.8" hidden="false" customHeight="false" outlineLevel="0" collapsed="false">
      <c r="A506" s="1"/>
      <c r="B506" s="1"/>
      <c r="C506" s="1"/>
      <c r="D506" s="1"/>
      <c r="E506" s="10"/>
      <c r="F506" s="11"/>
      <c r="G506" s="12"/>
      <c r="H506" s="13"/>
      <c r="I506" s="14"/>
      <c r="J506" s="15"/>
      <c r="K506" s="15"/>
      <c r="L506" s="16"/>
    </row>
    <row r="507" customFormat="false" ht="12.8" hidden="false" customHeight="false" outlineLevel="0" collapsed="false">
      <c r="A507" s="1"/>
      <c r="E507" s="10"/>
      <c r="F507" s="11"/>
      <c r="G507" s="12"/>
      <c r="H507" s="13"/>
      <c r="I507" s="14"/>
      <c r="J507" s="15"/>
      <c r="K507" s="15"/>
      <c r="L507" s="16"/>
    </row>
    <row r="508" customFormat="false" ht="12.8" hidden="false" customHeight="false" outlineLevel="0" collapsed="false">
      <c r="E508" s="10"/>
      <c r="F508" s="11"/>
      <c r="G508" s="12"/>
      <c r="H508" s="13"/>
      <c r="I508" s="14"/>
      <c r="J508" s="15"/>
      <c r="K508" s="15"/>
      <c r="L508" s="16"/>
    </row>
    <row r="509" customFormat="false" ht="12.8" hidden="false" customHeight="false" outlineLevel="0" collapsed="false">
      <c r="A509" s="1"/>
      <c r="E509" s="10"/>
      <c r="F509" s="11"/>
      <c r="G509" s="12"/>
      <c r="H509" s="13"/>
      <c r="I509" s="14"/>
      <c r="J509" s="15"/>
      <c r="K509" s="15"/>
      <c r="L509" s="16"/>
    </row>
    <row r="510" customFormat="false" ht="12.8" hidden="false" customHeight="false" outlineLevel="0" collapsed="false">
      <c r="A510" s="1"/>
      <c r="E510" s="10"/>
      <c r="F510" s="11"/>
      <c r="G510" s="12"/>
      <c r="H510" s="13"/>
      <c r="I510" s="14"/>
      <c r="J510" s="15"/>
      <c r="K510" s="15"/>
      <c r="L510" s="16"/>
    </row>
    <row r="511" customFormat="false" ht="12.8" hidden="false" customHeight="false" outlineLevel="0" collapsed="false">
      <c r="A511" s="1"/>
      <c r="E511" s="10"/>
      <c r="F511" s="11"/>
      <c r="G511" s="12"/>
      <c r="H511" s="13"/>
      <c r="I511" s="14"/>
      <c r="J511" s="15"/>
      <c r="K511" s="15"/>
      <c r="L511" s="16"/>
    </row>
    <row r="512" customFormat="false" ht="12.8" hidden="false" customHeight="false" outlineLevel="0" collapsed="false">
      <c r="A512" s="1"/>
      <c r="B512" s="1"/>
      <c r="C512" s="1"/>
      <c r="D512" s="1"/>
      <c r="E512" s="10"/>
      <c r="F512" s="11"/>
      <c r="G512" s="12"/>
      <c r="H512" s="13"/>
      <c r="I512" s="14"/>
      <c r="J512" s="15"/>
      <c r="K512" s="15"/>
      <c r="L512" s="16"/>
    </row>
    <row r="513" customFormat="false" ht="12.8" hidden="false" customHeight="false" outlineLevel="0" collapsed="false">
      <c r="A513" s="1"/>
      <c r="E513" s="10"/>
      <c r="F513" s="11"/>
      <c r="G513" s="12"/>
      <c r="H513" s="13"/>
      <c r="I513" s="14"/>
      <c r="J513" s="15"/>
      <c r="K513" s="15"/>
      <c r="L513" s="16"/>
    </row>
    <row r="514" customFormat="false" ht="12.8" hidden="false" customHeight="false" outlineLevel="0" collapsed="false">
      <c r="A514" s="1"/>
      <c r="E514" s="10"/>
      <c r="F514" s="11"/>
      <c r="G514" s="12"/>
      <c r="H514" s="13"/>
      <c r="I514" s="14"/>
      <c r="J514" s="15"/>
      <c r="K514" s="15"/>
      <c r="L514" s="16"/>
    </row>
    <row r="515" customFormat="false" ht="12.8" hidden="false" customHeight="false" outlineLevel="0" collapsed="false">
      <c r="A515" s="1"/>
      <c r="B515" s="1"/>
      <c r="C515" s="1"/>
      <c r="D515" s="1"/>
      <c r="E515" s="10"/>
      <c r="F515" s="11"/>
      <c r="G515" s="12"/>
      <c r="H515" s="13"/>
      <c r="I515" s="14"/>
      <c r="J515" s="15"/>
      <c r="K515" s="15"/>
      <c r="L515" s="16"/>
    </row>
    <row r="516" customFormat="false" ht="12.8" hidden="false" customHeight="false" outlineLevel="0" collapsed="false">
      <c r="A516" s="1"/>
      <c r="E516" s="10"/>
      <c r="F516" s="11"/>
      <c r="G516" s="12"/>
      <c r="H516" s="13"/>
      <c r="I516" s="14"/>
      <c r="J516" s="15"/>
      <c r="K516" s="15"/>
      <c r="L516" s="16"/>
    </row>
    <row r="517" customFormat="false" ht="12.8" hidden="false" customHeight="false" outlineLevel="0" collapsed="false">
      <c r="A517" s="1"/>
      <c r="E517" s="10"/>
      <c r="F517" s="11"/>
      <c r="G517" s="12"/>
      <c r="H517" s="13"/>
      <c r="I517" s="14"/>
      <c r="J517" s="15"/>
      <c r="K517" s="15"/>
      <c r="L517" s="16"/>
    </row>
    <row r="518" customFormat="false" ht="12.8" hidden="false" customHeight="false" outlineLevel="0" collapsed="false">
      <c r="A518" s="1"/>
      <c r="B518" s="1"/>
      <c r="C518" s="1"/>
      <c r="D518" s="1"/>
      <c r="E518" s="10"/>
      <c r="F518" s="11"/>
      <c r="G518" s="12"/>
      <c r="H518" s="13"/>
      <c r="I518" s="14"/>
      <c r="J518" s="15"/>
      <c r="K518" s="15"/>
      <c r="L518" s="16"/>
    </row>
    <row r="519" customFormat="false" ht="12.8" hidden="false" customHeight="false" outlineLevel="0" collapsed="false">
      <c r="A519" s="1"/>
      <c r="E519" s="10"/>
      <c r="F519" s="11"/>
      <c r="G519" s="12"/>
      <c r="H519" s="13"/>
      <c r="I519" s="14"/>
      <c r="J519" s="15"/>
      <c r="K519" s="15"/>
      <c r="L519" s="16"/>
    </row>
    <row r="520" customFormat="false" ht="12.8" hidden="false" customHeight="false" outlineLevel="0" collapsed="false">
      <c r="A520" s="1"/>
      <c r="E520" s="10"/>
      <c r="F520" s="11"/>
      <c r="G520" s="12"/>
      <c r="H520" s="13"/>
      <c r="I520" s="14"/>
      <c r="J520" s="15"/>
      <c r="K520" s="15"/>
      <c r="L520" s="16"/>
    </row>
    <row r="521" customFormat="false" ht="12.8" hidden="false" customHeight="false" outlineLevel="0" collapsed="false">
      <c r="A521" s="1"/>
      <c r="B521" s="1"/>
      <c r="C521" s="1"/>
      <c r="D521" s="1"/>
      <c r="E521" s="10"/>
      <c r="F521" s="11"/>
      <c r="G521" s="12"/>
      <c r="H521" s="13"/>
      <c r="I521" s="14"/>
      <c r="J521" s="15"/>
      <c r="K521" s="15"/>
      <c r="L521" s="16"/>
    </row>
    <row r="522" customFormat="false" ht="12.8" hidden="false" customHeight="false" outlineLevel="0" collapsed="false">
      <c r="A522" s="1"/>
      <c r="E522" s="10"/>
      <c r="F522" s="11"/>
      <c r="G522" s="12"/>
      <c r="H522" s="13"/>
      <c r="I522" s="14"/>
      <c r="J522" s="15"/>
      <c r="K522" s="15"/>
      <c r="L522" s="16"/>
    </row>
    <row r="523" customFormat="false" ht="12.8" hidden="false" customHeight="false" outlineLevel="0" collapsed="false">
      <c r="A523" s="1"/>
      <c r="E523" s="10"/>
      <c r="F523" s="11"/>
      <c r="G523" s="12"/>
      <c r="H523" s="13"/>
      <c r="I523" s="14"/>
      <c r="J523" s="15"/>
      <c r="K523" s="15"/>
      <c r="L523" s="16"/>
    </row>
    <row r="524" customFormat="false" ht="12.8" hidden="false" customHeight="false" outlineLevel="0" collapsed="false">
      <c r="E524" s="10"/>
      <c r="F524" s="11"/>
      <c r="G524" s="12"/>
      <c r="H524" s="13"/>
      <c r="I524" s="14"/>
      <c r="J524" s="15"/>
      <c r="K524" s="15"/>
      <c r="L524" s="16"/>
    </row>
    <row r="525" customFormat="false" ht="12.8" hidden="false" customHeight="false" outlineLevel="0" collapsed="false">
      <c r="A525" s="1"/>
      <c r="E525" s="10"/>
      <c r="F525" s="11"/>
      <c r="G525" s="12"/>
      <c r="H525" s="13"/>
      <c r="I525" s="14"/>
      <c r="J525" s="15"/>
      <c r="K525" s="15"/>
      <c r="L525" s="16"/>
    </row>
    <row r="526" customFormat="false" ht="12.8" hidden="false" customHeight="false" outlineLevel="0" collapsed="false">
      <c r="A526" s="1"/>
      <c r="E526" s="10"/>
      <c r="F526" s="11"/>
      <c r="G526" s="12"/>
      <c r="H526" s="13"/>
      <c r="I526" s="14"/>
      <c r="J526" s="15"/>
      <c r="K526" s="15"/>
      <c r="L526" s="16"/>
    </row>
    <row r="527" customFormat="false" ht="12.8" hidden="false" customHeight="false" outlineLevel="0" collapsed="false">
      <c r="A527" s="1"/>
      <c r="E527" s="10"/>
      <c r="F527" s="11"/>
      <c r="G527" s="12"/>
      <c r="H527" s="13"/>
      <c r="I527" s="14"/>
      <c r="J527" s="15"/>
      <c r="K527" s="15"/>
      <c r="L527" s="16"/>
    </row>
    <row r="528" customFormat="false" ht="12.8" hidden="false" customHeight="false" outlineLevel="0" collapsed="false">
      <c r="A528" s="1"/>
      <c r="B528" s="1"/>
      <c r="C528" s="1"/>
      <c r="D528" s="1"/>
      <c r="E528" s="10"/>
      <c r="F528" s="11"/>
      <c r="G528" s="12"/>
      <c r="H528" s="13"/>
      <c r="I528" s="14"/>
      <c r="J528" s="15"/>
      <c r="K528" s="15"/>
      <c r="L528" s="16"/>
    </row>
    <row r="529" customFormat="false" ht="12.8" hidden="false" customHeight="false" outlineLevel="0" collapsed="false">
      <c r="A529" s="1"/>
      <c r="E529" s="10"/>
      <c r="F529" s="11"/>
      <c r="G529" s="12"/>
      <c r="H529" s="13"/>
      <c r="I529" s="14"/>
      <c r="J529" s="15"/>
      <c r="K529" s="15"/>
      <c r="L529" s="16"/>
    </row>
    <row r="530" customFormat="false" ht="12.8" hidden="false" customHeight="false" outlineLevel="0" collapsed="false">
      <c r="A530" s="1"/>
      <c r="E530" s="10"/>
      <c r="F530" s="11"/>
      <c r="G530" s="12"/>
      <c r="H530" s="13"/>
      <c r="I530" s="14"/>
      <c r="J530" s="15"/>
      <c r="K530" s="15"/>
      <c r="L530" s="16"/>
    </row>
    <row r="531" customFormat="false" ht="12.8" hidden="false" customHeight="false" outlineLevel="0" collapsed="false">
      <c r="A531" s="1"/>
      <c r="B531" s="1"/>
      <c r="C531" s="1"/>
      <c r="D531" s="1"/>
      <c r="E531" s="10"/>
      <c r="F531" s="11"/>
      <c r="G531" s="12"/>
      <c r="H531" s="13"/>
      <c r="I531" s="14"/>
      <c r="J531" s="15"/>
      <c r="K531" s="15"/>
      <c r="L531" s="16"/>
    </row>
    <row r="532" customFormat="false" ht="12.8" hidden="false" customHeight="false" outlineLevel="0" collapsed="false">
      <c r="A532" s="1"/>
      <c r="E532" s="10"/>
      <c r="F532" s="11"/>
      <c r="G532" s="12"/>
      <c r="H532" s="13"/>
      <c r="I532" s="14"/>
      <c r="J532" s="15"/>
      <c r="K532" s="15"/>
      <c r="L532" s="16"/>
    </row>
    <row r="533" customFormat="false" ht="12.8" hidden="false" customHeight="false" outlineLevel="0" collapsed="false">
      <c r="A533" s="1"/>
      <c r="E533" s="10"/>
      <c r="F533" s="11"/>
      <c r="G533" s="12"/>
      <c r="H533" s="13"/>
      <c r="I533" s="14"/>
      <c r="J533" s="15"/>
      <c r="K533" s="15"/>
      <c r="L533" s="16"/>
    </row>
    <row r="534" customFormat="false" ht="12.8" hidden="false" customHeight="false" outlineLevel="0" collapsed="false">
      <c r="A534" s="1"/>
      <c r="B534" s="1"/>
      <c r="C534" s="1"/>
      <c r="D534" s="1"/>
      <c r="E534" s="10"/>
      <c r="F534" s="11"/>
      <c r="G534" s="12"/>
      <c r="H534" s="13"/>
      <c r="I534" s="14"/>
      <c r="J534" s="15"/>
      <c r="K534" s="15"/>
      <c r="L534" s="16"/>
    </row>
    <row r="535" customFormat="false" ht="12.8" hidden="false" customHeight="false" outlineLevel="0" collapsed="false">
      <c r="A535" s="1"/>
      <c r="E535" s="10"/>
      <c r="F535" s="11"/>
      <c r="G535" s="12"/>
      <c r="H535" s="13"/>
      <c r="I535" s="14"/>
      <c r="J535" s="15"/>
      <c r="K535" s="15"/>
      <c r="L535" s="16"/>
    </row>
    <row r="536" customFormat="false" ht="12.8" hidden="false" customHeight="false" outlineLevel="0" collapsed="false">
      <c r="A536" s="1"/>
      <c r="B536" s="1"/>
      <c r="C536" s="1"/>
      <c r="D536" s="1"/>
      <c r="E536" s="10"/>
      <c r="F536" s="11"/>
      <c r="G536" s="12"/>
      <c r="H536" s="13"/>
      <c r="I536" s="14"/>
      <c r="J536" s="15"/>
      <c r="K536" s="15"/>
      <c r="L536" s="16"/>
    </row>
    <row r="537" customFormat="false" ht="12.8" hidden="false" customHeight="false" outlineLevel="0" collapsed="false">
      <c r="A537" s="1"/>
      <c r="B537" s="1"/>
      <c r="C537" s="1"/>
      <c r="D537" s="1"/>
      <c r="E537" s="10"/>
      <c r="F537" s="11"/>
      <c r="G537" s="12"/>
      <c r="H537" s="13"/>
      <c r="I537" s="14"/>
      <c r="J537" s="15"/>
      <c r="K537" s="15"/>
      <c r="L537" s="16"/>
    </row>
    <row r="538" customFormat="false" ht="12.8" hidden="false" customHeight="false" outlineLevel="0" collapsed="false">
      <c r="A538" s="1"/>
      <c r="E538" s="10"/>
      <c r="F538" s="11"/>
      <c r="G538" s="12"/>
      <c r="H538" s="13"/>
      <c r="I538" s="14"/>
      <c r="J538" s="15"/>
      <c r="K538" s="15"/>
      <c r="L538" s="16"/>
    </row>
    <row r="539" customFormat="false" ht="12.8" hidden="false" customHeight="false" outlineLevel="0" collapsed="false">
      <c r="E539" s="10"/>
      <c r="F539" s="11"/>
      <c r="G539" s="12"/>
      <c r="H539" s="13"/>
      <c r="I539" s="14"/>
      <c r="J539" s="15"/>
      <c r="K539" s="15"/>
      <c r="L539" s="16"/>
    </row>
    <row r="540" customFormat="false" ht="12.8" hidden="false" customHeight="false" outlineLevel="0" collapsed="false">
      <c r="A540" s="1"/>
      <c r="E540" s="10"/>
      <c r="F540" s="11"/>
      <c r="G540" s="12"/>
      <c r="H540" s="13"/>
      <c r="I540" s="14"/>
      <c r="J540" s="15"/>
      <c r="K540" s="15"/>
      <c r="L540" s="16"/>
    </row>
    <row r="541" customFormat="false" ht="12.8" hidden="false" customHeight="false" outlineLevel="0" collapsed="false">
      <c r="A541" s="1"/>
      <c r="E541" s="10"/>
      <c r="F541" s="11"/>
      <c r="G541" s="12"/>
      <c r="H541" s="13"/>
      <c r="I541" s="14"/>
      <c r="J541" s="15"/>
      <c r="K541" s="15"/>
      <c r="L541" s="16"/>
    </row>
    <row r="542" customFormat="false" ht="12.8" hidden="false" customHeight="false" outlineLevel="0" collapsed="false">
      <c r="A542" s="1"/>
      <c r="B542" s="1"/>
      <c r="C542" s="1"/>
      <c r="D542" s="1"/>
      <c r="E542" s="10"/>
      <c r="F542" s="11"/>
      <c r="G542" s="12"/>
      <c r="H542" s="13"/>
      <c r="I542" s="14"/>
      <c r="J542" s="15"/>
      <c r="K542" s="15"/>
      <c r="L542" s="16"/>
    </row>
    <row r="543" customFormat="false" ht="12.8" hidden="false" customHeight="false" outlineLevel="0" collapsed="false">
      <c r="A543" s="1"/>
      <c r="E543" s="10"/>
      <c r="F543" s="11"/>
      <c r="G543" s="12"/>
      <c r="H543" s="13"/>
      <c r="I543" s="14"/>
      <c r="J543" s="15"/>
      <c r="K543" s="15"/>
      <c r="L543" s="16"/>
    </row>
    <row r="544" customFormat="false" ht="12.8" hidden="false" customHeight="false" outlineLevel="0" collapsed="false">
      <c r="A544" s="1"/>
      <c r="E544" s="10"/>
      <c r="F544" s="11"/>
      <c r="G544" s="12"/>
      <c r="H544" s="13"/>
      <c r="I544" s="14"/>
      <c r="J544" s="15"/>
      <c r="K544" s="15"/>
      <c r="L544" s="16"/>
    </row>
    <row r="545" customFormat="false" ht="12.8" hidden="false" customHeight="false" outlineLevel="0" collapsed="false">
      <c r="A545" s="1"/>
      <c r="B545" s="1"/>
      <c r="C545" s="1"/>
      <c r="D545" s="1"/>
      <c r="E545" s="10"/>
      <c r="F545" s="11"/>
      <c r="G545" s="12"/>
      <c r="H545" s="13"/>
      <c r="I545" s="14"/>
      <c r="J545" s="15"/>
      <c r="K545" s="15"/>
      <c r="L545" s="16"/>
    </row>
    <row r="546" customFormat="false" ht="12.8" hidden="false" customHeight="false" outlineLevel="0" collapsed="false">
      <c r="A546" s="1"/>
      <c r="E546" s="10"/>
      <c r="F546" s="11"/>
      <c r="G546" s="12"/>
      <c r="H546" s="13"/>
      <c r="I546" s="14"/>
      <c r="J546" s="15"/>
      <c r="K546" s="15"/>
      <c r="L546" s="16"/>
    </row>
    <row r="547" customFormat="false" ht="12.8" hidden="false" customHeight="false" outlineLevel="0" collapsed="false">
      <c r="A547" s="1"/>
      <c r="E547" s="10"/>
      <c r="F547" s="11"/>
      <c r="G547" s="12"/>
      <c r="H547" s="13"/>
      <c r="I547" s="14"/>
      <c r="J547" s="15"/>
      <c r="K547" s="15"/>
      <c r="L547" s="16"/>
    </row>
    <row r="548" customFormat="false" ht="12.8" hidden="false" customHeight="false" outlineLevel="0" collapsed="false">
      <c r="A548" s="1"/>
      <c r="E548" s="10"/>
      <c r="F548" s="11"/>
      <c r="G548" s="12"/>
      <c r="H548" s="13"/>
      <c r="I548" s="14"/>
      <c r="J548" s="15"/>
      <c r="K548" s="15"/>
      <c r="L548" s="16"/>
    </row>
    <row r="549" customFormat="false" ht="12.8" hidden="false" customHeight="false" outlineLevel="0" collapsed="false">
      <c r="A549" s="1"/>
      <c r="B549" s="1"/>
      <c r="C549" s="1"/>
      <c r="E549" s="10"/>
      <c r="F549" s="11"/>
      <c r="G549" s="12"/>
      <c r="H549" s="13"/>
      <c r="I549" s="14"/>
      <c r="J549" s="15"/>
      <c r="K549" s="15"/>
      <c r="L549" s="16"/>
    </row>
    <row r="550" customFormat="false" ht="12.8" hidden="false" customHeight="false" outlineLevel="0" collapsed="false">
      <c r="A550" s="1"/>
      <c r="E550" s="10"/>
      <c r="F550" s="11"/>
      <c r="G550" s="12"/>
      <c r="H550" s="13"/>
      <c r="I550" s="14"/>
      <c r="J550" s="15"/>
      <c r="K550" s="15"/>
      <c r="L550" s="16"/>
    </row>
    <row r="551" customFormat="false" ht="12.8" hidden="false" customHeight="false" outlineLevel="0" collapsed="false">
      <c r="A551" s="1"/>
      <c r="E551" s="10"/>
      <c r="F551" s="11"/>
      <c r="G551" s="12"/>
      <c r="H551" s="13"/>
      <c r="I551" s="14"/>
      <c r="J551" s="15"/>
      <c r="K551" s="15"/>
      <c r="L551" s="16"/>
    </row>
    <row r="552" customFormat="false" ht="12.8" hidden="false" customHeight="false" outlineLevel="0" collapsed="false">
      <c r="A552" s="1"/>
      <c r="E552" s="10"/>
      <c r="F552" s="11"/>
      <c r="G552" s="12"/>
      <c r="H552" s="13"/>
      <c r="I552" s="14"/>
      <c r="J552" s="15"/>
      <c r="K552" s="15"/>
      <c r="L552" s="16"/>
    </row>
    <row r="553" customFormat="false" ht="12.8" hidden="false" customHeight="false" outlineLevel="0" collapsed="false">
      <c r="A553" s="1"/>
      <c r="E553" s="10"/>
      <c r="F553" s="11"/>
      <c r="G553" s="12"/>
      <c r="H553" s="13"/>
      <c r="I553" s="14"/>
      <c r="J553" s="15"/>
      <c r="K553" s="15"/>
      <c r="L553" s="16"/>
    </row>
    <row r="554" customFormat="false" ht="12.8" hidden="false" customHeight="false" outlineLevel="0" collapsed="false">
      <c r="A554" s="1"/>
      <c r="E554" s="10"/>
      <c r="F554" s="11"/>
      <c r="G554" s="12"/>
      <c r="H554" s="13"/>
      <c r="I554" s="14"/>
      <c r="J554" s="15"/>
      <c r="K554" s="15"/>
      <c r="L554" s="16"/>
    </row>
    <row r="555" customFormat="false" ht="12.8" hidden="false" customHeight="false" outlineLevel="0" collapsed="false">
      <c r="A555" s="1"/>
      <c r="E555" s="10"/>
      <c r="F555" s="11"/>
      <c r="G555" s="12"/>
      <c r="H555" s="13"/>
      <c r="I555" s="14"/>
      <c r="J555" s="15"/>
      <c r="K555" s="15"/>
      <c r="L555" s="16"/>
    </row>
    <row r="556" customFormat="false" ht="12.8" hidden="false" customHeight="false" outlineLevel="0" collapsed="false">
      <c r="A556" s="1"/>
      <c r="B556" s="1"/>
      <c r="C556" s="1"/>
      <c r="E556" s="10"/>
      <c r="F556" s="11"/>
      <c r="G556" s="12"/>
      <c r="H556" s="13"/>
      <c r="I556" s="14"/>
      <c r="J556" s="15"/>
      <c r="K556" s="15"/>
      <c r="L556" s="16"/>
    </row>
    <row r="557" customFormat="false" ht="12.8" hidden="false" customHeight="false" outlineLevel="0" collapsed="false">
      <c r="A557" s="1"/>
      <c r="E557" s="10"/>
      <c r="F557" s="11"/>
      <c r="G557" s="12"/>
      <c r="H557" s="13"/>
      <c r="I557" s="14"/>
      <c r="J557" s="15"/>
      <c r="K557" s="15"/>
      <c r="L557" s="16"/>
    </row>
    <row r="558" customFormat="false" ht="12.8" hidden="false" customHeight="false" outlineLevel="0" collapsed="false">
      <c r="A558" s="1"/>
      <c r="E558" s="10"/>
      <c r="F558" s="11"/>
      <c r="G558" s="12"/>
      <c r="H558" s="13"/>
      <c r="I558" s="14"/>
      <c r="J558" s="15"/>
      <c r="K558" s="15"/>
      <c r="L558" s="16"/>
    </row>
    <row r="559" customFormat="false" ht="12.8" hidden="false" customHeight="false" outlineLevel="0" collapsed="false">
      <c r="E559" s="10"/>
      <c r="F559" s="11"/>
      <c r="G559" s="12"/>
      <c r="H559" s="13"/>
      <c r="I559" s="14"/>
      <c r="J559" s="15"/>
      <c r="K559" s="15"/>
      <c r="L559" s="16"/>
    </row>
    <row r="560" customFormat="false" ht="12.8" hidden="false" customHeight="false" outlineLevel="0" collapsed="false">
      <c r="A560" s="1"/>
      <c r="E560" s="10"/>
      <c r="F560" s="11"/>
      <c r="G560" s="12"/>
      <c r="H560" s="13"/>
      <c r="I560" s="14"/>
      <c r="J560" s="15"/>
      <c r="K560" s="15"/>
      <c r="L560" s="16"/>
    </row>
    <row r="561" customFormat="false" ht="12.8" hidden="false" customHeight="false" outlineLevel="0" collapsed="false">
      <c r="A561" s="1"/>
      <c r="B561" s="1"/>
      <c r="C561" s="1"/>
      <c r="D561" s="1"/>
      <c r="E561" s="10"/>
      <c r="F561" s="11"/>
      <c r="G561" s="12"/>
      <c r="H561" s="13"/>
      <c r="I561" s="14"/>
      <c r="J561" s="15"/>
      <c r="K561" s="15"/>
      <c r="L561" s="16"/>
    </row>
    <row r="562" customFormat="false" ht="12.8" hidden="false" customHeight="false" outlineLevel="0" collapsed="false">
      <c r="A562" s="1"/>
      <c r="E562" s="10"/>
      <c r="F562" s="11"/>
      <c r="G562" s="12"/>
      <c r="H562" s="13"/>
      <c r="I562" s="14"/>
      <c r="J562" s="15"/>
      <c r="K562" s="15"/>
      <c r="L562" s="16"/>
    </row>
    <row r="563" customFormat="false" ht="12.8" hidden="false" customHeight="false" outlineLevel="0" collapsed="false">
      <c r="A563" s="1"/>
      <c r="E563" s="10"/>
      <c r="F563" s="11"/>
      <c r="G563" s="12"/>
      <c r="H563" s="13"/>
      <c r="I563" s="14"/>
      <c r="J563" s="15"/>
      <c r="K563" s="15"/>
      <c r="L563" s="16"/>
    </row>
    <row r="564" customFormat="false" ht="12.8" hidden="false" customHeight="false" outlineLevel="0" collapsed="false">
      <c r="A564" s="1"/>
      <c r="E564" s="10"/>
      <c r="F564" s="11"/>
      <c r="G564" s="12"/>
      <c r="H564" s="13"/>
      <c r="I564" s="14"/>
      <c r="J564" s="15"/>
      <c r="K564" s="15"/>
      <c r="L564" s="16"/>
    </row>
    <row r="565" customFormat="false" ht="12.8" hidden="false" customHeight="false" outlineLevel="0" collapsed="false">
      <c r="A565" s="1"/>
      <c r="E565" s="10"/>
      <c r="F565" s="11"/>
      <c r="G565" s="12"/>
      <c r="H565" s="13"/>
      <c r="I565" s="14"/>
      <c r="J565" s="15"/>
      <c r="K565" s="15"/>
      <c r="L565" s="16"/>
    </row>
    <row r="566" customFormat="false" ht="12.8" hidden="false" customHeight="false" outlineLevel="0" collapsed="false">
      <c r="A566" s="1"/>
      <c r="B566" s="1"/>
      <c r="C566" s="1"/>
      <c r="D566" s="1"/>
      <c r="E566" s="10"/>
      <c r="F566" s="11"/>
      <c r="G566" s="12"/>
      <c r="H566" s="13"/>
      <c r="I566" s="14"/>
      <c r="J566" s="15"/>
      <c r="K566" s="15"/>
      <c r="L566" s="16"/>
    </row>
    <row r="567" customFormat="false" ht="12.8" hidden="false" customHeight="false" outlineLevel="0" collapsed="false">
      <c r="A567" s="1"/>
      <c r="E567" s="10"/>
      <c r="F567" s="11"/>
      <c r="G567" s="12"/>
      <c r="H567" s="13"/>
      <c r="I567" s="14"/>
      <c r="J567" s="15"/>
      <c r="K567" s="15"/>
      <c r="L567" s="16"/>
    </row>
    <row r="568" customFormat="false" ht="12.8" hidden="false" customHeight="false" outlineLevel="0" collapsed="false">
      <c r="A568" s="1"/>
      <c r="E568" s="10"/>
      <c r="F568" s="11"/>
      <c r="G568" s="12"/>
      <c r="H568" s="13"/>
      <c r="I568" s="14"/>
      <c r="J568" s="15"/>
      <c r="K568" s="15"/>
      <c r="L568" s="16"/>
    </row>
    <row r="569" customFormat="false" ht="12.8" hidden="false" customHeight="false" outlineLevel="0" collapsed="false">
      <c r="A569" s="1"/>
      <c r="B569" s="1"/>
      <c r="C569" s="1"/>
      <c r="D569" s="1"/>
      <c r="E569" s="10"/>
      <c r="F569" s="11"/>
      <c r="G569" s="12"/>
      <c r="H569" s="13"/>
      <c r="I569" s="14"/>
      <c r="J569" s="15"/>
      <c r="K569" s="15"/>
      <c r="L569" s="16"/>
    </row>
    <row r="570" customFormat="false" ht="12.8" hidden="false" customHeight="false" outlineLevel="0" collapsed="false">
      <c r="A570" s="1"/>
      <c r="E570" s="10"/>
      <c r="F570" s="11"/>
      <c r="G570" s="12"/>
      <c r="H570" s="13"/>
      <c r="I570" s="14"/>
      <c r="J570" s="15"/>
      <c r="K570" s="15"/>
      <c r="L570" s="16"/>
    </row>
    <row r="571" customFormat="false" ht="12.8" hidden="false" customHeight="false" outlineLevel="0" collapsed="false">
      <c r="A571" s="1"/>
      <c r="E571" s="10"/>
      <c r="F571" s="11"/>
      <c r="G571" s="12"/>
      <c r="H571" s="13"/>
      <c r="I571" s="14"/>
      <c r="J571" s="15"/>
      <c r="K571" s="15"/>
      <c r="L571" s="16"/>
    </row>
    <row r="572" customFormat="false" ht="12.8" hidden="false" customHeight="false" outlineLevel="0" collapsed="false">
      <c r="A572" s="1"/>
      <c r="E572" s="10"/>
      <c r="F572" s="11"/>
      <c r="G572" s="12"/>
      <c r="H572" s="13"/>
      <c r="I572" s="14"/>
      <c r="J572" s="15"/>
      <c r="K572" s="15"/>
      <c r="L572" s="16"/>
    </row>
    <row r="573" customFormat="false" ht="12.8" hidden="false" customHeight="false" outlineLevel="0" collapsed="false">
      <c r="A573" s="1"/>
      <c r="E573" s="10"/>
      <c r="F573" s="11"/>
      <c r="G573" s="12"/>
      <c r="H573" s="13"/>
      <c r="I573" s="14"/>
      <c r="J573" s="15"/>
      <c r="K573" s="15"/>
      <c r="L573" s="16"/>
    </row>
    <row r="574" customFormat="false" ht="12.8" hidden="false" customHeight="false" outlineLevel="0" collapsed="false">
      <c r="A574" s="1"/>
      <c r="B574" s="1"/>
      <c r="C574" s="1"/>
      <c r="D574" s="1"/>
      <c r="E574" s="10"/>
      <c r="F574" s="11"/>
      <c r="G574" s="12"/>
      <c r="H574" s="13"/>
      <c r="I574" s="14"/>
      <c r="J574" s="15"/>
      <c r="K574" s="15"/>
      <c r="L574" s="16"/>
    </row>
    <row r="575" customFormat="false" ht="12.8" hidden="false" customHeight="false" outlineLevel="0" collapsed="false">
      <c r="A575" s="1"/>
      <c r="E575" s="10"/>
      <c r="F575" s="11"/>
      <c r="G575" s="12"/>
      <c r="H575" s="13"/>
      <c r="I575" s="14"/>
      <c r="J575" s="15"/>
      <c r="K575" s="15"/>
      <c r="L575" s="16"/>
    </row>
    <row r="576" customFormat="false" ht="12.8" hidden="false" customHeight="false" outlineLevel="0" collapsed="false">
      <c r="A576" s="1"/>
      <c r="E576" s="10"/>
      <c r="F576" s="11"/>
      <c r="G576" s="12"/>
      <c r="H576" s="13"/>
      <c r="I576" s="14"/>
      <c r="J576" s="15"/>
      <c r="K576" s="15"/>
      <c r="L576" s="16"/>
    </row>
    <row r="577" customFormat="false" ht="12.8" hidden="false" customHeight="false" outlineLevel="0" collapsed="false">
      <c r="A577" s="1"/>
      <c r="B577" s="1"/>
      <c r="C577" s="1"/>
      <c r="D577" s="1"/>
      <c r="E577" s="10"/>
      <c r="F577" s="11"/>
      <c r="G577" s="12"/>
      <c r="H577" s="13"/>
      <c r="I577" s="14"/>
      <c r="J577" s="15"/>
      <c r="K577" s="15"/>
      <c r="L577" s="16"/>
    </row>
    <row r="578" customFormat="false" ht="12.8" hidden="false" customHeight="false" outlineLevel="0" collapsed="false">
      <c r="A578" s="1"/>
      <c r="E578" s="10"/>
      <c r="F578" s="11"/>
      <c r="G578" s="12"/>
      <c r="H578" s="13"/>
      <c r="I578" s="14"/>
      <c r="J578" s="15"/>
      <c r="K578" s="15"/>
      <c r="L578" s="16"/>
    </row>
    <row r="579" customFormat="false" ht="12.8" hidden="false" customHeight="false" outlineLevel="0" collapsed="false">
      <c r="A579" s="1"/>
      <c r="B579" s="1"/>
      <c r="C579" s="1"/>
      <c r="D579" s="1"/>
      <c r="E579" s="10"/>
      <c r="F579" s="11"/>
      <c r="G579" s="12"/>
      <c r="H579" s="13"/>
      <c r="I579" s="14"/>
      <c r="J579" s="15"/>
      <c r="K579" s="15"/>
      <c r="L579" s="16"/>
    </row>
    <row r="580" customFormat="false" ht="12.8" hidden="false" customHeight="false" outlineLevel="0" collapsed="false">
      <c r="A580" s="1"/>
      <c r="E580" s="10"/>
      <c r="F580" s="11"/>
      <c r="G580" s="12"/>
      <c r="H580" s="13"/>
      <c r="I580" s="14"/>
      <c r="J580" s="15"/>
      <c r="K580" s="15"/>
      <c r="L580" s="16"/>
    </row>
    <row r="581" customFormat="false" ht="12.8" hidden="false" customHeight="false" outlineLevel="0" collapsed="false">
      <c r="A581" s="1"/>
      <c r="B581" s="1"/>
      <c r="C581" s="1"/>
      <c r="D581" s="1"/>
      <c r="E581" s="10"/>
      <c r="F581" s="11"/>
      <c r="G581" s="12"/>
      <c r="H581" s="13"/>
      <c r="I581" s="14"/>
      <c r="J581" s="15"/>
      <c r="K581" s="15"/>
      <c r="L581" s="16"/>
    </row>
    <row r="582" customFormat="false" ht="12.8" hidden="false" customHeight="false" outlineLevel="0" collapsed="false">
      <c r="A582" s="1"/>
      <c r="E582" s="10"/>
      <c r="F582" s="11"/>
      <c r="G582" s="12"/>
      <c r="H582" s="13"/>
      <c r="I582" s="14"/>
      <c r="J582" s="15"/>
      <c r="K582" s="15"/>
      <c r="L582" s="16"/>
    </row>
    <row r="583" customFormat="false" ht="12.8" hidden="false" customHeight="false" outlineLevel="0" collapsed="false">
      <c r="A583" s="1"/>
      <c r="E583" s="10"/>
      <c r="F583" s="11"/>
      <c r="G583" s="12"/>
      <c r="H583" s="13"/>
      <c r="I583" s="14"/>
      <c r="J583" s="15"/>
      <c r="K583" s="15"/>
      <c r="L583" s="16"/>
    </row>
    <row r="584" customFormat="false" ht="12.8" hidden="false" customHeight="false" outlineLevel="0" collapsed="false">
      <c r="A584" s="1"/>
      <c r="E584" s="10"/>
      <c r="F584" s="11"/>
      <c r="G584" s="12"/>
      <c r="H584" s="13"/>
      <c r="I584" s="14"/>
      <c r="J584" s="15"/>
      <c r="K584" s="15"/>
      <c r="L584" s="16"/>
    </row>
    <row r="585" customFormat="false" ht="12.8" hidden="false" customHeight="false" outlineLevel="0" collapsed="false">
      <c r="A585" s="1"/>
      <c r="E585" s="10"/>
      <c r="F585" s="11"/>
      <c r="G585" s="12"/>
      <c r="H585" s="13"/>
      <c r="I585" s="14"/>
      <c r="J585" s="15"/>
      <c r="K585" s="15"/>
      <c r="L585" s="16"/>
    </row>
    <row r="586" customFormat="false" ht="12.8" hidden="false" customHeight="false" outlineLevel="0" collapsed="false">
      <c r="A586" s="1"/>
      <c r="B586" s="1"/>
      <c r="C586" s="1"/>
      <c r="E586" s="10"/>
      <c r="F586" s="11"/>
      <c r="G586" s="12"/>
      <c r="H586" s="13"/>
      <c r="I586" s="14"/>
      <c r="J586" s="15"/>
      <c r="K586" s="15"/>
      <c r="L586" s="16"/>
    </row>
    <row r="587" customFormat="false" ht="12.8" hidden="false" customHeight="false" outlineLevel="0" collapsed="false">
      <c r="A587" s="1"/>
      <c r="E587" s="10"/>
      <c r="F587" s="11"/>
      <c r="G587" s="12"/>
      <c r="H587" s="13"/>
      <c r="I587" s="14"/>
      <c r="J587" s="15"/>
      <c r="K587" s="15"/>
      <c r="L587" s="16"/>
    </row>
    <row r="588" customFormat="false" ht="12.8" hidden="false" customHeight="false" outlineLevel="0" collapsed="false">
      <c r="A588" s="1"/>
      <c r="B588" s="1"/>
      <c r="C588" s="1"/>
      <c r="D588" s="1"/>
      <c r="E588" s="10"/>
      <c r="F588" s="11"/>
      <c r="G588" s="12"/>
      <c r="H588" s="13"/>
      <c r="I588" s="14"/>
      <c r="J588" s="15"/>
      <c r="K588" s="15"/>
      <c r="L588" s="16"/>
    </row>
    <row r="589" customFormat="false" ht="12.8" hidden="false" customHeight="false" outlineLevel="0" collapsed="false">
      <c r="A589" s="1"/>
      <c r="E589" s="10"/>
      <c r="F589" s="11"/>
      <c r="G589" s="12"/>
      <c r="H589" s="13"/>
      <c r="I589" s="14"/>
      <c r="J589" s="15"/>
      <c r="K589" s="15"/>
      <c r="L589" s="16"/>
    </row>
    <row r="590" customFormat="false" ht="12.8" hidden="false" customHeight="false" outlineLevel="0" collapsed="false">
      <c r="E590" s="10"/>
      <c r="F590" s="11"/>
      <c r="G590" s="12"/>
      <c r="H590" s="13"/>
      <c r="I590" s="14"/>
      <c r="J590" s="15"/>
      <c r="K590" s="15"/>
      <c r="L590" s="16"/>
    </row>
    <row r="591" customFormat="false" ht="12.8" hidden="false" customHeight="false" outlineLevel="0" collapsed="false">
      <c r="A591" s="1"/>
      <c r="E591" s="10"/>
      <c r="F591" s="11"/>
      <c r="G591" s="12"/>
      <c r="H591" s="13"/>
      <c r="I591" s="14"/>
      <c r="J591" s="15"/>
      <c r="K591" s="15"/>
      <c r="L591" s="16"/>
    </row>
    <row r="592" customFormat="false" ht="12.8" hidden="false" customHeight="false" outlineLevel="0" collapsed="false">
      <c r="A592" s="1"/>
      <c r="E592" s="10"/>
      <c r="F592" s="11"/>
      <c r="G592" s="12"/>
      <c r="H592" s="13"/>
      <c r="I592" s="14"/>
      <c r="J592" s="15"/>
      <c r="K592" s="15"/>
      <c r="L592" s="16"/>
    </row>
    <row r="593" customFormat="false" ht="12.8" hidden="false" customHeight="false" outlineLevel="0" collapsed="false">
      <c r="A593" s="1"/>
      <c r="E593" s="10"/>
      <c r="F593" s="11"/>
      <c r="G593" s="12"/>
      <c r="H593" s="13"/>
      <c r="I593" s="14"/>
      <c r="J593" s="15"/>
      <c r="K593" s="15"/>
      <c r="L593" s="16"/>
    </row>
    <row r="594" customFormat="false" ht="12.8" hidden="false" customHeight="false" outlineLevel="0" collapsed="false">
      <c r="A594" s="1"/>
      <c r="B594" s="1"/>
      <c r="C594" s="1"/>
      <c r="D594" s="1"/>
      <c r="E594" s="10"/>
      <c r="F594" s="11"/>
      <c r="G594" s="12"/>
      <c r="H594" s="13"/>
      <c r="I594" s="14"/>
      <c r="J594" s="15"/>
      <c r="K594" s="15"/>
      <c r="L594" s="16"/>
    </row>
    <row r="595" customFormat="false" ht="12.8" hidden="false" customHeight="false" outlineLevel="0" collapsed="false">
      <c r="A595" s="1"/>
      <c r="E595" s="10"/>
      <c r="F595" s="11"/>
      <c r="G595" s="12"/>
      <c r="H595" s="13"/>
      <c r="I595" s="14"/>
      <c r="J595" s="15"/>
      <c r="K595" s="15"/>
      <c r="L595" s="16"/>
    </row>
    <row r="596" customFormat="false" ht="12.8" hidden="false" customHeight="false" outlineLevel="0" collapsed="false">
      <c r="A596" s="1"/>
      <c r="E596" s="10"/>
      <c r="F596" s="11"/>
      <c r="G596" s="12"/>
      <c r="H596" s="13"/>
      <c r="I596" s="14"/>
      <c r="J596" s="15"/>
      <c r="K596" s="15"/>
      <c r="L596" s="16"/>
    </row>
    <row r="597" customFormat="false" ht="12.8" hidden="false" customHeight="false" outlineLevel="0" collapsed="false">
      <c r="A597" s="1"/>
      <c r="E597" s="10"/>
      <c r="F597" s="11"/>
      <c r="G597" s="12"/>
      <c r="H597" s="13"/>
      <c r="I597" s="14"/>
      <c r="J597" s="15"/>
      <c r="K597" s="15"/>
      <c r="L597" s="16"/>
    </row>
    <row r="598" customFormat="false" ht="12.8" hidden="false" customHeight="false" outlineLevel="0" collapsed="false">
      <c r="A598" s="1"/>
      <c r="E598" s="10"/>
      <c r="F598" s="11"/>
      <c r="G598" s="12"/>
      <c r="H598" s="13"/>
      <c r="I598" s="14"/>
      <c r="J598" s="15"/>
      <c r="K598" s="15"/>
      <c r="L598" s="16"/>
    </row>
    <row r="599" customFormat="false" ht="12.8" hidden="false" customHeight="false" outlineLevel="0" collapsed="false">
      <c r="A599" s="1"/>
      <c r="E599" s="10"/>
      <c r="F599" s="11"/>
      <c r="G599" s="12"/>
      <c r="H599" s="13"/>
      <c r="I599" s="14"/>
      <c r="J599" s="15"/>
      <c r="K599" s="15"/>
      <c r="L599" s="16"/>
    </row>
    <row r="600" customFormat="false" ht="12.8" hidden="false" customHeight="false" outlineLevel="0" collapsed="false">
      <c r="A600" s="1"/>
      <c r="B600" s="1"/>
      <c r="C600" s="1"/>
      <c r="D600" s="1"/>
      <c r="E600" s="10"/>
      <c r="F600" s="11"/>
      <c r="G600" s="12"/>
      <c r="H600" s="13"/>
      <c r="I600" s="14"/>
      <c r="J600" s="15"/>
      <c r="K600" s="15"/>
      <c r="L600" s="16"/>
    </row>
    <row r="601" customFormat="false" ht="12.8" hidden="false" customHeight="false" outlineLevel="0" collapsed="false">
      <c r="A601" s="1"/>
      <c r="E601" s="10"/>
      <c r="F601" s="11"/>
      <c r="G601" s="12"/>
      <c r="H601" s="13"/>
      <c r="I601" s="14"/>
      <c r="J601" s="15"/>
      <c r="K601" s="15"/>
      <c r="L601" s="16"/>
    </row>
    <row r="602" customFormat="false" ht="12.8" hidden="false" customHeight="false" outlineLevel="0" collapsed="false">
      <c r="E602" s="10"/>
      <c r="F602" s="11"/>
      <c r="G602" s="12"/>
      <c r="H602" s="13"/>
      <c r="I602" s="14"/>
      <c r="J602" s="15"/>
      <c r="K602" s="15"/>
      <c r="L602" s="16"/>
    </row>
    <row r="603" customFormat="false" ht="12.8" hidden="false" customHeight="false" outlineLevel="0" collapsed="false">
      <c r="A603" s="1"/>
      <c r="E603" s="10"/>
      <c r="F603" s="11"/>
      <c r="G603" s="12"/>
      <c r="H603" s="13"/>
      <c r="I603" s="14"/>
      <c r="J603" s="15"/>
      <c r="K603" s="15"/>
      <c r="L603" s="16"/>
    </row>
    <row r="604" customFormat="false" ht="12.8" hidden="false" customHeight="false" outlineLevel="0" collapsed="false">
      <c r="A604" s="1"/>
      <c r="E604" s="10"/>
      <c r="F604" s="11"/>
      <c r="G604" s="12"/>
      <c r="H604" s="13"/>
      <c r="I604" s="14"/>
      <c r="J604" s="15"/>
      <c r="K604" s="15"/>
      <c r="L604" s="16"/>
    </row>
    <row r="605" customFormat="false" ht="12.8" hidden="false" customHeight="false" outlineLevel="0" collapsed="false">
      <c r="A605" s="1"/>
      <c r="E605" s="10"/>
      <c r="F605" s="11"/>
      <c r="G605" s="12"/>
      <c r="H605" s="13"/>
      <c r="I605" s="14"/>
      <c r="J605" s="15"/>
      <c r="K605" s="15"/>
      <c r="L605" s="16"/>
    </row>
    <row r="606" customFormat="false" ht="12.8" hidden="false" customHeight="false" outlineLevel="0" collapsed="false">
      <c r="A606" s="1"/>
      <c r="E606" s="10"/>
      <c r="F606" s="11"/>
      <c r="G606" s="12"/>
      <c r="H606" s="13"/>
      <c r="I606" s="14"/>
      <c r="J606" s="15"/>
      <c r="K606" s="15"/>
      <c r="L606" s="16"/>
    </row>
    <row r="607" customFormat="false" ht="12.8" hidden="false" customHeight="false" outlineLevel="0" collapsed="false">
      <c r="A607" s="1"/>
      <c r="B607" s="1"/>
      <c r="C607" s="1"/>
      <c r="D607" s="1"/>
      <c r="E607" s="10"/>
      <c r="F607" s="11"/>
      <c r="G607" s="12"/>
      <c r="H607" s="13"/>
      <c r="I607" s="14"/>
      <c r="J607" s="15"/>
      <c r="K607" s="15"/>
      <c r="L607" s="16"/>
    </row>
    <row r="608" customFormat="false" ht="12.8" hidden="false" customHeight="false" outlineLevel="0" collapsed="false">
      <c r="A608" s="1"/>
      <c r="E608" s="10"/>
      <c r="F608" s="11"/>
      <c r="G608" s="12"/>
      <c r="H608" s="13"/>
      <c r="I608" s="14"/>
      <c r="J608" s="15"/>
      <c r="K608" s="15"/>
      <c r="L608" s="16"/>
    </row>
    <row r="609" customFormat="false" ht="12.8" hidden="false" customHeight="false" outlineLevel="0" collapsed="false">
      <c r="A609" s="1"/>
      <c r="E609" s="10"/>
      <c r="F609" s="11"/>
      <c r="G609" s="12"/>
      <c r="H609" s="13"/>
      <c r="I609" s="14"/>
      <c r="J609" s="15"/>
      <c r="K609" s="15"/>
      <c r="L609" s="16"/>
    </row>
    <row r="610" customFormat="false" ht="12.8" hidden="false" customHeight="false" outlineLevel="0" collapsed="false">
      <c r="A610" s="1"/>
      <c r="B610" s="1"/>
      <c r="C610" s="1"/>
      <c r="D610" s="1"/>
      <c r="E610" s="10"/>
      <c r="F610" s="11"/>
      <c r="G610" s="12"/>
      <c r="H610" s="13"/>
      <c r="I610" s="14"/>
      <c r="J610" s="15"/>
      <c r="K610" s="15"/>
      <c r="L610" s="16"/>
    </row>
    <row r="611" customFormat="false" ht="12.8" hidden="false" customHeight="false" outlineLevel="0" collapsed="false">
      <c r="A611" s="1"/>
      <c r="E611" s="10"/>
      <c r="F611" s="11"/>
      <c r="G611" s="12"/>
      <c r="H611" s="13"/>
      <c r="I611" s="14"/>
      <c r="J611" s="15"/>
      <c r="K611" s="15"/>
      <c r="L611" s="16"/>
    </row>
    <row r="612" customFormat="false" ht="12.8" hidden="false" customHeight="false" outlineLevel="0" collapsed="false">
      <c r="A612" s="1"/>
      <c r="E612" s="10"/>
      <c r="F612" s="11"/>
      <c r="G612" s="12"/>
      <c r="H612" s="13"/>
      <c r="I612" s="14"/>
      <c r="J612" s="15"/>
      <c r="K612" s="15"/>
      <c r="L612" s="16"/>
    </row>
    <row r="613" customFormat="false" ht="12.8" hidden="false" customHeight="false" outlineLevel="0" collapsed="false">
      <c r="A613" s="1"/>
      <c r="E613" s="10"/>
      <c r="F613" s="11"/>
      <c r="G613" s="12"/>
      <c r="H613" s="13"/>
      <c r="I613" s="14"/>
      <c r="J613" s="15"/>
      <c r="K613" s="15"/>
      <c r="L613" s="16"/>
    </row>
    <row r="614" customFormat="false" ht="12.8" hidden="false" customHeight="false" outlineLevel="0" collapsed="false">
      <c r="A614" s="1"/>
      <c r="B614" s="1"/>
      <c r="C614" s="1"/>
      <c r="E614" s="10"/>
      <c r="F614" s="11"/>
      <c r="G614" s="12"/>
      <c r="H614" s="13"/>
      <c r="I614" s="14"/>
      <c r="J614" s="15"/>
      <c r="K614" s="15"/>
      <c r="L614" s="16"/>
    </row>
    <row r="615" customFormat="false" ht="12.8" hidden="false" customHeight="false" outlineLevel="0" collapsed="false">
      <c r="A615" s="1"/>
      <c r="E615" s="10"/>
      <c r="F615" s="11"/>
      <c r="G615" s="12"/>
      <c r="H615" s="13"/>
      <c r="I615" s="14"/>
      <c r="J615" s="15"/>
      <c r="K615" s="15"/>
      <c r="L615" s="16"/>
    </row>
    <row r="616" customFormat="false" ht="12.8" hidden="false" customHeight="false" outlineLevel="0" collapsed="false">
      <c r="A616" s="1"/>
      <c r="E616" s="10"/>
      <c r="F616" s="11"/>
      <c r="G616" s="12"/>
      <c r="H616" s="13"/>
      <c r="I616" s="14"/>
      <c r="J616" s="15"/>
      <c r="K616" s="15"/>
      <c r="L616" s="16"/>
    </row>
    <row r="617" customFormat="false" ht="12.8" hidden="false" customHeight="false" outlineLevel="0" collapsed="false">
      <c r="E617" s="10"/>
      <c r="F617" s="11"/>
      <c r="G617" s="12"/>
      <c r="H617" s="13"/>
      <c r="I617" s="14"/>
      <c r="J617" s="15"/>
      <c r="K617" s="15"/>
      <c r="L617" s="16"/>
    </row>
    <row r="618" customFormat="false" ht="12.8" hidden="false" customHeight="false" outlineLevel="0" collapsed="false">
      <c r="A618" s="1"/>
      <c r="E618" s="10"/>
      <c r="F618" s="11"/>
      <c r="G618" s="12"/>
      <c r="H618" s="13"/>
      <c r="I618" s="14"/>
      <c r="J618" s="15"/>
      <c r="K618" s="15"/>
      <c r="L618" s="16"/>
    </row>
    <row r="619" customFormat="false" ht="12.8" hidden="false" customHeight="false" outlineLevel="0" collapsed="false">
      <c r="A619" s="1"/>
      <c r="E619" s="10"/>
      <c r="F619" s="11"/>
      <c r="G619" s="12"/>
      <c r="H619" s="13"/>
      <c r="I619" s="14"/>
      <c r="J619" s="15"/>
      <c r="K619" s="15"/>
      <c r="L619" s="16"/>
    </row>
    <row r="620" customFormat="false" ht="12.8" hidden="false" customHeight="false" outlineLevel="0" collapsed="false">
      <c r="A620" s="1"/>
      <c r="E620" s="10"/>
      <c r="F620" s="11"/>
      <c r="G620" s="12"/>
      <c r="H620" s="13"/>
      <c r="I620" s="14"/>
      <c r="J620" s="15"/>
      <c r="K620" s="15"/>
      <c r="L620" s="16"/>
    </row>
    <row r="621" customFormat="false" ht="12.8" hidden="false" customHeight="false" outlineLevel="0" collapsed="false">
      <c r="A621" s="1"/>
      <c r="B621" s="1"/>
      <c r="C621" s="1"/>
      <c r="D621" s="1"/>
      <c r="E621" s="10"/>
      <c r="F621" s="11"/>
      <c r="G621" s="12"/>
      <c r="H621" s="13"/>
      <c r="I621" s="14"/>
      <c r="J621" s="15"/>
      <c r="K621" s="15"/>
      <c r="L621" s="16"/>
    </row>
    <row r="622" customFormat="false" ht="12.8" hidden="false" customHeight="false" outlineLevel="0" collapsed="false">
      <c r="A622" s="1"/>
      <c r="E622" s="10"/>
      <c r="F622" s="11"/>
      <c r="G622" s="12"/>
      <c r="H622" s="13"/>
      <c r="I622" s="14"/>
      <c r="J622" s="15"/>
      <c r="K622" s="15"/>
      <c r="L622" s="16"/>
    </row>
    <row r="623" customFormat="false" ht="12.8" hidden="false" customHeight="false" outlineLevel="0" collapsed="false">
      <c r="A623" s="1"/>
      <c r="E623" s="10"/>
      <c r="F623" s="11"/>
      <c r="G623" s="12"/>
      <c r="H623" s="13"/>
      <c r="I623" s="14"/>
      <c r="J623" s="15"/>
      <c r="K623" s="15"/>
      <c r="L623" s="16"/>
    </row>
    <row r="624" customFormat="false" ht="12.8" hidden="false" customHeight="false" outlineLevel="0" collapsed="false">
      <c r="A624" s="1"/>
      <c r="E624" s="10"/>
      <c r="F624" s="11"/>
      <c r="G624" s="12"/>
      <c r="H624" s="13"/>
      <c r="I624" s="14"/>
      <c r="J624" s="15"/>
      <c r="K624" s="15"/>
      <c r="L624" s="16"/>
    </row>
    <row r="625" customFormat="false" ht="12.8" hidden="false" customHeight="false" outlineLevel="0" collapsed="false">
      <c r="A625" s="1"/>
      <c r="E625" s="10"/>
      <c r="F625" s="11"/>
      <c r="G625" s="12"/>
      <c r="H625" s="13"/>
      <c r="I625" s="14"/>
      <c r="J625" s="15"/>
      <c r="K625" s="15"/>
      <c r="L625" s="16"/>
    </row>
    <row r="626" customFormat="false" ht="12.8" hidden="false" customHeight="false" outlineLevel="0" collapsed="false">
      <c r="A626" s="1"/>
      <c r="E626" s="10"/>
      <c r="F626" s="11"/>
      <c r="G626" s="12"/>
      <c r="H626" s="13"/>
      <c r="I626" s="14"/>
      <c r="J626" s="15"/>
      <c r="K626" s="15"/>
      <c r="L626" s="16"/>
    </row>
    <row r="627" customFormat="false" ht="12.8" hidden="false" customHeight="false" outlineLevel="0" collapsed="false">
      <c r="A627" s="1"/>
      <c r="E627" s="10"/>
      <c r="F627" s="11"/>
      <c r="G627" s="12"/>
      <c r="H627" s="13"/>
      <c r="I627" s="14"/>
      <c r="J627" s="15"/>
      <c r="K627" s="15"/>
      <c r="L627" s="16"/>
    </row>
    <row r="628" customFormat="false" ht="12.8" hidden="false" customHeight="false" outlineLevel="0" collapsed="false">
      <c r="E628" s="10"/>
      <c r="F628" s="11"/>
      <c r="G628" s="12"/>
      <c r="H628" s="13"/>
      <c r="I628" s="14"/>
      <c r="J628" s="15"/>
      <c r="K628" s="15"/>
      <c r="L628" s="16"/>
    </row>
    <row r="629" customFormat="false" ht="12.8" hidden="false" customHeight="false" outlineLevel="0" collapsed="false">
      <c r="A629" s="1"/>
      <c r="E629" s="10"/>
      <c r="F629" s="11"/>
      <c r="G629" s="12"/>
      <c r="H629" s="13"/>
      <c r="I629" s="14"/>
      <c r="J629" s="15"/>
      <c r="K629" s="15"/>
      <c r="L629" s="16"/>
    </row>
    <row r="630" customFormat="false" ht="12.8" hidden="false" customHeight="false" outlineLevel="0" collapsed="false">
      <c r="A630" s="1"/>
      <c r="E630" s="10"/>
      <c r="F630" s="11"/>
      <c r="G630" s="12"/>
      <c r="H630" s="13"/>
      <c r="I630" s="14"/>
      <c r="J630" s="15"/>
      <c r="K630" s="15"/>
      <c r="L630" s="16"/>
    </row>
    <row r="631" customFormat="false" ht="12.8" hidden="false" customHeight="false" outlineLevel="0" collapsed="false">
      <c r="A631" s="1"/>
      <c r="E631" s="10"/>
      <c r="F631" s="11"/>
      <c r="G631" s="12"/>
      <c r="H631" s="13"/>
      <c r="I631" s="14"/>
      <c r="J631" s="15"/>
      <c r="K631" s="15"/>
      <c r="L631" s="16"/>
    </row>
    <row r="632" customFormat="false" ht="12.8" hidden="false" customHeight="false" outlineLevel="0" collapsed="false">
      <c r="A632" s="1"/>
      <c r="E632" s="10"/>
      <c r="F632" s="11"/>
      <c r="G632" s="12"/>
      <c r="H632" s="13"/>
      <c r="I632" s="14"/>
      <c r="J632" s="15"/>
      <c r="K632" s="15"/>
      <c r="L632" s="16"/>
    </row>
    <row r="633" customFormat="false" ht="12.8" hidden="false" customHeight="false" outlineLevel="0" collapsed="false">
      <c r="A633" s="1"/>
      <c r="E633" s="10"/>
      <c r="F633" s="11"/>
      <c r="G633" s="12"/>
      <c r="H633" s="13"/>
      <c r="I633" s="14"/>
      <c r="J633" s="15"/>
      <c r="K633" s="15"/>
      <c r="L633" s="16"/>
    </row>
    <row r="634" customFormat="false" ht="12.8" hidden="false" customHeight="false" outlineLevel="0" collapsed="false">
      <c r="A634" s="1"/>
      <c r="B634" s="1"/>
      <c r="C634" s="1"/>
      <c r="D634" s="1"/>
      <c r="E634" s="10"/>
      <c r="F634" s="11"/>
      <c r="G634" s="12"/>
      <c r="H634" s="13"/>
      <c r="I634" s="14"/>
      <c r="J634" s="15"/>
      <c r="K634" s="15"/>
      <c r="L634" s="16"/>
    </row>
    <row r="635" customFormat="false" ht="12.8" hidden="false" customHeight="false" outlineLevel="0" collapsed="false">
      <c r="A635" s="1"/>
      <c r="E635" s="10"/>
      <c r="F635" s="11"/>
      <c r="G635" s="12"/>
      <c r="H635" s="13"/>
      <c r="I635" s="14"/>
      <c r="J635" s="15"/>
      <c r="K635" s="15"/>
      <c r="L635" s="16"/>
    </row>
    <row r="636" customFormat="false" ht="12.8" hidden="false" customHeight="false" outlineLevel="0" collapsed="false">
      <c r="A636" s="1"/>
      <c r="E636" s="10"/>
      <c r="F636" s="11"/>
      <c r="G636" s="12"/>
      <c r="H636" s="13"/>
      <c r="I636" s="14"/>
      <c r="J636" s="15"/>
      <c r="K636" s="15"/>
      <c r="L636" s="16"/>
    </row>
    <row r="637" customFormat="false" ht="12.8" hidden="false" customHeight="false" outlineLevel="0" collapsed="false">
      <c r="A637" s="1"/>
      <c r="B637" s="1"/>
      <c r="C637" s="1"/>
      <c r="D637" s="1"/>
      <c r="E637" s="10"/>
      <c r="F637" s="11"/>
      <c r="G637" s="12"/>
      <c r="H637" s="13"/>
      <c r="I637" s="14"/>
      <c r="J637" s="15"/>
      <c r="K637" s="15"/>
      <c r="L637" s="16"/>
    </row>
    <row r="638" customFormat="false" ht="12.8" hidden="false" customHeight="false" outlineLevel="0" collapsed="false">
      <c r="A638" s="1"/>
      <c r="E638" s="10"/>
      <c r="F638" s="11"/>
      <c r="G638" s="12"/>
      <c r="H638" s="13"/>
      <c r="I638" s="14"/>
      <c r="J638" s="15"/>
      <c r="K638" s="15"/>
      <c r="L638" s="16"/>
    </row>
    <row r="639" customFormat="false" ht="12.8" hidden="false" customHeight="false" outlineLevel="0" collapsed="false">
      <c r="A639" s="1"/>
      <c r="B639" s="1"/>
      <c r="C639" s="1"/>
      <c r="D639" s="1"/>
      <c r="E639" s="10"/>
      <c r="F639" s="11"/>
      <c r="G639" s="12"/>
      <c r="H639" s="13"/>
      <c r="I639" s="14"/>
      <c r="J639" s="15"/>
      <c r="K639" s="15"/>
      <c r="L639" s="16"/>
    </row>
    <row r="640" customFormat="false" ht="12.8" hidden="false" customHeight="false" outlineLevel="0" collapsed="false">
      <c r="A640" s="1"/>
      <c r="E640" s="10"/>
      <c r="F640" s="11"/>
      <c r="G640" s="12"/>
      <c r="H640" s="13"/>
      <c r="I640" s="14"/>
      <c r="J640" s="15"/>
      <c r="K640" s="15"/>
      <c r="L640" s="16"/>
    </row>
    <row r="641" customFormat="false" ht="12.8" hidden="false" customHeight="false" outlineLevel="0" collapsed="false">
      <c r="A641" s="1"/>
      <c r="E641" s="10"/>
      <c r="F641" s="11"/>
      <c r="G641" s="12"/>
      <c r="H641" s="13"/>
      <c r="I641" s="14"/>
      <c r="J641" s="15"/>
      <c r="K641" s="15"/>
      <c r="L641" s="16"/>
    </row>
    <row r="642" customFormat="false" ht="12.8" hidden="false" customHeight="false" outlineLevel="0" collapsed="false">
      <c r="E642" s="10"/>
      <c r="F642" s="11"/>
      <c r="G642" s="12"/>
      <c r="H642" s="13"/>
      <c r="I642" s="14"/>
      <c r="J642" s="15"/>
      <c r="K642" s="15"/>
      <c r="L642" s="16"/>
    </row>
    <row r="643" customFormat="false" ht="12.8" hidden="false" customHeight="false" outlineLevel="0" collapsed="false">
      <c r="A643" s="1"/>
      <c r="E643" s="10"/>
      <c r="F643" s="11"/>
      <c r="G643" s="12"/>
      <c r="H643" s="13"/>
      <c r="I643" s="14"/>
      <c r="J643" s="15"/>
      <c r="K643" s="15"/>
      <c r="L643" s="16"/>
    </row>
    <row r="644" customFormat="false" ht="12.8" hidden="false" customHeight="false" outlineLevel="0" collapsed="false">
      <c r="A644" s="1"/>
      <c r="E644" s="10"/>
      <c r="F644" s="11"/>
      <c r="G644" s="12"/>
      <c r="H644" s="13"/>
      <c r="I644" s="14"/>
      <c r="J644" s="15"/>
      <c r="K644" s="15"/>
      <c r="L644" s="16"/>
    </row>
    <row r="645" customFormat="false" ht="12.8" hidden="false" customHeight="false" outlineLevel="0" collapsed="false">
      <c r="A645" s="1"/>
      <c r="E645" s="10"/>
      <c r="F645" s="11"/>
      <c r="G645" s="12"/>
      <c r="H645" s="13"/>
      <c r="I645" s="14"/>
      <c r="J645" s="15"/>
      <c r="K645" s="15"/>
      <c r="L645" s="16"/>
    </row>
    <row r="646" customFormat="false" ht="12.8" hidden="false" customHeight="false" outlineLevel="0" collapsed="false">
      <c r="A646" s="1"/>
      <c r="E646" s="10"/>
      <c r="F646" s="11"/>
      <c r="G646" s="12"/>
      <c r="H646" s="13"/>
      <c r="I646" s="14"/>
      <c r="J646" s="15"/>
      <c r="K646" s="15"/>
      <c r="L646" s="16"/>
    </row>
    <row r="647" customFormat="false" ht="12.8" hidden="false" customHeight="false" outlineLevel="0" collapsed="false">
      <c r="A647" s="1"/>
      <c r="B647" s="1"/>
      <c r="C647" s="1"/>
      <c r="D647" s="1"/>
      <c r="E647" s="10"/>
      <c r="F647" s="11"/>
      <c r="G647" s="12"/>
      <c r="H647" s="13"/>
      <c r="I647" s="14"/>
      <c r="J647" s="15"/>
      <c r="K647" s="15"/>
      <c r="L647" s="16"/>
    </row>
    <row r="648" customFormat="false" ht="12.8" hidden="false" customHeight="false" outlineLevel="0" collapsed="false">
      <c r="A648" s="1"/>
      <c r="E648" s="10"/>
      <c r="F648" s="11"/>
      <c r="G648" s="12"/>
      <c r="H648" s="13"/>
      <c r="I648" s="14"/>
      <c r="J648" s="15"/>
      <c r="K648" s="15"/>
      <c r="L648" s="16"/>
    </row>
    <row r="649" customFormat="false" ht="12.8" hidden="false" customHeight="false" outlineLevel="0" collapsed="false">
      <c r="A649" s="1"/>
      <c r="B649" s="1"/>
      <c r="C649" s="1"/>
      <c r="D649" s="1"/>
      <c r="E649" s="10"/>
      <c r="F649" s="11"/>
      <c r="G649" s="12"/>
      <c r="H649" s="13"/>
      <c r="I649" s="14"/>
      <c r="J649" s="15"/>
      <c r="K649" s="15"/>
      <c r="L649" s="16"/>
    </row>
    <row r="650" customFormat="false" ht="12.8" hidden="false" customHeight="false" outlineLevel="0" collapsed="false">
      <c r="A650" s="1"/>
      <c r="E650" s="10"/>
      <c r="F650" s="11"/>
      <c r="G650" s="12"/>
      <c r="H650" s="13"/>
      <c r="I650" s="14"/>
      <c r="J650" s="15"/>
      <c r="K650" s="15"/>
      <c r="L650" s="16"/>
    </row>
    <row r="651" customFormat="false" ht="12.8" hidden="false" customHeight="false" outlineLevel="0" collapsed="false">
      <c r="E651" s="10"/>
      <c r="F651" s="11"/>
      <c r="G651" s="12"/>
      <c r="H651" s="13"/>
      <c r="I651" s="14"/>
      <c r="J651" s="15"/>
      <c r="K651" s="15"/>
      <c r="L651" s="16"/>
    </row>
    <row r="652" customFormat="false" ht="12.8" hidden="false" customHeight="false" outlineLevel="0" collapsed="false">
      <c r="A652" s="1"/>
      <c r="E652" s="10"/>
      <c r="F652" s="11"/>
      <c r="G652" s="12"/>
      <c r="H652" s="13"/>
      <c r="I652" s="14"/>
      <c r="J652" s="15"/>
      <c r="K652" s="15"/>
      <c r="L652" s="16"/>
    </row>
    <row r="653" customFormat="false" ht="12.8" hidden="false" customHeight="false" outlineLevel="0" collapsed="false">
      <c r="A653" s="1"/>
      <c r="B653" s="1"/>
      <c r="C653" s="1"/>
      <c r="D653" s="1"/>
      <c r="E653" s="10"/>
      <c r="F653" s="11"/>
      <c r="G653" s="12"/>
      <c r="H653" s="13"/>
      <c r="I653" s="14"/>
      <c r="J653" s="15"/>
      <c r="K653" s="15"/>
      <c r="L653" s="16"/>
    </row>
    <row r="654" customFormat="false" ht="12.8" hidden="false" customHeight="false" outlineLevel="0" collapsed="false">
      <c r="A654" s="1"/>
      <c r="E654" s="10"/>
      <c r="F654" s="11"/>
      <c r="G654" s="12"/>
      <c r="H654" s="13"/>
      <c r="I654" s="14"/>
      <c r="J654" s="15"/>
      <c r="K654" s="15"/>
      <c r="L654" s="16"/>
    </row>
    <row r="655" customFormat="false" ht="12.8" hidden="false" customHeight="false" outlineLevel="0" collapsed="false">
      <c r="A655" s="1"/>
      <c r="E655" s="10"/>
      <c r="F655" s="11"/>
      <c r="G655" s="12"/>
      <c r="H655" s="13"/>
      <c r="I655" s="14"/>
      <c r="J655" s="15"/>
      <c r="K655" s="15"/>
      <c r="L655" s="16"/>
    </row>
    <row r="656" customFormat="false" ht="12.8" hidden="false" customHeight="false" outlineLevel="0" collapsed="false">
      <c r="A656" s="1"/>
      <c r="E656" s="10"/>
      <c r="F656" s="11"/>
      <c r="G656" s="12"/>
      <c r="H656" s="13"/>
      <c r="I656" s="14"/>
      <c r="J656" s="15"/>
      <c r="K656" s="15"/>
      <c r="L656" s="16"/>
    </row>
    <row r="657" customFormat="false" ht="12.8" hidden="false" customHeight="false" outlineLevel="0" collapsed="false">
      <c r="A657" s="1"/>
      <c r="E657" s="10"/>
      <c r="F657" s="11"/>
      <c r="G657" s="12"/>
      <c r="H657" s="13"/>
      <c r="I657" s="14"/>
      <c r="J657" s="15"/>
      <c r="K657" s="15"/>
      <c r="L657" s="16"/>
    </row>
    <row r="658" customFormat="false" ht="12.8" hidden="false" customHeight="false" outlineLevel="0" collapsed="false">
      <c r="A658" s="1"/>
      <c r="B658" s="1"/>
      <c r="C658" s="1"/>
      <c r="D658" s="1"/>
      <c r="E658" s="10"/>
      <c r="F658" s="11"/>
      <c r="G658" s="12"/>
      <c r="H658" s="13"/>
      <c r="I658" s="14"/>
      <c r="J658" s="15"/>
      <c r="K658" s="15"/>
      <c r="L658" s="16"/>
    </row>
    <row r="659" customFormat="false" ht="12.8" hidden="false" customHeight="false" outlineLevel="0" collapsed="false">
      <c r="A659" s="1"/>
      <c r="E659" s="10"/>
      <c r="F659" s="11"/>
      <c r="G659" s="12"/>
      <c r="H659" s="13"/>
      <c r="I659" s="14"/>
      <c r="J659" s="15"/>
      <c r="K659" s="15"/>
      <c r="L659" s="16"/>
    </row>
    <row r="660" customFormat="false" ht="12.8" hidden="false" customHeight="false" outlineLevel="0" collapsed="false">
      <c r="A660" s="1"/>
      <c r="E660" s="10"/>
      <c r="F660" s="11"/>
      <c r="G660" s="12"/>
      <c r="H660" s="13"/>
      <c r="I660" s="14"/>
      <c r="J660" s="15"/>
      <c r="K660" s="15"/>
      <c r="L660" s="16"/>
    </row>
    <row r="661" customFormat="false" ht="12.8" hidden="false" customHeight="false" outlineLevel="0" collapsed="false">
      <c r="A661" s="1"/>
      <c r="B661" s="1"/>
      <c r="C661" s="1"/>
      <c r="D661" s="1"/>
      <c r="E661" s="10"/>
      <c r="F661" s="11"/>
      <c r="G661" s="12"/>
      <c r="H661" s="13"/>
      <c r="I661" s="14"/>
      <c r="J661" s="15"/>
      <c r="K661" s="15"/>
      <c r="L661" s="16"/>
    </row>
    <row r="662" customFormat="false" ht="12.8" hidden="false" customHeight="false" outlineLevel="0" collapsed="false">
      <c r="A662" s="1"/>
      <c r="E662" s="10"/>
      <c r="F662" s="11"/>
      <c r="G662" s="12"/>
      <c r="H662" s="13"/>
      <c r="I662" s="14"/>
      <c r="J662" s="15"/>
      <c r="K662" s="15"/>
      <c r="L662" s="16"/>
    </row>
    <row r="663" customFormat="false" ht="12.8" hidden="false" customHeight="false" outlineLevel="0" collapsed="false">
      <c r="A663" s="1"/>
      <c r="E663" s="10"/>
      <c r="F663" s="11"/>
      <c r="G663" s="12"/>
      <c r="H663" s="13"/>
      <c r="I663" s="14"/>
      <c r="J663" s="15"/>
      <c r="K663" s="15"/>
      <c r="L663" s="16"/>
    </row>
    <row r="664" customFormat="false" ht="12.8" hidden="false" customHeight="false" outlineLevel="0" collapsed="false">
      <c r="A664" s="1"/>
      <c r="B664" s="1"/>
      <c r="C664" s="1"/>
      <c r="D664" s="1"/>
      <c r="E664" s="10"/>
      <c r="F664" s="11"/>
      <c r="G664" s="12"/>
      <c r="H664" s="13"/>
      <c r="I664" s="14"/>
      <c r="J664" s="15"/>
      <c r="K664" s="15"/>
      <c r="L664" s="16"/>
    </row>
    <row r="665" customFormat="false" ht="12.8" hidden="false" customHeight="false" outlineLevel="0" collapsed="false">
      <c r="A665" s="1"/>
      <c r="E665" s="10"/>
      <c r="F665" s="11"/>
      <c r="G665" s="12"/>
      <c r="H665" s="13"/>
      <c r="I665" s="14"/>
      <c r="J665" s="15"/>
      <c r="K665" s="15"/>
      <c r="L665" s="16"/>
    </row>
    <row r="666" customFormat="false" ht="12.8" hidden="false" customHeight="false" outlineLevel="0" collapsed="false">
      <c r="E666" s="10"/>
      <c r="F666" s="11"/>
      <c r="G666" s="12"/>
      <c r="H666" s="13"/>
      <c r="I666" s="14"/>
      <c r="J666" s="15"/>
      <c r="K666" s="15"/>
      <c r="L666" s="16"/>
    </row>
    <row r="667" customFormat="false" ht="12.8" hidden="false" customHeight="false" outlineLevel="0" collapsed="false">
      <c r="A667" s="1"/>
      <c r="E667" s="10"/>
      <c r="F667" s="11"/>
      <c r="G667" s="12"/>
      <c r="H667" s="13"/>
      <c r="I667" s="14"/>
      <c r="J667" s="15"/>
      <c r="K667" s="15"/>
      <c r="L667" s="16"/>
    </row>
    <row r="668" customFormat="false" ht="12.8" hidden="false" customHeight="false" outlineLevel="0" collapsed="false">
      <c r="A668" s="1"/>
      <c r="E668" s="10"/>
      <c r="F668" s="11"/>
      <c r="G668" s="12"/>
      <c r="H668" s="13"/>
      <c r="I668" s="14"/>
      <c r="J668" s="15"/>
      <c r="K668" s="15"/>
      <c r="L668" s="16"/>
    </row>
    <row r="669" customFormat="false" ht="12.8" hidden="false" customHeight="false" outlineLevel="0" collapsed="false">
      <c r="A669" s="1"/>
      <c r="B669" s="1"/>
      <c r="C669" s="1"/>
      <c r="D669" s="1"/>
      <c r="E669" s="10"/>
      <c r="F669" s="11"/>
      <c r="G669" s="12"/>
      <c r="H669" s="13"/>
      <c r="I669" s="14"/>
      <c r="J669" s="15"/>
      <c r="K669" s="15"/>
      <c r="L669" s="16"/>
    </row>
    <row r="670" customFormat="false" ht="12.8" hidden="false" customHeight="false" outlineLevel="0" collapsed="false">
      <c r="A670" s="1"/>
      <c r="E670" s="10"/>
      <c r="F670" s="11"/>
      <c r="G670" s="12"/>
      <c r="H670" s="13"/>
      <c r="I670" s="14"/>
      <c r="J670" s="15"/>
      <c r="K670" s="15"/>
      <c r="L670" s="16"/>
    </row>
    <row r="671" customFormat="false" ht="12.8" hidden="false" customHeight="false" outlineLevel="0" collapsed="false">
      <c r="A671" s="1"/>
      <c r="E671" s="10"/>
      <c r="F671" s="11"/>
      <c r="G671" s="12"/>
      <c r="H671" s="13"/>
      <c r="I671" s="14"/>
      <c r="J671" s="15"/>
      <c r="K671" s="15"/>
      <c r="L671" s="16"/>
    </row>
    <row r="672" customFormat="false" ht="12.8" hidden="false" customHeight="false" outlineLevel="0" collapsed="false">
      <c r="A672" s="1"/>
      <c r="B672" s="1"/>
      <c r="C672" s="1"/>
      <c r="D672" s="1"/>
      <c r="E672" s="10"/>
      <c r="F672" s="11"/>
      <c r="G672" s="12"/>
      <c r="H672" s="13"/>
      <c r="I672" s="14"/>
      <c r="J672" s="15"/>
      <c r="K672" s="15"/>
      <c r="L672" s="16"/>
    </row>
    <row r="673" customFormat="false" ht="12.8" hidden="false" customHeight="false" outlineLevel="0" collapsed="false">
      <c r="A673" s="1"/>
      <c r="E673" s="10"/>
      <c r="F673" s="11"/>
      <c r="G673" s="12"/>
      <c r="H673" s="13"/>
      <c r="I673" s="14"/>
      <c r="J673" s="15"/>
      <c r="K673" s="15"/>
      <c r="L673" s="16"/>
    </row>
    <row r="674" customFormat="false" ht="12.8" hidden="false" customHeight="false" outlineLevel="0" collapsed="false">
      <c r="A674" s="1"/>
      <c r="E674" s="10"/>
      <c r="F674" s="11"/>
      <c r="G674" s="12"/>
      <c r="H674" s="13"/>
      <c r="I674" s="14"/>
      <c r="J674" s="15"/>
      <c r="K674" s="15"/>
      <c r="L674" s="16"/>
    </row>
    <row r="675" customFormat="false" ht="12.8" hidden="false" customHeight="false" outlineLevel="0" collapsed="false">
      <c r="A675" s="1"/>
      <c r="B675" s="1"/>
      <c r="C675" s="1"/>
      <c r="D675" s="1"/>
      <c r="E675" s="10"/>
      <c r="F675" s="11"/>
      <c r="G675" s="12"/>
      <c r="H675" s="13"/>
      <c r="I675" s="14"/>
      <c r="J675" s="15"/>
      <c r="K675" s="15"/>
      <c r="L675" s="16"/>
    </row>
    <row r="676" customFormat="false" ht="12.8" hidden="false" customHeight="false" outlineLevel="0" collapsed="false">
      <c r="A676" s="1"/>
      <c r="E676" s="10"/>
      <c r="F676" s="11"/>
      <c r="G676" s="12"/>
      <c r="H676" s="13"/>
      <c r="I676" s="14"/>
      <c r="J676" s="15"/>
      <c r="K676" s="15"/>
      <c r="L676" s="16"/>
    </row>
    <row r="677" customFormat="false" ht="12.8" hidden="false" customHeight="false" outlineLevel="0" collapsed="false">
      <c r="E677" s="10"/>
      <c r="F677" s="11"/>
      <c r="G677" s="12"/>
      <c r="H677" s="13"/>
      <c r="I677" s="14"/>
      <c r="J677" s="15"/>
      <c r="K677" s="15"/>
      <c r="L677" s="16"/>
    </row>
    <row r="678" customFormat="false" ht="12.8" hidden="false" customHeight="false" outlineLevel="0" collapsed="false">
      <c r="A678" s="1"/>
      <c r="E678" s="10"/>
      <c r="F678" s="11"/>
      <c r="G678" s="12"/>
      <c r="H678" s="13"/>
      <c r="I678" s="14"/>
      <c r="J678" s="15"/>
      <c r="K678" s="15"/>
      <c r="L678" s="16"/>
    </row>
    <row r="679" customFormat="false" ht="12.8" hidden="false" customHeight="false" outlineLevel="0" collapsed="false">
      <c r="A679" s="1"/>
      <c r="E679" s="10"/>
      <c r="F679" s="11"/>
      <c r="G679" s="12"/>
      <c r="H679" s="13"/>
      <c r="I679" s="14"/>
      <c r="J679" s="15"/>
      <c r="K679" s="15"/>
      <c r="L679" s="16"/>
    </row>
    <row r="680" customFormat="false" ht="12.8" hidden="false" customHeight="false" outlineLevel="0" collapsed="false">
      <c r="A680" s="1"/>
      <c r="B680" s="1"/>
      <c r="C680" s="1"/>
      <c r="E680" s="10"/>
      <c r="F680" s="11"/>
      <c r="G680" s="12"/>
      <c r="H680" s="13"/>
      <c r="I680" s="14"/>
      <c r="J680" s="15"/>
      <c r="K680" s="15"/>
      <c r="L680" s="16"/>
    </row>
    <row r="681" customFormat="false" ht="12.8" hidden="false" customHeight="false" outlineLevel="0" collapsed="false">
      <c r="A681" s="1"/>
      <c r="E681" s="10"/>
      <c r="F681" s="11"/>
      <c r="G681" s="12"/>
      <c r="H681" s="13"/>
      <c r="I681" s="14"/>
      <c r="J681" s="15"/>
      <c r="K681" s="15"/>
      <c r="L681" s="16"/>
    </row>
    <row r="682" customFormat="false" ht="12.8" hidden="false" customHeight="false" outlineLevel="0" collapsed="false">
      <c r="A682" s="1"/>
      <c r="E682" s="10"/>
      <c r="F682" s="11"/>
      <c r="G682" s="12"/>
      <c r="H682" s="13"/>
      <c r="I682" s="14"/>
      <c r="J682" s="15"/>
      <c r="K682" s="15"/>
      <c r="L682" s="16"/>
    </row>
    <row r="683" customFormat="false" ht="12.8" hidden="false" customHeight="false" outlineLevel="0" collapsed="false">
      <c r="A683" s="1"/>
      <c r="E683" s="10"/>
      <c r="F683" s="11"/>
      <c r="G683" s="12"/>
      <c r="H683" s="13"/>
      <c r="I683" s="14"/>
      <c r="J683" s="15"/>
      <c r="K683" s="15"/>
      <c r="L683" s="16"/>
    </row>
    <row r="684" customFormat="false" ht="12.8" hidden="false" customHeight="false" outlineLevel="0" collapsed="false">
      <c r="A684" s="1"/>
      <c r="B684" s="1"/>
      <c r="C684" s="1"/>
      <c r="D684" s="1"/>
      <c r="E684" s="10"/>
      <c r="F684" s="11"/>
      <c r="G684" s="12"/>
      <c r="H684" s="13"/>
      <c r="I684" s="14"/>
      <c r="J684" s="15"/>
      <c r="K684" s="15"/>
      <c r="L684" s="16"/>
    </row>
    <row r="685" customFormat="false" ht="12.8" hidden="false" customHeight="false" outlineLevel="0" collapsed="false">
      <c r="A685" s="1"/>
      <c r="E685" s="10"/>
      <c r="F685" s="11"/>
      <c r="G685" s="12"/>
      <c r="H685" s="13"/>
      <c r="I685" s="14"/>
      <c r="J685" s="15"/>
      <c r="K685" s="15"/>
      <c r="L685" s="16"/>
    </row>
    <row r="686" customFormat="false" ht="12.8" hidden="false" customHeight="false" outlineLevel="0" collapsed="false">
      <c r="A686" s="1"/>
      <c r="E686" s="10"/>
      <c r="F686" s="11"/>
      <c r="G686" s="12"/>
      <c r="H686" s="13"/>
      <c r="I686" s="14"/>
      <c r="J686" s="15"/>
      <c r="K686" s="15"/>
      <c r="L686" s="16"/>
    </row>
    <row r="687" customFormat="false" ht="12.8" hidden="false" customHeight="false" outlineLevel="0" collapsed="false">
      <c r="A687" s="1"/>
      <c r="B687" s="1"/>
      <c r="C687" s="1"/>
      <c r="D687" s="1"/>
      <c r="E687" s="10"/>
      <c r="F687" s="11"/>
      <c r="G687" s="12"/>
      <c r="H687" s="13"/>
      <c r="I687" s="14"/>
      <c r="J687" s="15"/>
      <c r="K687" s="15"/>
      <c r="L687" s="16"/>
    </row>
    <row r="688" customFormat="false" ht="12.8" hidden="false" customHeight="false" outlineLevel="0" collapsed="false">
      <c r="A688" s="1"/>
      <c r="E688" s="10"/>
      <c r="F688" s="11"/>
      <c r="G688" s="12"/>
      <c r="H688" s="13"/>
      <c r="I688" s="14"/>
      <c r="J688" s="15"/>
      <c r="K688" s="15"/>
      <c r="L688" s="16"/>
    </row>
    <row r="689" customFormat="false" ht="12.8" hidden="false" customHeight="false" outlineLevel="0" collapsed="false">
      <c r="A689" s="1"/>
      <c r="E689" s="10"/>
      <c r="F689" s="11"/>
      <c r="G689" s="12"/>
      <c r="H689" s="13"/>
      <c r="I689" s="14"/>
      <c r="J689" s="15"/>
      <c r="K689" s="15"/>
      <c r="L689" s="16"/>
    </row>
    <row r="690" customFormat="false" ht="12.8" hidden="false" customHeight="false" outlineLevel="0" collapsed="false">
      <c r="E690" s="10"/>
      <c r="F690" s="11"/>
      <c r="G690" s="12"/>
      <c r="H690" s="13"/>
      <c r="I690" s="14"/>
      <c r="J690" s="15"/>
      <c r="K690" s="15"/>
      <c r="L690" s="16"/>
    </row>
    <row r="691" customFormat="false" ht="12.8" hidden="false" customHeight="false" outlineLevel="0" collapsed="false">
      <c r="A691" s="1"/>
      <c r="E691" s="10"/>
      <c r="F691" s="11"/>
      <c r="G691" s="12"/>
      <c r="H691" s="13"/>
      <c r="I691" s="14"/>
      <c r="J691" s="15"/>
      <c r="K691" s="15"/>
      <c r="L691" s="16"/>
    </row>
    <row r="692" customFormat="false" ht="12.8" hidden="false" customHeight="false" outlineLevel="0" collapsed="false">
      <c r="A692" s="1"/>
      <c r="E692" s="10"/>
      <c r="F692" s="11"/>
      <c r="G692" s="12"/>
      <c r="H692" s="13"/>
      <c r="I692" s="14"/>
      <c r="J692" s="15"/>
      <c r="K692" s="15"/>
      <c r="L692" s="16"/>
    </row>
    <row r="693" customFormat="false" ht="12.8" hidden="false" customHeight="false" outlineLevel="0" collapsed="false">
      <c r="A693" s="1"/>
      <c r="E693" s="10"/>
      <c r="F693" s="11"/>
      <c r="G693" s="12"/>
      <c r="H693" s="13"/>
      <c r="I693" s="14"/>
      <c r="J693" s="15"/>
      <c r="K693" s="15"/>
      <c r="L693" s="16"/>
    </row>
    <row r="694" customFormat="false" ht="12.8" hidden="false" customHeight="false" outlineLevel="0" collapsed="false">
      <c r="A694" s="1"/>
      <c r="B694" s="1"/>
      <c r="C694" s="1"/>
      <c r="D694" s="1"/>
      <c r="E694" s="10"/>
      <c r="F694" s="11"/>
      <c r="G694" s="12"/>
      <c r="H694" s="13"/>
      <c r="I694" s="14"/>
      <c r="J694" s="15"/>
      <c r="K694" s="15"/>
      <c r="L694" s="16"/>
    </row>
    <row r="695" customFormat="false" ht="12.8" hidden="false" customHeight="false" outlineLevel="0" collapsed="false">
      <c r="A695" s="1"/>
      <c r="E695" s="10"/>
      <c r="F695" s="11"/>
      <c r="G695" s="12"/>
      <c r="H695" s="13"/>
      <c r="I695" s="14"/>
      <c r="J695" s="15"/>
      <c r="K695" s="15"/>
      <c r="L695" s="16"/>
    </row>
    <row r="696" customFormat="false" ht="12.8" hidden="false" customHeight="false" outlineLevel="0" collapsed="false">
      <c r="A696" s="1"/>
      <c r="B696" s="1"/>
      <c r="C696" s="1"/>
      <c r="D696" s="1"/>
      <c r="E696" s="10"/>
      <c r="F696" s="11"/>
      <c r="G696" s="12"/>
      <c r="H696" s="13"/>
      <c r="I696" s="14"/>
      <c r="J696" s="15"/>
      <c r="K696" s="15"/>
      <c r="L696" s="16"/>
    </row>
    <row r="697" customFormat="false" ht="12.8" hidden="false" customHeight="false" outlineLevel="0" collapsed="false">
      <c r="A697" s="1"/>
      <c r="E697" s="10"/>
      <c r="F697" s="11"/>
      <c r="G697" s="12"/>
      <c r="H697" s="13"/>
      <c r="I697" s="14"/>
      <c r="J697" s="15"/>
      <c r="K697" s="15"/>
      <c r="L697" s="16"/>
    </row>
    <row r="698" customFormat="false" ht="12.8" hidden="false" customHeight="false" outlineLevel="0" collapsed="false">
      <c r="A698" s="1"/>
      <c r="E698" s="10"/>
      <c r="F698" s="11"/>
      <c r="G698" s="12"/>
      <c r="H698" s="13"/>
      <c r="I698" s="14"/>
      <c r="J698" s="15"/>
      <c r="K698" s="15"/>
      <c r="L698" s="16"/>
    </row>
    <row r="699" customFormat="false" ht="12.8" hidden="false" customHeight="false" outlineLevel="0" collapsed="false">
      <c r="A699" s="1"/>
      <c r="E699" s="10"/>
      <c r="F699" s="11"/>
      <c r="G699" s="12"/>
      <c r="H699" s="13"/>
      <c r="I699" s="14"/>
      <c r="J699" s="15"/>
      <c r="K699" s="15"/>
      <c r="L699" s="16"/>
    </row>
    <row r="700" customFormat="false" ht="12.8" hidden="false" customHeight="false" outlineLevel="0" collapsed="false">
      <c r="A700" s="1"/>
      <c r="B700" s="1"/>
      <c r="C700" s="1"/>
      <c r="D700" s="1"/>
      <c r="E700" s="10"/>
      <c r="F700" s="11"/>
      <c r="G700" s="12"/>
      <c r="H700" s="13"/>
      <c r="I700" s="14"/>
      <c r="J700" s="15"/>
      <c r="K700" s="15"/>
      <c r="L700" s="16"/>
    </row>
    <row r="701" customFormat="false" ht="12.8" hidden="false" customHeight="false" outlineLevel="0" collapsed="false">
      <c r="A701" s="1"/>
      <c r="E701" s="10"/>
      <c r="F701" s="11"/>
      <c r="G701" s="12"/>
      <c r="H701" s="13"/>
      <c r="I701" s="14"/>
      <c r="J701" s="15"/>
      <c r="K701" s="15"/>
      <c r="L701" s="16"/>
    </row>
    <row r="702" customFormat="false" ht="12.8" hidden="false" customHeight="false" outlineLevel="0" collapsed="false">
      <c r="A702" s="1"/>
      <c r="E702" s="10"/>
      <c r="F702" s="11"/>
      <c r="G702" s="12"/>
      <c r="H702" s="13"/>
      <c r="I702" s="14"/>
      <c r="J702" s="15"/>
      <c r="K702" s="15"/>
      <c r="L702" s="16"/>
    </row>
    <row r="703" customFormat="false" ht="12.8" hidden="false" customHeight="false" outlineLevel="0" collapsed="false">
      <c r="E703" s="10"/>
      <c r="F703" s="11"/>
      <c r="G703" s="12"/>
      <c r="H703" s="13"/>
      <c r="I703" s="14"/>
      <c r="J703" s="15"/>
      <c r="K703" s="15"/>
      <c r="L703" s="16"/>
    </row>
    <row r="704" customFormat="false" ht="12.8" hidden="false" customHeight="false" outlineLevel="0" collapsed="false">
      <c r="A704" s="1"/>
      <c r="E704" s="10"/>
      <c r="F704" s="11"/>
      <c r="G704" s="12"/>
      <c r="H704" s="13"/>
      <c r="I704" s="14"/>
      <c r="J704" s="15"/>
      <c r="K704" s="15"/>
      <c r="L704" s="16"/>
    </row>
    <row r="705" customFormat="false" ht="12.8" hidden="false" customHeight="false" outlineLevel="0" collapsed="false">
      <c r="A705" s="1"/>
      <c r="E705" s="10"/>
      <c r="F705" s="11"/>
      <c r="G705" s="12"/>
      <c r="H705" s="13"/>
      <c r="I705" s="14"/>
      <c r="J705" s="15"/>
      <c r="K705" s="15"/>
      <c r="L705" s="16"/>
    </row>
    <row r="706" customFormat="false" ht="12.8" hidden="false" customHeight="false" outlineLevel="0" collapsed="false">
      <c r="A706" s="1"/>
      <c r="E706" s="10"/>
      <c r="F706" s="11"/>
      <c r="G706" s="12"/>
      <c r="H706" s="13"/>
      <c r="I706" s="14"/>
      <c r="J706" s="15"/>
      <c r="K706" s="15"/>
      <c r="L706" s="16"/>
    </row>
    <row r="707" customFormat="false" ht="12.8" hidden="false" customHeight="false" outlineLevel="0" collapsed="false">
      <c r="A707" s="1"/>
      <c r="E707" s="10"/>
      <c r="F707" s="11"/>
      <c r="G707" s="12"/>
      <c r="H707" s="13"/>
      <c r="I707" s="14"/>
      <c r="J707" s="15"/>
      <c r="K707" s="15"/>
      <c r="L707" s="16"/>
    </row>
    <row r="708" customFormat="false" ht="12.8" hidden="false" customHeight="false" outlineLevel="0" collapsed="false">
      <c r="A708" s="1"/>
      <c r="E708" s="10"/>
      <c r="F708" s="11"/>
      <c r="G708" s="12"/>
      <c r="H708" s="13"/>
      <c r="I708" s="14"/>
      <c r="J708" s="15"/>
      <c r="K708" s="15"/>
      <c r="L708" s="16"/>
    </row>
    <row r="709" customFormat="false" ht="12.8" hidden="false" customHeight="false" outlineLevel="0" collapsed="false">
      <c r="A709" s="1"/>
      <c r="E709" s="10"/>
      <c r="F709" s="11"/>
      <c r="G709" s="12"/>
      <c r="H709" s="13"/>
      <c r="I709" s="14"/>
      <c r="J709" s="15"/>
      <c r="K709" s="15"/>
      <c r="L709" s="16"/>
    </row>
    <row r="710" customFormat="false" ht="12.8" hidden="false" customHeight="false" outlineLevel="0" collapsed="false">
      <c r="A710" s="1"/>
      <c r="B710" s="1"/>
      <c r="C710" s="1"/>
      <c r="D710" s="1"/>
      <c r="E710" s="10"/>
      <c r="F710" s="11"/>
      <c r="G710" s="12"/>
      <c r="H710" s="13"/>
      <c r="I710" s="14"/>
      <c r="J710" s="15"/>
      <c r="K710" s="15"/>
      <c r="L710" s="16"/>
    </row>
    <row r="711" customFormat="false" ht="12.8" hidden="false" customHeight="false" outlineLevel="0" collapsed="false">
      <c r="A711" s="1"/>
      <c r="E711" s="10"/>
      <c r="F711" s="11"/>
      <c r="G711" s="12"/>
      <c r="H711" s="13"/>
      <c r="I711" s="14"/>
      <c r="J711" s="15"/>
      <c r="K711" s="15"/>
      <c r="L711" s="16"/>
    </row>
    <row r="712" customFormat="false" ht="12.8" hidden="false" customHeight="false" outlineLevel="0" collapsed="false">
      <c r="A712" s="1"/>
      <c r="B712" s="1"/>
      <c r="E712" s="10"/>
      <c r="F712" s="11"/>
      <c r="G712" s="12"/>
      <c r="H712" s="13"/>
      <c r="I712" s="14"/>
      <c r="J712" s="15"/>
      <c r="K712" s="15"/>
      <c r="L712" s="16"/>
    </row>
    <row r="713" customFormat="false" ht="12.8" hidden="false" customHeight="false" outlineLevel="0" collapsed="false">
      <c r="A713" s="1"/>
      <c r="E713" s="10"/>
      <c r="F713" s="11"/>
      <c r="G713" s="12"/>
      <c r="H713" s="13"/>
      <c r="I713" s="14"/>
      <c r="J713" s="15"/>
      <c r="K713" s="15"/>
      <c r="L713" s="16"/>
    </row>
    <row r="714" customFormat="false" ht="12.8" hidden="false" customHeight="false" outlineLevel="0" collapsed="false">
      <c r="A714" s="1"/>
      <c r="E714" s="10"/>
      <c r="F714" s="11"/>
      <c r="G714" s="12"/>
      <c r="H714" s="13"/>
      <c r="I714" s="14"/>
      <c r="J714" s="15"/>
      <c r="K714" s="15"/>
      <c r="L714" s="16"/>
    </row>
    <row r="715" customFormat="false" ht="12.8" hidden="false" customHeight="false" outlineLevel="0" collapsed="false">
      <c r="A715" s="1"/>
      <c r="E715" s="10"/>
      <c r="F715" s="11"/>
      <c r="G715" s="12"/>
      <c r="H715" s="13"/>
      <c r="I715" s="14"/>
      <c r="J715" s="15"/>
      <c r="K715" s="15"/>
      <c r="L715" s="16"/>
    </row>
    <row r="716" customFormat="false" ht="12.8" hidden="false" customHeight="false" outlineLevel="0" collapsed="false">
      <c r="A716" s="1"/>
      <c r="E716" s="10"/>
      <c r="F716" s="11"/>
      <c r="G716" s="12"/>
      <c r="H716" s="13"/>
      <c r="I716" s="14"/>
      <c r="J716" s="15"/>
      <c r="K716" s="15"/>
      <c r="L716" s="16"/>
    </row>
    <row r="717" customFormat="false" ht="12.8" hidden="false" customHeight="false" outlineLevel="0" collapsed="false">
      <c r="A717" s="1"/>
      <c r="E717" s="10"/>
      <c r="F717" s="11"/>
      <c r="G717" s="12"/>
      <c r="H717" s="13"/>
      <c r="I717" s="14"/>
      <c r="J717" s="15"/>
      <c r="K717" s="15"/>
      <c r="L717" s="16"/>
    </row>
    <row r="718" customFormat="false" ht="12.8" hidden="false" customHeight="false" outlineLevel="0" collapsed="false">
      <c r="E718" s="10"/>
      <c r="F718" s="11"/>
      <c r="G718" s="12"/>
      <c r="H718" s="13"/>
      <c r="I718" s="14"/>
      <c r="J718" s="15"/>
      <c r="K718" s="15"/>
      <c r="L718" s="16"/>
    </row>
    <row r="719" customFormat="false" ht="12.8" hidden="false" customHeight="false" outlineLevel="0" collapsed="false">
      <c r="A719" s="1"/>
      <c r="E719" s="10"/>
      <c r="F719" s="11"/>
      <c r="G719" s="12"/>
      <c r="H719" s="13"/>
      <c r="I719" s="14"/>
      <c r="J719" s="15"/>
      <c r="K719" s="15"/>
      <c r="L719" s="16"/>
    </row>
    <row r="720" customFormat="false" ht="12.8" hidden="false" customHeight="false" outlineLevel="0" collapsed="false">
      <c r="A720" s="1"/>
      <c r="E720" s="10"/>
      <c r="F720" s="11"/>
      <c r="G720" s="12"/>
      <c r="H720" s="13"/>
      <c r="I720" s="14"/>
      <c r="J720" s="15"/>
      <c r="K720" s="15"/>
      <c r="L720" s="16"/>
    </row>
    <row r="721" customFormat="false" ht="12.8" hidden="false" customHeight="false" outlineLevel="0" collapsed="false">
      <c r="A721" s="1"/>
      <c r="E721" s="10"/>
      <c r="F721" s="11"/>
      <c r="G721" s="12"/>
      <c r="H721" s="13"/>
      <c r="I721" s="14"/>
      <c r="J721" s="15"/>
      <c r="K721" s="15"/>
      <c r="L721" s="16"/>
    </row>
    <row r="722" customFormat="false" ht="12.8" hidden="false" customHeight="false" outlineLevel="0" collapsed="false">
      <c r="A722" s="1"/>
      <c r="B722" s="1"/>
      <c r="C722" s="1"/>
      <c r="D722" s="1"/>
      <c r="E722" s="10"/>
      <c r="F722" s="11"/>
      <c r="G722" s="12"/>
      <c r="H722" s="13"/>
      <c r="I722" s="14"/>
      <c r="J722" s="15"/>
      <c r="K722" s="15"/>
      <c r="L722" s="16"/>
    </row>
    <row r="723" customFormat="false" ht="12.8" hidden="false" customHeight="false" outlineLevel="0" collapsed="false">
      <c r="A723" s="1"/>
      <c r="E723" s="10"/>
      <c r="F723" s="11"/>
      <c r="G723" s="12"/>
      <c r="H723" s="13"/>
      <c r="I723" s="14"/>
      <c r="J723" s="15"/>
      <c r="K723" s="15"/>
      <c r="L723" s="16"/>
    </row>
    <row r="724" customFormat="false" ht="12.8" hidden="false" customHeight="false" outlineLevel="0" collapsed="false">
      <c r="A724" s="1"/>
      <c r="E724" s="10"/>
      <c r="F724" s="11"/>
      <c r="G724" s="12"/>
      <c r="H724" s="13"/>
      <c r="I724" s="14"/>
      <c r="J724" s="15"/>
      <c r="K724" s="15"/>
      <c r="L724" s="16"/>
    </row>
    <row r="725" customFormat="false" ht="12.8" hidden="false" customHeight="false" outlineLevel="0" collapsed="false">
      <c r="A725" s="1"/>
      <c r="E725" s="10"/>
      <c r="F725" s="11"/>
      <c r="G725" s="12"/>
      <c r="H725" s="13"/>
      <c r="I725" s="14"/>
      <c r="J725" s="15"/>
      <c r="K725" s="15"/>
      <c r="L725" s="16"/>
    </row>
    <row r="726" customFormat="false" ht="12.8" hidden="false" customHeight="false" outlineLevel="0" collapsed="false">
      <c r="A726" s="1"/>
      <c r="E726" s="10"/>
      <c r="F726" s="11"/>
      <c r="G726" s="12"/>
      <c r="H726" s="13"/>
      <c r="I726" s="14"/>
      <c r="J726" s="15"/>
      <c r="K726" s="15"/>
      <c r="L726" s="16"/>
    </row>
    <row r="727" customFormat="false" ht="12.8" hidden="false" customHeight="false" outlineLevel="0" collapsed="false">
      <c r="A727" s="1"/>
      <c r="E727" s="10"/>
      <c r="F727" s="11"/>
      <c r="G727" s="12"/>
      <c r="H727" s="13"/>
      <c r="I727" s="14"/>
      <c r="J727" s="15"/>
      <c r="K727" s="15"/>
      <c r="L727" s="16"/>
    </row>
    <row r="728" customFormat="false" ht="12.8" hidden="false" customHeight="false" outlineLevel="0" collapsed="false">
      <c r="A728" s="1"/>
      <c r="B728" s="1"/>
      <c r="C728" s="1"/>
      <c r="D728" s="1"/>
      <c r="E728" s="10"/>
      <c r="F728" s="11"/>
      <c r="G728" s="12"/>
      <c r="H728" s="13"/>
      <c r="I728" s="14"/>
      <c r="J728" s="15"/>
      <c r="K728" s="15"/>
      <c r="L728" s="16"/>
    </row>
    <row r="729" customFormat="false" ht="12.8" hidden="false" customHeight="false" outlineLevel="0" collapsed="false">
      <c r="A729" s="1"/>
      <c r="E729" s="10"/>
      <c r="F729" s="11"/>
      <c r="G729" s="12"/>
      <c r="H729" s="13"/>
      <c r="I729" s="14"/>
      <c r="J729" s="15"/>
      <c r="K729" s="15"/>
      <c r="L729" s="16"/>
    </row>
    <row r="730" customFormat="false" ht="12.8" hidden="false" customHeight="false" outlineLevel="0" collapsed="false">
      <c r="A730" s="1"/>
      <c r="E730" s="10"/>
      <c r="F730" s="11"/>
      <c r="G730" s="12"/>
      <c r="H730" s="13"/>
      <c r="I730" s="14"/>
      <c r="J730" s="15"/>
      <c r="K730" s="15"/>
      <c r="L730" s="16"/>
    </row>
    <row r="731" customFormat="false" ht="12.8" hidden="false" customHeight="false" outlineLevel="0" collapsed="false">
      <c r="E731" s="10"/>
      <c r="F731" s="11"/>
      <c r="G731" s="12"/>
      <c r="H731" s="13"/>
      <c r="I731" s="14"/>
      <c r="J731" s="15"/>
      <c r="K731" s="15"/>
      <c r="L731" s="16"/>
    </row>
    <row r="732" customFormat="false" ht="12.8" hidden="false" customHeight="false" outlineLevel="0" collapsed="false">
      <c r="A732" s="1"/>
      <c r="E732" s="10"/>
      <c r="F732" s="11"/>
      <c r="G732" s="12"/>
      <c r="H732" s="13"/>
      <c r="I732" s="14"/>
      <c r="J732" s="15"/>
      <c r="K732" s="15"/>
      <c r="L732" s="16"/>
    </row>
    <row r="733" customFormat="false" ht="12.8" hidden="false" customHeight="false" outlineLevel="0" collapsed="false">
      <c r="A733" s="1"/>
      <c r="E733" s="10"/>
      <c r="F733" s="11"/>
      <c r="G733" s="12"/>
      <c r="H733" s="13"/>
      <c r="I733" s="14"/>
      <c r="J733" s="15"/>
      <c r="K733" s="15"/>
      <c r="L733" s="16"/>
    </row>
    <row r="734" customFormat="false" ht="12.8" hidden="false" customHeight="false" outlineLevel="0" collapsed="false">
      <c r="A734" s="1"/>
      <c r="E734" s="10"/>
      <c r="F734" s="11"/>
      <c r="G734" s="12"/>
      <c r="H734" s="13"/>
      <c r="I734" s="14"/>
      <c r="J734" s="15"/>
      <c r="K734" s="15"/>
      <c r="L734" s="16"/>
    </row>
    <row r="735" customFormat="false" ht="12.8" hidden="false" customHeight="false" outlineLevel="0" collapsed="false">
      <c r="A735" s="1"/>
      <c r="E735" s="10"/>
      <c r="F735" s="11"/>
      <c r="G735" s="12"/>
      <c r="H735" s="13"/>
      <c r="I735" s="14"/>
      <c r="J735" s="15"/>
      <c r="K735" s="15"/>
      <c r="L735" s="16"/>
    </row>
    <row r="736" customFormat="false" ht="12.8" hidden="false" customHeight="false" outlineLevel="0" collapsed="false">
      <c r="A736" s="1"/>
      <c r="B736" s="1"/>
      <c r="C736" s="1"/>
      <c r="D736" s="1"/>
      <c r="E736" s="10"/>
      <c r="F736" s="11"/>
      <c r="G736" s="12"/>
      <c r="H736" s="13"/>
      <c r="I736" s="14"/>
      <c r="J736" s="15"/>
      <c r="K736" s="15"/>
      <c r="L736" s="16"/>
    </row>
    <row r="737" customFormat="false" ht="12.8" hidden="false" customHeight="false" outlineLevel="0" collapsed="false">
      <c r="A737" s="1"/>
      <c r="E737" s="10"/>
      <c r="F737" s="11"/>
      <c r="G737" s="12"/>
      <c r="H737" s="13"/>
      <c r="I737" s="14"/>
      <c r="J737" s="15"/>
      <c r="K737" s="15"/>
      <c r="L737" s="16"/>
    </row>
    <row r="738" customFormat="false" ht="12.8" hidden="false" customHeight="false" outlineLevel="0" collapsed="false">
      <c r="A738" s="1"/>
      <c r="E738" s="10"/>
      <c r="F738" s="11"/>
      <c r="G738" s="12"/>
      <c r="H738" s="13"/>
      <c r="I738" s="14"/>
      <c r="J738" s="15"/>
      <c r="K738" s="15"/>
      <c r="L738" s="16"/>
    </row>
    <row r="739" customFormat="false" ht="12.8" hidden="false" customHeight="false" outlineLevel="0" collapsed="false">
      <c r="A739" s="1"/>
      <c r="E739" s="10"/>
      <c r="F739" s="11"/>
      <c r="G739" s="12"/>
      <c r="H739" s="13"/>
      <c r="I739" s="14"/>
      <c r="J739" s="15"/>
      <c r="K739" s="15"/>
      <c r="L739" s="16"/>
    </row>
    <row r="740" customFormat="false" ht="12.8" hidden="false" customHeight="false" outlineLevel="0" collapsed="false">
      <c r="E740" s="10"/>
      <c r="F740" s="11"/>
      <c r="G740" s="12"/>
      <c r="H740" s="13"/>
      <c r="I740" s="14"/>
      <c r="J740" s="15"/>
      <c r="K740" s="15"/>
      <c r="L740" s="16"/>
    </row>
    <row r="741" customFormat="false" ht="12.8" hidden="false" customHeight="false" outlineLevel="0" collapsed="false">
      <c r="A741" s="1"/>
      <c r="E741" s="10"/>
      <c r="F741" s="11"/>
      <c r="G741" s="12"/>
      <c r="H741" s="13"/>
      <c r="I741" s="14"/>
      <c r="J741" s="15"/>
      <c r="K741" s="15"/>
      <c r="L741" s="16"/>
    </row>
    <row r="742" customFormat="false" ht="12.8" hidden="false" customHeight="false" outlineLevel="0" collapsed="false">
      <c r="A742" s="1"/>
      <c r="B742" s="1"/>
      <c r="C742" s="1"/>
      <c r="D742" s="1"/>
      <c r="E742" s="10"/>
      <c r="F742" s="11"/>
      <c r="G742" s="12"/>
      <c r="H742" s="13"/>
      <c r="I742" s="14"/>
      <c r="J742" s="15"/>
      <c r="K742" s="15"/>
      <c r="L742" s="16"/>
    </row>
    <row r="743" customFormat="false" ht="12.8" hidden="false" customHeight="false" outlineLevel="0" collapsed="false">
      <c r="A743" s="1"/>
      <c r="E743" s="10"/>
      <c r="F743" s="11"/>
      <c r="G743" s="12"/>
      <c r="H743" s="13"/>
      <c r="I743" s="14"/>
      <c r="J743" s="15"/>
      <c r="K743" s="15"/>
      <c r="L743" s="16"/>
    </row>
    <row r="744" customFormat="false" ht="12.8" hidden="false" customHeight="false" outlineLevel="0" collapsed="false">
      <c r="A744" s="1"/>
      <c r="E744" s="10"/>
      <c r="F744" s="11"/>
      <c r="G744" s="12"/>
      <c r="H744" s="13"/>
      <c r="I744" s="14"/>
      <c r="J744" s="15"/>
      <c r="K744" s="15"/>
      <c r="L744" s="16"/>
    </row>
    <row r="745" customFormat="false" ht="12.8" hidden="false" customHeight="false" outlineLevel="0" collapsed="false">
      <c r="A745" s="1"/>
      <c r="B745" s="1"/>
      <c r="C745" s="1"/>
      <c r="D745" s="1"/>
      <c r="E745" s="10"/>
      <c r="F745" s="11"/>
      <c r="G745" s="12"/>
      <c r="H745" s="13"/>
      <c r="I745" s="14"/>
      <c r="J745" s="15"/>
      <c r="K745" s="15"/>
      <c r="L745" s="16"/>
    </row>
    <row r="746" customFormat="false" ht="12.8" hidden="false" customHeight="false" outlineLevel="0" collapsed="false">
      <c r="A746" s="1"/>
      <c r="E746" s="10"/>
      <c r="F746" s="11"/>
      <c r="G746" s="12"/>
      <c r="H746" s="13"/>
      <c r="I746" s="14"/>
      <c r="J746" s="15"/>
      <c r="K746" s="15"/>
      <c r="L746" s="16"/>
    </row>
    <row r="747" customFormat="false" ht="12.8" hidden="false" customHeight="false" outlineLevel="0" collapsed="false">
      <c r="A747" s="1"/>
      <c r="E747" s="10"/>
      <c r="F747" s="11"/>
      <c r="G747" s="12"/>
      <c r="H747" s="13"/>
      <c r="I747" s="14"/>
      <c r="J747" s="15"/>
      <c r="K747" s="15"/>
      <c r="L747" s="16"/>
    </row>
    <row r="748" customFormat="false" ht="12.8" hidden="false" customHeight="false" outlineLevel="0" collapsed="false">
      <c r="A748" s="1"/>
      <c r="E748" s="10"/>
      <c r="F748" s="11"/>
      <c r="G748" s="12"/>
      <c r="H748" s="13"/>
      <c r="I748" s="14"/>
      <c r="J748" s="15"/>
      <c r="K748" s="15"/>
      <c r="L748" s="16"/>
    </row>
    <row r="749" customFormat="false" ht="12.8" hidden="false" customHeight="false" outlineLevel="0" collapsed="false">
      <c r="A749" s="1"/>
      <c r="E749" s="10"/>
      <c r="F749" s="11"/>
      <c r="G749" s="12"/>
      <c r="H749" s="13"/>
      <c r="I749" s="14"/>
      <c r="J749" s="15"/>
      <c r="K749" s="15"/>
      <c r="L749" s="16"/>
    </row>
    <row r="750" customFormat="false" ht="12.8" hidden="false" customHeight="false" outlineLevel="0" collapsed="false">
      <c r="A750" s="1"/>
      <c r="E750" s="10"/>
      <c r="F750" s="11"/>
      <c r="G750" s="12"/>
      <c r="H750" s="13"/>
      <c r="I750" s="14"/>
      <c r="J750" s="15"/>
      <c r="K750" s="15"/>
      <c r="L750" s="16"/>
    </row>
    <row r="751" customFormat="false" ht="12.8" hidden="false" customHeight="false" outlineLevel="0" collapsed="false">
      <c r="E751" s="10"/>
      <c r="F751" s="11"/>
      <c r="G751" s="12"/>
      <c r="H751" s="13"/>
      <c r="I751" s="14"/>
      <c r="J751" s="15"/>
      <c r="K751" s="15"/>
      <c r="L751" s="16"/>
    </row>
    <row r="752" customFormat="false" ht="12.8" hidden="false" customHeight="false" outlineLevel="0" collapsed="false">
      <c r="A752" s="1"/>
      <c r="E752" s="10"/>
      <c r="F752" s="11"/>
      <c r="G752" s="12"/>
      <c r="H752" s="13"/>
      <c r="I752" s="14"/>
      <c r="J752" s="15"/>
      <c r="K752" s="15"/>
      <c r="L752" s="16"/>
    </row>
    <row r="753" customFormat="false" ht="12.8" hidden="false" customHeight="false" outlineLevel="0" collapsed="false">
      <c r="A753" s="1"/>
      <c r="E753" s="10"/>
      <c r="F753" s="11"/>
      <c r="G753" s="12"/>
      <c r="H753" s="13"/>
      <c r="I753" s="14"/>
      <c r="J753" s="15"/>
      <c r="K753" s="15"/>
      <c r="L753" s="16"/>
    </row>
    <row r="754" customFormat="false" ht="12.8" hidden="false" customHeight="false" outlineLevel="0" collapsed="false">
      <c r="A754" s="1"/>
      <c r="E754" s="10"/>
      <c r="F754" s="11"/>
      <c r="G754" s="12"/>
      <c r="H754" s="13"/>
      <c r="I754" s="14"/>
      <c r="J754" s="15"/>
      <c r="K754" s="15"/>
      <c r="L754" s="16"/>
    </row>
    <row r="755" customFormat="false" ht="12.8" hidden="false" customHeight="false" outlineLevel="0" collapsed="false">
      <c r="A755" s="1"/>
      <c r="E755" s="10"/>
      <c r="F755" s="11"/>
      <c r="G755" s="12"/>
      <c r="H755" s="13"/>
      <c r="I755" s="14"/>
      <c r="J755" s="15"/>
      <c r="K755" s="15"/>
      <c r="L755" s="16"/>
    </row>
    <row r="756" customFormat="false" ht="12.8" hidden="false" customHeight="false" outlineLevel="0" collapsed="false">
      <c r="A756" s="1"/>
      <c r="E756" s="10"/>
      <c r="F756" s="11"/>
      <c r="G756" s="12"/>
      <c r="H756" s="13"/>
      <c r="I756" s="14"/>
      <c r="J756" s="15"/>
      <c r="K756" s="15"/>
      <c r="L756" s="16"/>
    </row>
    <row r="757" customFormat="false" ht="12.8" hidden="false" customHeight="false" outlineLevel="0" collapsed="false">
      <c r="A757" s="1"/>
      <c r="E757" s="10"/>
      <c r="F757" s="11"/>
      <c r="G757" s="12"/>
      <c r="H757" s="13"/>
      <c r="I757" s="14"/>
      <c r="J757" s="15"/>
      <c r="K757" s="15"/>
      <c r="L757" s="16"/>
    </row>
    <row r="758" customFormat="false" ht="12.8" hidden="false" customHeight="false" outlineLevel="0" collapsed="false">
      <c r="A758" s="1"/>
      <c r="E758" s="10"/>
      <c r="F758" s="11"/>
      <c r="G758" s="12"/>
      <c r="H758" s="13"/>
      <c r="I758" s="14"/>
      <c r="J758" s="15"/>
      <c r="K758" s="15"/>
      <c r="L758" s="16"/>
    </row>
    <row r="759" customFormat="false" ht="12.8" hidden="false" customHeight="false" outlineLevel="0" collapsed="false">
      <c r="A759" s="1"/>
      <c r="B759" s="1"/>
      <c r="C759" s="1"/>
      <c r="E759" s="10"/>
      <c r="F759" s="11"/>
      <c r="G759" s="12"/>
      <c r="H759" s="13"/>
      <c r="I759" s="14"/>
      <c r="J759" s="15"/>
      <c r="K759" s="15"/>
      <c r="L759" s="16"/>
    </row>
    <row r="760" customFormat="false" ht="12.8" hidden="false" customHeight="false" outlineLevel="0" collapsed="false">
      <c r="A760" s="1"/>
      <c r="B760" s="1"/>
      <c r="C760" s="1"/>
      <c r="D760" s="1"/>
      <c r="E760" s="10"/>
      <c r="F760" s="11"/>
      <c r="G760" s="12"/>
      <c r="H760" s="13"/>
      <c r="I760" s="14"/>
      <c r="J760" s="15"/>
      <c r="K760" s="15"/>
      <c r="L760" s="16"/>
    </row>
    <row r="761" customFormat="false" ht="12.8" hidden="false" customHeight="false" outlineLevel="0" collapsed="false">
      <c r="A761" s="1"/>
      <c r="E761" s="10"/>
      <c r="F761" s="11"/>
      <c r="G761" s="12"/>
      <c r="H761" s="13"/>
      <c r="I761" s="14"/>
      <c r="J761" s="15"/>
      <c r="K761" s="15"/>
      <c r="L761" s="16"/>
    </row>
    <row r="762" customFormat="false" ht="12.8" hidden="false" customHeight="false" outlineLevel="0" collapsed="false">
      <c r="A762" s="1"/>
      <c r="E762" s="10"/>
      <c r="F762" s="11"/>
      <c r="G762" s="12"/>
      <c r="H762" s="13"/>
      <c r="I762" s="14"/>
      <c r="J762" s="15"/>
      <c r="K762" s="15"/>
      <c r="L762" s="16"/>
    </row>
    <row r="763" customFormat="false" ht="12.8" hidden="false" customHeight="false" outlineLevel="0" collapsed="false">
      <c r="A763" s="1"/>
      <c r="E763" s="10"/>
      <c r="F763" s="11"/>
      <c r="G763" s="12"/>
      <c r="H763" s="13"/>
      <c r="I763" s="14"/>
      <c r="J763" s="15"/>
      <c r="K763" s="15"/>
      <c r="L763" s="16"/>
    </row>
    <row r="764" customFormat="false" ht="12.8" hidden="false" customHeight="false" outlineLevel="0" collapsed="false">
      <c r="A764" s="1"/>
      <c r="E764" s="10"/>
      <c r="F764" s="11"/>
      <c r="G764" s="12"/>
      <c r="H764" s="13"/>
      <c r="I764" s="14"/>
      <c r="J764" s="15"/>
      <c r="K764" s="15"/>
      <c r="L764" s="16"/>
    </row>
    <row r="765" customFormat="false" ht="12.8" hidden="false" customHeight="false" outlineLevel="0" collapsed="false">
      <c r="A765" s="1"/>
      <c r="B765" s="1"/>
      <c r="C765" s="1"/>
      <c r="E765" s="10"/>
      <c r="F765" s="11"/>
      <c r="G765" s="12"/>
      <c r="H765" s="13"/>
      <c r="I765" s="14"/>
      <c r="J765" s="15"/>
      <c r="K765" s="15"/>
      <c r="L765" s="16"/>
    </row>
    <row r="766" customFormat="false" ht="12.8" hidden="false" customHeight="false" outlineLevel="0" collapsed="false">
      <c r="A766" s="1"/>
      <c r="E766" s="10"/>
      <c r="F766" s="11"/>
      <c r="G766" s="12"/>
      <c r="H766" s="13"/>
      <c r="I766" s="14"/>
      <c r="J766" s="15"/>
      <c r="K766" s="15"/>
      <c r="L766" s="16"/>
    </row>
    <row r="767" customFormat="false" ht="12.8" hidden="false" customHeight="false" outlineLevel="0" collapsed="false">
      <c r="A767" s="1"/>
      <c r="B767" s="1"/>
      <c r="C767" s="1"/>
      <c r="D767" s="1"/>
      <c r="E767" s="10"/>
      <c r="F767" s="11"/>
      <c r="G767" s="12"/>
      <c r="H767" s="13"/>
      <c r="I767" s="14"/>
      <c r="J767" s="15"/>
      <c r="K767" s="15"/>
      <c r="L767" s="16"/>
    </row>
    <row r="768" customFormat="false" ht="12.8" hidden="false" customHeight="false" outlineLevel="0" collapsed="false">
      <c r="A768" s="1"/>
      <c r="E768" s="10"/>
      <c r="F768" s="11"/>
      <c r="G768" s="12"/>
      <c r="H768" s="13"/>
      <c r="I768" s="14"/>
      <c r="J768" s="15"/>
      <c r="K768" s="15"/>
      <c r="L768" s="16"/>
    </row>
    <row r="769" customFormat="false" ht="12.8" hidden="false" customHeight="false" outlineLevel="0" collapsed="false">
      <c r="A769" s="1"/>
      <c r="E769" s="10"/>
      <c r="F769" s="11"/>
      <c r="G769" s="12"/>
      <c r="H769" s="13"/>
      <c r="I769" s="14"/>
      <c r="J769" s="15"/>
      <c r="K769" s="15"/>
      <c r="L769" s="16"/>
    </row>
    <row r="770" customFormat="false" ht="12.8" hidden="false" customHeight="false" outlineLevel="0" collapsed="false">
      <c r="A770" s="1"/>
      <c r="E770" s="10"/>
      <c r="F770" s="11"/>
      <c r="G770" s="12"/>
      <c r="H770" s="13"/>
      <c r="I770" s="14"/>
      <c r="J770" s="15"/>
      <c r="K770" s="15"/>
      <c r="L770" s="16"/>
    </row>
    <row r="771" customFormat="false" ht="12.8" hidden="false" customHeight="false" outlineLevel="0" collapsed="false">
      <c r="A771" s="1"/>
      <c r="B771" s="1"/>
      <c r="C771" s="1"/>
      <c r="D771" s="1"/>
      <c r="E771" s="10"/>
      <c r="F771" s="11"/>
      <c r="G771" s="12"/>
      <c r="H771" s="13"/>
      <c r="I771" s="14"/>
      <c r="J771" s="15"/>
      <c r="K771" s="15"/>
      <c r="L771" s="16"/>
    </row>
    <row r="772" customFormat="false" ht="12.8" hidden="false" customHeight="false" outlineLevel="0" collapsed="false">
      <c r="A772" s="1"/>
      <c r="E772" s="10"/>
      <c r="F772" s="11"/>
      <c r="G772" s="12"/>
      <c r="H772" s="13"/>
      <c r="I772" s="14"/>
      <c r="J772" s="15"/>
      <c r="K772" s="15"/>
      <c r="L772" s="16"/>
    </row>
    <row r="773" customFormat="false" ht="12.8" hidden="false" customHeight="false" outlineLevel="0" collapsed="false">
      <c r="A773" s="1"/>
      <c r="E773" s="10"/>
      <c r="F773" s="11"/>
      <c r="G773" s="12"/>
      <c r="H773" s="13"/>
      <c r="I773" s="14"/>
      <c r="J773" s="15"/>
      <c r="K773" s="15"/>
      <c r="L773" s="16"/>
    </row>
    <row r="774" customFormat="false" ht="12.8" hidden="false" customHeight="false" outlineLevel="0" collapsed="false">
      <c r="A774" s="1"/>
      <c r="B774" s="1"/>
      <c r="C774" s="1"/>
      <c r="D774" s="1"/>
      <c r="E774" s="10"/>
      <c r="F774" s="11"/>
      <c r="G774" s="12"/>
      <c r="H774" s="13"/>
      <c r="I774" s="14"/>
      <c r="J774" s="15"/>
      <c r="K774" s="15"/>
      <c r="L774" s="16"/>
    </row>
    <row r="775" customFormat="false" ht="12.8" hidden="false" customHeight="false" outlineLevel="0" collapsed="false">
      <c r="A775" s="1"/>
      <c r="E775" s="10"/>
      <c r="F775" s="11"/>
      <c r="G775" s="12"/>
      <c r="H775" s="13"/>
      <c r="I775" s="14"/>
      <c r="J775" s="15"/>
      <c r="K775" s="15"/>
      <c r="L775" s="16"/>
    </row>
    <row r="776" customFormat="false" ht="12.8" hidden="false" customHeight="false" outlineLevel="0" collapsed="false">
      <c r="A776" s="1"/>
      <c r="E776" s="10"/>
      <c r="F776" s="11"/>
      <c r="G776" s="12"/>
      <c r="H776" s="13"/>
      <c r="I776" s="14"/>
      <c r="J776" s="15"/>
      <c r="K776" s="15"/>
      <c r="L776" s="16"/>
    </row>
    <row r="777" customFormat="false" ht="12.8" hidden="false" customHeight="false" outlineLevel="0" collapsed="false">
      <c r="A777" s="1"/>
      <c r="E777" s="10"/>
      <c r="F777" s="11"/>
      <c r="G777" s="12"/>
      <c r="H777" s="13"/>
      <c r="I777" s="14"/>
      <c r="J777" s="15"/>
      <c r="K777" s="15"/>
      <c r="L777" s="16"/>
    </row>
    <row r="778" customFormat="false" ht="12.8" hidden="false" customHeight="false" outlineLevel="0" collapsed="false">
      <c r="A778" s="1"/>
      <c r="E778" s="10"/>
      <c r="F778" s="11"/>
      <c r="G778" s="12"/>
      <c r="H778" s="13"/>
      <c r="I778" s="14"/>
      <c r="J778" s="15"/>
      <c r="K778" s="15"/>
      <c r="L778" s="16"/>
    </row>
    <row r="779" customFormat="false" ht="12.8" hidden="false" customHeight="false" outlineLevel="0" collapsed="false">
      <c r="E779" s="10"/>
      <c r="F779" s="11"/>
      <c r="G779" s="12"/>
      <c r="H779" s="13"/>
      <c r="I779" s="14"/>
      <c r="J779" s="15"/>
      <c r="K779" s="15"/>
      <c r="L779" s="16"/>
    </row>
    <row r="780" customFormat="false" ht="12.8" hidden="false" customHeight="false" outlineLevel="0" collapsed="false">
      <c r="A780" s="1"/>
      <c r="E780" s="10"/>
      <c r="F780" s="11"/>
      <c r="G780" s="12"/>
      <c r="H780" s="13"/>
      <c r="I780" s="14"/>
      <c r="J780" s="15"/>
      <c r="K780" s="15"/>
      <c r="L780" s="16"/>
    </row>
    <row r="781" customFormat="false" ht="12.8" hidden="false" customHeight="false" outlineLevel="0" collapsed="false">
      <c r="A781" s="1"/>
      <c r="B781" s="1"/>
      <c r="C781" s="1"/>
      <c r="D781" s="1"/>
      <c r="E781" s="10"/>
      <c r="F781" s="11"/>
      <c r="G781" s="12"/>
      <c r="H781" s="13"/>
      <c r="I781" s="14"/>
      <c r="J781" s="15"/>
      <c r="K781" s="15"/>
      <c r="L781" s="16"/>
    </row>
    <row r="782" customFormat="false" ht="12.8" hidden="false" customHeight="false" outlineLevel="0" collapsed="false">
      <c r="A782" s="1"/>
      <c r="E782" s="10"/>
      <c r="F782" s="11"/>
      <c r="G782" s="12"/>
      <c r="H782" s="13"/>
      <c r="I782" s="14"/>
      <c r="J782" s="15"/>
      <c r="K782" s="15"/>
      <c r="L782" s="16"/>
    </row>
    <row r="783" customFormat="false" ht="12.8" hidden="false" customHeight="false" outlineLevel="0" collapsed="false">
      <c r="A783" s="1"/>
      <c r="E783" s="10"/>
      <c r="F783" s="11"/>
      <c r="G783" s="12"/>
      <c r="H783" s="13"/>
      <c r="I783" s="14"/>
      <c r="J783" s="15"/>
      <c r="K783" s="15"/>
      <c r="L783" s="16"/>
    </row>
    <row r="784" customFormat="false" ht="12.8" hidden="false" customHeight="false" outlineLevel="0" collapsed="false">
      <c r="A784" s="1"/>
      <c r="E784" s="10"/>
      <c r="F784" s="11"/>
      <c r="G784" s="12"/>
      <c r="H784" s="13"/>
      <c r="I784" s="14"/>
      <c r="J784" s="15"/>
      <c r="K784" s="15"/>
      <c r="L784" s="16"/>
    </row>
    <row r="785" customFormat="false" ht="12.8" hidden="false" customHeight="false" outlineLevel="0" collapsed="false">
      <c r="A785" s="1"/>
      <c r="B785" s="1"/>
      <c r="C785" s="1"/>
      <c r="D785" s="1"/>
      <c r="E785" s="10"/>
      <c r="F785" s="11"/>
      <c r="G785" s="12"/>
      <c r="H785" s="13"/>
      <c r="I785" s="14"/>
      <c r="J785" s="15"/>
      <c r="K785" s="15"/>
      <c r="L785" s="16"/>
    </row>
    <row r="786" customFormat="false" ht="12.8" hidden="false" customHeight="false" outlineLevel="0" collapsed="false">
      <c r="A786" s="1"/>
      <c r="E786" s="10"/>
      <c r="F786" s="11"/>
      <c r="G786" s="12"/>
      <c r="H786" s="13"/>
      <c r="I786" s="14"/>
      <c r="J786" s="15"/>
      <c r="K786" s="15"/>
      <c r="L786" s="16"/>
    </row>
    <row r="787" customFormat="false" ht="12.8" hidden="false" customHeight="false" outlineLevel="0" collapsed="false">
      <c r="A787" s="1"/>
      <c r="E787" s="10"/>
      <c r="F787" s="11"/>
      <c r="G787" s="12"/>
      <c r="H787" s="13"/>
      <c r="I787" s="14"/>
      <c r="J787" s="15"/>
      <c r="K787" s="15"/>
      <c r="L787" s="16"/>
    </row>
    <row r="788" customFormat="false" ht="12.8" hidden="false" customHeight="false" outlineLevel="0" collapsed="false">
      <c r="A788" s="1"/>
      <c r="E788" s="10"/>
      <c r="F788" s="11"/>
      <c r="G788" s="12"/>
      <c r="H788" s="13"/>
      <c r="I788" s="14"/>
      <c r="J788" s="15"/>
      <c r="K788" s="15"/>
      <c r="L788" s="16"/>
    </row>
    <row r="789" customFormat="false" ht="12.8" hidden="false" customHeight="false" outlineLevel="0" collapsed="false">
      <c r="A789" s="1"/>
      <c r="E789" s="10"/>
      <c r="F789" s="11"/>
      <c r="G789" s="12"/>
      <c r="H789" s="13"/>
      <c r="I789" s="14"/>
      <c r="J789" s="15"/>
      <c r="K789" s="15"/>
      <c r="L789" s="16"/>
    </row>
    <row r="790" customFormat="false" ht="12.8" hidden="false" customHeight="false" outlineLevel="0" collapsed="false">
      <c r="A790" s="1"/>
      <c r="E790" s="10"/>
      <c r="F790" s="11"/>
      <c r="G790" s="12"/>
      <c r="H790" s="13"/>
      <c r="I790" s="14"/>
      <c r="J790" s="15"/>
      <c r="K790" s="15"/>
      <c r="L790" s="16"/>
    </row>
    <row r="791" customFormat="false" ht="12.8" hidden="false" customHeight="false" outlineLevel="0" collapsed="false">
      <c r="A791" s="1"/>
      <c r="B791" s="1"/>
      <c r="C791" s="1"/>
      <c r="D791" s="1"/>
      <c r="E791" s="10"/>
      <c r="F791" s="11"/>
      <c r="G791" s="12"/>
      <c r="H791" s="13"/>
      <c r="I791" s="14"/>
      <c r="J791" s="15"/>
      <c r="K791" s="15"/>
      <c r="L791" s="16"/>
    </row>
    <row r="792" customFormat="false" ht="12.8" hidden="false" customHeight="false" outlineLevel="0" collapsed="false">
      <c r="A792" s="1"/>
      <c r="B792" s="1"/>
      <c r="E792" s="10"/>
      <c r="F792" s="11"/>
      <c r="G792" s="12"/>
      <c r="H792" s="13"/>
      <c r="I792" s="14"/>
      <c r="J792" s="15"/>
      <c r="K792" s="15"/>
      <c r="L792" s="16"/>
    </row>
    <row r="793" customFormat="false" ht="12.8" hidden="false" customHeight="false" outlineLevel="0" collapsed="false">
      <c r="A793" s="1"/>
      <c r="E793" s="10"/>
      <c r="F793" s="11"/>
      <c r="G793" s="12"/>
      <c r="H793" s="13"/>
      <c r="I793" s="14"/>
      <c r="J793" s="15"/>
      <c r="K793" s="15"/>
      <c r="L793" s="16"/>
    </row>
    <row r="794" customFormat="false" ht="12.8" hidden="false" customHeight="false" outlineLevel="0" collapsed="false">
      <c r="A794" s="1"/>
      <c r="E794" s="10"/>
      <c r="F794" s="11"/>
      <c r="G794" s="12"/>
      <c r="H794" s="13"/>
      <c r="I794" s="14"/>
      <c r="J794" s="15"/>
      <c r="K794" s="15"/>
      <c r="L794" s="16"/>
    </row>
    <row r="795" customFormat="false" ht="12.8" hidden="false" customHeight="false" outlineLevel="0" collapsed="false">
      <c r="A795" s="1"/>
      <c r="E795" s="10"/>
      <c r="F795" s="11"/>
      <c r="G795" s="12"/>
      <c r="H795" s="13"/>
      <c r="I795" s="14"/>
      <c r="J795" s="15"/>
      <c r="K795" s="15"/>
      <c r="L795" s="16"/>
    </row>
    <row r="796" customFormat="false" ht="12.8" hidden="false" customHeight="false" outlineLevel="0" collapsed="false">
      <c r="A796" s="1"/>
      <c r="B796" s="1"/>
      <c r="C796" s="1"/>
      <c r="D796" s="1"/>
      <c r="E796" s="10"/>
      <c r="F796" s="11"/>
      <c r="G796" s="12"/>
      <c r="H796" s="13"/>
      <c r="I796" s="14"/>
      <c r="J796" s="15"/>
      <c r="K796" s="15"/>
      <c r="L796" s="16"/>
    </row>
    <row r="797" customFormat="false" ht="12.8" hidden="false" customHeight="false" outlineLevel="0" collapsed="false">
      <c r="A797" s="1"/>
      <c r="E797" s="10"/>
      <c r="F797" s="11"/>
      <c r="G797" s="12"/>
      <c r="H797" s="13"/>
      <c r="I797" s="14"/>
      <c r="J797" s="15"/>
      <c r="K797" s="15"/>
      <c r="L797" s="16"/>
    </row>
    <row r="798" customFormat="false" ht="12.8" hidden="false" customHeight="false" outlineLevel="0" collapsed="false">
      <c r="E798" s="10"/>
      <c r="F798" s="11"/>
      <c r="G798" s="12"/>
      <c r="H798" s="13"/>
      <c r="I798" s="14"/>
      <c r="J798" s="15"/>
      <c r="K798" s="15"/>
      <c r="L798" s="16"/>
    </row>
    <row r="799" customFormat="false" ht="12.8" hidden="false" customHeight="false" outlineLevel="0" collapsed="false">
      <c r="A799" s="1"/>
      <c r="E799" s="10"/>
      <c r="F799" s="11"/>
      <c r="G799" s="12"/>
      <c r="H799" s="13"/>
      <c r="I799" s="14"/>
      <c r="J799" s="15"/>
      <c r="K799" s="15"/>
      <c r="L799" s="16"/>
    </row>
    <row r="800" customFormat="false" ht="12.8" hidden="false" customHeight="false" outlineLevel="0" collapsed="false">
      <c r="A800" s="1"/>
      <c r="E800" s="10"/>
      <c r="F800" s="11"/>
      <c r="G800" s="12"/>
      <c r="H800" s="13"/>
      <c r="I800" s="14"/>
      <c r="J800" s="15"/>
      <c r="K800" s="15"/>
      <c r="L800" s="16"/>
    </row>
    <row r="801" customFormat="false" ht="12.8" hidden="false" customHeight="false" outlineLevel="0" collapsed="false">
      <c r="A801" s="1"/>
      <c r="E801" s="10"/>
      <c r="F801" s="11"/>
      <c r="G801" s="12"/>
      <c r="H801" s="13"/>
      <c r="I801" s="14"/>
      <c r="J801" s="15"/>
      <c r="K801" s="15"/>
      <c r="L801" s="16"/>
    </row>
    <row r="802" customFormat="false" ht="12.8" hidden="false" customHeight="false" outlineLevel="0" collapsed="false">
      <c r="A802" s="1"/>
      <c r="B802" s="1"/>
      <c r="C802" s="1"/>
      <c r="D802" s="1"/>
      <c r="E802" s="10"/>
      <c r="F802" s="11"/>
      <c r="G802" s="12"/>
      <c r="H802" s="13"/>
      <c r="I802" s="14"/>
      <c r="J802" s="15"/>
      <c r="K802" s="15"/>
      <c r="L802" s="16"/>
    </row>
    <row r="803" customFormat="false" ht="12.8" hidden="false" customHeight="false" outlineLevel="0" collapsed="false">
      <c r="A803" s="1"/>
      <c r="E803" s="10"/>
      <c r="F803" s="11"/>
      <c r="G803" s="12"/>
      <c r="H803" s="13"/>
      <c r="I803" s="14"/>
      <c r="J803" s="15"/>
      <c r="K803" s="15"/>
      <c r="L803" s="16"/>
    </row>
    <row r="804" customFormat="false" ht="12.8" hidden="false" customHeight="false" outlineLevel="0" collapsed="false">
      <c r="A804" s="1"/>
      <c r="B804" s="1"/>
      <c r="C804" s="1"/>
      <c r="E804" s="10"/>
      <c r="F804" s="11"/>
      <c r="G804" s="12"/>
      <c r="H804" s="13"/>
      <c r="I804" s="14"/>
      <c r="J804" s="15"/>
      <c r="K804" s="15"/>
      <c r="L804" s="16"/>
    </row>
    <row r="805" customFormat="false" ht="12.8" hidden="false" customHeight="false" outlineLevel="0" collapsed="false">
      <c r="A805" s="1"/>
      <c r="B805" s="1"/>
      <c r="C805" s="1"/>
      <c r="D805" s="1"/>
      <c r="E805" s="10"/>
      <c r="F805" s="11"/>
      <c r="G805" s="12"/>
      <c r="H805" s="13"/>
      <c r="I805" s="14"/>
      <c r="J805" s="15"/>
      <c r="K805" s="15"/>
      <c r="L805" s="16"/>
    </row>
    <row r="806" customFormat="false" ht="12.8" hidden="false" customHeight="false" outlineLevel="0" collapsed="false">
      <c r="A806" s="1"/>
      <c r="E806" s="10"/>
      <c r="F806" s="11"/>
      <c r="G806" s="12"/>
      <c r="H806" s="13"/>
      <c r="I806" s="14"/>
      <c r="J806" s="15"/>
      <c r="K806" s="15"/>
      <c r="L806" s="16"/>
    </row>
    <row r="807" customFormat="false" ht="12.8" hidden="false" customHeight="false" outlineLevel="0" collapsed="false">
      <c r="A807" s="1"/>
      <c r="E807" s="10"/>
      <c r="F807" s="11"/>
      <c r="G807" s="12"/>
      <c r="H807" s="13"/>
      <c r="I807" s="14"/>
      <c r="J807" s="15"/>
      <c r="K807" s="15"/>
      <c r="L807" s="16"/>
    </row>
    <row r="808" customFormat="false" ht="12.8" hidden="false" customHeight="false" outlineLevel="0" collapsed="false">
      <c r="A808" s="1"/>
      <c r="E808" s="10"/>
      <c r="F808" s="11"/>
      <c r="G808" s="12"/>
      <c r="H808" s="13"/>
      <c r="I808" s="14"/>
      <c r="J808" s="15"/>
      <c r="K808" s="15"/>
      <c r="L808" s="16"/>
    </row>
    <row r="809" customFormat="false" ht="12.8" hidden="false" customHeight="false" outlineLevel="0" collapsed="false">
      <c r="A809" s="1"/>
      <c r="B809" s="1"/>
      <c r="C809" s="1"/>
      <c r="E809" s="10"/>
      <c r="F809" s="11"/>
      <c r="G809" s="12"/>
      <c r="H809" s="13"/>
      <c r="I809" s="14"/>
      <c r="J809" s="15"/>
      <c r="K809" s="15"/>
      <c r="L809" s="16"/>
    </row>
    <row r="810" customFormat="false" ht="12.8" hidden="false" customHeight="false" outlineLevel="0" collapsed="false">
      <c r="A810" s="1"/>
      <c r="B810" s="1"/>
      <c r="C810" s="1"/>
      <c r="D810" s="1"/>
      <c r="E810" s="10"/>
      <c r="F810" s="11"/>
      <c r="G810" s="12"/>
      <c r="H810" s="13"/>
      <c r="I810" s="14"/>
      <c r="J810" s="15"/>
      <c r="K810" s="15"/>
      <c r="L810" s="16"/>
    </row>
    <row r="811" customFormat="false" ht="12.8" hidden="false" customHeight="false" outlineLevel="0" collapsed="false">
      <c r="A811" s="1"/>
      <c r="E811" s="10"/>
      <c r="F811" s="11"/>
      <c r="G811" s="12"/>
      <c r="H811" s="13"/>
      <c r="I811" s="14"/>
      <c r="J811" s="15"/>
      <c r="K811" s="15"/>
      <c r="L811" s="16"/>
    </row>
    <row r="812" customFormat="false" ht="12.8" hidden="false" customHeight="false" outlineLevel="0" collapsed="false">
      <c r="A812" s="1"/>
      <c r="E812" s="10"/>
      <c r="F812" s="11"/>
      <c r="G812" s="12"/>
      <c r="H812" s="13"/>
      <c r="I812" s="14"/>
      <c r="J812" s="15"/>
      <c r="K812" s="15"/>
      <c r="L812" s="16"/>
    </row>
    <row r="813" customFormat="false" ht="12.8" hidden="false" customHeight="false" outlineLevel="0" collapsed="false">
      <c r="A813" s="1"/>
      <c r="E813" s="10"/>
      <c r="F813" s="11"/>
      <c r="G813" s="12"/>
      <c r="H813" s="13"/>
      <c r="I813" s="14"/>
      <c r="J813" s="15"/>
      <c r="K813" s="15"/>
      <c r="L813" s="16"/>
    </row>
    <row r="814" customFormat="false" ht="12.8" hidden="false" customHeight="false" outlineLevel="0" collapsed="false">
      <c r="A814" s="1"/>
      <c r="E814" s="10"/>
      <c r="F814" s="11"/>
      <c r="G814" s="12"/>
      <c r="H814" s="13"/>
      <c r="I814" s="14"/>
      <c r="J814" s="15"/>
      <c r="K814" s="15"/>
      <c r="L814" s="16"/>
    </row>
    <row r="815" customFormat="false" ht="12.8" hidden="false" customHeight="false" outlineLevel="0" collapsed="false">
      <c r="A815" s="1"/>
      <c r="E815" s="10"/>
      <c r="F815" s="11"/>
      <c r="G815" s="12"/>
      <c r="H815" s="13"/>
      <c r="I815" s="14"/>
      <c r="J815" s="15"/>
      <c r="K815" s="15"/>
      <c r="L815" s="16"/>
    </row>
    <row r="816" customFormat="false" ht="12.8" hidden="false" customHeight="false" outlineLevel="0" collapsed="false">
      <c r="A816" s="1"/>
      <c r="E816" s="10"/>
      <c r="F816" s="11"/>
      <c r="G816" s="12"/>
      <c r="H816" s="13"/>
      <c r="I816" s="14"/>
      <c r="J816" s="15"/>
      <c r="K816" s="15"/>
      <c r="L816" s="16"/>
    </row>
    <row r="817" customFormat="false" ht="12.8" hidden="false" customHeight="false" outlineLevel="0" collapsed="false">
      <c r="A817" s="1"/>
      <c r="B817" s="1"/>
      <c r="C817" s="1"/>
      <c r="D817" s="1"/>
      <c r="E817" s="10"/>
      <c r="F817" s="11"/>
      <c r="G817" s="12"/>
      <c r="H817" s="13"/>
      <c r="I817" s="14"/>
      <c r="J817" s="15"/>
      <c r="K817" s="15"/>
      <c r="L817" s="16"/>
    </row>
    <row r="818" customFormat="false" ht="12.8" hidden="false" customHeight="false" outlineLevel="0" collapsed="false">
      <c r="A818" s="1"/>
      <c r="E818" s="10"/>
      <c r="F818" s="11"/>
      <c r="G818" s="12"/>
      <c r="H818" s="13"/>
      <c r="I818" s="14"/>
      <c r="J818" s="15"/>
      <c r="K818" s="15"/>
      <c r="L818" s="16"/>
    </row>
    <row r="819" customFormat="false" ht="12.8" hidden="false" customHeight="false" outlineLevel="0" collapsed="false">
      <c r="E819" s="10"/>
      <c r="F819" s="11"/>
      <c r="G819" s="12"/>
      <c r="H819" s="13"/>
      <c r="I819" s="14"/>
      <c r="J819" s="15"/>
      <c r="K819" s="15"/>
      <c r="L819" s="16"/>
    </row>
    <row r="820" customFormat="false" ht="12.8" hidden="false" customHeight="false" outlineLevel="0" collapsed="false">
      <c r="A820" s="1"/>
      <c r="E820" s="10"/>
      <c r="F820" s="11"/>
      <c r="G820" s="12"/>
      <c r="H820" s="13"/>
      <c r="I820" s="14"/>
      <c r="J820" s="15"/>
      <c r="K820" s="15"/>
      <c r="L820" s="16"/>
    </row>
    <row r="821" customFormat="false" ht="12.8" hidden="false" customHeight="false" outlineLevel="0" collapsed="false">
      <c r="A821" s="1"/>
      <c r="E821" s="10"/>
      <c r="F821" s="11"/>
      <c r="G821" s="12"/>
      <c r="H821" s="13"/>
      <c r="I821" s="14"/>
      <c r="J821" s="15"/>
      <c r="K821" s="15"/>
      <c r="L821" s="16"/>
    </row>
    <row r="822" customFormat="false" ht="12.8" hidden="false" customHeight="false" outlineLevel="0" collapsed="false">
      <c r="A822" s="1"/>
      <c r="E822" s="10"/>
      <c r="F822" s="11"/>
      <c r="G822" s="12"/>
      <c r="H822" s="13"/>
      <c r="I822" s="14"/>
      <c r="J822" s="15"/>
      <c r="K822" s="15"/>
      <c r="L822" s="16"/>
    </row>
    <row r="823" customFormat="false" ht="12.8" hidden="false" customHeight="false" outlineLevel="0" collapsed="false">
      <c r="A823" s="1"/>
      <c r="E823" s="10"/>
      <c r="F823" s="11"/>
      <c r="G823" s="12"/>
      <c r="H823" s="13"/>
      <c r="I823" s="14"/>
      <c r="J823" s="15"/>
      <c r="K823" s="15"/>
      <c r="L823" s="16"/>
    </row>
    <row r="824" customFormat="false" ht="12.8" hidden="false" customHeight="false" outlineLevel="0" collapsed="false">
      <c r="A824" s="1"/>
      <c r="E824" s="10"/>
      <c r="F824" s="11"/>
      <c r="G824" s="12"/>
      <c r="H824" s="13"/>
      <c r="I824" s="14"/>
      <c r="J824" s="15"/>
      <c r="K824" s="15"/>
      <c r="L824" s="16"/>
    </row>
    <row r="825" customFormat="false" ht="12.8" hidden="false" customHeight="false" outlineLevel="0" collapsed="false">
      <c r="A825" s="1"/>
      <c r="B825" s="1"/>
      <c r="C825" s="1"/>
      <c r="E825" s="10"/>
      <c r="F825" s="11"/>
      <c r="G825" s="12"/>
      <c r="H825" s="13"/>
      <c r="I825" s="14"/>
      <c r="J825" s="15"/>
      <c r="K825" s="15"/>
      <c r="L825" s="16"/>
    </row>
    <row r="826" customFormat="false" ht="12.8" hidden="false" customHeight="false" outlineLevel="0" collapsed="false">
      <c r="A826" s="1"/>
      <c r="E826" s="10"/>
      <c r="F826" s="11"/>
      <c r="G826" s="12"/>
      <c r="H826" s="13"/>
      <c r="I826" s="14"/>
      <c r="J826" s="15"/>
      <c r="K826" s="15"/>
      <c r="L826" s="16"/>
    </row>
    <row r="827" customFormat="false" ht="12.8" hidden="false" customHeight="false" outlineLevel="0" collapsed="false">
      <c r="A827" s="1"/>
      <c r="E827" s="10"/>
      <c r="F827" s="11"/>
      <c r="G827" s="12"/>
      <c r="H827" s="13"/>
      <c r="I827" s="14"/>
      <c r="J827" s="15"/>
      <c r="K827" s="15"/>
      <c r="L827" s="16"/>
    </row>
    <row r="828" customFormat="false" ht="12.8" hidden="false" customHeight="false" outlineLevel="0" collapsed="false">
      <c r="A828" s="1"/>
      <c r="B828" s="1"/>
      <c r="C828" s="1"/>
      <c r="D828" s="1"/>
      <c r="E828" s="10"/>
      <c r="F828" s="11"/>
      <c r="G828" s="12"/>
      <c r="H828" s="13"/>
      <c r="I828" s="14"/>
      <c r="J828" s="15"/>
      <c r="K828" s="15"/>
      <c r="L828" s="16"/>
    </row>
    <row r="829" customFormat="false" ht="12.8" hidden="false" customHeight="false" outlineLevel="0" collapsed="false">
      <c r="A829" s="1"/>
      <c r="E829" s="10"/>
      <c r="F829" s="11"/>
      <c r="G829" s="12"/>
      <c r="H829" s="13"/>
      <c r="I829" s="14"/>
      <c r="J829" s="15"/>
      <c r="K829" s="15"/>
      <c r="L829" s="16"/>
    </row>
    <row r="830" customFormat="false" ht="12.8" hidden="false" customHeight="false" outlineLevel="0" collapsed="false">
      <c r="A830" s="1"/>
      <c r="B830" s="1"/>
      <c r="C830" s="1"/>
      <c r="D830" s="1"/>
      <c r="E830" s="10"/>
      <c r="F830" s="11"/>
      <c r="G830" s="12"/>
      <c r="H830" s="13"/>
      <c r="I830" s="14"/>
      <c r="J830" s="15"/>
      <c r="K830" s="15"/>
      <c r="L830" s="16"/>
    </row>
    <row r="831" customFormat="false" ht="12.8" hidden="false" customHeight="false" outlineLevel="0" collapsed="false">
      <c r="A831" s="1"/>
      <c r="E831" s="10"/>
      <c r="F831" s="11"/>
      <c r="G831" s="12"/>
      <c r="H831" s="13"/>
      <c r="I831" s="14"/>
      <c r="J831" s="15"/>
      <c r="K831" s="15"/>
      <c r="L831" s="16"/>
    </row>
    <row r="832" customFormat="false" ht="12.8" hidden="false" customHeight="false" outlineLevel="0" collapsed="false">
      <c r="A832" s="1"/>
      <c r="E832" s="10"/>
      <c r="F832" s="11"/>
      <c r="G832" s="12"/>
      <c r="H832" s="13"/>
      <c r="I832" s="14"/>
      <c r="J832" s="15"/>
      <c r="K832" s="15"/>
      <c r="L832" s="16"/>
    </row>
    <row r="833" customFormat="false" ht="12.8" hidden="false" customHeight="false" outlineLevel="0" collapsed="false">
      <c r="A833" s="1"/>
      <c r="B833" s="1"/>
      <c r="C833" s="1"/>
      <c r="D833" s="1"/>
      <c r="E833" s="10"/>
      <c r="F833" s="11"/>
      <c r="G833" s="12"/>
      <c r="H833" s="13"/>
      <c r="I833" s="14"/>
      <c r="J833" s="15"/>
      <c r="K833" s="15"/>
      <c r="L833" s="16"/>
    </row>
    <row r="834" customFormat="false" ht="12.8" hidden="false" customHeight="false" outlineLevel="0" collapsed="false">
      <c r="A834" s="1"/>
      <c r="E834" s="10"/>
      <c r="F834" s="11"/>
      <c r="G834" s="12"/>
      <c r="H834" s="13"/>
      <c r="I834" s="14"/>
      <c r="J834" s="15"/>
      <c r="K834" s="15"/>
      <c r="L834" s="16"/>
    </row>
    <row r="835" customFormat="false" ht="12.8" hidden="false" customHeight="false" outlineLevel="0" collapsed="false">
      <c r="E835" s="10"/>
      <c r="F835" s="11"/>
      <c r="G835" s="12"/>
      <c r="H835" s="13"/>
      <c r="I835" s="14"/>
      <c r="J835" s="15"/>
      <c r="K835" s="15"/>
      <c r="L835" s="16"/>
    </row>
    <row r="836" customFormat="false" ht="12.8" hidden="false" customHeight="false" outlineLevel="0" collapsed="false">
      <c r="A836" s="1"/>
      <c r="E836" s="10"/>
      <c r="F836" s="11"/>
      <c r="G836" s="12"/>
      <c r="H836" s="13"/>
      <c r="I836" s="14"/>
      <c r="J836" s="15"/>
      <c r="K836" s="15"/>
      <c r="L836" s="16"/>
    </row>
    <row r="837" customFormat="false" ht="12.8" hidden="false" customHeight="false" outlineLevel="0" collapsed="false">
      <c r="A837" s="1"/>
      <c r="B837" s="1"/>
      <c r="C837" s="1"/>
      <c r="D837" s="1"/>
      <c r="E837" s="10"/>
      <c r="F837" s="11"/>
      <c r="G837" s="12"/>
      <c r="H837" s="13"/>
      <c r="I837" s="14"/>
      <c r="J837" s="15"/>
      <c r="K837" s="15"/>
      <c r="L837" s="16"/>
    </row>
    <row r="838" customFormat="false" ht="12.8" hidden="false" customHeight="false" outlineLevel="0" collapsed="false">
      <c r="A838" s="1"/>
      <c r="E838" s="10"/>
      <c r="F838" s="11"/>
      <c r="G838" s="12"/>
      <c r="H838" s="13"/>
      <c r="I838" s="14"/>
      <c r="J838" s="15"/>
      <c r="K838" s="15"/>
      <c r="L838" s="16"/>
    </row>
    <row r="839" customFormat="false" ht="12.8" hidden="false" customHeight="false" outlineLevel="0" collapsed="false">
      <c r="A839" s="1"/>
      <c r="E839" s="10"/>
      <c r="F839" s="11"/>
      <c r="G839" s="12"/>
      <c r="H839" s="13"/>
      <c r="I839" s="14"/>
      <c r="J839" s="15"/>
      <c r="K839" s="15"/>
      <c r="L839" s="16"/>
    </row>
    <row r="840" customFormat="false" ht="12.8" hidden="false" customHeight="false" outlineLevel="0" collapsed="false">
      <c r="A840" s="1"/>
      <c r="B840" s="1"/>
      <c r="C840" s="1"/>
      <c r="D840" s="1"/>
      <c r="E840" s="10"/>
      <c r="F840" s="11"/>
      <c r="G840" s="12"/>
      <c r="H840" s="13"/>
      <c r="I840" s="14"/>
      <c r="J840" s="15"/>
      <c r="K840" s="15"/>
      <c r="L840" s="16"/>
    </row>
    <row r="841" customFormat="false" ht="12.8" hidden="false" customHeight="false" outlineLevel="0" collapsed="false">
      <c r="A841" s="1"/>
      <c r="B841" s="1"/>
      <c r="C841" s="1"/>
      <c r="D841" s="1"/>
      <c r="E841" s="10"/>
      <c r="F841" s="11"/>
      <c r="G841" s="12"/>
      <c r="H841" s="13"/>
      <c r="I841" s="14"/>
      <c r="J841" s="15"/>
      <c r="K841" s="15"/>
      <c r="L841" s="16"/>
    </row>
    <row r="842" customFormat="false" ht="12.8" hidden="false" customHeight="false" outlineLevel="0" collapsed="false">
      <c r="A842" s="1"/>
      <c r="E842" s="10"/>
      <c r="F842" s="11"/>
      <c r="G842" s="12"/>
      <c r="H842" s="13"/>
      <c r="I842" s="14"/>
      <c r="J842" s="15"/>
      <c r="K842" s="15"/>
      <c r="L842" s="16"/>
    </row>
    <row r="843" customFormat="false" ht="12.8" hidden="false" customHeight="false" outlineLevel="0" collapsed="false">
      <c r="A843" s="1"/>
      <c r="B843" s="1"/>
      <c r="C843" s="1"/>
      <c r="D843" s="1"/>
      <c r="E843" s="10"/>
      <c r="F843" s="11"/>
      <c r="G843" s="12"/>
      <c r="H843" s="13"/>
      <c r="I843" s="14"/>
      <c r="J843" s="15"/>
      <c r="K843" s="15"/>
      <c r="L843" s="16"/>
    </row>
    <row r="844" customFormat="false" ht="12.8" hidden="false" customHeight="false" outlineLevel="0" collapsed="false">
      <c r="A844" s="1"/>
      <c r="E844" s="10"/>
      <c r="F844" s="11"/>
      <c r="G844" s="12"/>
      <c r="H844" s="13"/>
      <c r="I844" s="14"/>
      <c r="J844" s="15"/>
      <c r="K844" s="15"/>
      <c r="L844" s="16"/>
    </row>
    <row r="845" customFormat="false" ht="12.8" hidden="false" customHeight="false" outlineLevel="0" collapsed="false">
      <c r="A845" s="1"/>
      <c r="E845" s="10"/>
      <c r="F845" s="11"/>
      <c r="G845" s="12"/>
      <c r="H845" s="13"/>
      <c r="I845" s="14"/>
      <c r="J845" s="15"/>
      <c r="K845" s="15"/>
      <c r="L845" s="16"/>
    </row>
    <row r="846" customFormat="false" ht="12.8" hidden="false" customHeight="false" outlineLevel="0" collapsed="false">
      <c r="A846" s="1"/>
      <c r="B846" s="1"/>
      <c r="C846" s="1"/>
      <c r="E846" s="10"/>
      <c r="F846" s="11"/>
      <c r="G846" s="12"/>
      <c r="H846" s="13"/>
      <c r="I846" s="14"/>
      <c r="J846" s="15"/>
      <c r="K846" s="15"/>
      <c r="L846" s="16"/>
    </row>
    <row r="847" customFormat="false" ht="12.8" hidden="false" customHeight="false" outlineLevel="0" collapsed="false">
      <c r="A847" s="1"/>
      <c r="E847" s="10"/>
      <c r="F847" s="11"/>
      <c r="G847" s="12"/>
      <c r="H847" s="13"/>
      <c r="I847" s="14"/>
      <c r="J847" s="15"/>
      <c r="K847" s="15"/>
      <c r="L847" s="16"/>
    </row>
    <row r="848" customFormat="false" ht="12.8" hidden="false" customHeight="false" outlineLevel="0" collapsed="false">
      <c r="A848" s="1"/>
      <c r="E848" s="10"/>
      <c r="F848" s="11"/>
      <c r="G848" s="12"/>
      <c r="H848" s="13"/>
      <c r="I848" s="14"/>
      <c r="J848" s="15"/>
      <c r="K848" s="15"/>
      <c r="L848" s="16"/>
    </row>
    <row r="849" customFormat="false" ht="12.8" hidden="false" customHeight="false" outlineLevel="0" collapsed="false">
      <c r="A849" s="1"/>
      <c r="E849" s="10"/>
      <c r="F849" s="11"/>
      <c r="G849" s="12"/>
      <c r="H849" s="13"/>
      <c r="I849" s="14"/>
      <c r="J849" s="15"/>
      <c r="K849" s="15"/>
      <c r="L849" s="16"/>
    </row>
    <row r="850" customFormat="false" ht="12.8" hidden="false" customHeight="false" outlineLevel="0" collapsed="false">
      <c r="A850" s="1"/>
      <c r="B850" s="1"/>
      <c r="C850" s="1"/>
      <c r="D850" s="1"/>
      <c r="E850" s="10"/>
      <c r="F850" s="11"/>
      <c r="G850" s="12"/>
      <c r="H850" s="13"/>
      <c r="I850" s="14"/>
      <c r="J850" s="15"/>
      <c r="K850" s="15"/>
      <c r="L850" s="16"/>
    </row>
    <row r="851" customFormat="false" ht="12.8" hidden="false" customHeight="false" outlineLevel="0" collapsed="false">
      <c r="A851" s="1"/>
      <c r="E851" s="10"/>
      <c r="F851" s="11"/>
      <c r="G851" s="12"/>
      <c r="H851" s="13"/>
      <c r="I851" s="14"/>
      <c r="J851" s="15"/>
      <c r="K851" s="15"/>
      <c r="L851" s="16"/>
    </row>
    <row r="852" customFormat="false" ht="12.8" hidden="false" customHeight="false" outlineLevel="0" collapsed="false">
      <c r="E852" s="10"/>
      <c r="F852" s="11"/>
      <c r="G852" s="12"/>
      <c r="H852" s="13"/>
      <c r="I852" s="14"/>
      <c r="J852" s="15"/>
      <c r="K852" s="15"/>
      <c r="L852" s="16"/>
    </row>
    <row r="853" customFormat="false" ht="12.8" hidden="false" customHeight="false" outlineLevel="0" collapsed="false">
      <c r="A853" s="1"/>
      <c r="E853" s="10"/>
      <c r="F853" s="11"/>
      <c r="G853" s="12"/>
      <c r="H853" s="13"/>
      <c r="I853" s="14"/>
      <c r="J853" s="15"/>
      <c r="K853" s="15"/>
      <c r="L853" s="16"/>
    </row>
    <row r="854" customFormat="false" ht="12.8" hidden="false" customHeight="false" outlineLevel="0" collapsed="false">
      <c r="A854" s="1"/>
      <c r="B854" s="1"/>
      <c r="C854" s="1"/>
      <c r="D854" s="1"/>
      <c r="E854" s="10"/>
      <c r="F854" s="11"/>
      <c r="G854" s="12"/>
      <c r="H854" s="13"/>
      <c r="I854" s="14"/>
      <c r="J854" s="15"/>
      <c r="K854" s="15"/>
      <c r="L854" s="16"/>
    </row>
    <row r="855" customFormat="false" ht="12.8" hidden="false" customHeight="false" outlineLevel="0" collapsed="false">
      <c r="A855" s="1"/>
      <c r="E855" s="10"/>
      <c r="F855" s="11"/>
      <c r="G855" s="12"/>
      <c r="H855" s="13"/>
      <c r="I855" s="14"/>
      <c r="J855" s="15"/>
      <c r="K855" s="15"/>
      <c r="L855" s="16"/>
    </row>
    <row r="856" customFormat="false" ht="12.8" hidden="false" customHeight="false" outlineLevel="0" collapsed="false">
      <c r="A856" s="1"/>
      <c r="B856" s="1"/>
      <c r="C856" s="1"/>
      <c r="D856" s="1"/>
      <c r="E856" s="10"/>
      <c r="F856" s="11"/>
      <c r="G856" s="12"/>
      <c r="H856" s="13"/>
      <c r="I856" s="14"/>
      <c r="J856" s="15"/>
      <c r="K856" s="15"/>
      <c r="L856" s="16"/>
    </row>
    <row r="857" customFormat="false" ht="12.8" hidden="false" customHeight="false" outlineLevel="0" collapsed="false">
      <c r="A857" s="1"/>
      <c r="E857" s="10"/>
      <c r="F857" s="11"/>
      <c r="G857" s="12"/>
      <c r="H857" s="13"/>
      <c r="I857" s="14"/>
      <c r="J857" s="15"/>
      <c r="K857" s="15"/>
      <c r="L857" s="16"/>
    </row>
    <row r="858" customFormat="false" ht="12.8" hidden="false" customHeight="false" outlineLevel="0" collapsed="false">
      <c r="A858" s="1"/>
      <c r="E858" s="10"/>
      <c r="F858" s="11"/>
      <c r="G858" s="12"/>
      <c r="H858" s="13"/>
      <c r="I858" s="14"/>
      <c r="J858" s="15"/>
      <c r="K858" s="15"/>
      <c r="L858" s="16"/>
    </row>
    <row r="859" customFormat="false" ht="12.8" hidden="false" customHeight="false" outlineLevel="0" collapsed="false">
      <c r="A859" s="1"/>
      <c r="B859" s="1"/>
      <c r="C859" s="1"/>
      <c r="E859" s="10"/>
      <c r="F859" s="11"/>
      <c r="G859" s="12"/>
      <c r="H859" s="13"/>
      <c r="I859" s="14"/>
      <c r="J859" s="15"/>
      <c r="K859" s="15"/>
      <c r="L859" s="16"/>
    </row>
    <row r="860" customFormat="false" ht="12.8" hidden="false" customHeight="false" outlineLevel="0" collapsed="false">
      <c r="A860" s="1"/>
      <c r="E860" s="10"/>
      <c r="F860" s="11"/>
      <c r="G860" s="12"/>
      <c r="H860" s="13"/>
      <c r="I860" s="14"/>
      <c r="J860" s="15"/>
      <c r="K860" s="15"/>
      <c r="L860" s="16"/>
    </row>
    <row r="861" customFormat="false" ht="12.8" hidden="false" customHeight="false" outlineLevel="0" collapsed="false">
      <c r="A861" s="1"/>
      <c r="E861" s="10"/>
      <c r="F861" s="11"/>
      <c r="G861" s="12"/>
      <c r="H861" s="13"/>
      <c r="I861" s="14"/>
      <c r="J861" s="15"/>
      <c r="K861" s="15"/>
      <c r="L861" s="16"/>
    </row>
    <row r="862" customFormat="false" ht="12.8" hidden="false" customHeight="false" outlineLevel="0" collapsed="false">
      <c r="A862" s="1"/>
      <c r="B862" s="1"/>
      <c r="C862" s="1"/>
      <c r="E862" s="10"/>
      <c r="F862" s="11"/>
      <c r="G862" s="12"/>
      <c r="H862" s="13"/>
      <c r="I862" s="14"/>
      <c r="J862" s="15"/>
      <c r="K862" s="15"/>
      <c r="L862" s="16"/>
    </row>
    <row r="863" customFormat="false" ht="12.8" hidden="false" customHeight="false" outlineLevel="0" collapsed="false">
      <c r="A863" s="1"/>
      <c r="E863" s="10"/>
      <c r="F863" s="11"/>
      <c r="G863" s="12"/>
      <c r="H863" s="13"/>
      <c r="I863" s="14"/>
      <c r="J863" s="15"/>
      <c r="K863" s="15"/>
      <c r="L863" s="16"/>
    </row>
    <row r="864" customFormat="false" ht="12.8" hidden="false" customHeight="false" outlineLevel="0" collapsed="false">
      <c r="A864" s="1"/>
      <c r="B864" s="1"/>
      <c r="C864" s="1"/>
      <c r="E864" s="10"/>
      <c r="F864" s="11"/>
      <c r="G864" s="12"/>
      <c r="H864" s="13"/>
      <c r="I864" s="14"/>
      <c r="J864" s="15"/>
      <c r="K864" s="15"/>
      <c r="L864" s="16"/>
    </row>
    <row r="865" customFormat="false" ht="12.8" hidden="false" customHeight="false" outlineLevel="0" collapsed="false">
      <c r="A865" s="1"/>
      <c r="E865" s="10"/>
      <c r="F865" s="11"/>
      <c r="G865" s="12"/>
      <c r="H865" s="13"/>
      <c r="I865" s="14"/>
      <c r="J865" s="15"/>
      <c r="K865" s="15"/>
      <c r="L865" s="16"/>
    </row>
    <row r="866" customFormat="false" ht="12.8" hidden="false" customHeight="false" outlineLevel="0" collapsed="false">
      <c r="A866" s="1"/>
      <c r="E866" s="10"/>
      <c r="F866" s="11"/>
      <c r="G866" s="12"/>
      <c r="H866" s="13"/>
      <c r="I866" s="14"/>
      <c r="J866" s="15"/>
      <c r="K866" s="15"/>
      <c r="L866" s="16"/>
    </row>
    <row r="867" customFormat="false" ht="12.8" hidden="false" customHeight="false" outlineLevel="0" collapsed="false">
      <c r="A867" s="1"/>
      <c r="B867" s="1"/>
      <c r="C867" s="1"/>
      <c r="D867" s="1"/>
      <c r="E867" s="10"/>
      <c r="F867" s="11"/>
      <c r="G867" s="12"/>
      <c r="H867" s="13"/>
      <c r="I867" s="14"/>
      <c r="J867" s="15"/>
      <c r="K867" s="15"/>
      <c r="L867" s="16"/>
    </row>
    <row r="868" customFormat="false" ht="12.8" hidden="false" customHeight="false" outlineLevel="0" collapsed="false">
      <c r="A868" s="1"/>
      <c r="E868" s="10"/>
      <c r="F868" s="11"/>
      <c r="G868" s="12"/>
      <c r="H868" s="13"/>
      <c r="I868" s="14"/>
      <c r="J868" s="15"/>
      <c r="K868" s="15"/>
      <c r="L868" s="16"/>
    </row>
    <row r="869" customFormat="false" ht="12.8" hidden="false" customHeight="false" outlineLevel="0" collapsed="false">
      <c r="A869" s="1"/>
      <c r="B869" s="1"/>
      <c r="C869" s="1"/>
      <c r="D869" s="1"/>
      <c r="E869" s="10"/>
      <c r="F869" s="11"/>
      <c r="G869" s="12"/>
      <c r="H869" s="13"/>
      <c r="I869" s="14"/>
      <c r="J869" s="15"/>
      <c r="K869" s="15"/>
      <c r="L869" s="16"/>
    </row>
    <row r="870" customFormat="false" ht="12.8" hidden="false" customHeight="false" outlineLevel="0" collapsed="false">
      <c r="A870" s="1"/>
      <c r="E870" s="10"/>
      <c r="F870" s="11"/>
      <c r="G870" s="12"/>
      <c r="H870" s="13"/>
      <c r="I870" s="14"/>
      <c r="J870" s="15"/>
      <c r="K870" s="15"/>
      <c r="L870" s="16"/>
    </row>
    <row r="871" customFormat="false" ht="12.8" hidden="false" customHeight="false" outlineLevel="0" collapsed="false">
      <c r="E871" s="10"/>
      <c r="F871" s="11"/>
      <c r="G871" s="12"/>
      <c r="H871" s="13"/>
      <c r="I871" s="14"/>
      <c r="J871" s="15"/>
      <c r="K871" s="15"/>
      <c r="L871" s="16"/>
    </row>
    <row r="872" customFormat="false" ht="12.8" hidden="false" customHeight="false" outlineLevel="0" collapsed="false">
      <c r="A872" s="1"/>
      <c r="E872" s="10"/>
      <c r="F872" s="11"/>
      <c r="G872" s="12"/>
      <c r="H872" s="13"/>
      <c r="I872" s="14"/>
      <c r="J872" s="15"/>
      <c r="K872" s="15"/>
      <c r="L872" s="16"/>
    </row>
    <row r="873" customFormat="false" ht="12.8" hidden="false" customHeight="false" outlineLevel="0" collapsed="false">
      <c r="A873" s="1"/>
      <c r="B873" s="1"/>
      <c r="C873" s="1"/>
      <c r="D873" s="1"/>
      <c r="E873" s="10"/>
      <c r="F873" s="11"/>
      <c r="G873" s="12"/>
      <c r="H873" s="13"/>
      <c r="I873" s="14"/>
      <c r="J873" s="15"/>
      <c r="K873" s="15"/>
      <c r="L873" s="16"/>
    </row>
    <row r="874" customFormat="false" ht="12.8" hidden="false" customHeight="false" outlineLevel="0" collapsed="false">
      <c r="A874" s="1"/>
      <c r="E874" s="10"/>
      <c r="F874" s="11"/>
      <c r="G874" s="12"/>
      <c r="H874" s="13"/>
      <c r="I874" s="14"/>
      <c r="J874" s="15"/>
      <c r="K874" s="15"/>
      <c r="L874" s="16"/>
    </row>
    <row r="875" customFormat="false" ht="12.8" hidden="false" customHeight="false" outlineLevel="0" collapsed="false">
      <c r="A875" s="1"/>
      <c r="E875" s="10"/>
      <c r="F875" s="11"/>
      <c r="G875" s="12"/>
      <c r="H875" s="13"/>
      <c r="I875" s="14"/>
      <c r="J875" s="15"/>
      <c r="K875" s="15"/>
      <c r="L875" s="16"/>
    </row>
    <row r="876" customFormat="false" ht="12.8" hidden="false" customHeight="false" outlineLevel="0" collapsed="false">
      <c r="A876" s="1"/>
      <c r="E876" s="10"/>
      <c r="F876" s="11"/>
      <c r="G876" s="12"/>
      <c r="H876" s="13"/>
      <c r="I876" s="14"/>
      <c r="J876" s="15"/>
      <c r="K876" s="15"/>
      <c r="L876" s="16"/>
    </row>
    <row r="877" customFormat="false" ht="12.8" hidden="false" customHeight="false" outlineLevel="0" collapsed="false">
      <c r="A877" s="1"/>
      <c r="B877" s="1"/>
      <c r="C877" s="1"/>
      <c r="E877" s="10"/>
      <c r="F877" s="11"/>
      <c r="G877" s="12"/>
      <c r="H877" s="13"/>
      <c r="I877" s="14"/>
      <c r="J877" s="15"/>
      <c r="K877" s="15"/>
      <c r="L877" s="16"/>
    </row>
    <row r="878" customFormat="false" ht="12.8" hidden="false" customHeight="false" outlineLevel="0" collapsed="false">
      <c r="A878" s="1"/>
      <c r="E878" s="10"/>
      <c r="F878" s="11"/>
      <c r="G878" s="12"/>
      <c r="H878" s="13"/>
      <c r="I878" s="14"/>
      <c r="J878" s="15"/>
      <c r="K878" s="15"/>
      <c r="L878" s="16"/>
    </row>
    <row r="879" customFormat="false" ht="12.8" hidden="false" customHeight="false" outlineLevel="0" collapsed="false">
      <c r="A879" s="1"/>
      <c r="E879" s="10"/>
      <c r="F879" s="11"/>
      <c r="G879" s="12"/>
      <c r="H879" s="13"/>
      <c r="I879" s="14"/>
      <c r="J879" s="15"/>
      <c r="K879" s="15"/>
      <c r="L879" s="16"/>
    </row>
    <row r="880" customFormat="false" ht="12.8" hidden="false" customHeight="false" outlineLevel="0" collapsed="false">
      <c r="A880" s="1"/>
      <c r="E880" s="10"/>
      <c r="F880" s="11"/>
      <c r="G880" s="12"/>
      <c r="H880" s="13"/>
      <c r="I880" s="14"/>
      <c r="J880" s="15"/>
      <c r="K880" s="15"/>
      <c r="L880" s="16"/>
    </row>
    <row r="881" customFormat="false" ht="12.8" hidden="false" customHeight="false" outlineLevel="0" collapsed="false">
      <c r="A881" s="1"/>
      <c r="B881" s="1"/>
      <c r="C881" s="1"/>
      <c r="D881" s="1"/>
      <c r="E881" s="10"/>
      <c r="F881" s="11"/>
      <c r="G881" s="12"/>
      <c r="H881" s="13"/>
      <c r="I881" s="14"/>
      <c r="J881" s="15"/>
      <c r="K881" s="15"/>
      <c r="L881" s="16"/>
    </row>
    <row r="882" customFormat="false" ht="12.8" hidden="false" customHeight="false" outlineLevel="0" collapsed="false">
      <c r="A882" s="1"/>
      <c r="E882" s="10"/>
      <c r="F882" s="11"/>
      <c r="G882" s="12"/>
      <c r="H882" s="13"/>
      <c r="I882" s="14"/>
      <c r="J882" s="15"/>
      <c r="K882" s="15"/>
      <c r="L882" s="16"/>
    </row>
    <row r="883" customFormat="false" ht="12.8" hidden="false" customHeight="false" outlineLevel="0" collapsed="false">
      <c r="A883" s="1"/>
      <c r="B883" s="1"/>
      <c r="C883" s="1"/>
      <c r="E883" s="10"/>
      <c r="F883" s="11"/>
      <c r="G883" s="12"/>
      <c r="H883" s="13"/>
      <c r="I883" s="14"/>
      <c r="J883" s="15"/>
      <c r="K883" s="15"/>
      <c r="L883" s="16"/>
    </row>
    <row r="884" customFormat="false" ht="12.8" hidden="false" customHeight="false" outlineLevel="0" collapsed="false">
      <c r="A884" s="1"/>
      <c r="E884" s="10"/>
      <c r="F884" s="11"/>
      <c r="G884" s="12"/>
      <c r="H884" s="13"/>
      <c r="I884" s="14"/>
      <c r="J884" s="15"/>
      <c r="K884" s="15"/>
      <c r="L884" s="16"/>
    </row>
    <row r="885" customFormat="false" ht="12.8" hidden="false" customHeight="false" outlineLevel="0" collapsed="false">
      <c r="A885" s="1"/>
      <c r="B885" s="1"/>
      <c r="C885" s="1"/>
      <c r="E885" s="10"/>
      <c r="F885" s="11"/>
      <c r="G885" s="12"/>
      <c r="H885" s="13"/>
      <c r="I885" s="14"/>
      <c r="J885" s="15"/>
      <c r="K885" s="15"/>
      <c r="L885" s="16"/>
    </row>
    <row r="886" customFormat="false" ht="12.8" hidden="false" customHeight="false" outlineLevel="0" collapsed="false">
      <c r="A886" s="1"/>
      <c r="E886" s="10"/>
      <c r="F886" s="11"/>
      <c r="G886" s="12"/>
      <c r="H886" s="13"/>
      <c r="I886" s="14"/>
      <c r="J886" s="15"/>
      <c r="K886" s="15"/>
      <c r="L886" s="16"/>
    </row>
    <row r="887" customFormat="false" ht="12.8" hidden="false" customHeight="false" outlineLevel="0" collapsed="false">
      <c r="E887" s="10"/>
      <c r="F887" s="11"/>
      <c r="G887" s="12"/>
      <c r="H887" s="13"/>
      <c r="I887" s="14"/>
      <c r="J887" s="15"/>
      <c r="K887" s="15"/>
      <c r="L887" s="16"/>
    </row>
    <row r="888" customFormat="false" ht="12.8" hidden="false" customHeight="false" outlineLevel="0" collapsed="false">
      <c r="A888" s="1"/>
      <c r="E888" s="10"/>
      <c r="F888" s="11"/>
      <c r="G888" s="12"/>
      <c r="H888" s="13"/>
      <c r="I888" s="14"/>
      <c r="J888" s="15"/>
      <c r="K888" s="15"/>
      <c r="L888" s="16"/>
    </row>
    <row r="889" customFormat="false" ht="12.8" hidden="false" customHeight="false" outlineLevel="0" collapsed="false">
      <c r="A889" s="1"/>
      <c r="E889" s="10"/>
      <c r="F889" s="11"/>
      <c r="G889" s="12"/>
      <c r="H889" s="13"/>
      <c r="I889" s="14"/>
      <c r="J889" s="15"/>
      <c r="K889" s="15"/>
      <c r="L889" s="16"/>
    </row>
    <row r="890" customFormat="false" ht="12.8" hidden="false" customHeight="false" outlineLevel="0" collapsed="false">
      <c r="A890" s="1"/>
      <c r="E890" s="10"/>
      <c r="F890" s="11"/>
      <c r="G890" s="12"/>
      <c r="H890" s="13"/>
      <c r="I890" s="14"/>
      <c r="J890" s="15"/>
      <c r="K890" s="15"/>
      <c r="L890" s="16"/>
    </row>
    <row r="891" customFormat="false" ht="12.8" hidden="false" customHeight="false" outlineLevel="0" collapsed="false">
      <c r="A891" s="1"/>
      <c r="B891" s="1"/>
      <c r="C891" s="1"/>
      <c r="D891" s="1"/>
      <c r="E891" s="10"/>
      <c r="F891" s="11"/>
      <c r="G891" s="12"/>
      <c r="H891" s="13"/>
      <c r="I891" s="14"/>
      <c r="J891" s="15"/>
      <c r="K891" s="15"/>
      <c r="L891" s="16"/>
    </row>
    <row r="892" customFormat="false" ht="12.8" hidden="false" customHeight="false" outlineLevel="0" collapsed="false">
      <c r="A892" s="1"/>
      <c r="E892" s="10"/>
      <c r="F892" s="11"/>
      <c r="G892" s="12"/>
      <c r="H892" s="13"/>
      <c r="I892" s="14"/>
      <c r="J892" s="15"/>
      <c r="K892" s="15"/>
      <c r="L892" s="16"/>
    </row>
    <row r="893" customFormat="false" ht="12.8" hidden="false" customHeight="false" outlineLevel="0" collapsed="false">
      <c r="A893" s="1"/>
      <c r="E893" s="10"/>
      <c r="F893" s="11"/>
      <c r="G893" s="12"/>
      <c r="H893" s="13"/>
      <c r="I893" s="14"/>
      <c r="J893" s="15"/>
      <c r="K893" s="15"/>
      <c r="L893" s="16"/>
    </row>
    <row r="894" customFormat="false" ht="12.8" hidden="false" customHeight="false" outlineLevel="0" collapsed="false">
      <c r="A894" s="1"/>
      <c r="E894" s="10"/>
      <c r="F894" s="11"/>
      <c r="G894" s="12"/>
      <c r="H894" s="13"/>
      <c r="I894" s="14"/>
      <c r="J894" s="15"/>
      <c r="K894" s="15"/>
      <c r="L894" s="16"/>
    </row>
    <row r="895" customFormat="false" ht="12.8" hidden="false" customHeight="false" outlineLevel="0" collapsed="false">
      <c r="A895" s="1"/>
      <c r="B895" s="1"/>
      <c r="C895" s="1"/>
      <c r="D895" s="1"/>
      <c r="E895" s="10"/>
      <c r="F895" s="11"/>
      <c r="G895" s="12"/>
      <c r="H895" s="13"/>
      <c r="I895" s="14"/>
      <c r="J895" s="15"/>
      <c r="K895" s="15"/>
      <c r="L895" s="16"/>
    </row>
    <row r="896" customFormat="false" ht="12.8" hidden="false" customHeight="false" outlineLevel="0" collapsed="false">
      <c r="A896" s="1"/>
      <c r="E896" s="10"/>
      <c r="F896" s="11"/>
      <c r="G896" s="12"/>
      <c r="H896" s="13"/>
      <c r="I896" s="14"/>
      <c r="J896" s="15"/>
      <c r="K896" s="15"/>
      <c r="L896" s="16"/>
    </row>
    <row r="897" customFormat="false" ht="12.8" hidden="false" customHeight="false" outlineLevel="0" collapsed="false">
      <c r="A897" s="1"/>
      <c r="E897" s="10"/>
      <c r="F897" s="11"/>
      <c r="G897" s="12"/>
      <c r="H897" s="13"/>
      <c r="I897" s="14"/>
      <c r="J897" s="15"/>
      <c r="K897" s="15"/>
      <c r="L897" s="16"/>
    </row>
    <row r="898" customFormat="false" ht="12.8" hidden="false" customHeight="false" outlineLevel="0" collapsed="false">
      <c r="A898" s="1"/>
      <c r="E898" s="10"/>
      <c r="F898" s="11"/>
      <c r="G898" s="12"/>
      <c r="H898" s="13"/>
      <c r="I898" s="14"/>
      <c r="J898" s="15"/>
      <c r="K898" s="15"/>
      <c r="L898" s="16"/>
    </row>
    <row r="899" customFormat="false" ht="12.8" hidden="false" customHeight="false" outlineLevel="0" collapsed="false">
      <c r="A899" s="1"/>
      <c r="E899" s="10"/>
      <c r="F899" s="11"/>
      <c r="G899" s="12"/>
      <c r="H899" s="13"/>
      <c r="I899" s="14"/>
      <c r="J899" s="15"/>
      <c r="K899" s="15"/>
      <c r="L899" s="16"/>
    </row>
    <row r="900" customFormat="false" ht="12.8" hidden="false" customHeight="false" outlineLevel="0" collapsed="false">
      <c r="A900" s="1"/>
      <c r="E900" s="10"/>
      <c r="F900" s="11"/>
      <c r="G900" s="12"/>
      <c r="H900" s="13"/>
      <c r="I900" s="14"/>
      <c r="J900" s="15"/>
      <c r="K900" s="15"/>
      <c r="L900" s="16"/>
    </row>
    <row r="901" customFormat="false" ht="12.8" hidden="false" customHeight="false" outlineLevel="0" collapsed="false">
      <c r="A901" s="1"/>
      <c r="B901" s="1"/>
      <c r="C901" s="1"/>
      <c r="D901" s="1"/>
      <c r="E901" s="10"/>
      <c r="F901" s="11"/>
      <c r="G901" s="12"/>
      <c r="H901" s="13"/>
      <c r="I901" s="14"/>
      <c r="J901" s="15"/>
      <c r="K901" s="15"/>
      <c r="L901" s="16"/>
    </row>
    <row r="902" customFormat="false" ht="12.8" hidden="false" customHeight="false" outlineLevel="0" collapsed="false">
      <c r="A902" s="1"/>
      <c r="E902" s="10"/>
      <c r="F902" s="11"/>
      <c r="G902" s="12"/>
      <c r="H902" s="13"/>
      <c r="I902" s="14"/>
      <c r="J902" s="15"/>
      <c r="K902" s="15"/>
      <c r="L902" s="16"/>
    </row>
    <row r="903" customFormat="false" ht="12.8" hidden="false" customHeight="false" outlineLevel="0" collapsed="false">
      <c r="A903" s="1"/>
      <c r="E903" s="10"/>
      <c r="F903" s="11"/>
      <c r="G903" s="12"/>
      <c r="H903" s="13"/>
      <c r="I903" s="14"/>
      <c r="J903" s="15"/>
      <c r="K903" s="15"/>
      <c r="L903" s="16"/>
    </row>
    <row r="904" customFormat="false" ht="12.8" hidden="false" customHeight="false" outlineLevel="0" collapsed="false">
      <c r="A904" s="1"/>
      <c r="E904" s="10"/>
      <c r="F904" s="11"/>
      <c r="G904" s="12"/>
      <c r="H904" s="13"/>
      <c r="I904" s="14"/>
      <c r="J904" s="15"/>
      <c r="K904" s="15"/>
      <c r="L904" s="16"/>
    </row>
    <row r="905" customFormat="false" ht="12.8" hidden="false" customHeight="false" outlineLevel="0" collapsed="false">
      <c r="A905" s="1"/>
      <c r="E905" s="10"/>
      <c r="F905" s="11"/>
      <c r="G905" s="12"/>
      <c r="H905" s="13"/>
      <c r="I905" s="14"/>
      <c r="J905" s="15"/>
      <c r="K905" s="15"/>
      <c r="L905" s="16"/>
    </row>
    <row r="906" customFormat="false" ht="12.8" hidden="false" customHeight="false" outlineLevel="0" collapsed="false">
      <c r="A906" s="1"/>
      <c r="B906" s="1"/>
      <c r="C906" s="1"/>
      <c r="D906" s="1"/>
      <c r="E906" s="10"/>
      <c r="F906" s="11"/>
      <c r="G906" s="12"/>
      <c r="H906" s="13"/>
      <c r="I906" s="14"/>
      <c r="J906" s="15"/>
      <c r="K906" s="15"/>
      <c r="L906" s="16"/>
    </row>
    <row r="907" customFormat="false" ht="12.8" hidden="false" customHeight="false" outlineLevel="0" collapsed="false">
      <c r="A907" s="1"/>
      <c r="B907" s="1"/>
      <c r="C907" s="1"/>
      <c r="D907" s="1"/>
      <c r="E907" s="10"/>
      <c r="F907" s="11"/>
      <c r="G907" s="12"/>
      <c r="H907" s="13"/>
      <c r="I907" s="14"/>
      <c r="J907" s="15"/>
      <c r="K907" s="15"/>
      <c r="L907" s="16"/>
    </row>
    <row r="908" customFormat="false" ht="12.8" hidden="false" customHeight="false" outlineLevel="0" collapsed="false">
      <c r="A908" s="1"/>
      <c r="E908" s="10"/>
      <c r="F908" s="11"/>
      <c r="G908" s="12"/>
      <c r="H908" s="13"/>
      <c r="I908" s="14"/>
      <c r="J908" s="15"/>
      <c r="K908" s="15"/>
      <c r="L908" s="16"/>
    </row>
    <row r="909" customFormat="false" ht="12.8" hidden="false" customHeight="false" outlineLevel="0" collapsed="false">
      <c r="E909" s="10"/>
      <c r="F909" s="11"/>
      <c r="G909" s="12"/>
      <c r="H909" s="13"/>
      <c r="I909" s="14"/>
      <c r="J909" s="15"/>
      <c r="K909" s="15"/>
      <c r="L909" s="16"/>
    </row>
    <row r="910" customFormat="false" ht="12.8" hidden="false" customHeight="false" outlineLevel="0" collapsed="false">
      <c r="A910" s="1"/>
      <c r="E910" s="10"/>
      <c r="F910" s="11"/>
      <c r="G910" s="12"/>
      <c r="H910" s="13"/>
      <c r="I910" s="14"/>
      <c r="J910" s="15"/>
      <c r="K910" s="15"/>
      <c r="L910" s="16"/>
    </row>
    <row r="911" customFormat="false" ht="12.8" hidden="false" customHeight="false" outlineLevel="0" collapsed="false">
      <c r="A911" s="1"/>
      <c r="E911" s="10"/>
      <c r="F911" s="11"/>
      <c r="G911" s="12"/>
      <c r="H911" s="13"/>
      <c r="I911" s="14"/>
      <c r="J911" s="15"/>
      <c r="K911" s="15"/>
      <c r="L911" s="16"/>
    </row>
    <row r="912" customFormat="false" ht="12.8" hidden="false" customHeight="false" outlineLevel="0" collapsed="false">
      <c r="A912" s="1"/>
      <c r="B912" s="1"/>
      <c r="C912" s="1"/>
      <c r="D912" s="1"/>
      <c r="E912" s="10"/>
      <c r="F912" s="11"/>
      <c r="G912" s="12"/>
      <c r="H912" s="13"/>
      <c r="I912" s="14"/>
      <c r="J912" s="15"/>
      <c r="K912" s="15"/>
      <c r="L912" s="16"/>
    </row>
    <row r="913" customFormat="false" ht="12.8" hidden="false" customHeight="false" outlineLevel="0" collapsed="false">
      <c r="A913" s="1"/>
      <c r="E913" s="10"/>
      <c r="F913" s="11"/>
      <c r="G913" s="12"/>
      <c r="H913" s="13"/>
      <c r="I913" s="14"/>
      <c r="J913" s="15"/>
      <c r="K913" s="15"/>
      <c r="L913" s="16"/>
    </row>
    <row r="914" customFormat="false" ht="12.8" hidden="false" customHeight="false" outlineLevel="0" collapsed="false">
      <c r="A914" s="1"/>
      <c r="B914" s="1"/>
      <c r="C914" s="1"/>
      <c r="D914" s="1"/>
      <c r="E914" s="10"/>
      <c r="F914" s="11"/>
      <c r="G914" s="12"/>
      <c r="H914" s="13"/>
      <c r="I914" s="14"/>
      <c r="J914" s="15"/>
      <c r="K914" s="15"/>
      <c r="L914" s="16"/>
    </row>
    <row r="915" customFormat="false" ht="12.8" hidden="false" customHeight="false" outlineLevel="0" collapsed="false">
      <c r="A915" s="1"/>
      <c r="B915" s="1"/>
      <c r="C915" s="1"/>
      <c r="D915" s="1"/>
      <c r="E915" s="10"/>
      <c r="F915" s="11"/>
      <c r="G915" s="12"/>
      <c r="H915" s="13"/>
      <c r="I915" s="14"/>
      <c r="J915" s="15"/>
      <c r="K915" s="15"/>
      <c r="L915" s="16"/>
    </row>
    <row r="916" customFormat="false" ht="12.8" hidden="false" customHeight="false" outlineLevel="0" collapsed="false">
      <c r="A916" s="1"/>
      <c r="E916" s="10"/>
      <c r="F916" s="11"/>
      <c r="G916" s="12"/>
      <c r="H916" s="13"/>
      <c r="I916" s="14"/>
      <c r="J916" s="15"/>
      <c r="K916" s="15"/>
      <c r="L916" s="16"/>
    </row>
    <row r="917" customFormat="false" ht="12.8" hidden="false" customHeight="false" outlineLevel="0" collapsed="false">
      <c r="A917" s="1"/>
      <c r="E917" s="10"/>
      <c r="F917" s="11"/>
      <c r="G917" s="12"/>
      <c r="H917" s="13"/>
      <c r="I917" s="14"/>
      <c r="J917" s="15"/>
      <c r="K917" s="15"/>
      <c r="L917" s="16"/>
    </row>
    <row r="918" customFormat="false" ht="12.8" hidden="false" customHeight="false" outlineLevel="0" collapsed="false">
      <c r="A918" s="1"/>
      <c r="E918" s="10"/>
      <c r="F918" s="11"/>
      <c r="G918" s="12"/>
      <c r="H918" s="13"/>
      <c r="I918" s="14"/>
      <c r="J918" s="15"/>
      <c r="K918" s="15"/>
      <c r="L918" s="16"/>
    </row>
    <row r="919" customFormat="false" ht="12.8" hidden="false" customHeight="false" outlineLevel="0" collapsed="false">
      <c r="A919" s="1"/>
      <c r="E919" s="10"/>
      <c r="F919" s="11"/>
      <c r="G919" s="12"/>
      <c r="H919" s="13"/>
      <c r="I919" s="14"/>
      <c r="J919" s="15"/>
      <c r="K919" s="15"/>
      <c r="L919" s="16"/>
    </row>
    <row r="920" customFormat="false" ht="12.8" hidden="false" customHeight="false" outlineLevel="0" collapsed="false">
      <c r="A920" s="1"/>
      <c r="B920" s="1"/>
      <c r="C920" s="1"/>
      <c r="D920" s="1"/>
      <c r="E920" s="10"/>
      <c r="F920" s="11"/>
      <c r="G920" s="12"/>
      <c r="H920" s="13"/>
      <c r="I920" s="14"/>
      <c r="J920" s="15"/>
      <c r="K920" s="15"/>
      <c r="L920" s="16"/>
    </row>
    <row r="921" customFormat="false" ht="12.8" hidden="false" customHeight="false" outlineLevel="0" collapsed="false">
      <c r="A921" s="1"/>
      <c r="E921" s="10"/>
      <c r="F921" s="11"/>
      <c r="G921" s="12"/>
      <c r="H921" s="13"/>
      <c r="I921" s="14"/>
      <c r="J921" s="15"/>
      <c r="K921" s="15"/>
      <c r="L921" s="16"/>
    </row>
    <row r="922" customFormat="false" ht="12.8" hidden="false" customHeight="false" outlineLevel="0" collapsed="false">
      <c r="A922" s="1"/>
      <c r="E922" s="10"/>
      <c r="F922" s="11"/>
      <c r="G922" s="12"/>
      <c r="H922" s="13"/>
      <c r="I922" s="14"/>
      <c r="J922" s="15"/>
      <c r="K922" s="15"/>
      <c r="L922" s="16"/>
    </row>
    <row r="923" customFormat="false" ht="12.8" hidden="false" customHeight="false" outlineLevel="0" collapsed="false">
      <c r="A923" s="1"/>
      <c r="B923" s="1"/>
      <c r="C923" s="1"/>
      <c r="D923" s="1"/>
      <c r="E923" s="10"/>
      <c r="F923" s="11"/>
      <c r="G923" s="12"/>
      <c r="H923" s="13"/>
      <c r="I923" s="14"/>
      <c r="J923" s="15"/>
      <c r="K923" s="15"/>
      <c r="L923" s="16"/>
    </row>
    <row r="924" customFormat="false" ht="12.8" hidden="false" customHeight="false" outlineLevel="0" collapsed="false">
      <c r="A924" s="1"/>
      <c r="E924" s="10"/>
      <c r="F924" s="11"/>
      <c r="G924" s="12"/>
      <c r="H924" s="13"/>
      <c r="I924" s="14"/>
      <c r="J924" s="15"/>
      <c r="K924" s="15"/>
      <c r="L924" s="16"/>
    </row>
    <row r="925" customFormat="false" ht="12.8" hidden="false" customHeight="false" outlineLevel="0" collapsed="false">
      <c r="A925" s="1"/>
      <c r="E925" s="10"/>
      <c r="F925" s="11"/>
      <c r="G925" s="12"/>
      <c r="H925" s="13"/>
      <c r="I925" s="14"/>
      <c r="J925" s="15"/>
      <c r="K925" s="15"/>
      <c r="L925" s="16"/>
    </row>
    <row r="926" customFormat="false" ht="12.8" hidden="false" customHeight="false" outlineLevel="0" collapsed="false">
      <c r="A926" s="1"/>
      <c r="B926" s="1"/>
      <c r="C926" s="1"/>
      <c r="D926" s="1"/>
      <c r="E926" s="10"/>
      <c r="F926" s="11"/>
      <c r="G926" s="12"/>
      <c r="H926" s="13"/>
      <c r="I926" s="14"/>
      <c r="J926" s="15"/>
      <c r="K926" s="15"/>
      <c r="L926" s="16"/>
    </row>
    <row r="927" customFormat="false" ht="12.8" hidden="false" customHeight="false" outlineLevel="0" collapsed="false">
      <c r="A927" s="1"/>
      <c r="B927" s="1"/>
      <c r="C927" s="1"/>
      <c r="D927" s="1"/>
      <c r="E927" s="10"/>
      <c r="F927" s="11"/>
      <c r="G927" s="12"/>
      <c r="H927" s="13"/>
      <c r="I927" s="14"/>
      <c r="J927" s="15"/>
      <c r="K927" s="15"/>
      <c r="L927" s="16"/>
    </row>
    <row r="928" customFormat="false" ht="12.8" hidden="false" customHeight="false" outlineLevel="0" collapsed="false">
      <c r="A928" s="1"/>
      <c r="E928" s="10"/>
      <c r="F928" s="11"/>
      <c r="G928" s="12"/>
      <c r="H928" s="13"/>
      <c r="I928" s="14"/>
      <c r="J928" s="15"/>
      <c r="K928" s="15"/>
      <c r="L928" s="16"/>
    </row>
    <row r="929" customFormat="false" ht="12.8" hidden="false" customHeight="false" outlineLevel="0" collapsed="false">
      <c r="A929" s="1"/>
      <c r="E929" s="10"/>
      <c r="F929" s="11"/>
      <c r="G929" s="12"/>
      <c r="H929" s="13"/>
      <c r="I929" s="14"/>
      <c r="J929" s="15"/>
      <c r="K929" s="15"/>
      <c r="L929" s="16"/>
    </row>
    <row r="930" customFormat="false" ht="12.8" hidden="false" customHeight="false" outlineLevel="0" collapsed="false">
      <c r="A930" s="1"/>
      <c r="E930" s="10"/>
      <c r="F930" s="11"/>
      <c r="G930" s="12"/>
      <c r="H930" s="13"/>
      <c r="I930" s="14"/>
      <c r="J930" s="15"/>
      <c r="K930" s="15"/>
      <c r="L930" s="16"/>
    </row>
    <row r="931" customFormat="false" ht="12.8" hidden="false" customHeight="false" outlineLevel="0" collapsed="false">
      <c r="A931" s="1"/>
      <c r="E931" s="10"/>
      <c r="F931" s="11"/>
      <c r="G931" s="12"/>
      <c r="H931" s="13"/>
      <c r="I931" s="14"/>
      <c r="J931" s="15"/>
      <c r="K931" s="15"/>
      <c r="L931" s="16"/>
    </row>
    <row r="932" customFormat="false" ht="12.8" hidden="false" customHeight="false" outlineLevel="0" collapsed="false">
      <c r="A932" s="1"/>
      <c r="E932" s="10"/>
      <c r="F932" s="11"/>
      <c r="G932" s="12"/>
      <c r="H932" s="13"/>
      <c r="I932" s="14"/>
      <c r="J932" s="15"/>
      <c r="K932" s="15"/>
      <c r="L932" s="16"/>
    </row>
    <row r="933" customFormat="false" ht="12.8" hidden="false" customHeight="false" outlineLevel="0" collapsed="false">
      <c r="A933" s="1"/>
      <c r="B933" s="1"/>
      <c r="C933" s="1"/>
      <c r="D933" s="1"/>
      <c r="E933" s="10"/>
      <c r="F933" s="11"/>
      <c r="G933" s="12"/>
      <c r="H933" s="13"/>
      <c r="I933" s="14"/>
      <c r="J933" s="15"/>
      <c r="K933" s="15"/>
      <c r="L933" s="16"/>
    </row>
    <row r="934" customFormat="false" ht="12.8" hidden="false" customHeight="false" outlineLevel="0" collapsed="false">
      <c r="A934" s="1"/>
      <c r="B934" s="1"/>
      <c r="C934" s="1"/>
      <c r="D934" s="1"/>
      <c r="E934" s="10"/>
      <c r="F934" s="11"/>
      <c r="G934" s="12"/>
      <c r="H934" s="13"/>
      <c r="I934" s="14"/>
      <c r="J934" s="15"/>
      <c r="K934" s="15"/>
      <c r="L934" s="16"/>
    </row>
    <row r="935" customFormat="false" ht="12.8" hidden="false" customHeight="false" outlineLevel="0" collapsed="false">
      <c r="A935" s="1"/>
      <c r="E935" s="10"/>
      <c r="F935" s="11"/>
      <c r="G935" s="12"/>
      <c r="H935" s="13"/>
      <c r="I935" s="14"/>
      <c r="J935" s="15"/>
      <c r="K935" s="15"/>
      <c r="L935" s="16"/>
    </row>
    <row r="936" customFormat="false" ht="12.8" hidden="false" customHeight="false" outlineLevel="0" collapsed="false">
      <c r="A936" s="1"/>
      <c r="E936" s="10"/>
      <c r="F936" s="11"/>
      <c r="G936" s="12"/>
      <c r="H936" s="13"/>
      <c r="I936" s="14"/>
      <c r="J936" s="15"/>
      <c r="K936" s="15"/>
      <c r="L936" s="16"/>
    </row>
    <row r="937" customFormat="false" ht="12.8" hidden="false" customHeight="false" outlineLevel="0" collapsed="false">
      <c r="A937" s="1"/>
      <c r="E937" s="10"/>
      <c r="F937" s="11"/>
      <c r="G937" s="12"/>
      <c r="H937" s="13"/>
      <c r="I937" s="14"/>
      <c r="J937" s="15"/>
      <c r="K937" s="15"/>
      <c r="L937" s="16"/>
    </row>
    <row r="938" customFormat="false" ht="12.8" hidden="false" customHeight="false" outlineLevel="0" collapsed="false">
      <c r="A938" s="1"/>
      <c r="B938" s="1"/>
      <c r="C938" s="1"/>
      <c r="D938" s="1"/>
      <c r="E938" s="10"/>
      <c r="F938" s="11"/>
      <c r="G938" s="12"/>
      <c r="H938" s="13"/>
      <c r="I938" s="14"/>
      <c r="J938" s="15"/>
      <c r="K938" s="15"/>
      <c r="L938" s="16"/>
    </row>
    <row r="939" customFormat="false" ht="12.8" hidden="false" customHeight="false" outlineLevel="0" collapsed="false">
      <c r="A939" s="1"/>
      <c r="B939" s="1"/>
      <c r="C939" s="1"/>
      <c r="D939" s="1"/>
      <c r="E939" s="10"/>
      <c r="F939" s="11"/>
      <c r="G939" s="12"/>
      <c r="H939" s="13"/>
      <c r="I939" s="14"/>
      <c r="J939" s="15"/>
      <c r="K939" s="15"/>
      <c r="L939" s="16"/>
    </row>
    <row r="940" customFormat="false" ht="12.8" hidden="false" customHeight="false" outlineLevel="0" collapsed="false">
      <c r="A940" s="1"/>
      <c r="E940" s="10"/>
      <c r="F940" s="11"/>
      <c r="G940" s="12"/>
      <c r="H940" s="13"/>
      <c r="I940" s="14"/>
      <c r="J940" s="15"/>
      <c r="K940" s="15"/>
      <c r="L940" s="16"/>
    </row>
    <row r="941" customFormat="false" ht="12.8" hidden="false" customHeight="false" outlineLevel="0" collapsed="false">
      <c r="E941" s="10"/>
      <c r="F941" s="11"/>
      <c r="G941" s="12"/>
      <c r="H941" s="13"/>
      <c r="I941" s="14"/>
      <c r="J941" s="15"/>
      <c r="K941" s="15"/>
      <c r="L941" s="16"/>
    </row>
    <row r="942" customFormat="false" ht="12.8" hidden="false" customHeight="false" outlineLevel="0" collapsed="false">
      <c r="A942" s="1"/>
      <c r="E942" s="10"/>
      <c r="F942" s="11"/>
      <c r="G942" s="12"/>
      <c r="H942" s="13"/>
      <c r="I942" s="14"/>
      <c r="J942" s="15"/>
      <c r="K942" s="15"/>
      <c r="L942" s="16"/>
    </row>
    <row r="943" customFormat="false" ht="12.8" hidden="false" customHeight="false" outlineLevel="0" collapsed="false">
      <c r="A943" s="1"/>
      <c r="B943" s="1"/>
      <c r="C943" s="1"/>
      <c r="D943" s="1"/>
      <c r="E943" s="10"/>
      <c r="F943" s="11"/>
      <c r="G943" s="12"/>
      <c r="H943" s="13"/>
      <c r="I943" s="14"/>
      <c r="J943" s="15"/>
      <c r="K943" s="15"/>
      <c r="L943" s="16"/>
    </row>
    <row r="944" customFormat="false" ht="12.8" hidden="false" customHeight="false" outlineLevel="0" collapsed="false">
      <c r="A944" s="1"/>
      <c r="E944" s="10"/>
      <c r="F944" s="11"/>
      <c r="G944" s="12"/>
      <c r="H944" s="13"/>
      <c r="I944" s="14"/>
      <c r="J944" s="15"/>
      <c r="K944" s="15"/>
      <c r="L944" s="16"/>
    </row>
    <row r="945" customFormat="false" ht="12.8" hidden="false" customHeight="false" outlineLevel="0" collapsed="false">
      <c r="A945" s="1"/>
      <c r="E945" s="10"/>
      <c r="F945" s="11"/>
      <c r="G945" s="12"/>
      <c r="H945" s="13"/>
      <c r="I945" s="14"/>
      <c r="J945" s="15"/>
      <c r="K945" s="15"/>
      <c r="L945" s="16"/>
    </row>
    <row r="946" customFormat="false" ht="12.8" hidden="false" customHeight="false" outlineLevel="0" collapsed="false">
      <c r="A946" s="1"/>
      <c r="B946" s="1"/>
      <c r="C946" s="1"/>
      <c r="D946" s="1"/>
      <c r="E946" s="10"/>
      <c r="F946" s="11"/>
      <c r="G946" s="12"/>
      <c r="H946" s="13"/>
      <c r="I946" s="14"/>
      <c r="J946" s="15"/>
      <c r="K946" s="15"/>
      <c r="L946" s="16"/>
    </row>
    <row r="947" customFormat="false" ht="12.8" hidden="false" customHeight="false" outlineLevel="0" collapsed="false">
      <c r="A947" s="1"/>
      <c r="E947" s="10"/>
      <c r="F947" s="11"/>
      <c r="G947" s="12"/>
      <c r="H947" s="13"/>
      <c r="I947" s="14"/>
      <c r="J947" s="15"/>
      <c r="K947" s="15"/>
      <c r="L947" s="16"/>
    </row>
    <row r="948" customFormat="false" ht="12.8" hidden="false" customHeight="false" outlineLevel="0" collapsed="false">
      <c r="A948" s="1"/>
      <c r="E948" s="10"/>
      <c r="F948" s="11"/>
      <c r="G948" s="12"/>
      <c r="H948" s="13"/>
      <c r="I948" s="14"/>
      <c r="J948" s="15"/>
      <c r="K948" s="15"/>
      <c r="L948" s="16"/>
    </row>
    <row r="949" customFormat="false" ht="12.8" hidden="false" customHeight="false" outlineLevel="0" collapsed="false">
      <c r="A949" s="1"/>
      <c r="B949" s="1"/>
      <c r="C949" s="1"/>
      <c r="E949" s="10"/>
      <c r="F949" s="11"/>
      <c r="G949" s="12"/>
      <c r="H949" s="13"/>
      <c r="I949" s="14"/>
      <c r="J949" s="15"/>
      <c r="K949" s="15"/>
      <c r="L949" s="16"/>
    </row>
    <row r="950" customFormat="false" ht="12.8" hidden="false" customHeight="false" outlineLevel="0" collapsed="false">
      <c r="A950" s="1"/>
      <c r="E950" s="10"/>
      <c r="F950" s="11"/>
      <c r="G950" s="12"/>
      <c r="H950" s="13"/>
      <c r="I950" s="14"/>
      <c r="J950" s="15"/>
      <c r="K950" s="15"/>
      <c r="L950" s="16"/>
    </row>
    <row r="951" customFormat="false" ht="12.8" hidden="false" customHeight="false" outlineLevel="0" collapsed="false">
      <c r="A951" s="1"/>
      <c r="E951" s="10"/>
      <c r="F951" s="11"/>
      <c r="G951" s="12"/>
      <c r="H951" s="13"/>
      <c r="I951" s="14"/>
      <c r="J951" s="15"/>
      <c r="K951" s="15"/>
      <c r="L951" s="16"/>
    </row>
    <row r="952" customFormat="false" ht="12.8" hidden="false" customHeight="false" outlineLevel="0" collapsed="false">
      <c r="A952" s="1"/>
      <c r="E952" s="10"/>
      <c r="F952" s="11"/>
      <c r="G952" s="12"/>
      <c r="H952" s="13"/>
      <c r="I952" s="14"/>
      <c r="J952" s="15"/>
      <c r="K952" s="15"/>
      <c r="L952" s="16"/>
    </row>
    <row r="953" customFormat="false" ht="12.8" hidden="false" customHeight="false" outlineLevel="0" collapsed="false">
      <c r="A953" s="1"/>
      <c r="B953" s="1"/>
      <c r="C953" s="1"/>
      <c r="D953" s="1"/>
      <c r="E953" s="10"/>
      <c r="F953" s="11"/>
      <c r="G953" s="12"/>
      <c r="H953" s="13"/>
      <c r="I953" s="14"/>
      <c r="J953" s="15"/>
      <c r="K953" s="15"/>
      <c r="L953" s="16"/>
    </row>
    <row r="954" customFormat="false" ht="12.8" hidden="false" customHeight="false" outlineLevel="0" collapsed="false">
      <c r="A954" s="1"/>
      <c r="E954" s="10"/>
      <c r="F954" s="11"/>
      <c r="G954" s="12"/>
      <c r="H954" s="13"/>
      <c r="I954" s="14"/>
      <c r="J954" s="15"/>
      <c r="K954" s="15"/>
      <c r="L954" s="16"/>
    </row>
    <row r="955" customFormat="false" ht="12.8" hidden="false" customHeight="false" outlineLevel="0" collapsed="false">
      <c r="A955" s="1"/>
      <c r="B955" s="1"/>
      <c r="C955" s="1"/>
      <c r="E955" s="10"/>
      <c r="F955" s="11"/>
      <c r="G955" s="12"/>
      <c r="H955" s="13"/>
      <c r="I955" s="14"/>
      <c r="J955" s="15"/>
      <c r="K955" s="15"/>
      <c r="L955" s="16"/>
    </row>
    <row r="956" customFormat="false" ht="12.8" hidden="false" customHeight="false" outlineLevel="0" collapsed="false">
      <c r="A956" s="1"/>
      <c r="E956" s="10"/>
      <c r="F956" s="11"/>
      <c r="G956" s="12"/>
      <c r="H956" s="13"/>
      <c r="I956" s="14"/>
      <c r="J956" s="15"/>
      <c r="K956" s="15"/>
      <c r="L956" s="16"/>
    </row>
    <row r="957" customFormat="false" ht="12.8" hidden="false" customHeight="false" outlineLevel="0" collapsed="false">
      <c r="A957" s="1"/>
      <c r="B957" s="1"/>
      <c r="C957" s="1"/>
      <c r="E957" s="10"/>
      <c r="F957" s="11"/>
      <c r="G957" s="12"/>
      <c r="H957" s="13"/>
      <c r="I957" s="14"/>
      <c r="J957" s="15"/>
      <c r="K957" s="15"/>
      <c r="L957" s="16"/>
    </row>
    <row r="958" customFormat="false" ht="12.8" hidden="false" customHeight="false" outlineLevel="0" collapsed="false">
      <c r="A958" s="1"/>
      <c r="E958" s="10"/>
      <c r="F958" s="11"/>
      <c r="G958" s="12"/>
      <c r="H958" s="13"/>
      <c r="I958" s="14"/>
      <c r="J958" s="15"/>
      <c r="K958" s="15"/>
      <c r="L958" s="16"/>
    </row>
    <row r="959" customFormat="false" ht="12.8" hidden="false" customHeight="false" outlineLevel="0" collapsed="false">
      <c r="E959" s="10"/>
      <c r="F959" s="11"/>
      <c r="G959" s="12"/>
      <c r="H959" s="13"/>
      <c r="I959" s="14"/>
      <c r="J959" s="15"/>
      <c r="K959" s="15"/>
      <c r="L959" s="16"/>
    </row>
    <row r="960" customFormat="false" ht="12.8" hidden="false" customHeight="false" outlineLevel="0" collapsed="false">
      <c r="A960" s="1"/>
      <c r="E960" s="10"/>
      <c r="F960" s="11"/>
      <c r="G960" s="12"/>
      <c r="H960" s="13"/>
      <c r="I960" s="14"/>
      <c r="J960" s="15"/>
      <c r="K960" s="15"/>
      <c r="L960" s="16"/>
    </row>
    <row r="961" customFormat="false" ht="12.8" hidden="false" customHeight="false" outlineLevel="0" collapsed="false">
      <c r="A961" s="1"/>
      <c r="E961" s="10"/>
      <c r="F961" s="11"/>
      <c r="G961" s="12"/>
      <c r="H961" s="13"/>
      <c r="I961" s="14"/>
      <c r="J961" s="15"/>
      <c r="K961" s="15"/>
      <c r="L961" s="16"/>
    </row>
    <row r="962" customFormat="false" ht="12.8" hidden="false" customHeight="false" outlineLevel="0" collapsed="false">
      <c r="A962" s="1"/>
      <c r="B962" s="1"/>
      <c r="C962" s="1"/>
      <c r="D962" s="1"/>
      <c r="E962" s="10"/>
      <c r="F962" s="11"/>
      <c r="G962" s="12"/>
      <c r="H962" s="13"/>
      <c r="I962" s="14"/>
      <c r="J962" s="15"/>
      <c r="K962" s="15"/>
      <c r="L962" s="16"/>
    </row>
    <row r="963" customFormat="false" ht="12.8" hidden="false" customHeight="false" outlineLevel="0" collapsed="false">
      <c r="A963" s="1"/>
      <c r="E963" s="10"/>
      <c r="F963" s="11"/>
      <c r="G963" s="12"/>
      <c r="H963" s="13"/>
      <c r="I963" s="14"/>
      <c r="J963" s="15"/>
      <c r="K963" s="15"/>
      <c r="L963" s="16"/>
    </row>
    <row r="964" customFormat="false" ht="12.8" hidden="false" customHeight="false" outlineLevel="0" collapsed="false">
      <c r="A964" s="1"/>
      <c r="E964" s="10"/>
      <c r="F964" s="11"/>
      <c r="G964" s="12"/>
      <c r="H964" s="13"/>
      <c r="I964" s="14"/>
      <c r="J964" s="15"/>
      <c r="K964" s="15"/>
      <c r="L964" s="16"/>
    </row>
    <row r="965" customFormat="false" ht="12.8" hidden="false" customHeight="false" outlineLevel="0" collapsed="false">
      <c r="A965" s="1"/>
      <c r="E965" s="10"/>
      <c r="F965" s="11"/>
      <c r="G965" s="12"/>
      <c r="H965" s="13"/>
      <c r="I965" s="14"/>
      <c r="J965" s="15"/>
      <c r="K965" s="15"/>
      <c r="L965" s="16"/>
    </row>
    <row r="966" customFormat="false" ht="12.8" hidden="false" customHeight="false" outlineLevel="0" collapsed="false">
      <c r="A966" s="1"/>
      <c r="B966" s="1"/>
      <c r="C966" s="1"/>
      <c r="D966" s="1"/>
      <c r="E966" s="10"/>
      <c r="F966" s="11"/>
      <c r="G966" s="12"/>
      <c r="H966" s="13"/>
      <c r="I966" s="14"/>
      <c r="J966" s="15"/>
      <c r="K966" s="15"/>
      <c r="L966" s="16"/>
    </row>
    <row r="967" customFormat="false" ht="12.8" hidden="false" customHeight="false" outlineLevel="0" collapsed="false">
      <c r="A967" s="1"/>
      <c r="E967" s="10"/>
      <c r="F967" s="11"/>
      <c r="G967" s="12"/>
      <c r="H967" s="13"/>
      <c r="I967" s="14"/>
      <c r="J967" s="15"/>
      <c r="K967" s="15"/>
      <c r="L967" s="16"/>
    </row>
    <row r="968" customFormat="false" ht="12.8" hidden="false" customHeight="false" outlineLevel="0" collapsed="false">
      <c r="A968" s="1"/>
      <c r="E968" s="10"/>
      <c r="F968" s="11"/>
      <c r="G968" s="12"/>
      <c r="H968" s="13"/>
      <c r="I968" s="14"/>
      <c r="J968" s="15"/>
      <c r="K968" s="15"/>
      <c r="L968" s="16"/>
    </row>
    <row r="969" customFormat="false" ht="12.8" hidden="false" customHeight="false" outlineLevel="0" collapsed="false">
      <c r="A969" s="1"/>
      <c r="E969" s="10"/>
      <c r="F969" s="11"/>
      <c r="G969" s="12"/>
      <c r="H969" s="13"/>
      <c r="I969" s="14"/>
      <c r="J969" s="15"/>
      <c r="K969" s="15"/>
      <c r="L969" s="16"/>
    </row>
    <row r="970" customFormat="false" ht="12.8" hidden="false" customHeight="false" outlineLevel="0" collapsed="false">
      <c r="A970" s="1"/>
      <c r="B970" s="1"/>
      <c r="C970" s="1"/>
      <c r="D970" s="1"/>
      <c r="E970" s="10"/>
      <c r="F970" s="11"/>
      <c r="G970" s="12"/>
      <c r="H970" s="13"/>
      <c r="I970" s="14"/>
      <c r="J970" s="15"/>
      <c r="K970" s="15"/>
      <c r="L970" s="16"/>
    </row>
    <row r="971" customFormat="false" ht="12.8" hidden="false" customHeight="false" outlineLevel="0" collapsed="false">
      <c r="A971" s="1"/>
      <c r="E971" s="10"/>
      <c r="F971" s="11"/>
      <c r="G971" s="12"/>
      <c r="H971" s="13"/>
      <c r="I971" s="14"/>
      <c r="J971" s="15"/>
      <c r="K971" s="15"/>
      <c r="L971" s="16"/>
    </row>
    <row r="972" customFormat="false" ht="12.8" hidden="false" customHeight="false" outlineLevel="0" collapsed="false">
      <c r="A972" s="1"/>
      <c r="E972" s="10"/>
      <c r="F972" s="11"/>
      <c r="G972" s="12"/>
      <c r="H972" s="13"/>
      <c r="I972" s="14"/>
      <c r="J972" s="15"/>
      <c r="K972" s="15"/>
      <c r="L972" s="16"/>
    </row>
    <row r="973" customFormat="false" ht="12.8" hidden="false" customHeight="false" outlineLevel="0" collapsed="false">
      <c r="A973" s="1"/>
      <c r="B973" s="1"/>
      <c r="C973" s="1"/>
      <c r="D973" s="1"/>
      <c r="E973" s="10"/>
      <c r="F973" s="11"/>
      <c r="G973" s="12"/>
      <c r="H973" s="13"/>
      <c r="I973" s="14"/>
      <c r="J973" s="15"/>
      <c r="K973" s="15"/>
      <c r="L973" s="16"/>
    </row>
    <row r="974" customFormat="false" ht="12.8" hidden="false" customHeight="false" outlineLevel="0" collapsed="false">
      <c r="A974" s="1"/>
      <c r="E974" s="10"/>
      <c r="F974" s="11"/>
      <c r="G974" s="12"/>
      <c r="H974" s="13"/>
      <c r="I974" s="14"/>
      <c r="J974" s="15"/>
      <c r="K974" s="15"/>
      <c r="L974" s="16"/>
    </row>
    <row r="975" customFormat="false" ht="12.8" hidden="false" customHeight="false" outlineLevel="0" collapsed="false">
      <c r="A975" s="1"/>
      <c r="E975" s="10"/>
      <c r="F975" s="11"/>
      <c r="G975" s="12"/>
      <c r="H975" s="13"/>
      <c r="I975" s="14"/>
      <c r="J975" s="15"/>
      <c r="K975" s="15"/>
      <c r="L975" s="16"/>
    </row>
    <row r="976" customFormat="false" ht="12.8" hidden="false" customHeight="false" outlineLevel="0" collapsed="false">
      <c r="A976" s="1"/>
      <c r="B976" s="1"/>
      <c r="C976" s="1"/>
      <c r="D976" s="1"/>
      <c r="E976" s="10"/>
      <c r="F976" s="11"/>
      <c r="G976" s="12"/>
      <c r="H976" s="13"/>
      <c r="I976" s="14"/>
      <c r="J976" s="15"/>
      <c r="K976" s="15"/>
      <c r="L976" s="16"/>
    </row>
    <row r="977" customFormat="false" ht="12.8" hidden="false" customHeight="false" outlineLevel="0" collapsed="false">
      <c r="A977" s="1"/>
      <c r="E977" s="10"/>
      <c r="F977" s="11"/>
      <c r="G977" s="12"/>
      <c r="H977" s="13"/>
      <c r="I977" s="14"/>
      <c r="J977" s="15"/>
      <c r="K977" s="15"/>
      <c r="L977" s="16"/>
    </row>
    <row r="978" customFormat="false" ht="12.8" hidden="false" customHeight="false" outlineLevel="0" collapsed="false">
      <c r="A978" s="1"/>
      <c r="E978" s="10"/>
      <c r="F978" s="11"/>
      <c r="G978" s="12"/>
      <c r="H978" s="13"/>
      <c r="I978" s="14"/>
      <c r="J978" s="15"/>
      <c r="K978" s="15"/>
      <c r="L978" s="16"/>
    </row>
    <row r="979" customFormat="false" ht="12.8" hidden="false" customHeight="false" outlineLevel="0" collapsed="false">
      <c r="E979" s="10"/>
      <c r="F979" s="11"/>
      <c r="G979" s="12"/>
      <c r="H979" s="13"/>
      <c r="I979" s="14"/>
      <c r="J979" s="15"/>
      <c r="K979" s="15"/>
      <c r="L979" s="16"/>
    </row>
    <row r="980" customFormat="false" ht="12.8" hidden="false" customHeight="false" outlineLevel="0" collapsed="false">
      <c r="A980" s="1"/>
      <c r="E980" s="10"/>
      <c r="F980" s="11"/>
      <c r="G980" s="12"/>
      <c r="H980" s="13"/>
      <c r="I980" s="14"/>
      <c r="J980" s="15"/>
      <c r="K980" s="15"/>
      <c r="L980" s="16"/>
    </row>
    <row r="981" customFormat="false" ht="12.8" hidden="false" customHeight="false" outlineLevel="0" collapsed="false">
      <c r="A981" s="1"/>
      <c r="E981" s="10"/>
      <c r="F981" s="11"/>
      <c r="G981" s="12"/>
      <c r="H981" s="13"/>
      <c r="I981" s="14"/>
      <c r="J981" s="15"/>
      <c r="K981" s="15"/>
      <c r="L981" s="16"/>
    </row>
    <row r="982" customFormat="false" ht="12.8" hidden="false" customHeight="false" outlineLevel="0" collapsed="false">
      <c r="A982" s="1"/>
      <c r="E982" s="10"/>
      <c r="F982" s="11"/>
      <c r="G982" s="12"/>
      <c r="H982" s="13"/>
      <c r="I982" s="14"/>
      <c r="J982" s="15"/>
      <c r="K982" s="15"/>
      <c r="L982" s="16"/>
    </row>
    <row r="983" customFormat="false" ht="12.8" hidden="false" customHeight="false" outlineLevel="0" collapsed="false">
      <c r="A983" s="1"/>
      <c r="E983" s="10"/>
      <c r="F983" s="11"/>
      <c r="G983" s="12"/>
      <c r="H983" s="13"/>
      <c r="I983" s="14"/>
      <c r="J983" s="15"/>
      <c r="K983" s="15"/>
      <c r="L983" s="16"/>
    </row>
    <row r="984" customFormat="false" ht="12.8" hidden="false" customHeight="false" outlineLevel="0" collapsed="false">
      <c r="A984" s="1"/>
      <c r="B984" s="1"/>
      <c r="C984" s="1"/>
      <c r="D984" s="1"/>
      <c r="E984" s="10"/>
      <c r="F984" s="11"/>
      <c r="G984" s="12"/>
      <c r="H984" s="13"/>
      <c r="I984" s="14"/>
      <c r="J984" s="15"/>
      <c r="K984" s="15"/>
      <c r="L984" s="16"/>
    </row>
    <row r="985" customFormat="false" ht="12.8" hidden="false" customHeight="false" outlineLevel="0" collapsed="false">
      <c r="A985" s="1"/>
      <c r="E985" s="10"/>
      <c r="F985" s="11"/>
      <c r="G985" s="12"/>
      <c r="H985" s="13"/>
      <c r="I985" s="14"/>
      <c r="J985" s="15"/>
      <c r="K985" s="15"/>
      <c r="L985" s="16"/>
    </row>
    <row r="986" customFormat="false" ht="12.8" hidden="false" customHeight="false" outlineLevel="0" collapsed="false">
      <c r="A986" s="1"/>
      <c r="E986" s="10"/>
      <c r="F986" s="11"/>
      <c r="G986" s="12"/>
      <c r="H986" s="13"/>
      <c r="I986" s="14"/>
      <c r="J986" s="15"/>
      <c r="K986" s="15"/>
      <c r="L986" s="16"/>
    </row>
    <row r="987" customFormat="false" ht="12.8" hidden="false" customHeight="false" outlineLevel="0" collapsed="false">
      <c r="A987" s="1"/>
      <c r="E987" s="10"/>
      <c r="F987" s="11"/>
      <c r="G987" s="12"/>
      <c r="H987" s="13"/>
      <c r="I987" s="14"/>
      <c r="J987" s="15"/>
      <c r="K987" s="15"/>
      <c r="L987" s="16"/>
    </row>
    <row r="988" customFormat="false" ht="12.8" hidden="false" customHeight="false" outlineLevel="0" collapsed="false">
      <c r="A988" s="1"/>
      <c r="B988" s="1"/>
      <c r="C988" s="1"/>
      <c r="D988" s="1"/>
      <c r="E988" s="10"/>
      <c r="F988" s="11"/>
      <c r="G988" s="12"/>
      <c r="H988" s="13"/>
      <c r="I988" s="14"/>
      <c r="J988" s="15"/>
      <c r="K988" s="15"/>
      <c r="L988" s="16"/>
    </row>
    <row r="989" customFormat="false" ht="12.8" hidden="false" customHeight="false" outlineLevel="0" collapsed="false">
      <c r="A989" s="1"/>
      <c r="E989" s="10"/>
      <c r="F989" s="11"/>
      <c r="G989" s="12"/>
      <c r="H989" s="13"/>
      <c r="I989" s="14"/>
      <c r="J989" s="15"/>
      <c r="K989" s="15"/>
      <c r="L989" s="16"/>
    </row>
    <row r="990" customFormat="false" ht="12.8" hidden="false" customHeight="false" outlineLevel="0" collapsed="false">
      <c r="A990" s="1"/>
      <c r="E990" s="10"/>
      <c r="F990" s="11"/>
      <c r="G990" s="12"/>
      <c r="H990" s="13"/>
      <c r="I990" s="14"/>
      <c r="J990" s="15"/>
      <c r="K990" s="15"/>
      <c r="L990" s="16"/>
    </row>
    <row r="991" customFormat="false" ht="12.8" hidden="false" customHeight="false" outlineLevel="0" collapsed="false">
      <c r="A991" s="1"/>
      <c r="B991" s="1"/>
      <c r="C991" s="1"/>
      <c r="D991" s="1"/>
      <c r="E991" s="10"/>
      <c r="F991" s="11"/>
      <c r="G991" s="12"/>
      <c r="H991" s="13"/>
      <c r="I991" s="14"/>
      <c r="J991" s="15"/>
      <c r="K991" s="15"/>
      <c r="L991" s="16"/>
    </row>
    <row r="992" customFormat="false" ht="12.8" hidden="false" customHeight="false" outlineLevel="0" collapsed="false">
      <c r="A992" s="1"/>
      <c r="E992" s="10"/>
      <c r="F992" s="11"/>
      <c r="G992" s="12"/>
      <c r="H992" s="13"/>
      <c r="I992" s="14"/>
      <c r="J992" s="15"/>
      <c r="K992" s="15"/>
      <c r="L992" s="16"/>
    </row>
    <row r="993" customFormat="false" ht="12.8" hidden="false" customHeight="false" outlineLevel="0" collapsed="false">
      <c r="A993" s="1"/>
      <c r="E993" s="10"/>
      <c r="F993" s="11"/>
      <c r="G993" s="12"/>
      <c r="H993" s="13"/>
      <c r="I993" s="14"/>
      <c r="J993" s="15"/>
      <c r="K993" s="15"/>
      <c r="L993" s="16"/>
    </row>
    <row r="994" customFormat="false" ht="12.8" hidden="false" customHeight="false" outlineLevel="0" collapsed="false">
      <c r="A994" s="1"/>
      <c r="E994" s="10"/>
      <c r="F994" s="11"/>
      <c r="G994" s="12"/>
      <c r="H994" s="13"/>
      <c r="I994" s="14"/>
      <c r="J994" s="15"/>
      <c r="K994" s="15"/>
      <c r="L994" s="16"/>
    </row>
    <row r="995" customFormat="false" ht="12.8" hidden="false" customHeight="false" outlineLevel="0" collapsed="false">
      <c r="A995" s="1"/>
      <c r="E995" s="10"/>
      <c r="F995" s="11"/>
      <c r="G995" s="12"/>
      <c r="H995" s="13"/>
      <c r="I995" s="14"/>
      <c r="J995" s="15"/>
      <c r="K995" s="15"/>
      <c r="L995" s="16"/>
    </row>
    <row r="996" customFormat="false" ht="12.8" hidden="false" customHeight="false" outlineLevel="0" collapsed="false">
      <c r="A996" s="1"/>
      <c r="B996" s="1"/>
      <c r="C996" s="1"/>
      <c r="E996" s="10"/>
      <c r="F996" s="11"/>
      <c r="G996" s="12"/>
      <c r="H996" s="13"/>
      <c r="I996" s="14"/>
      <c r="J996" s="15"/>
      <c r="K996" s="15"/>
      <c r="L996" s="16"/>
    </row>
    <row r="997" customFormat="false" ht="12.8" hidden="false" customHeight="false" outlineLevel="0" collapsed="false">
      <c r="A997" s="1"/>
      <c r="E997" s="10"/>
      <c r="F997" s="11"/>
      <c r="G997" s="12"/>
      <c r="H997" s="13"/>
      <c r="I997" s="14"/>
      <c r="J997" s="15"/>
      <c r="K997" s="15"/>
      <c r="L997" s="16"/>
    </row>
    <row r="998" customFormat="false" ht="12.8" hidden="false" customHeight="false" outlineLevel="0" collapsed="false">
      <c r="A998" s="1"/>
      <c r="E998" s="10"/>
      <c r="F998" s="11"/>
      <c r="G998" s="12"/>
      <c r="H998" s="13"/>
      <c r="I998" s="14"/>
      <c r="J998" s="15"/>
      <c r="K998" s="15"/>
      <c r="L998" s="16"/>
    </row>
    <row r="999" customFormat="false" ht="12.8" hidden="false" customHeight="false" outlineLevel="0" collapsed="false">
      <c r="A999" s="1"/>
      <c r="B999" s="1"/>
      <c r="C999" s="1"/>
      <c r="D999" s="1"/>
      <c r="E999" s="10"/>
      <c r="F999" s="11"/>
      <c r="G999" s="12"/>
      <c r="H999" s="13"/>
      <c r="I999" s="14"/>
      <c r="J999" s="15"/>
      <c r="K999" s="15"/>
      <c r="L999" s="16"/>
    </row>
    <row r="1000" customFormat="false" ht="12.8" hidden="false" customHeight="false" outlineLevel="0" collapsed="false">
      <c r="A1000" s="1"/>
      <c r="E1000" s="10"/>
      <c r="F1000" s="11"/>
      <c r="G1000" s="12"/>
      <c r="H1000" s="13"/>
      <c r="I1000" s="14"/>
      <c r="J1000" s="15"/>
      <c r="K1000" s="15"/>
      <c r="L1000" s="16"/>
    </row>
    <row r="1001" customFormat="false" ht="12.8" hidden="false" customHeight="false" outlineLevel="0" collapsed="false">
      <c r="A1001" s="1"/>
      <c r="E1001" s="10"/>
      <c r="F1001" s="11"/>
      <c r="G1001" s="12"/>
      <c r="H1001" s="13"/>
      <c r="I1001" s="14"/>
      <c r="J1001" s="15"/>
      <c r="K1001" s="15"/>
      <c r="L1001" s="16"/>
    </row>
    <row r="1002" customFormat="false" ht="12.8" hidden="false" customHeight="false" outlineLevel="0" collapsed="false">
      <c r="A1002" s="1"/>
      <c r="B1002" s="1"/>
      <c r="C1002" s="1"/>
      <c r="D1002" s="1"/>
      <c r="E1002" s="10"/>
      <c r="F1002" s="11"/>
      <c r="G1002" s="12"/>
      <c r="H1002" s="13"/>
      <c r="I1002" s="14"/>
      <c r="J1002" s="15"/>
      <c r="K1002" s="15"/>
      <c r="L1002" s="16"/>
    </row>
    <row r="1003" customFormat="false" ht="12.8" hidden="false" customHeight="false" outlineLevel="0" collapsed="false">
      <c r="A1003" s="1"/>
      <c r="E1003" s="10"/>
      <c r="F1003" s="11"/>
      <c r="G1003" s="12"/>
      <c r="H1003" s="13"/>
      <c r="I1003" s="14"/>
      <c r="J1003" s="15"/>
      <c r="K1003" s="15"/>
      <c r="L1003" s="16"/>
    </row>
    <row r="1004" customFormat="false" ht="12.8" hidden="false" customHeight="false" outlineLevel="0" collapsed="false">
      <c r="E1004" s="10"/>
      <c r="F1004" s="11"/>
      <c r="G1004" s="12"/>
      <c r="H1004" s="13"/>
      <c r="L1004" s="16"/>
    </row>
    <row r="1005" customFormat="false" ht="12.8" hidden="false" customHeight="false" outlineLevel="0" collapsed="false">
      <c r="A1005" s="1"/>
      <c r="E1005" s="10"/>
      <c r="F1005" s="11"/>
      <c r="G1005" s="12"/>
      <c r="H1005" s="13"/>
      <c r="L1005" s="16"/>
    </row>
    <row r="1006" customFormat="false" ht="12.8" hidden="false" customHeight="false" outlineLevel="0" collapsed="false">
      <c r="A1006" s="1"/>
      <c r="E1006" s="10"/>
      <c r="F1006" s="11"/>
      <c r="G1006" s="12"/>
      <c r="H1006" s="13"/>
      <c r="L1006" s="16"/>
    </row>
    <row r="1007" customFormat="false" ht="12.8" hidden="false" customHeight="false" outlineLevel="0" collapsed="false">
      <c r="A1007" s="1"/>
      <c r="B1007" s="1"/>
      <c r="C1007" s="1"/>
      <c r="E1007" s="10"/>
      <c r="F1007" s="11"/>
      <c r="G1007" s="12"/>
      <c r="H1007" s="13"/>
      <c r="L1007" s="16"/>
    </row>
    <row r="1008" customFormat="false" ht="12.8" hidden="false" customHeight="false" outlineLevel="0" collapsed="false">
      <c r="A1008" s="1"/>
      <c r="E1008" s="10"/>
      <c r="F1008" s="11"/>
      <c r="G1008" s="12"/>
      <c r="H1008" s="13"/>
      <c r="L1008" s="16"/>
    </row>
    <row r="1009" customFormat="false" ht="12.8" hidden="false" customHeight="false" outlineLevel="0" collapsed="false">
      <c r="A1009" s="1"/>
      <c r="E1009" s="10"/>
      <c r="F1009" s="11"/>
      <c r="G1009" s="12"/>
      <c r="H1009" s="13"/>
      <c r="L1009" s="16"/>
    </row>
    <row r="1010" customFormat="false" ht="12.8" hidden="false" customHeight="false" outlineLevel="0" collapsed="false">
      <c r="A1010" s="1"/>
      <c r="E1010" s="10"/>
      <c r="F1010" s="11"/>
      <c r="G1010" s="12"/>
      <c r="H1010" s="13"/>
      <c r="L1010" s="16"/>
    </row>
    <row r="1011" customFormat="false" ht="12.8" hidden="false" customHeight="false" outlineLevel="0" collapsed="false">
      <c r="A1011" s="1"/>
      <c r="B1011" s="1"/>
      <c r="C1011" s="1"/>
      <c r="E1011" s="10"/>
      <c r="F1011" s="11"/>
      <c r="G1011" s="12"/>
      <c r="H1011" s="13"/>
      <c r="L1011" s="16"/>
    </row>
    <row r="1012" customFormat="false" ht="12.8" hidden="false" customHeight="false" outlineLevel="0" collapsed="false">
      <c r="A1012" s="1"/>
      <c r="E1012" s="10"/>
      <c r="F1012" s="11"/>
      <c r="G1012" s="12"/>
      <c r="H1012" s="13"/>
      <c r="L1012" s="16"/>
    </row>
    <row r="1013" customFormat="false" ht="12.8" hidden="false" customHeight="false" outlineLevel="0" collapsed="false">
      <c r="A1013" s="1"/>
      <c r="E1013" s="10"/>
      <c r="F1013" s="11"/>
      <c r="G1013" s="12"/>
      <c r="H1013" s="13"/>
      <c r="L1013" s="16"/>
    </row>
    <row r="1014" customFormat="false" ht="12.8" hidden="false" customHeight="false" outlineLevel="0" collapsed="false">
      <c r="A1014" s="1"/>
      <c r="E1014" s="10"/>
      <c r="F1014" s="11"/>
      <c r="G1014" s="12"/>
      <c r="H1014" s="13"/>
      <c r="L1014" s="16"/>
    </row>
    <row r="1015" customFormat="false" ht="12.8" hidden="false" customHeight="false" outlineLevel="0" collapsed="false">
      <c r="A1015" s="1"/>
      <c r="B1015" s="1"/>
      <c r="C1015" s="1"/>
      <c r="D1015" s="1"/>
      <c r="E1015" s="10"/>
      <c r="F1015" s="11"/>
      <c r="G1015" s="12"/>
      <c r="H1015" s="13"/>
      <c r="L1015" s="16"/>
    </row>
    <row r="1016" customFormat="false" ht="12.8" hidden="false" customHeight="false" outlineLevel="0" collapsed="false">
      <c r="A1016" s="1"/>
      <c r="E1016" s="10"/>
      <c r="F1016" s="11"/>
      <c r="G1016" s="12"/>
      <c r="H1016" s="13"/>
      <c r="L1016" s="16"/>
    </row>
    <row r="1017" customFormat="false" ht="12.8" hidden="false" customHeight="false" outlineLevel="0" collapsed="false">
      <c r="A1017" s="1"/>
      <c r="E1017" s="10"/>
      <c r="F1017" s="11"/>
      <c r="G1017" s="12"/>
      <c r="H1017" s="13"/>
      <c r="L1017" s="16"/>
    </row>
    <row r="1018" customFormat="false" ht="12.8" hidden="false" customHeight="false" outlineLevel="0" collapsed="false">
      <c r="A1018" s="1"/>
      <c r="E1018" s="10"/>
      <c r="F1018" s="11"/>
      <c r="G1018" s="12"/>
      <c r="H1018" s="13"/>
      <c r="L1018" s="16"/>
    </row>
    <row r="1019" customFormat="false" ht="12.8" hidden="false" customHeight="false" outlineLevel="0" collapsed="false">
      <c r="A1019" s="1"/>
      <c r="E1019" s="10"/>
      <c r="F1019" s="11"/>
      <c r="G1019" s="12"/>
      <c r="H1019" s="13"/>
      <c r="L1019" s="16"/>
    </row>
    <row r="1020" customFormat="false" ht="12.8" hidden="false" customHeight="false" outlineLevel="0" collapsed="false">
      <c r="A1020" s="1"/>
      <c r="E1020" s="10"/>
      <c r="F1020" s="11"/>
      <c r="G1020" s="12"/>
      <c r="H1020" s="13"/>
      <c r="L1020" s="16"/>
    </row>
    <row r="1021" customFormat="false" ht="12.8" hidden="false" customHeight="false" outlineLevel="0" collapsed="false">
      <c r="A1021" s="1"/>
      <c r="E1021" s="10"/>
      <c r="F1021" s="11"/>
      <c r="G1021" s="12"/>
      <c r="H1021" s="13"/>
      <c r="L1021" s="16"/>
    </row>
    <row r="1022" customFormat="false" ht="12.8" hidden="false" customHeight="false" outlineLevel="0" collapsed="false">
      <c r="A1022" s="1"/>
      <c r="E1022" s="10"/>
      <c r="F1022" s="11"/>
      <c r="G1022" s="12"/>
      <c r="H1022" s="13"/>
      <c r="L1022" s="16"/>
    </row>
    <row r="1023" customFormat="false" ht="12.8" hidden="false" customHeight="false" outlineLevel="0" collapsed="false">
      <c r="A1023" s="1"/>
      <c r="B1023" s="1"/>
      <c r="C1023" s="1"/>
      <c r="E1023" s="10"/>
      <c r="F1023" s="11"/>
      <c r="G1023" s="12"/>
      <c r="H1023" s="13"/>
      <c r="L1023" s="16"/>
    </row>
    <row r="1024" customFormat="false" ht="12.8" hidden="false" customHeight="false" outlineLevel="0" collapsed="false">
      <c r="A1024" s="1"/>
      <c r="E1024" s="10"/>
      <c r="F1024" s="11"/>
      <c r="G1024" s="12"/>
      <c r="H1024" s="13"/>
      <c r="L1024" s="16"/>
    </row>
    <row r="1025" customFormat="false" ht="12.8" hidden="false" customHeight="false" outlineLevel="0" collapsed="false">
      <c r="A1025" s="1"/>
      <c r="B1025" s="1"/>
      <c r="C1025" s="1"/>
      <c r="E1025" s="10"/>
      <c r="F1025" s="11"/>
      <c r="G1025" s="12"/>
      <c r="H1025" s="13"/>
      <c r="L1025" s="16"/>
    </row>
    <row r="1026" customFormat="false" ht="12.8" hidden="false" customHeight="false" outlineLevel="0" collapsed="false">
      <c r="A1026" s="1"/>
      <c r="E1026" s="10"/>
      <c r="F1026" s="11"/>
      <c r="G1026" s="12"/>
      <c r="H1026" s="13"/>
      <c r="L1026" s="16"/>
    </row>
    <row r="1027" customFormat="false" ht="12.8" hidden="false" customHeight="false" outlineLevel="0" collapsed="false">
      <c r="E1027" s="10"/>
      <c r="F1027" s="11"/>
      <c r="G1027" s="12"/>
      <c r="H1027" s="13"/>
      <c r="L1027" s="16"/>
    </row>
    <row r="1028" customFormat="false" ht="12.8" hidden="false" customHeight="false" outlineLevel="0" collapsed="false">
      <c r="A1028" s="1"/>
      <c r="E1028" s="10"/>
      <c r="F1028" s="11"/>
      <c r="G1028" s="12"/>
      <c r="H1028" s="13"/>
      <c r="L1028" s="16"/>
    </row>
    <row r="1029" customFormat="false" ht="12.8" hidden="false" customHeight="false" outlineLevel="0" collapsed="false">
      <c r="A1029" s="1"/>
      <c r="B1029" s="1"/>
      <c r="C1029" s="1"/>
      <c r="D1029" s="1"/>
      <c r="E1029" s="10"/>
      <c r="F1029" s="11"/>
      <c r="G1029" s="12"/>
      <c r="H1029" s="13"/>
      <c r="L1029" s="16"/>
    </row>
    <row r="1030" customFormat="false" ht="12.8" hidden="false" customHeight="false" outlineLevel="0" collapsed="false">
      <c r="A1030" s="1"/>
      <c r="E1030" s="10"/>
      <c r="F1030" s="11"/>
      <c r="G1030" s="12"/>
      <c r="H1030" s="13"/>
      <c r="L1030" s="16"/>
    </row>
    <row r="1031" customFormat="false" ht="12.8" hidden="false" customHeight="false" outlineLevel="0" collapsed="false">
      <c r="A1031" s="1"/>
      <c r="E1031" s="10"/>
      <c r="F1031" s="11"/>
      <c r="G1031" s="12"/>
      <c r="H1031" s="13"/>
      <c r="L1031" s="16"/>
    </row>
    <row r="1032" customFormat="false" ht="12.8" hidden="false" customHeight="false" outlineLevel="0" collapsed="false">
      <c r="A1032" s="1"/>
      <c r="E1032" s="10"/>
      <c r="F1032" s="11"/>
      <c r="G1032" s="12"/>
      <c r="H1032" s="13"/>
      <c r="L1032" s="16"/>
    </row>
    <row r="1033" customFormat="false" ht="12.8" hidden="false" customHeight="false" outlineLevel="0" collapsed="false">
      <c r="A1033" s="1"/>
      <c r="B1033" s="1"/>
      <c r="C1033" s="1"/>
      <c r="E1033" s="10"/>
      <c r="F1033" s="11"/>
      <c r="G1033" s="12"/>
      <c r="H1033" s="13"/>
      <c r="L1033" s="16"/>
    </row>
    <row r="1034" customFormat="false" ht="12.8" hidden="false" customHeight="false" outlineLevel="0" collapsed="false">
      <c r="A1034" s="1"/>
      <c r="E1034" s="10"/>
      <c r="F1034" s="11"/>
      <c r="G1034" s="12"/>
      <c r="H1034" s="13"/>
      <c r="L1034" s="16"/>
    </row>
    <row r="1035" customFormat="false" ht="12.8" hidden="false" customHeight="false" outlineLevel="0" collapsed="false">
      <c r="A1035" s="1"/>
      <c r="E1035" s="10"/>
      <c r="F1035" s="11"/>
      <c r="G1035" s="12"/>
      <c r="H1035" s="13"/>
      <c r="L1035" s="16"/>
    </row>
    <row r="1036" customFormat="false" ht="12.8" hidden="false" customHeight="false" outlineLevel="0" collapsed="false">
      <c r="A1036" s="1"/>
      <c r="E1036" s="10"/>
      <c r="F1036" s="11"/>
      <c r="G1036" s="12"/>
      <c r="H1036" s="13"/>
      <c r="L1036" s="16"/>
    </row>
    <row r="1037" customFormat="false" ht="12.8" hidden="false" customHeight="false" outlineLevel="0" collapsed="false">
      <c r="A1037" s="1"/>
      <c r="E1037" s="10"/>
      <c r="F1037" s="11"/>
      <c r="G1037" s="12"/>
      <c r="H1037" s="13"/>
      <c r="L1037" s="16"/>
    </row>
    <row r="1038" customFormat="false" ht="12.8" hidden="false" customHeight="false" outlineLevel="0" collapsed="false">
      <c r="A1038" s="1"/>
      <c r="E1038" s="10"/>
      <c r="F1038" s="11"/>
      <c r="G1038" s="12"/>
      <c r="H1038" s="13"/>
      <c r="L1038" s="16"/>
    </row>
    <row r="1039" customFormat="false" ht="12.8" hidden="false" customHeight="false" outlineLevel="0" collapsed="false">
      <c r="A1039" s="1"/>
      <c r="E1039" s="10"/>
      <c r="F1039" s="11"/>
      <c r="G1039" s="12"/>
      <c r="H1039" s="13"/>
      <c r="L1039" s="16"/>
    </row>
    <row r="1040" customFormat="false" ht="12.8" hidden="false" customHeight="false" outlineLevel="0" collapsed="false">
      <c r="A1040" s="1"/>
      <c r="B1040" s="1"/>
      <c r="C1040" s="1"/>
      <c r="D1040" s="1"/>
      <c r="E1040" s="10"/>
      <c r="F1040" s="11"/>
      <c r="G1040" s="12"/>
      <c r="H1040" s="13"/>
      <c r="L1040" s="16"/>
    </row>
    <row r="1041" customFormat="false" ht="12.8" hidden="false" customHeight="false" outlineLevel="0" collapsed="false">
      <c r="A1041" s="1"/>
      <c r="E1041" s="10"/>
      <c r="F1041" s="11"/>
      <c r="G1041" s="12"/>
      <c r="H1041" s="13"/>
      <c r="L1041" s="16"/>
    </row>
    <row r="1042" customFormat="false" ht="12.8" hidden="false" customHeight="false" outlineLevel="0" collapsed="false">
      <c r="A1042" s="1"/>
      <c r="E1042" s="10"/>
      <c r="F1042" s="11"/>
      <c r="G1042" s="12"/>
      <c r="H1042" s="13"/>
      <c r="L1042" s="16"/>
    </row>
    <row r="1043" customFormat="false" ht="12.8" hidden="false" customHeight="false" outlineLevel="0" collapsed="false">
      <c r="A1043" s="1"/>
      <c r="E1043" s="10"/>
      <c r="F1043" s="11"/>
      <c r="G1043" s="12"/>
      <c r="H1043" s="13"/>
      <c r="L1043" s="16"/>
    </row>
    <row r="1044" customFormat="false" ht="12.8" hidden="false" customHeight="false" outlineLevel="0" collapsed="false">
      <c r="A1044" s="1"/>
      <c r="B1044" s="1"/>
      <c r="C1044" s="1"/>
      <c r="D1044" s="1"/>
      <c r="E1044" s="10"/>
      <c r="F1044" s="11"/>
      <c r="G1044" s="12"/>
      <c r="H1044" s="13"/>
      <c r="L1044" s="16"/>
    </row>
    <row r="1045" customFormat="false" ht="12.8" hidden="false" customHeight="false" outlineLevel="0" collapsed="false">
      <c r="A1045" s="1"/>
      <c r="E1045" s="10"/>
      <c r="F1045" s="11"/>
      <c r="G1045" s="12"/>
      <c r="H1045" s="13"/>
      <c r="L1045" s="16"/>
    </row>
    <row r="1046" customFormat="false" ht="12.8" hidden="false" customHeight="false" outlineLevel="0" collapsed="false">
      <c r="A1046" s="1"/>
      <c r="E1046" s="10"/>
      <c r="F1046" s="11"/>
      <c r="G1046" s="12"/>
      <c r="H1046" s="13"/>
      <c r="L1046" s="16"/>
    </row>
    <row r="1047" customFormat="false" ht="12.8" hidden="false" customHeight="false" outlineLevel="0" collapsed="false">
      <c r="A1047" s="1"/>
      <c r="E1047" s="10"/>
      <c r="F1047" s="11"/>
      <c r="G1047" s="12"/>
      <c r="H1047" s="13"/>
      <c r="L1047" s="16"/>
    </row>
    <row r="1048" customFormat="false" ht="12.8" hidden="false" customHeight="false" outlineLevel="0" collapsed="false">
      <c r="A1048" s="1"/>
      <c r="B1048" s="1"/>
      <c r="C1048" s="1"/>
      <c r="D1048" s="1"/>
      <c r="E1048" s="10"/>
      <c r="F1048" s="11"/>
      <c r="G1048" s="12"/>
      <c r="H1048" s="13"/>
      <c r="L1048" s="16"/>
    </row>
    <row r="1049" customFormat="false" ht="12.8" hidden="false" customHeight="false" outlineLevel="0" collapsed="false">
      <c r="A1049" s="1"/>
      <c r="E1049" s="10"/>
      <c r="F1049" s="11"/>
      <c r="G1049" s="12"/>
      <c r="H1049" s="13"/>
      <c r="L1049" s="16"/>
    </row>
    <row r="1050" customFormat="false" ht="12.8" hidden="false" customHeight="false" outlineLevel="0" collapsed="false">
      <c r="A1050" s="1"/>
      <c r="B1050" s="1"/>
      <c r="C1050" s="1"/>
      <c r="D1050" s="1"/>
      <c r="E1050" s="10"/>
      <c r="F1050" s="11"/>
      <c r="G1050" s="12"/>
      <c r="H1050" s="13"/>
      <c r="L1050" s="16"/>
    </row>
    <row r="1051" customFormat="false" ht="12.8" hidden="false" customHeight="false" outlineLevel="0" collapsed="false">
      <c r="A1051" s="1"/>
      <c r="E1051" s="10"/>
      <c r="F1051" s="11"/>
      <c r="G1051" s="12"/>
      <c r="H1051" s="13"/>
      <c r="L1051" s="16"/>
    </row>
    <row r="1052" customFormat="false" ht="12.8" hidden="false" customHeight="false" outlineLevel="0" collapsed="false">
      <c r="A1052" s="1"/>
      <c r="E1052" s="10"/>
      <c r="F1052" s="11"/>
      <c r="G1052" s="12"/>
      <c r="H1052" s="13"/>
      <c r="L1052" s="16"/>
    </row>
    <row r="1053" customFormat="false" ht="12.8" hidden="false" customHeight="false" outlineLevel="0" collapsed="false">
      <c r="A1053" s="1"/>
      <c r="E1053" s="10"/>
      <c r="F1053" s="11"/>
      <c r="G1053" s="12"/>
      <c r="H1053" s="13"/>
      <c r="L1053" s="16"/>
    </row>
    <row r="1054" customFormat="false" ht="12.8" hidden="false" customHeight="false" outlineLevel="0" collapsed="false">
      <c r="A1054" s="1"/>
      <c r="B1054" s="1"/>
      <c r="C1054" s="1"/>
      <c r="D1054" s="1"/>
      <c r="E1054" s="10"/>
      <c r="F1054" s="11"/>
      <c r="G1054" s="12"/>
      <c r="H1054" s="13"/>
      <c r="L1054" s="16"/>
    </row>
    <row r="1055" customFormat="false" ht="12.8" hidden="false" customHeight="false" outlineLevel="0" collapsed="false">
      <c r="A1055" s="1"/>
      <c r="E1055" s="10"/>
      <c r="F1055" s="11"/>
      <c r="G1055" s="12"/>
      <c r="H1055" s="13"/>
      <c r="L1055" s="16"/>
    </row>
    <row r="1056" customFormat="false" ht="12.8" hidden="false" customHeight="false" outlineLevel="0" collapsed="false">
      <c r="E1056" s="10"/>
      <c r="F1056" s="11"/>
      <c r="G1056" s="12"/>
      <c r="H1056" s="13"/>
      <c r="L1056" s="16"/>
    </row>
    <row r="1057" customFormat="false" ht="12.8" hidden="false" customHeight="false" outlineLevel="0" collapsed="false">
      <c r="A1057" s="1"/>
      <c r="E1057" s="10"/>
      <c r="F1057" s="11"/>
      <c r="G1057" s="12"/>
      <c r="H1057" s="13"/>
      <c r="L1057" s="16"/>
    </row>
    <row r="1058" customFormat="false" ht="12.8" hidden="false" customHeight="false" outlineLevel="0" collapsed="false">
      <c r="A1058" s="1"/>
      <c r="B1058" s="1"/>
      <c r="C1058" s="1"/>
      <c r="D1058" s="1"/>
      <c r="E1058" s="10"/>
      <c r="F1058" s="11"/>
      <c r="G1058" s="12"/>
      <c r="H1058" s="13"/>
      <c r="L1058" s="16"/>
    </row>
    <row r="1059" customFormat="false" ht="12.8" hidden="false" customHeight="false" outlineLevel="0" collapsed="false">
      <c r="A1059" s="1"/>
      <c r="E1059" s="10"/>
      <c r="F1059" s="11"/>
      <c r="G1059" s="12"/>
      <c r="H1059" s="13"/>
      <c r="L1059" s="16"/>
    </row>
    <row r="1060" customFormat="false" ht="12.8" hidden="false" customHeight="false" outlineLevel="0" collapsed="false">
      <c r="A1060" s="1"/>
      <c r="B1060" s="1"/>
      <c r="C1060" s="1"/>
      <c r="D1060" s="1"/>
      <c r="E1060" s="10"/>
      <c r="F1060" s="11"/>
      <c r="G1060" s="12"/>
      <c r="H1060" s="13"/>
      <c r="L1060" s="16"/>
    </row>
    <row r="1061" customFormat="false" ht="12.8" hidden="false" customHeight="false" outlineLevel="0" collapsed="false">
      <c r="A1061" s="1"/>
      <c r="E1061" s="10"/>
      <c r="F1061" s="11"/>
      <c r="G1061" s="12"/>
      <c r="H1061" s="13"/>
      <c r="L1061" s="16"/>
    </row>
    <row r="1062" customFormat="false" ht="12.8" hidden="false" customHeight="false" outlineLevel="0" collapsed="false">
      <c r="A1062" s="1"/>
      <c r="B1062" s="1"/>
      <c r="C1062" s="1"/>
      <c r="D1062" s="1"/>
      <c r="E1062" s="10"/>
      <c r="F1062" s="11"/>
      <c r="G1062" s="12"/>
      <c r="H1062" s="13"/>
      <c r="L1062" s="16"/>
    </row>
    <row r="1063" customFormat="false" ht="12.8" hidden="false" customHeight="false" outlineLevel="0" collapsed="false">
      <c r="A1063" s="1"/>
      <c r="B1063" s="1"/>
      <c r="C1063" s="1"/>
      <c r="D1063" s="1"/>
      <c r="E1063" s="10"/>
      <c r="F1063" s="11"/>
      <c r="G1063" s="12"/>
      <c r="H1063" s="13"/>
      <c r="L1063" s="16"/>
    </row>
    <row r="1064" customFormat="false" ht="12.8" hidden="false" customHeight="false" outlineLevel="0" collapsed="false">
      <c r="A1064" s="1"/>
      <c r="E1064" s="10"/>
      <c r="F1064" s="11"/>
      <c r="G1064" s="12"/>
      <c r="H1064" s="13"/>
      <c r="L1064" s="16"/>
    </row>
    <row r="1065" customFormat="false" ht="12.8" hidden="false" customHeight="false" outlineLevel="0" collapsed="false">
      <c r="A1065" s="1"/>
      <c r="E1065" s="10"/>
      <c r="F1065" s="11"/>
      <c r="G1065" s="12"/>
      <c r="H1065" s="13"/>
      <c r="L1065" s="16"/>
    </row>
    <row r="1066" customFormat="false" ht="12.8" hidden="false" customHeight="false" outlineLevel="0" collapsed="false">
      <c r="A1066" s="1"/>
      <c r="B1066" s="1"/>
      <c r="C1066" s="1"/>
      <c r="D1066" s="1"/>
      <c r="E1066" s="10"/>
      <c r="F1066" s="11"/>
      <c r="G1066" s="12"/>
      <c r="H1066" s="13"/>
      <c r="L1066" s="16"/>
    </row>
    <row r="1067" customFormat="false" ht="12.8" hidden="false" customHeight="false" outlineLevel="0" collapsed="false">
      <c r="A1067" s="1"/>
      <c r="E1067" s="10"/>
      <c r="F1067" s="11"/>
      <c r="G1067" s="12"/>
      <c r="H1067" s="13"/>
      <c r="L1067" s="16"/>
    </row>
    <row r="1068" customFormat="false" ht="12.8" hidden="false" customHeight="false" outlineLevel="0" collapsed="false">
      <c r="A1068" s="1"/>
      <c r="E1068" s="10"/>
      <c r="F1068" s="11"/>
      <c r="G1068" s="12"/>
      <c r="H1068" s="13"/>
      <c r="L1068" s="16"/>
    </row>
    <row r="1069" customFormat="false" ht="12.8" hidden="false" customHeight="false" outlineLevel="0" collapsed="false">
      <c r="A1069" s="1"/>
      <c r="E1069" s="10"/>
      <c r="F1069" s="11"/>
      <c r="G1069" s="12"/>
      <c r="H1069" s="13"/>
      <c r="L1069" s="16"/>
    </row>
    <row r="1070" customFormat="false" ht="12.8" hidden="false" customHeight="false" outlineLevel="0" collapsed="false">
      <c r="A1070" s="1"/>
      <c r="E1070" s="10"/>
      <c r="F1070" s="11"/>
      <c r="G1070" s="12"/>
      <c r="H1070" s="13"/>
      <c r="L1070" s="16"/>
    </row>
    <row r="1071" customFormat="false" ht="12.8" hidden="false" customHeight="false" outlineLevel="0" collapsed="false">
      <c r="A1071" s="1"/>
      <c r="E1071" s="10"/>
      <c r="F1071" s="11"/>
      <c r="G1071" s="12"/>
      <c r="H1071" s="13"/>
      <c r="L1071" s="16"/>
    </row>
    <row r="1072" customFormat="false" ht="12.8" hidden="false" customHeight="false" outlineLevel="0" collapsed="false">
      <c r="A1072" s="1"/>
      <c r="B1072" s="1"/>
      <c r="C1072" s="1"/>
      <c r="D1072" s="1"/>
      <c r="E1072" s="10"/>
      <c r="F1072" s="11"/>
      <c r="G1072" s="12"/>
      <c r="H1072" s="13"/>
      <c r="L1072" s="16"/>
    </row>
    <row r="1073" customFormat="false" ht="12.8" hidden="false" customHeight="false" outlineLevel="0" collapsed="false">
      <c r="A1073" s="1"/>
      <c r="B1073" s="1"/>
      <c r="C1073" s="1"/>
      <c r="D1073" s="1"/>
      <c r="E1073" s="10"/>
      <c r="F1073" s="11"/>
      <c r="G1073" s="12"/>
      <c r="H1073" s="13"/>
      <c r="L1073" s="16"/>
    </row>
    <row r="1074" customFormat="false" ht="12.8" hidden="false" customHeight="false" outlineLevel="0" collapsed="false">
      <c r="A1074" s="1"/>
      <c r="E1074" s="10"/>
      <c r="F1074" s="11"/>
      <c r="G1074" s="12"/>
      <c r="H1074" s="13"/>
      <c r="L1074" s="16"/>
    </row>
    <row r="1075" customFormat="false" ht="12.8" hidden="false" customHeight="false" outlineLevel="0" collapsed="false">
      <c r="A1075" s="1"/>
      <c r="E1075" s="10"/>
      <c r="F1075" s="11"/>
      <c r="G1075" s="12"/>
      <c r="H1075" s="13"/>
      <c r="L1075" s="16"/>
    </row>
    <row r="1076" customFormat="false" ht="12.8" hidden="false" customHeight="false" outlineLevel="0" collapsed="false">
      <c r="A1076" s="1"/>
      <c r="E1076" s="10"/>
      <c r="F1076" s="11"/>
      <c r="G1076" s="12"/>
      <c r="H1076" s="13"/>
      <c r="L1076" s="16"/>
    </row>
    <row r="1077" customFormat="false" ht="12.8" hidden="false" customHeight="false" outlineLevel="0" collapsed="false">
      <c r="A1077" s="1"/>
      <c r="E1077" s="10"/>
      <c r="F1077" s="11"/>
      <c r="G1077" s="12"/>
      <c r="H1077" s="13"/>
      <c r="L1077" s="16"/>
    </row>
    <row r="1078" customFormat="false" ht="12.8" hidden="false" customHeight="false" outlineLevel="0" collapsed="false">
      <c r="A1078" s="1"/>
      <c r="B1078" s="1"/>
      <c r="C1078" s="1"/>
      <c r="D1078" s="1"/>
      <c r="E1078" s="10"/>
      <c r="F1078" s="11"/>
      <c r="G1078" s="12"/>
      <c r="H1078" s="13"/>
      <c r="L1078" s="16"/>
    </row>
    <row r="1079" customFormat="false" ht="12.8" hidden="false" customHeight="false" outlineLevel="0" collapsed="false">
      <c r="A1079" s="1"/>
      <c r="B1079" s="1"/>
      <c r="C1079" s="1"/>
      <c r="E1079" s="10"/>
      <c r="F1079" s="11"/>
      <c r="G1079" s="12"/>
      <c r="H1079" s="13"/>
      <c r="L1079" s="16"/>
    </row>
    <row r="1080" customFormat="false" ht="12.8" hidden="false" customHeight="false" outlineLevel="0" collapsed="false">
      <c r="A1080" s="1"/>
      <c r="B1080" s="1"/>
      <c r="C1080" s="1"/>
      <c r="D1080" s="1"/>
      <c r="E1080" s="10"/>
      <c r="F1080" s="11"/>
      <c r="G1080" s="12"/>
      <c r="H1080" s="13"/>
      <c r="L1080" s="16"/>
    </row>
    <row r="1081" customFormat="false" ht="12.8" hidden="false" customHeight="false" outlineLevel="0" collapsed="false">
      <c r="A1081" s="1"/>
      <c r="E1081" s="10"/>
      <c r="F1081" s="11"/>
      <c r="G1081" s="12"/>
      <c r="H1081" s="13"/>
      <c r="L1081" s="16"/>
    </row>
    <row r="1082" customFormat="false" ht="12.8" hidden="false" customHeight="false" outlineLevel="0" collapsed="false">
      <c r="A1082" s="1"/>
      <c r="E1082" s="10"/>
      <c r="F1082" s="11"/>
      <c r="G1082" s="12"/>
      <c r="H1082" s="13"/>
      <c r="L1082" s="16"/>
    </row>
    <row r="1083" customFormat="false" ht="12.8" hidden="false" customHeight="false" outlineLevel="0" collapsed="false">
      <c r="A1083" s="1"/>
      <c r="E1083" s="10"/>
      <c r="F1083" s="11"/>
      <c r="G1083" s="12"/>
      <c r="H1083" s="13"/>
      <c r="L1083" s="16"/>
    </row>
    <row r="1084" customFormat="false" ht="12.8" hidden="false" customHeight="false" outlineLevel="0" collapsed="false">
      <c r="E1084" s="10"/>
      <c r="F1084" s="11"/>
      <c r="G1084" s="12"/>
      <c r="H1084" s="13"/>
      <c r="L1084" s="16"/>
    </row>
    <row r="1085" customFormat="false" ht="12.8" hidden="false" customHeight="false" outlineLevel="0" collapsed="false">
      <c r="A1085" s="1"/>
      <c r="E1085" s="10"/>
      <c r="F1085" s="11"/>
      <c r="G1085" s="12"/>
      <c r="H1085" s="13"/>
      <c r="L1085" s="16"/>
    </row>
    <row r="1086" customFormat="false" ht="12.8" hidden="false" customHeight="false" outlineLevel="0" collapsed="false">
      <c r="A1086" s="1"/>
      <c r="E1086" s="10"/>
      <c r="F1086" s="11"/>
      <c r="G1086" s="12"/>
      <c r="H1086" s="13"/>
      <c r="L1086" s="16"/>
    </row>
    <row r="1087" customFormat="false" ht="12.8" hidden="false" customHeight="false" outlineLevel="0" collapsed="false">
      <c r="A1087" s="1"/>
      <c r="E1087" s="10"/>
      <c r="F1087" s="11"/>
      <c r="G1087" s="12"/>
      <c r="H1087" s="13"/>
      <c r="L1087" s="16"/>
    </row>
    <row r="1088" customFormat="false" ht="12.8" hidden="false" customHeight="false" outlineLevel="0" collapsed="false">
      <c r="A1088" s="1"/>
      <c r="B1088" s="1"/>
      <c r="C1088" s="1"/>
      <c r="D1088" s="1"/>
      <c r="E1088" s="10"/>
      <c r="F1088" s="11"/>
      <c r="G1088" s="12"/>
      <c r="H1088" s="13"/>
      <c r="L1088" s="16"/>
    </row>
    <row r="1089" customFormat="false" ht="12.8" hidden="false" customHeight="false" outlineLevel="0" collapsed="false">
      <c r="A1089" s="1"/>
      <c r="E1089" s="10"/>
      <c r="F1089" s="11"/>
      <c r="G1089" s="12"/>
      <c r="H1089" s="13"/>
      <c r="L1089" s="16"/>
    </row>
    <row r="1090" customFormat="false" ht="12.8" hidden="false" customHeight="false" outlineLevel="0" collapsed="false">
      <c r="A1090" s="1"/>
      <c r="E1090" s="10"/>
      <c r="F1090" s="11"/>
      <c r="G1090" s="12"/>
      <c r="H1090" s="13"/>
      <c r="L1090" s="16"/>
    </row>
    <row r="1091" customFormat="false" ht="12.8" hidden="false" customHeight="false" outlineLevel="0" collapsed="false">
      <c r="A1091" s="1"/>
      <c r="B1091" s="1"/>
      <c r="C1091" s="1"/>
      <c r="D1091" s="1"/>
      <c r="E1091" s="10"/>
      <c r="F1091" s="11"/>
      <c r="G1091" s="12"/>
      <c r="H1091" s="13"/>
      <c r="L1091" s="16"/>
    </row>
    <row r="1092" customFormat="false" ht="12.8" hidden="false" customHeight="false" outlineLevel="0" collapsed="false">
      <c r="A1092" s="1"/>
      <c r="E1092" s="10"/>
      <c r="F1092" s="11"/>
      <c r="G1092" s="12"/>
      <c r="H1092" s="13"/>
      <c r="L1092" s="16"/>
    </row>
    <row r="1093" customFormat="false" ht="12.8" hidden="false" customHeight="false" outlineLevel="0" collapsed="false">
      <c r="A1093" s="1"/>
      <c r="E1093" s="10"/>
      <c r="F1093" s="11"/>
      <c r="G1093" s="12"/>
      <c r="H1093" s="13"/>
      <c r="L1093" s="16"/>
    </row>
    <row r="1094" customFormat="false" ht="12.8" hidden="false" customHeight="false" outlineLevel="0" collapsed="false">
      <c r="A1094" s="1"/>
      <c r="E1094" s="10"/>
      <c r="F1094" s="11"/>
      <c r="G1094" s="12"/>
      <c r="H1094" s="13"/>
      <c r="L1094" s="16"/>
    </row>
    <row r="1095" customFormat="false" ht="12.8" hidden="false" customHeight="false" outlineLevel="0" collapsed="false">
      <c r="A1095" s="1"/>
      <c r="B1095" s="1"/>
      <c r="C1095" s="1"/>
      <c r="D1095" s="1"/>
      <c r="E1095" s="10"/>
      <c r="F1095" s="11"/>
      <c r="G1095" s="12"/>
      <c r="H1095" s="13"/>
      <c r="L1095" s="16"/>
    </row>
    <row r="1096" customFormat="false" ht="12.8" hidden="false" customHeight="false" outlineLevel="0" collapsed="false">
      <c r="A1096" s="1"/>
      <c r="E1096" s="10"/>
      <c r="F1096" s="11"/>
      <c r="G1096" s="12"/>
      <c r="H1096" s="13"/>
      <c r="L1096" s="16"/>
    </row>
    <row r="1097" customFormat="false" ht="12.8" hidden="false" customHeight="false" outlineLevel="0" collapsed="false">
      <c r="A1097" s="1"/>
      <c r="E1097" s="10"/>
      <c r="F1097" s="11"/>
      <c r="G1097" s="12"/>
      <c r="H1097" s="13"/>
      <c r="L1097" s="16"/>
    </row>
    <row r="1098" customFormat="false" ht="12.8" hidden="false" customHeight="false" outlineLevel="0" collapsed="false">
      <c r="A1098" s="1"/>
      <c r="B1098" s="1"/>
      <c r="C1098" s="1"/>
      <c r="D1098" s="1"/>
      <c r="E1098" s="10"/>
      <c r="F1098" s="11"/>
      <c r="G1098" s="12"/>
      <c r="H1098" s="13"/>
      <c r="L1098" s="16"/>
    </row>
    <row r="1099" customFormat="false" ht="12.8" hidden="false" customHeight="false" outlineLevel="0" collapsed="false">
      <c r="A1099" s="1"/>
      <c r="E1099" s="10"/>
      <c r="F1099" s="11"/>
      <c r="G1099" s="12"/>
      <c r="H1099" s="13"/>
      <c r="L1099" s="16"/>
    </row>
    <row r="1100" customFormat="false" ht="12.8" hidden="false" customHeight="false" outlineLevel="0" collapsed="false">
      <c r="A1100" s="1"/>
      <c r="E1100" s="10"/>
      <c r="F1100" s="11"/>
      <c r="G1100" s="12"/>
      <c r="H1100" s="13"/>
      <c r="L1100" s="16"/>
    </row>
    <row r="1101" customFormat="false" ht="12.8" hidden="false" customHeight="false" outlineLevel="0" collapsed="false">
      <c r="E1101" s="10"/>
      <c r="F1101" s="11"/>
      <c r="G1101" s="12"/>
      <c r="H1101" s="13"/>
      <c r="L1101" s="16"/>
    </row>
    <row r="1102" customFormat="false" ht="12.8" hidden="false" customHeight="false" outlineLevel="0" collapsed="false">
      <c r="A1102" s="1"/>
      <c r="E1102" s="10"/>
      <c r="F1102" s="11"/>
      <c r="G1102" s="12"/>
      <c r="H1102" s="13"/>
      <c r="L1102" s="16"/>
    </row>
    <row r="1103" customFormat="false" ht="12.8" hidden="false" customHeight="false" outlineLevel="0" collapsed="false">
      <c r="A1103" s="1"/>
      <c r="B1103" s="1"/>
      <c r="C1103" s="1"/>
      <c r="E1103" s="10"/>
      <c r="F1103" s="11"/>
      <c r="G1103" s="12"/>
      <c r="H1103" s="13"/>
      <c r="L1103" s="16"/>
    </row>
    <row r="1104" customFormat="false" ht="12.8" hidden="false" customHeight="false" outlineLevel="0" collapsed="false">
      <c r="A1104" s="1"/>
      <c r="E1104" s="10"/>
      <c r="F1104" s="11"/>
      <c r="G1104" s="12"/>
      <c r="H1104" s="13"/>
      <c r="L1104" s="16"/>
    </row>
    <row r="1105" customFormat="false" ht="12.8" hidden="false" customHeight="false" outlineLevel="0" collapsed="false">
      <c r="A1105" s="1"/>
      <c r="E1105" s="10"/>
      <c r="F1105" s="11"/>
      <c r="G1105" s="12"/>
      <c r="H1105" s="13"/>
      <c r="L1105" s="16"/>
    </row>
    <row r="1106" customFormat="false" ht="12.8" hidden="false" customHeight="false" outlineLevel="0" collapsed="false">
      <c r="A1106" s="1"/>
      <c r="E1106" s="10"/>
      <c r="F1106" s="11"/>
      <c r="G1106" s="12"/>
      <c r="H1106" s="13"/>
      <c r="L1106" s="16"/>
    </row>
    <row r="1107" customFormat="false" ht="12.8" hidden="false" customHeight="false" outlineLevel="0" collapsed="false">
      <c r="A1107" s="1"/>
      <c r="B1107" s="1"/>
      <c r="C1107" s="1"/>
      <c r="D1107" s="1"/>
      <c r="E1107" s="10"/>
      <c r="F1107" s="11"/>
      <c r="G1107" s="12"/>
      <c r="H1107" s="13"/>
      <c r="L1107" s="16"/>
    </row>
    <row r="1108" customFormat="false" ht="12.8" hidden="false" customHeight="false" outlineLevel="0" collapsed="false">
      <c r="A1108" s="1"/>
      <c r="E1108" s="10"/>
      <c r="F1108" s="11"/>
      <c r="G1108" s="12"/>
      <c r="H1108" s="13"/>
      <c r="L1108" s="16"/>
    </row>
    <row r="1109" customFormat="false" ht="12.8" hidden="false" customHeight="false" outlineLevel="0" collapsed="false">
      <c r="A1109" s="1"/>
      <c r="E1109" s="10"/>
      <c r="F1109" s="11"/>
      <c r="G1109" s="12"/>
      <c r="H1109" s="13"/>
      <c r="L1109" s="16"/>
    </row>
    <row r="1110" customFormat="false" ht="12.8" hidden="false" customHeight="false" outlineLevel="0" collapsed="false">
      <c r="A1110" s="1"/>
      <c r="B1110" s="1"/>
      <c r="C1110" s="1"/>
      <c r="D1110" s="1"/>
      <c r="E1110" s="10"/>
      <c r="F1110" s="11"/>
      <c r="G1110" s="12"/>
      <c r="H1110" s="13"/>
      <c r="L1110" s="16"/>
    </row>
    <row r="1111" customFormat="false" ht="12.8" hidden="false" customHeight="false" outlineLevel="0" collapsed="false">
      <c r="A1111" s="1"/>
      <c r="B1111" s="1"/>
      <c r="C1111" s="1"/>
      <c r="D1111" s="1"/>
      <c r="E1111" s="10"/>
      <c r="F1111" s="11"/>
      <c r="G1111" s="12"/>
      <c r="H1111" s="13"/>
      <c r="L1111" s="16"/>
    </row>
    <row r="1112" customFormat="false" ht="12.8" hidden="false" customHeight="false" outlineLevel="0" collapsed="false">
      <c r="A1112" s="1"/>
      <c r="E1112" s="10"/>
      <c r="F1112" s="11"/>
      <c r="G1112" s="12"/>
      <c r="H1112" s="13"/>
      <c r="L1112" s="16"/>
    </row>
    <row r="1113" customFormat="false" ht="12.8" hidden="false" customHeight="false" outlineLevel="0" collapsed="false">
      <c r="E1113" s="10"/>
      <c r="F1113" s="11"/>
      <c r="G1113" s="12"/>
      <c r="H1113" s="13"/>
      <c r="L1113" s="16"/>
    </row>
    <row r="1114" customFormat="false" ht="12.8" hidden="false" customHeight="false" outlineLevel="0" collapsed="false">
      <c r="A1114" s="1"/>
      <c r="E1114" s="10"/>
      <c r="F1114" s="11"/>
      <c r="G1114" s="12"/>
      <c r="H1114" s="13"/>
      <c r="L1114" s="16"/>
    </row>
    <row r="1115" customFormat="false" ht="12.8" hidden="false" customHeight="false" outlineLevel="0" collapsed="false">
      <c r="A1115" s="1"/>
      <c r="E1115" s="10"/>
      <c r="F1115" s="11"/>
      <c r="G1115" s="12"/>
      <c r="H1115" s="13"/>
      <c r="L1115" s="16"/>
    </row>
    <row r="1116" customFormat="false" ht="12.8" hidden="false" customHeight="false" outlineLevel="0" collapsed="false">
      <c r="A1116" s="1"/>
      <c r="E1116" s="10"/>
      <c r="F1116" s="11"/>
      <c r="G1116" s="12"/>
      <c r="H1116" s="13"/>
      <c r="L1116" s="16"/>
    </row>
    <row r="1117" customFormat="false" ht="12.8" hidden="false" customHeight="false" outlineLevel="0" collapsed="false">
      <c r="A1117" s="1"/>
      <c r="E1117" s="10"/>
      <c r="F1117" s="11"/>
      <c r="G1117" s="12"/>
      <c r="H1117" s="13"/>
      <c r="L1117" s="16"/>
    </row>
    <row r="1118" customFormat="false" ht="12.8" hidden="false" customHeight="false" outlineLevel="0" collapsed="false">
      <c r="A1118" s="1"/>
      <c r="E1118" s="10"/>
      <c r="F1118" s="11"/>
      <c r="G1118" s="12"/>
      <c r="H1118" s="13"/>
      <c r="L1118" s="16"/>
    </row>
    <row r="1119" customFormat="false" ht="12.8" hidden="false" customHeight="false" outlineLevel="0" collapsed="false">
      <c r="A1119" s="1"/>
      <c r="E1119" s="10"/>
      <c r="F1119" s="11"/>
      <c r="G1119" s="12"/>
      <c r="H1119" s="13"/>
      <c r="L1119" s="16"/>
    </row>
    <row r="1120" customFormat="false" ht="12.8" hidden="false" customHeight="false" outlineLevel="0" collapsed="false">
      <c r="A1120" s="1"/>
      <c r="E1120" s="10"/>
      <c r="F1120" s="11"/>
      <c r="G1120" s="12"/>
      <c r="H1120" s="13"/>
      <c r="L1120" s="16"/>
    </row>
    <row r="1121" customFormat="false" ht="12.8" hidden="false" customHeight="false" outlineLevel="0" collapsed="false">
      <c r="A1121" s="1"/>
      <c r="E1121" s="10"/>
      <c r="F1121" s="11"/>
      <c r="G1121" s="12"/>
      <c r="H1121" s="13"/>
      <c r="L1121" s="16"/>
    </row>
    <row r="1122" customFormat="false" ht="12.8" hidden="false" customHeight="false" outlineLevel="0" collapsed="false">
      <c r="A1122" s="1"/>
      <c r="E1122" s="10"/>
      <c r="F1122" s="11"/>
      <c r="G1122" s="12"/>
      <c r="H1122" s="13"/>
      <c r="L1122" s="16"/>
    </row>
    <row r="1123" customFormat="false" ht="12.8" hidden="false" customHeight="false" outlineLevel="0" collapsed="false">
      <c r="A1123" s="1"/>
      <c r="B1123" s="1"/>
      <c r="C1123" s="1"/>
      <c r="D1123" s="1"/>
      <c r="E1123" s="10"/>
      <c r="F1123" s="11"/>
      <c r="G1123" s="12"/>
      <c r="H1123" s="13"/>
      <c r="L1123" s="16"/>
    </row>
    <row r="1124" customFormat="false" ht="12.8" hidden="false" customHeight="false" outlineLevel="0" collapsed="false">
      <c r="A1124" s="1"/>
      <c r="E1124" s="10"/>
      <c r="F1124" s="11"/>
      <c r="G1124" s="12"/>
      <c r="H1124" s="13"/>
      <c r="L1124" s="16"/>
    </row>
    <row r="1125" customFormat="false" ht="12.8" hidden="false" customHeight="false" outlineLevel="0" collapsed="false">
      <c r="A1125" s="1"/>
      <c r="E1125" s="10"/>
      <c r="F1125" s="11"/>
      <c r="G1125" s="12"/>
      <c r="H1125" s="13"/>
      <c r="L1125" s="16"/>
    </row>
    <row r="1126" customFormat="false" ht="12.8" hidden="false" customHeight="false" outlineLevel="0" collapsed="false">
      <c r="A1126" s="1"/>
      <c r="E1126" s="10"/>
      <c r="F1126" s="11"/>
      <c r="G1126" s="12"/>
      <c r="H1126" s="13"/>
      <c r="L1126" s="16"/>
    </row>
    <row r="1127" customFormat="false" ht="12.8" hidden="false" customHeight="false" outlineLevel="0" collapsed="false">
      <c r="A1127" s="1"/>
      <c r="E1127" s="10"/>
      <c r="F1127" s="11"/>
      <c r="G1127" s="12"/>
      <c r="H1127" s="13"/>
      <c r="L1127" s="16"/>
    </row>
    <row r="1128" customFormat="false" ht="12.8" hidden="false" customHeight="false" outlineLevel="0" collapsed="false">
      <c r="A1128" s="1"/>
      <c r="E1128" s="10"/>
      <c r="F1128" s="11"/>
      <c r="G1128" s="12"/>
      <c r="H1128" s="13"/>
      <c r="L1128" s="16"/>
    </row>
    <row r="1129" customFormat="false" ht="12.8" hidden="false" customHeight="false" outlineLevel="0" collapsed="false">
      <c r="A1129" s="1"/>
      <c r="E1129" s="10"/>
      <c r="F1129" s="11"/>
      <c r="G1129" s="12"/>
      <c r="H1129" s="13"/>
      <c r="L1129" s="16"/>
    </row>
    <row r="1130" customFormat="false" ht="12.8" hidden="false" customHeight="false" outlineLevel="0" collapsed="false">
      <c r="A1130" s="1"/>
      <c r="E1130" s="10"/>
      <c r="F1130" s="11"/>
      <c r="G1130" s="12"/>
      <c r="H1130" s="13"/>
      <c r="L1130" s="16"/>
    </row>
    <row r="1131" customFormat="false" ht="12.8" hidden="false" customHeight="false" outlineLevel="0" collapsed="false">
      <c r="A1131" s="1"/>
      <c r="E1131" s="10"/>
      <c r="F1131" s="11"/>
      <c r="G1131" s="12"/>
      <c r="H1131" s="13"/>
      <c r="L1131" s="16"/>
    </row>
    <row r="1132" customFormat="false" ht="12.8" hidden="false" customHeight="false" outlineLevel="0" collapsed="false">
      <c r="A1132" s="1"/>
      <c r="B1132" s="1"/>
      <c r="C1132" s="1"/>
      <c r="E1132" s="10"/>
      <c r="F1132" s="11"/>
      <c r="G1132" s="12"/>
      <c r="H1132" s="13"/>
      <c r="L1132" s="16"/>
    </row>
    <row r="1133" customFormat="false" ht="12.8" hidden="false" customHeight="false" outlineLevel="0" collapsed="false">
      <c r="A1133" s="1"/>
      <c r="E1133" s="10"/>
      <c r="F1133" s="11"/>
      <c r="G1133" s="12"/>
      <c r="H1133" s="13"/>
      <c r="L1133" s="16"/>
    </row>
    <row r="1134" customFormat="false" ht="12.8" hidden="false" customHeight="false" outlineLevel="0" collapsed="false">
      <c r="A1134" s="1"/>
      <c r="E1134" s="10"/>
      <c r="F1134" s="11"/>
      <c r="G1134" s="12"/>
      <c r="H1134" s="13"/>
      <c r="L1134" s="16"/>
    </row>
    <row r="1135" customFormat="false" ht="12.8" hidden="false" customHeight="false" outlineLevel="0" collapsed="false">
      <c r="A1135" s="1"/>
      <c r="E1135" s="10"/>
      <c r="F1135" s="11"/>
      <c r="G1135" s="12"/>
      <c r="H1135" s="13"/>
      <c r="L1135" s="16"/>
    </row>
    <row r="1136" customFormat="false" ht="12.8" hidden="false" customHeight="false" outlineLevel="0" collapsed="false">
      <c r="A1136" s="1"/>
      <c r="B1136" s="1"/>
      <c r="C1136" s="1"/>
      <c r="E1136" s="10"/>
      <c r="F1136" s="11"/>
      <c r="G1136" s="12"/>
      <c r="H1136" s="13"/>
      <c r="L1136" s="16"/>
    </row>
    <row r="1137" customFormat="false" ht="12.8" hidden="false" customHeight="false" outlineLevel="0" collapsed="false">
      <c r="A1137" s="1"/>
      <c r="E1137" s="10"/>
      <c r="F1137" s="11"/>
      <c r="G1137" s="12"/>
      <c r="H1137" s="13"/>
      <c r="L1137" s="16"/>
    </row>
    <row r="1138" customFormat="false" ht="12.8" hidden="false" customHeight="false" outlineLevel="0" collapsed="false">
      <c r="A1138" s="1"/>
      <c r="E1138" s="10"/>
      <c r="F1138" s="11"/>
      <c r="G1138" s="12"/>
      <c r="H1138" s="13"/>
      <c r="L1138" s="16"/>
    </row>
    <row r="1139" customFormat="false" ht="12.8" hidden="false" customHeight="false" outlineLevel="0" collapsed="false">
      <c r="A1139" s="1"/>
      <c r="B1139" s="1"/>
      <c r="C1139" s="1"/>
      <c r="D1139" s="1"/>
      <c r="E1139" s="10"/>
      <c r="F1139" s="11"/>
      <c r="G1139" s="12"/>
      <c r="H1139" s="13"/>
      <c r="L1139" s="16"/>
    </row>
    <row r="1140" customFormat="false" ht="12.8" hidden="false" customHeight="false" outlineLevel="0" collapsed="false">
      <c r="A1140" s="1"/>
      <c r="E1140" s="10"/>
      <c r="F1140" s="11"/>
      <c r="G1140" s="12"/>
      <c r="H1140" s="13"/>
      <c r="L1140" s="16"/>
    </row>
    <row r="1141" customFormat="false" ht="12.8" hidden="false" customHeight="false" outlineLevel="0" collapsed="false">
      <c r="A1141" s="1"/>
      <c r="E1141" s="10"/>
      <c r="F1141" s="11"/>
      <c r="G1141" s="12"/>
      <c r="H1141" s="13"/>
      <c r="L1141" s="16"/>
    </row>
    <row r="1142" customFormat="false" ht="12.8" hidden="false" customHeight="false" outlineLevel="0" collapsed="false">
      <c r="E1142" s="10"/>
      <c r="F1142" s="11"/>
      <c r="G1142" s="12"/>
      <c r="H1142" s="13"/>
      <c r="L1142" s="16"/>
    </row>
    <row r="1143" customFormat="false" ht="12.8" hidden="false" customHeight="false" outlineLevel="0" collapsed="false">
      <c r="A1143" s="1"/>
      <c r="E1143" s="10"/>
      <c r="F1143" s="11"/>
      <c r="G1143" s="12"/>
      <c r="H1143" s="13"/>
      <c r="L1143" s="16"/>
    </row>
    <row r="1144" customFormat="false" ht="12.8" hidden="false" customHeight="false" outlineLevel="0" collapsed="false">
      <c r="A1144" s="1"/>
      <c r="E1144" s="10"/>
      <c r="F1144" s="11"/>
      <c r="G1144" s="12"/>
      <c r="H1144" s="13"/>
      <c r="L1144" s="16"/>
    </row>
    <row r="1145" customFormat="false" ht="12.8" hidden="false" customHeight="false" outlineLevel="0" collapsed="false">
      <c r="A1145" s="1"/>
      <c r="E1145" s="10"/>
      <c r="F1145" s="11"/>
      <c r="G1145" s="12"/>
      <c r="H1145" s="13"/>
      <c r="L1145" s="16"/>
    </row>
    <row r="1146" customFormat="false" ht="12.8" hidden="false" customHeight="false" outlineLevel="0" collapsed="false">
      <c r="A1146" s="1"/>
      <c r="B1146" s="1"/>
      <c r="C1146" s="1"/>
      <c r="D1146" s="1"/>
      <c r="E1146" s="10"/>
      <c r="F1146" s="11"/>
      <c r="G1146" s="12"/>
      <c r="H1146" s="13"/>
      <c r="L1146" s="16"/>
    </row>
    <row r="1147" customFormat="false" ht="12.8" hidden="false" customHeight="false" outlineLevel="0" collapsed="false">
      <c r="A1147" s="1"/>
      <c r="E1147" s="10"/>
      <c r="F1147" s="11"/>
      <c r="G1147" s="12"/>
      <c r="H1147" s="13"/>
      <c r="L1147" s="16"/>
    </row>
    <row r="1148" customFormat="false" ht="12.8" hidden="false" customHeight="false" outlineLevel="0" collapsed="false">
      <c r="A1148" s="1"/>
      <c r="E1148" s="10"/>
      <c r="F1148" s="11"/>
      <c r="G1148" s="12"/>
      <c r="H1148" s="13"/>
      <c r="L1148" s="16"/>
    </row>
    <row r="1149" customFormat="false" ht="12.8" hidden="false" customHeight="false" outlineLevel="0" collapsed="false">
      <c r="A1149" s="1"/>
      <c r="E1149" s="10"/>
      <c r="F1149" s="11"/>
      <c r="G1149" s="12"/>
      <c r="H1149" s="13"/>
      <c r="L1149" s="16"/>
    </row>
    <row r="1150" customFormat="false" ht="12.8" hidden="false" customHeight="false" outlineLevel="0" collapsed="false">
      <c r="A1150" s="1"/>
      <c r="B1150" s="1"/>
      <c r="C1150" s="1"/>
      <c r="E1150" s="10"/>
      <c r="F1150" s="11"/>
      <c r="G1150" s="12"/>
      <c r="H1150" s="13"/>
      <c r="L1150" s="16"/>
    </row>
    <row r="1151" customFormat="false" ht="12.8" hidden="false" customHeight="false" outlineLevel="0" collapsed="false">
      <c r="A1151" s="1"/>
      <c r="B1151" s="1"/>
      <c r="C1151" s="1"/>
      <c r="D1151" s="1"/>
      <c r="E1151" s="10"/>
      <c r="F1151" s="11"/>
      <c r="G1151" s="12"/>
      <c r="H1151" s="13"/>
      <c r="L1151" s="16"/>
    </row>
    <row r="1152" customFormat="false" ht="12.8" hidden="false" customHeight="false" outlineLevel="0" collapsed="false">
      <c r="A1152" s="1"/>
      <c r="E1152" s="10"/>
      <c r="F1152" s="11"/>
      <c r="G1152" s="12"/>
      <c r="H1152" s="13"/>
      <c r="L1152" s="16"/>
    </row>
    <row r="1153" customFormat="false" ht="12.8" hidden="false" customHeight="false" outlineLevel="0" collapsed="false">
      <c r="A1153" s="1"/>
      <c r="E1153" s="10"/>
      <c r="F1153" s="11"/>
      <c r="G1153" s="12"/>
      <c r="H1153" s="13"/>
      <c r="L1153" s="16"/>
    </row>
    <row r="1154" customFormat="false" ht="12.8" hidden="false" customHeight="false" outlineLevel="0" collapsed="false">
      <c r="A1154" s="1"/>
      <c r="E1154" s="10"/>
      <c r="F1154" s="11"/>
      <c r="G1154" s="12"/>
      <c r="H1154" s="13"/>
      <c r="L1154" s="16"/>
    </row>
    <row r="1155" customFormat="false" ht="12.8" hidden="false" customHeight="false" outlineLevel="0" collapsed="false">
      <c r="E1155" s="10"/>
      <c r="F1155" s="11"/>
      <c r="G1155" s="12"/>
      <c r="H1155" s="13"/>
      <c r="L1155" s="16"/>
    </row>
    <row r="1156" customFormat="false" ht="12.8" hidden="false" customHeight="false" outlineLevel="0" collapsed="false">
      <c r="A1156" s="1"/>
      <c r="E1156" s="10"/>
      <c r="F1156" s="11"/>
      <c r="G1156" s="12"/>
      <c r="H1156" s="13"/>
      <c r="L1156" s="16"/>
    </row>
    <row r="1157" customFormat="false" ht="12.8" hidden="false" customHeight="false" outlineLevel="0" collapsed="false">
      <c r="A1157" s="1"/>
      <c r="B1157" s="1"/>
      <c r="C1157" s="1"/>
      <c r="D1157" s="1"/>
      <c r="E1157" s="10"/>
      <c r="F1157" s="11"/>
      <c r="G1157" s="12"/>
      <c r="H1157" s="13"/>
      <c r="L1157" s="16"/>
    </row>
    <row r="1158" customFormat="false" ht="12.8" hidden="false" customHeight="false" outlineLevel="0" collapsed="false">
      <c r="A1158" s="1"/>
      <c r="E1158" s="10"/>
      <c r="F1158" s="11"/>
      <c r="G1158" s="12"/>
      <c r="H1158" s="13"/>
      <c r="L1158" s="16"/>
    </row>
    <row r="1159" customFormat="false" ht="12.8" hidden="false" customHeight="false" outlineLevel="0" collapsed="false">
      <c r="A1159" s="1"/>
      <c r="E1159" s="10"/>
      <c r="F1159" s="11"/>
      <c r="G1159" s="12"/>
      <c r="H1159" s="13"/>
      <c r="L1159" s="16"/>
    </row>
    <row r="1160" customFormat="false" ht="12.8" hidden="false" customHeight="false" outlineLevel="0" collapsed="false">
      <c r="A1160" s="1"/>
      <c r="E1160" s="10"/>
      <c r="F1160" s="11"/>
      <c r="G1160" s="12"/>
      <c r="H1160" s="13"/>
      <c r="L1160" s="16"/>
    </row>
    <row r="1161" customFormat="false" ht="12.8" hidden="false" customHeight="false" outlineLevel="0" collapsed="false">
      <c r="A1161" s="1"/>
      <c r="E1161" s="10"/>
      <c r="F1161" s="11"/>
      <c r="G1161" s="12"/>
      <c r="H1161" s="13"/>
      <c r="L1161" s="16"/>
    </row>
    <row r="1162" customFormat="false" ht="12.8" hidden="false" customHeight="false" outlineLevel="0" collapsed="false">
      <c r="A1162" s="1"/>
      <c r="E1162" s="10"/>
      <c r="F1162" s="11"/>
      <c r="G1162" s="12"/>
      <c r="H1162" s="13"/>
      <c r="L1162" s="16"/>
    </row>
    <row r="1163" customFormat="false" ht="12.8" hidden="false" customHeight="false" outlineLevel="0" collapsed="false">
      <c r="A1163" s="1"/>
      <c r="E1163" s="10"/>
      <c r="F1163" s="11"/>
      <c r="G1163" s="12"/>
      <c r="H1163" s="13"/>
      <c r="L1163" s="16"/>
    </row>
    <row r="1164" customFormat="false" ht="12.8" hidden="false" customHeight="false" outlineLevel="0" collapsed="false">
      <c r="A1164" s="1"/>
      <c r="E1164" s="10"/>
      <c r="F1164" s="11"/>
      <c r="G1164" s="12"/>
      <c r="H1164" s="13"/>
      <c r="L1164" s="16"/>
    </row>
    <row r="1165" customFormat="false" ht="12.8" hidden="false" customHeight="false" outlineLevel="0" collapsed="false">
      <c r="A1165" s="1"/>
      <c r="B1165" s="1"/>
      <c r="C1165" s="1"/>
      <c r="D1165" s="1"/>
      <c r="E1165" s="10"/>
      <c r="F1165" s="11"/>
      <c r="G1165" s="12"/>
      <c r="H1165" s="13"/>
      <c r="L1165" s="16"/>
    </row>
    <row r="1166" customFormat="false" ht="12.8" hidden="false" customHeight="false" outlineLevel="0" collapsed="false">
      <c r="A1166" s="1"/>
      <c r="E1166" s="10"/>
      <c r="F1166" s="11"/>
      <c r="G1166" s="12"/>
      <c r="H1166" s="13"/>
      <c r="L1166" s="16"/>
    </row>
    <row r="1167" customFormat="false" ht="12.8" hidden="false" customHeight="false" outlineLevel="0" collapsed="false">
      <c r="A1167" s="1"/>
      <c r="E1167" s="10"/>
      <c r="F1167" s="11"/>
      <c r="G1167" s="12"/>
      <c r="H1167" s="13"/>
      <c r="L1167" s="16"/>
    </row>
    <row r="1168" customFormat="false" ht="12.8" hidden="false" customHeight="false" outlineLevel="0" collapsed="false">
      <c r="A1168" s="1"/>
      <c r="E1168" s="10"/>
      <c r="F1168" s="11"/>
      <c r="G1168" s="12"/>
      <c r="H1168" s="13"/>
      <c r="L1168" s="16"/>
    </row>
    <row r="1169" customFormat="false" ht="12.8" hidden="false" customHeight="false" outlineLevel="0" collapsed="false">
      <c r="A1169" s="1"/>
      <c r="B1169" s="1"/>
      <c r="C1169" s="1"/>
      <c r="E1169" s="10"/>
      <c r="F1169" s="11"/>
      <c r="G1169" s="12"/>
      <c r="H1169" s="13"/>
      <c r="L1169" s="16"/>
    </row>
    <row r="1170" customFormat="false" ht="12.8" hidden="false" customHeight="false" outlineLevel="0" collapsed="false"/>
    <row r="1171" customFormat="false" ht="12.8" hidden="false" customHeight="false" outlineLevel="0" collapsed="false"/>
    <row r="1172" customFormat="false" ht="12.8" hidden="false" customHeight="false" outlineLevel="0" collapsed="false"/>
    <row r="1173" customFormat="false" ht="12.8" hidden="false" customHeight="false" outlineLevel="0" collapsed="false"/>
    <row r="1174" customFormat="false" ht="12.8" hidden="false" customHeight="false" outlineLevel="0" collapsed="false"/>
    <row r="1175" customFormat="false" ht="12.8" hidden="false" customHeight="false" outlineLevel="0" collapsed="false"/>
    <row r="1176" customFormat="false" ht="12.8" hidden="false" customHeight="false" outlineLevel="0" collapsed="false"/>
    <row r="1177" customFormat="false" ht="12.8" hidden="false" customHeight="false" outlineLevel="0" collapsed="false"/>
    <row r="1178" customFormat="false" ht="12.8" hidden="false" customHeight="false" outlineLevel="0" collapsed="false"/>
    <row r="1179" customFormat="false" ht="12.8" hidden="false" customHeight="false" outlineLevel="0" collapsed="false"/>
    <row r="1180" customFormat="false" ht="12.8" hidden="false" customHeight="false" outlineLevel="0" collapsed="false"/>
    <row r="1181" customFormat="false" ht="12.8" hidden="false" customHeight="false" outlineLevel="0" collapsed="false"/>
    <row r="1182" customFormat="false" ht="12.8" hidden="false" customHeight="false" outlineLevel="0" collapsed="false"/>
    <row r="1183" customFormat="false" ht="12.8" hidden="false" customHeight="false" outlineLevel="0" collapsed="false"/>
    <row r="1184" customFormat="false" ht="12.8" hidden="false" customHeight="false" outlineLevel="0" collapsed="false"/>
    <row r="1185" customFormat="false" ht="12.8" hidden="false" customHeight="false" outlineLevel="0" collapsed="false"/>
    <row r="1186" customFormat="false" ht="12.8" hidden="false" customHeight="false" outlineLevel="0" collapsed="false"/>
    <row r="1187" customFormat="false" ht="12.8" hidden="false" customHeight="false" outlineLevel="0" collapsed="false"/>
    <row r="1188" customFormat="false" ht="12.8" hidden="false" customHeight="false" outlineLevel="0" collapsed="false"/>
    <row r="1189" customFormat="false" ht="12.8" hidden="false" customHeight="false" outlineLevel="0" collapsed="false"/>
    <row r="1190" customFormat="false" ht="12.8" hidden="false" customHeight="false" outlineLevel="0" collapsed="false"/>
    <row r="1191" customFormat="false" ht="12.8" hidden="false" customHeight="false" outlineLevel="0" collapsed="false"/>
    <row r="1192" customFormat="false" ht="12.8" hidden="false" customHeight="false" outlineLevel="0" collapsed="false"/>
    <row r="1193" customFormat="false" ht="12.8" hidden="false" customHeight="false" outlineLevel="0" collapsed="false"/>
    <row r="1194" customFormat="false" ht="12.8" hidden="false" customHeight="false" outlineLevel="0" collapsed="false"/>
    <row r="1195" customFormat="false" ht="12.8" hidden="false" customHeight="false" outlineLevel="0" collapsed="false"/>
    <row r="1196" customFormat="false" ht="12.8" hidden="false" customHeight="false" outlineLevel="0" collapsed="false"/>
    <row r="1197" customFormat="false" ht="12.8" hidden="false" customHeight="false" outlineLevel="0" collapsed="false"/>
    <row r="1198" customFormat="false" ht="12.8" hidden="false" customHeight="false" outlineLevel="0" collapsed="false"/>
    <row r="1199" customFormat="false" ht="12.8" hidden="false" customHeight="false" outlineLevel="0" collapsed="false"/>
    <row r="1200" customFormat="false" ht="12.8" hidden="false" customHeight="false" outlineLevel="0" collapsed="false"/>
    <row r="1201" customFormat="false" ht="12.8" hidden="false" customHeight="false" outlineLevel="0" collapsed="false"/>
    <row r="1202" customFormat="false" ht="12.8" hidden="false" customHeight="false" outlineLevel="0" collapsed="false"/>
    <row r="1203" customFormat="false" ht="12.8" hidden="false" customHeight="false" outlineLevel="0" collapsed="false"/>
    <row r="1204" customFormat="false" ht="12.8" hidden="false" customHeight="false" outlineLevel="0" collapsed="false"/>
    <row r="1205" customFormat="false" ht="12.8" hidden="false" customHeight="false" outlineLevel="0" collapsed="false"/>
    <row r="1206" customFormat="false" ht="12.8" hidden="false" customHeight="false" outlineLevel="0" collapsed="false"/>
    <row r="1207" customFormat="false" ht="12.8" hidden="false" customHeight="false" outlineLevel="0" collapsed="false"/>
    <row r="1208" customFormat="false" ht="12.8" hidden="false" customHeight="false" outlineLevel="0" collapsed="false"/>
    <row r="1209" customFormat="false" ht="12.8" hidden="false" customHeight="false" outlineLevel="0" collapsed="false"/>
    <row r="1210" customFormat="false" ht="12.8" hidden="false" customHeight="false" outlineLevel="0" collapsed="false"/>
    <row r="1211" customFormat="false" ht="12.8" hidden="false" customHeight="false" outlineLevel="0" collapsed="false"/>
    <row r="1212" customFormat="false" ht="12.8" hidden="false" customHeight="false" outlineLevel="0" collapsed="false"/>
    <row r="1213" customFormat="false" ht="12.8" hidden="false" customHeight="false" outlineLevel="0" collapsed="false"/>
    <row r="1214" customFormat="false" ht="12.8" hidden="false" customHeight="false" outlineLevel="0" collapsed="false"/>
    <row r="1215" customFormat="false" ht="12.8" hidden="false" customHeight="false" outlineLevel="0" collapsed="false"/>
    <row r="1216" customFormat="false" ht="12.8" hidden="false" customHeight="false" outlineLevel="0" collapsed="false"/>
    <row r="1217" customFormat="false" ht="12.8" hidden="false" customHeight="false" outlineLevel="0" collapsed="false"/>
    <row r="1218" customFormat="false" ht="12.8" hidden="false" customHeight="false" outlineLevel="0" collapsed="false"/>
    <row r="1219" customFormat="false" ht="12.8" hidden="false" customHeight="false" outlineLevel="0" collapsed="false"/>
    <row r="1220" customFormat="false" ht="12.8" hidden="false" customHeight="false" outlineLevel="0" collapsed="false"/>
    <row r="1221" customFormat="false" ht="12.8" hidden="false" customHeight="false" outlineLevel="0" collapsed="false"/>
    <row r="1222" customFormat="false" ht="12.8" hidden="false" customHeight="false" outlineLevel="0" collapsed="false"/>
    <row r="1223" customFormat="false" ht="12.8" hidden="false" customHeight="false" outlineLevel="0" collapsed="false"/>
    <row r="1224" customFormat="false" ht="12.8" hidden="false" customHeight="false" outlineLevel="0" collapsed="false"/>
    <row r="1225" customFormat="false" ht="12.8" hidden="false" customHeight="false" outlineLevel="0" collapsed="false"/>
    <row r="1226" customFormat="false" ht="12.8" hidden="false" customHeight="false" outlineLevel="0" collapsed="false"/>
    <row r="1227" customFormat="false" ht="12.8" hidden="false" customHeight="false" outlineLevel="0" collapsed="false"/>
    <row r="1228" customFormat="false" ht="12.8" hidden="false" customHeight="false" outlineLevel="0" collapsed="false"/>
    <row r="1229" customFormat="false" ht="12.8" hidden="false" customHeight="false" outlineLevel="0" collapsed="false"/>
    <row r="1230" customFormat="false" ht="12.8" hidden="false" customHeight="false" outlineLevel="0" collapsed="false"/>
    <row r="1231" customFormat="false" ht="12.8" hidden="false" customHeight="false" outlineLevel="0" collapsed="false"/>
    <row r="1232" customFormat="false" ht="12.8" hidden="false" customHeight="false" outlineLevel="0" collapsed="false"/>
    <row r="1233" customFormat="false" ht="12.8" hidden="false" customHeight="false" outlineLevel="0" collapsed="false"/>
    <row r="1234" customFormat="false" ht="12.8" hidden="false" customHeight="false" outlineLevel="0" collapsed="false"/>
    <row r="1235" customFormat="false" ht="12.8" hidden="false" customHeight="false" outlineLevel="0" collapsed="false"/>
    <row r="1236" customFormat="false" ht="12.8" hidden="false" customHeight="false" outlineLevel="0" collapsed="false"/>
    <row r="1237" customFormat="false" ht="12.8" hidden="false" customHeight="false" outlineLevel="0" collapsed="false"/>
    <row r="1238" customFormat="false" ht="12.8" hidden="false" customHeight="false" outlineLevel="0" collapsed="false"/>
    <row r="1239" customFormat="false" ht="12.8" hidden="false" customHeight="false" outlineLevel="0" collapsed="false"/>
    <row r="1240" customFormat="false" ht="12.8" hidden="false" customHeight="false" outlineLevel="0" collapsed="false"/>
    <row r="1241" customFormat="false" ht="12.8" hidden="false" customHeight="false" outlineLevel="0" collapsed="false"/>
    <row r="1242" customFormat="false" ht="12.8" hidden="false" customHeight="false" outlineLevel="0" collapsed="false"/>
    <row r="1243" customFormat="false" ht="12.8" hidden="false" customHeight="false" outlineLevel="0" collapsed="false"/>
    <row r="1244" customFormat="false" ht="12.8" hidden="false" customHeight="false" outlineLevel="0" collapsed="false"/>
    <row r="1245" customFormat="false" ht="12.8" hidden="false" customHeight="false" outlineLevel="0" collapsed="false"/>
    <row r="1246" customFormat="false" ht="12.8" hidden="false" customHeight="false" outlineLevel="0" collapsed="false"/>
    <row r="1247" customFormat="false" ht="12.8" hidden="false" customHeight="false" outlineLevel="0" collapsed="false"/>
    <row r="1248" customFormat="false" ht="12.8" hidden="false" customHeight="false" outlineLevel="0" collapsed="false"/>
    <row r="1249" customFormat="false" ht="12.8" hidden="false" customHeight="false" outlineLevel="0" collapsed="false"/>
    <row r="1250" customFormat="false" ht="12.8" hidden="false" customHeight="false" outlineLevel="0" collapsed="false"/>
    <row r="1251" customFormat="false" ht="12.8" hidden="false" customHeight="false" outlineLevel="0" collapsed="false"/>
    <row r="1252" customFormat="false" ht="12.8" hidden="false" customHeight="false" outlineLevel="0" collapsed="false"/>
    <row r="1253" customFormat="false" ht="12.8" hidden="false" customHeight="false" outlineLevel="0" collapsed="false"/>
    <row r="1254" customFormat="false" ht="12.8" hidden="false" customHeight="false" outlineLevel="0" collapsed="false"/>
    <row r="1255" customFormat="false" ht="12.8" hidden="false" customHeight="false" outlineLevel="0" collapsed="false"/>
    <row r="1256" customFormat="false" ht="12.8" hidden="false" customHeight="false" outlineLevel="0" collapsed="false"/>
    <row r="1257" customFormat="false" ht="12.8" hidden="false" customHeight="false" outlineLevel="0" collapsed="false"/>
    <row r="1258" customFormat="false" ht="12.8" hidden="false" customHeight="false" outlineLevel="0" collapsed="false"/>
    <row r="1259" customFormat="false" ht="12.8" hidden="false" customHeight="false" outlineLevel="0" collapsed="false"/>
    <row r="1260" customFormat="false" ht="12.8" hidden="false" customHeight="false" outlineLevel="0" collapsed="false"/>
    <row r="1261" customFormat="false" ht="12.8" hidden="false" customHeight="false" outlineLevel="0" collapsed="false"/>
    <row r="1262" customFormat="false" ht="12.8" hidden="false" customHeight="false" outlineLevel="0" collapsed="false"/>
    <row r="1263" customFormat="false" ht="12.8" hidden="false" customHeight="false" outlineLevel="0" collapsed="false"/>
    <row r="1264" customFormat="false" ht="12.8" hidden="false" customHeight="false" outlineLevel="0" collapsed="false"/>
    <row r="1265" customFormat="false" ht="12.8" hidden="false" customHeight="false" outlineLevel="0" collapsed="false"/>
    <row r="1266" customFormat="false" ht="12.8" hidden="false" customHeight="false" outlineLevel="0" collapsed="false"/>
    <row r="1267" customFormat="false" ht="12.8" hidden="false" customHeight="false" outlineLevel="0" collapsed="false"/>
    <row r="1268" customFormat="false" ht="12.8" hidden="false" customHeight="false" outlineLevel="0" collapsed="false"/>
    <row r="1269" customFormat="false" ht="12.8" hidden="false" customHeight="false" outlineLevel="0" collapsed="false"/>
    <row r="1270" customFormat="false" ht="12.8" hidden="false" customHeight="false" outlineLevel="0" collapsed="false"/>
    <row r="1271" customFormat="false" ht="12.8" hidden="false" customHeight="false" outlineLevel="0" collapsed="false"/>
    <row r="1272" customFormat="false" ht="12.8" hidden="false" customHeight="false" outlineLevel="0" collapsed="false"/>
    <row r="1273" customFormat="false" ht="12.8" hidden="false" customHeight="false" outlineLevel="0" collapsed="false"/>
    <row r="1274" customFormat="false" ht="12.8" hidden="false" customHeight="false" outlineLevel="0" collapsed="false"/>
    <row r="1275" customFormat="false" ht="12.8" hidden="false" customHeight="false" outlineLevel="0" collapsed="false"/>
    <row r="1276" customFormat="false" ht="12.8" hidden="false" customHeight="false" outlineLevel="0" collapsed="false"/>
    <row r="1277" customFormat="false" ht="12.8" hidden="false" customHeight="false" outlineLevel="0" collapsed="false"/>
    <row r="1278" customFormat="false" ht="12.8" hidden="false" customHeight="false" outlineLevel="0" collapsed="false"/>
    <row r="1279" customFormat="false" ht="12.8" hidden="false" customHeight="false" outlineLevel="0" collapsed="false"/>
    <row r="1280" customFormat="false" ht="12.8" hidden="false" customHeight="false" outlineLevel="0" collapsed="false"/>
    <row r="1281" customFormat="false" ht="12.8" hidden="false" customHeight="false" outlineLevel="0" collapsed="false"/>
    <row r="1282" customFormat="false" ht="12.8" hidden="false" customHeight="false" outlineLevel="0" collapsed="false"/>
    <row r="1283" customFormat="false" ht="12.8" hidden="false" customHeight="false" outlineLevel="0" collapsed="false"/>
    <row r="1284" customFormat="false" ht="12.8" hidden="false" customHeight="false" outlineLevel="0" collapsed="false"/>
    <row r="1285" customFormat="false" ht="12.8" hidden="false" customHeight="false" outlineLevel="0" collapsed="false"/>
    <row r="1286" customFormat="false" ht="12.8" hidden="false" customHeight="false" outlineLevel="0" collapsed="false"/>
    <row r="1287" customFormat="false" ht="12.8" hidden="false" customHeight="false" outlineLevel="0" collapsed="false"/>
    <row r="1288" customFormat="false" ht="12.8" hidden="false" customHeight="false" outlineLevel="0" collapsed="false"/>
    <row r="1289" customFormat="false" ht="12.8" hidden="false" customHeight="false" outlineLevel="0" collapsed="false"/>
    <row r="1290" customFormat="false" ht="12.8" hidden="false" customHeight="false" outlineLevel="0" collapsed="false"/>
    <row r="1291" customFormat="false" ht="12.8" hidden="false" customHeight="false" outlineLevel="0" collapsed="false"/>
    <row r="1292" customFormat="false" ht="12.8" hidden="false" customHeight="false" outlineLevel="0" collapsed="false"/>
    <row r="1293" customFormat="false" ht="12.8" hidden="false" customHeight="false" outlineLevel="0" collapsed="false"/>
    <row r="1294" customFormat="false" ht="12.8" hidden="false" customHeight="false" outlineLevel="0" collapsed="false"/>
    <row r="1295" customFormat="false" ht="12.8" hidden="false" customHeight="false" outlineLevel="0" collapsed="false"/>
    <row r="1296" customFormat="false" ht="12.8" hidden="false" customHeight="false" outlineLevel="0" collapsed="false"/>
    <row r="1297" customFormat="false" ht="12.8" hidden="false" customHeight="false" outlineLevel="0" collapsed="false"/>
    <row r="1298" customFormat="false" ht="12.8" hidden="false" customHeight="false" outlineLevel="0" collapsed="false"/>
    <row r="1299" customFormat="false" ht="12.8" hidden="false" customHeight="false" outlineLevel="0" collapsed="false"/>
    <row r="1300" customFormat="false" ht="12.8" hidden="false" customHeight="false" outlineLevel="0" collapsed="false"/>
    <row r="1301" customFormat="false" ht="12.8" hidden="false" customHeight="false" outlineLevel="0" collapsed="false"/>
    <row r="1302" customFormat="false" ht="12.8" hidden="false" customHeight="false" outlineLevel="0" collapsed="false"/>
    <row r="1303" customFormat="false" ht="12.8" hidden="false" customHeight="false" outlineLevel="0" collapsed="false"/>
    <row r="1304" customFormat="false" ht="12.8" hidden="false" customHeight="false" outlineLevel="0" collapsed="false"/>
    <row r="1305" customFormat="false" ht="12.8" hidden="false" customHeight="false" outlineLevel="0" collapsed="false"/>
    <row r="1306" customFormat="false" ht="12.8" hidden="false" customHeight="false" outlineLevel="0" collapsed="false"/>
    <row r="1307" customFormat="false" ht="12.8" hidden="false" customHeight="false" outlineLevel="0" collapsed="false"/>
    <row r="1308" customFormat="false" ht="12.8" hidden="false" customHeight="false" outlineLevel="0" collapsed="false"/>
    <row r="1309" customFormat="false" ht="12.8" hidden="false" customHeight="false" outlineLevel="0" collapsed="false"/>
    <row r="1310" customFormat="false" ht="12.8" hidden="false" customHeight="false" outlineLevel="0" collapsed="false"/>
    <row r="1311" customFormat="false" ht="12.8" hidden="false" customHeight="false" outlineLevel="0" collapsed="false"/>
    <row r="1312" customFormat="false" ht="12.8" hidden="false" customHeight="false" outlineLevel="0" collapsed="false"/>
    <row r="1313" customFormat="false" ht="12.8" hidden="false" customHeight="false" outlineLevel="0" collapsed="false"/>
    <row r="1314" customFormat="false" ht="12.8" hidden="false" customHeight="false" outlineLevel="0" collapsed="false"/>
    <row r="1315" customFormat="false" ht="12.8" hidden="false" customHeight="false" outlineLevel="0" collapsed="false"/>
    <row r="1316" customFormat="false" ht="12.8" hidden="false" customHeight="false" outlineLevel="0" collapsed="false"/>
    <row r="1317" customFormat="false" ht="12.8" hidden="false" customHeight="false" outlineLevel="0" collapsed="false"/>
    <row r="1318" customFormat="false" ht="12.8" hidden="false" customHeight="false" outlineLevel="0" collapsed="false"/>
    <row r="1319" customFormat="false" ht="12.8" hidden="false" customHeight="false" outlineLevel="0" collapsed="false"/>
    <row r="1320" customFormat="false" ht="12.8" hidden="false" customHeight="false" outlineLevel="0" collapsed="false"/>
    <row r="1321" customFormat="false" ht="12.8" hidden="false" customHeight="false" outlineLevel="0" collapsed="false"/>
    <row r="1322" customFormat="false" ht="12.8" hidden="false" customHeight="false" outlineLevel="0" collapsed="false"/>
    <row r="1323" customFormat="false" ht="12.8" hidden="false" customHeight="false" outlineLevel="0" collapsed="false"/>
    <row r="1324" customFormat="false" ht="12.8" hidden="false" customHeight="false" outlineLevel="0" collapsed="false"/>
    <row r="1325" customFormat="false" ht="12.8" hidden="false" customHeight="false" outlineLevel="0" collapsed="false"/>
    <row r="1326" customFormat="false" ht="12.8" hidden="false" customHeight="false" outlineLevel="0" collapsed="false"/>
    <row r="1327" customFormat="false" ht="12.8" hidden="false" customHeight="false" outlineLevel="0" collapsed="false"/>
    <row r="1328" customFormat="false" ht="12.8" hidden="false" customHeight="false" outlineLevel="0" collapsed="false"/>
    <row r="1329" customFormat="false" ht="12.8" hidden="false" customHeight="false" outlineLevel="0" collapsed="false"/>
    <row r="1330" customFormat="false" ht="12.8" hidden="false" customHeight="false" outlineLevel="0" collapsed="false"/>
    <row r="1331" customFormat="false" ht="12.8" hidden="false" customHeight="false" outlineLevel="0" collapsed="false"/>
    <row r="1332" customFormat="false" ht="12.8" hidden="false" customHeight="false" outlineLevel="0" collapsed="false"/>
    <row r="1333" customFormat="false" ht="12.8" hidden="false" customHeight="false" outlineLevel="0" collapsed="false"/>
    <row r="1334" customFormat="false" ht="12.8" hidden="false" customHeight="false" outlineLevel="0" collapsed="false"/>
    <row r="1335" customFormat="false" ht="12.8" hidden="false" customHeight="false" outlineLevel="0" collapsed="false"/>
    <row r="1336" customFormat="false" ht="12.8" hidden="false" customHeight="false" outlineLevel="0" collapsed="false"/>
    <row r="1337" customFormat="false" ht="12.8" hidden="false" customHeight="false" outlineLevel="0" collapsed="false"/>
    <row r="1338" customFormat="false" ht="12.8" hidden="false" customHeight="false" outlineLevel="0" collapsed="false"/>
    <row r="1339" customFormat="false" ht="12.8" hidden="false" customHeight="false" outlineLevel="0" collapsed="false"/>
    <row r="1340" customFormat="false" ht="12.8" hidden="false" customHeight="false" outlineLevel="0" collapsed="false"/>
    <row r="1341" customFormat="false" ht="12.8" hidden="false" customHeight="false" outlineLevel="0" collapsed="false"/>
    <row r="1342" customFormat="false" ht="12.8" hidden="false" customHeight="false" outlineLevel="0" collapsed="false"/>
    <row r="1343" customFormat="false" ht="12.8" hidden="false" customHeight="false" outlineLevel="0" collapsed="false"/>
    <row r="1344" customFormat="false" ht="12.8" hidden="false" customHeight="false" outlineLevel="0" collapsed="false"/>
    <row r="1345" customFormat="false" ht="12.8" hidden="false" customHeight="false" outlineLevel="0" collapsed="false"/>
    <row r="1346" customFormat="false" ht="12.8" hidden="false" customHeight="false" outlineLevel="0" collapsed="false"/>
    <row r="1347" customFormat="false" ht="12.8" hidden="false" customHeight="false" outlineLevel="0" collapsed="false"/>
    <row r="1348" customFormat="false" ht="12.8" hidden="false" customHeight="false" outlineLevel="0" collapsed="false"/>
    <row r="1349" customFormat="false" ht="12.8" hidden="false" customHeight="false" outlineLevel="0" collapsed="false"/>
    <row r="1350" customFormat="false" ht="12.8" hidden="false" customHeight="false" outlineLevel="0" collapsed="false"/>
    <row r="1351" customFormat="false" ht="12.8" hidden="false" customHeight="false" outlineLevel="0" collapsed="false"/>
    <row r="1352" customFormat="false" ht="12.8" hidden="false" customHeight="false" outlineLevel="0" collapsed="false"/>
    <row r="1353" customFormat="false" ht="12.8" hidden="false" customHeight="false" outlineLevel="0" collapsed="false"/>
    <row r="1354" customFormat="false" ht="12.8" hidden="false" customHeight="false" outlineLevel="0" collapsed="false"/>
    <row r="1355" customFormat="false" ht="12.8" hidden="false" customHeight="false" outlineLevel="0" collapsed="false"/>
    <row r="1356" customFormat="false" ht="12.8" hidden="false" customHeight="false" outlineLevel="0" collapsed="false"/>
    <row r="1357" customFormat="false" ht="12.8" hidden="false" customHeight="false" outlineLevel="0" collapsed="false"/>
    <row r="1358" customFormat="false" ht="12.8" hidden="false" customHeight="false" outlineLevel="0" collapsed="false"/>
    <row r="1359" customFormat="false" ht="12.8" hidden="false" customHeight="false" outlineLevel="0" collapsed="false"/>
    <row r="1360" customFormat="false" ht="12.8" hidden="false" customHeight="false" outlineLevel="0" collapsed="false"/>
    <row r="1361" customFormat="false" ht="12.8" hidden="false" customHeight="false" outlineLevel="0" collapsed="false"/>
    <row r="1362" customFormat="false" ht="12.8" hidden="false" customHeight="false" outlineLevel="0" collapsed="false"/>
    <row r="1363" customFormat="false" ht="12.8" hidden="false" customHeight="false" outlineLevel="0" collapsed="false"/>
    <row r="1364" customFormat="false" ht="12.8" hidden="false" customHeight="false" outlineLevel="0" collapsed="false"/>
    <row r="1365" customFormat="false" ht="12.8" hidden="false" customHeight="false" outlineLevel="0" collapsed="false"/>
    <row r="1366" customFormat="false" ht="12.8" hidden="false" customHeight="false" outlineLevel="0" collapsed="false"/>
    <row r="1367" customFormat="false" ht="12.8" hidden="false" customHeight="false" outlineLevel="0" collapsed="false"/>
    <row r="1368" customFormat="false" ht="12.8" hidden="false" customHeight="false" outlineLevel="0" collapsed="false"/>
    <row r="1369" customFormat="false" ht="12.8" hidden="false" customHeight="false" outlineLevel="0" collapsed="false"/>
    <row r="1370" customFormat="false" ht="12.8" hidden="false" customHeight="false" outlineLevel="0" collapsed="false"/>
    <row r="1371" customFormat="false" ht="12.8" hidden="false" customHeight="false" outlineLevel="0" collapsed="false"/>
    <row r="1372" customFormat="false" ht="12.8" hidden="false" customHeight="false" outlineLevel="0" collapsed="false"/>
    <row r="1373" customFormat="false" ht="12.8" hidden="false" customHeight="false" outlineLevel="0" collapsed="false"/>
    <row r="1374" customFormat="false" ht="12.8" hidden="false" customHeight="false" outlineLevel="0" collapsed="false"/>
    <row r="1375" customFormat="false" ht="12.8" hidden="false" customHeight="false" outlineLevel="0" collapsed="false"/>
    <row r="1376" customFormat="false" ht="12.8" hidden="false" customHeight="false" outlineLevel="0" collapsed="false"/>
    <row r="1377" customFormat="false" ht="12.8" hidden="false" customHeight="false" outlineLevel="0" collapsed="false"/>
    <row r="1378" customFormat="false" ht="12.8" hidden="false" customHeight="false" outlineLevel="0" collapsed="false"/>
    <row r="1379" customFormat="false" ht="12.8" hidden="false" customHeight="false" outlineLevel="0" collapsed="false"/>
    <row r="1380" customFormat="false" ht="12.8" hidden="false" customHeight="false" outlineLevel="0" collapsed="false"/>
    <row r="1381" customFormat="false" ht="12.8" hidden="false" customHeight="false" outlineLevel="0" collapsed="false"/>
    <row r="1382" customFormat="false" ht="12.8" hidden="false" customHeight="false" outlineLevel="0" collapsed="false"/>
    <row r="1383" customFormat="false" ht="12.8" hidden="false" customHeight="false" outlineLevel="0" collapsed="false"/>
    <row r="1384" customFormat="false" ht="12.8" hidden="false" customHeight="false" outlineLevel="0" collapsed="false"/>
    <row r="1385" customFormat="false" ht="12.8" hidden="false" customHeight="false" outlineLevel="0" collapsed="false"/>
    <row r="1386" customFormat="false" ht="12.8" hidden="false" customHeight="false" outlineLevel="0" collapsed="false"/>
    <row r="1387" customFormat="false" ht="12.8" hidden="false" customHeight="false" outlineLevel="0" collapsed="false"/>
    <row r="1388" customFormat="false" ht="12.8" hidden="false" customHeight="false" outlineLevel="0" collapsed="false"/>
    <row r="1389" customFormat="false" ht="12.8" hidden="false" customHeight="false" outlineLevel="0" collapsed="false"/>
    <row r="1390" customFormat="false" ht="12.8" hidden="false" customHeight="false" outlineLevel="0" collapsed="false"/>
    <row r="1391" customFormat="false" ht="12.8" hidden="false" customHeight="false" outlineLevel="0" collapsed="false"/>
    <row r="1392" customFormat="false" ht="12.8" hidden="false" customHeight="false" outlineLevel="0" collapsed="false"/>
    <row r="1393" customFormat="false" ht="12.8" hidden="false" customHeight="false" outlineLevel="0" collapsed="false"/>
    <row r="1394" customFormat="false" ht="12.8" hidden="false" customHeight="false" outlineLevel="0" collapsed="false"/>
    <row r="1395" customFormat="false" ht="12.8" hidden="false" customHeight="false" outlineLevel="0" collapsed="false"/>
    <row r="1396" customFormat="false" ht="12.8" hidden="false" customHeight="false" outlineLevel="0" collapsed="false"/>
    <row r="1397" customFormat="false" ht="12.8" hidden="false" customHeight="false" outlineLevel="0" collapsed="false"/>
    <row r="1398" customFormat="false" ht="12.8" hidden="false" customHeight="false" outlineLevel="0" collapsed="false"/>
    <row r="1399" customFormat="false" ht="12.8" hidden="false" customHeight="false" outlineLevel="0" collapsed="false"/>
    <row r="1400" customFormat="false" ht="12.8" hidden="false" customHeight="false" outlineLevel="0" collapsed="false"/>
    <row r="1401" customFormat="false" ht="12.8" hidden="false" customHeight="false" outlineLevel="0" collapsed="false"/>
    <row r="1402" customFormat="false" ht="12.8" hidden="false" customHeight="false" outlineLevel="0" collapsed="false"/>
    <row r="1403" customFormat="false" ht="12.8" hidden="false" customHeight="false" outlineLevel="0" collapsed="false"/>
    <row r="1404" customFormat="false" ht="12.8" hidden="false" customHeight="false" outlineLevel="0" collapsed="false"/>
    <row r="1405" customFormat="false" ht="12.8" hidden="false" customHeight="false" outlineLevel="0" collapsed="false"/>
    <row r="1406" customFormat="false" ht="12.8" hidden="false" customHeight="false" outlineLevel="0" collapsed="false"/>
    <row r="1407" customFormat="false" ht="12.8" hidden="false" customHeight="false" outlineLevel="0" collapsed="false"/>
    <row r="1408" customFormat="false" ht="12.8" hidden="false" customHeight="false" outlineLevel="0" collapsed="false"/>
    <row r="1409" customFormat="false" ht="12.8" hidden="false" customHeight="false" outlineLevel="0" collapsed="false"/>
    <row r="1410" customFormat="false" ht="12.8" hidden="false" customHeight="false" outlineLevel="0" collapsed="false"/>
    <row r="1411" customFormat="false" ht="12.8" hidden="false" customHeight="false" outlineLevel="0" collapsed="false"/>
    <row r="1412" customFormat="false" ht="12.8" hidden="false" customHeight="false" outlineLevel="0" collapsed="false"/>
    <row r="1413" customFormat="false" ht="12.8" hidden="false" customHeight="false" outlineLevel="0" collapsed="false"/>
    <row r="1414" customFormat="false" ht="12.8" hidden="false" customHeight="false" outlineLevel="0" collapsed="false"/>
    <row r="1415" customFormat="false" ht="12.8" hidden="false" customHeight="false" outlineLevel="0" collapsed="false"/>
    <row r="1416" customFormat="false" ht="12.8" hidden="false" customHeight="false" outlineLevel="0" collapsed="false"/>
    <row r="1417" customFormat="false" ht="12.8" hidden="false" customHeight="false" outlineLevel="0" collapsed="false"/>
    <row r="1418" customFormat="false" ht="12.8" hidden="false" customHeight="false" outlineLevel="0" collapsed="false"/>
    <row r="1419" customFormat="false" ht="12.8" hidden="false" customHeight="false" outlineLevel="0" collapsed="false"/>
    <row r="1420" customFormat="false" ht="12.8" hidden="false" customHeight="false" outlineLevel="0" collapsed="false"/>
    <row r="1421" customFormat="false" ht="12.8" hidden="false" customHeight="false" outlineLevel="0" collapsed="false"/>
    <row r="1422" customFormat="false" ht="12.8" hidden="false" customHeight="false" outlineLevel="0" collapsed="false"/>
    <row r="1423" customFormat="false" ht="12.8" hidden="false" customHeight="false" outlineLevel="0" collapsed="false"/>
    <row r="1424" customFormat="false" ht="12.8" hidden="false" customHeight="false" outlineLevel="0" collapsed="false"/>
    <row r="1425" customFormat="false" ht="12.8" hidden="false" customHeight="false" outlineLevel="0" collapsed="false"/>
    <row r="1426" customFormat="false" ht="12.8" hidden="false" customHeight="false" outlineLevel="0" collapsed="false"/>
    <row r="1427" customFormat="false" ht="12.8" hidden="false" customHeight="false" outlineLevel="0" collapsed="false"/>
    <row r="1428" customFormat="false" ht="12.8" hidden="false" customHeight="false" outlineLevel="0" collapsed="false"/>
    <row r="1429" customFormat="false" ht="12.8" hidden="false" customHeight="false" outlineLevel="0" collapsed="false"/>
    <row r="1430" customFormat="false" ht="12.8" hidden="false" customHeight="false" outlineLevel="0" collapsed="false"/>
    <row r="1431" customFormat="false" ht="12.8" hidden="false" customHeight="false" outlineLevel="0" collapsed="false"/>
    <row r="1432" customFormat="false" ht="12.8" hidden="false" customHeight="false" outlineLevel="0" collapsed="false"/>
    <row r="1433" customFormat="false" ht="12.8" hidden="false" customHeight="false" outlineLevel="0" collapsed="false"/>
    <row r="1434" customFormat="false" ht="12.8" hidden="false" customHeight="false" outlineLevel="0" collapsed="false"/>
    <row r="1435" customFormat="false" ht="12.8" hidden="false" customHeight="false" outlineLevel="0" collapsed="false"/>
    <row r="1436" customFormat="false" ht="12.8" hidden="false" customHeight="false" outlineLevel="0" collapsed="false"/>
    <row r="1437" customFormat="false" ht="12.8" hidden="false" customHeight="false" outlineLevel="0" collapsed="false"/>
    <row r="1438" customFormat="false" ht="12.8" hidden="false" customHeight="false" outlineLevel="0" collapsed="false"/>
    <row r="1439" customFormat="false" ht="12.8" hidden="false" customHeight="false" outlineLevel="0" collapsed="false"/>
    <row r="1440" customFormat="false" ht="12.8" hidden="false" customHeight="false" outlineLevel="0" collapsed="false"/>
    <row r="1441" customFormat="false" ht="12.8" hidden="false" customHeight="false" outlineLevel="0" collapsed="false"/>
    <row r="1442" customFormat="false" ht="12.8" hidden="false" customHeight="false" outlineLevel="0" collapsed="false"/>
    <row r="1443" customFormat="false" ht="12.8" hidden="false" customHeight="false" outlineLevel="0" collapsed="false"/>
    <row r="1444" customFormat="false" ht="12.8" hidden="false" customHeight="false" outlineLevel="0" collapsed="false"/>
    <row r="1445" customFormat="false" ht="12.8" hidden="false" customHeight="false" outlineLevel="0" collapsed="false"/>
    <row r="1446" customFormat="false" ht="12.8" hidden="false" customHeight="false" outlineLevel="0" collapsed="false"/>
    <row r="1447" customFormat="false" ht="12.8" hidden="false" customHeight="false" outlineLevel="0" collapsed="false"/>
    <row r="1448" customFormat="false" ht="12.8" hidden="false" customHeight="false" outlineLevel="0" collapsed="false"/>
    <row r="1449" customFormat="false" ht="12.8" hidden="false" customHeight="false" outlineLevel="0" collapsed="false"/>
    <row r="1450" customFormat="false" ht="12.8" hidden="false" customHeight="false" outlineLevel="0" collapsed="false"/>
    <row r="1451" customFormat="false" ht="12.8" hidden="false" customHeight="false" outlineLevel="0" collapsed="false"/>
    <row r="1452" customFormat="false" ht="12.8" hidden="false" customHeight="false" outlineLevel="0" collapsed="false"/>
    <row r="1453" customFormat="false" ht="12.8" hidden="false" customHeight="false" outlineLevel="0" collapsed="false"/>
    <row r="1454" customFormat="false" ht="12.8" hidden="false" customHeight="false" outlineLevel="0" collapsed="false"/>
    <row r="1455" customFormat="false" ht="12.8" hidden="false" customHeight="false" outlineLevel="0" collapsed="false"/>
    <row r="1456" customFormat="false" ht="12.8" hidden="false" customHeight="false" outlineLevel="0" collapsed="false"/>
    <row r="1457" customFormat="false" ht="12.8" hidden="false" customHeight="false" outlineLevel="0" collapsed="false"/>
    <row r="1458" customFormat="false" ht="12.8" hidden="false" customHeight="false" outlineLevel="0" collapsed="false"/>
    <row r="1459" customFormat="false" ht="12.8" hidden="false" customHeight="false" outlineLevel="0" collapsed="false"/>
    <row r="1460" customFormat="false" ht="12.8" hidden="false" customHeight="false" outlineLevel="0" collapsed="false"/>
    <row r="1461" customFormat="false" ht="12.8" hidden="false" customHeight="false" outlineLevel="0" collapsed="false"/>
    <row r="1462" customFormat="false" ht="12.8" hidden="false" customHeight="false" outlineLevel="0" collapsed="false"/>
    <row r="1463" customFormat="false" ht="12.8" hidden="false" customHeight="false" outlineLevel="0" collapsed="false"/>
    <row r="1464" customFormat="false" ht="12.8" hidden="false" customHeight="false" outlineLevel="0" collapsed="false"/>
    <row r="1465" customFormat="false" ht="12.8" hidden="false" customHeight="false" outlineLevel="0" collapsed="false"/>
    <row r="1466" customFormat="false" ht="12.8" hidden="false" customHeight="false" outlineLevel="0" collapsed="false"/>
    <row r="1467" customFormat="false" ht="12.8" hidden="false" customHeight="false" outlineLevel="0" collapsed="false"/>
    <row r="1468" customFormat="false" ht="12.8" hidden="false" customHeight="false" outlineLevel="0" collapsed="false"/>
    <row r="1469" customFormat="false" ht="12.8" hidden="false" customHeight="false" outlineLevel="0" collapsed="false"/>
    <row r="1470" customFormat="false" ht="12.8" hidden="false" customHeight="false" outlineLevel="0" collapsed="false"/>
    <row r="1471" customFormat="false" ht="12.8" hidden="false" customHeight="false" outlineLevel="0" collapsed="false"/>
    <row r="1472" customFormat="false" ht="12.8" hidden="false" customHeight="false" outlineLevel="0" collapsed="false"/>
    <row r="1473" customFormat="false" ht="12.8" hidden="false" customHeight="false" outlineLevel="0" collapsed="false"/>
    <row r="1474" customFormat="false" ht="12.8" hidden="false" customHeight="false" outlineLevel="0" collapsed="false"/>
    <row r="1475" customFormat="false" ht="12.8" hidden="false" customHeight="false" outlineLevel="0" collapsed="false"/>
    <row r="1476" customFormat="false" ht="12.8" hidden="false" customHeight="false" outlineLevel="0" collapsed="false"/>
    <row r="1477" customFormat="false" ht="12.8" hidden="false" customHeight="false" outlineLevel="0" collapsed="false"/>
    <row r="1478" customFormat="false" ht="12.8" hidden="false" customHeight="false" outlineLevel="0" collapsed="false"/>
    <row r="1479" customFormat="false" ht="12.8" hidden="false" customHeight="false" outlineLevel="0" collapsed="false"/>
    <row r="1480" customFormat="false" ht="12.8" hidden="false" customHeight="false" outlineLevel="0" collapsed="false"/>
    <row r="1481" customFormat="false" ht="12.8" hidden="false" customHeight="false" outlineLevel="0" collapsed="false"/>
    <row r="1482" customFormat="false" ht="12.8" hidden="false" customHeight="false" outlineLevel="0" collapsed="false"/>
    <row r="1483" customFormat="false" ht="12.8" hidden="false" customHeight="false" outlineLevel="0" collapsed="false"/>
    <row r="1484" customFormat="false" ht="12.8" hidden="false" customHeight="false" outlineLevel="0" collapsed="false"/>
    <row r="1485" customFormat="false" ht="12.8" hidden="false" customHeight="false" outlineLevel="0" collapsed="false"/>
    <row r="1486" customFormat="false" ht="12.8" hidden="false" customHeight="false" outlineLevel="0" collapsed="false"/>
    <row r="1487" customFormat="false" ht="12.8" hidden="false" customHeight="false" outlineLevel="0" collapsed="false"/>
    <row r="1488" customFormat="false" ht="12.8" hidden="false" customHeight="false" outlineLevel="0" collapsed="false"/>
    <row r="1489" customFormat="false" ht="12.8" hidden="false" customHeight="false" outlineLevel="0" collapsed="false"/>
    <row r="1490" customFormat="false" ht="12.8" hidden="false" customHeight="false" outlineLevel="0" collapsed="false"/>
    <row r="1491" customFormat="false" ht="12.8" hidden="false" customHeight="false" outlineLevel="0" collapsed="false"/>
    <row r="1492" customFormat="false" ht="12.8" hidden="false" customHeight="false" outlineLevel="0" collapsed="false"/>
    <row r="1493" customFormat="false" ht="12.8" hidden="false" customHeight="false" outlineLevel="0" collapsed="false"/>
    <row r="1494" customFormat="false" ht="12.8" hidden="false" customHeight="false" outlineLevel="0" collapsed="false"/>
    <row r="1495" customFormat="false" ht="12.8" hidden="false" customHeight="false" outlineLevel="0" collapsed="false"/>
    <row r="1496" customFormat="false" ht="12.8" hidden="false" customHeight="false" outlineLevel="0" collapsed="false"/>
    <row r="1497" customFormat="false" ht="12.8" hidden="false" customHeight="false" outlineLevel="0" collapsed="false"/>
    <row r="1498" customFormat="false" ht="12.8" hidden="false" customHeight="false" outlineLevel="0" collapsed="false"/>
    <row r="1499" customFormat="false" ht="12.8" hidden="false" customHeight="false" outlineLevel="0" collapsed="false"/>
    <row r="1500" customFormat="false" ht="12.8" hidden="false" customHeight="false" outlineLevel="0" collapsed="false"/>
    <row r="1501" customFormat="false" ht="12.8" hidden="false" customHeight="false" outlineLevel="0" collapsed="false"/>
    <row r="1502" customFormat="false" ht="12.8" hidden="false" customHeight="false" outlineLevel="0" collapsed="false"/>
    <row r="1503" customFormat="false" ht="12.8" hidden="false" customHeight="false" outlineLevel="0" collapsed="false"/>
    <row r="1504" customFormat="false" ht="12.8" hidden="false" customHeight="false" outlineLevel="0" collapsed="false"/>
    <row r="1505" customFormat="false" ht="12.8" hidden="false" customHeight="false" outlineLevel="0" collapsed="false"/>
    <row r="1506" customFormat="false" ht="12.8" hidden="false" customHeight="false" outlineLevel="0" collapsed="false"/>
    <row r="1507" customFormat="false" ht="12.8" hidden="false" customHeight="false" outlineLevel="0" collapsed="false"/>
    <row r="1508" customFormat="false" ht="12.8" hidden="false" customHeight="false" outlineLevel="0" collapsed="false"/>
    <row r="1509" customFormat="false" ht="12.8" hidden="false" customHeight="false" outlineLevel="0" collapsed="false"/>
    <row r="1510" customFormat="false" ht="12.8" hidden="false" customHeight="false" outlineLevel="0" collapsed="false"/>
    <row r="1511" customFormat="false" ht="12.8" hidden="false" customHeight="false" outlineLevel="0" collapsed="false"/>
    <row r="1512" customFormat="false" ht="12.8" hidden="false" customHeight="false" outlineLevel="0" collapsed="false"/>
    <row r="1513" customFormat="false" ht="12.8" hidden="false" customHeight="false" outlineLevel="0" collapsed="false"/>
    <row r="1514" customFormat="false" ht="12.8" hidden="false" customHeight="false" outlineLevel="0" collapsed="false"/>
    <row r="1515" customFormat="false" ht="12.8" hidden="false" customHeight="false" outlineLevel="0" collapsed="false"/>
    <row r="1516" customFormat="false" ht="12.8" hidden="false" customHeight="false" outlineLevel="0" collapsed="false"/>
    <row r="1517" customFormat="false" ht="12.8" hidden="false" customHeight="false" outlineLevel="0" collapsed="false"/>
    <row r="1518" customFormat="false" ht="12.8" hidden="false" customHeight="false" outlineLevel="0" collapsed="false"/>
    <row r="1519" customFormat="false" ht="12.8" hidden="false" customHeight="false" outlineLevel="0" collapsed="false"/>
    <row r="1520" customFormat="false" ht="12.8" hidden="false" customHeight="false" outlineLevel="0" collapsed="false"/>
    <row r="1521" customFormat="false" ht="12.8" hidden="false" customHeight="false" outlineLevel="0" collapsed="false"/>
    <row r="1522" customFormat="false" ht="12.8" hidden="false" customHeight="false" outlineLevel="0" collapsed="false"/>
    <row r="1523" customFormat="false" ht="12.8" hidden="false" customHeight="false" outlineLevel="0" collapsed="false"/>
    <row r="1524" customFormat="false" ht="12.8" hidden="false" customHeight="false" outlineLevel="0" collapsed="false"/>
    <row r="1525" customFormat="false" ht="12.8" hidden="false" customHeight="false" outlineLevel="0" collapsed="false"/>
    <row r="1526" customFormat="false" ht="12.8" hidden="false" customHeight="false" outlineLevel="0" collapsed="false"/>
    <row r="1527" customFormat="false" ht="12.8" hidden="false" customHeight="false" outlineLevel="0" collapsed="false"/>
    <row r="1528" customFormat="false" ht="12.8" hidden="false" customHeight="false" outlineLevel="0" collapsed="false"/>
    <row r="1529" customFormat="false" ht="12.8" hidden="false" customHeight="false" outlineLevel="0" collapsed="false"/>
    <row r="1530" customFormat="false" ht="12.8" hidden="false" customHeight="false" outlineLevel="0" collapsed="false"/>
    <row r="1531" customFormat="false" ht="12.8" hidden="false" customHeight="false" outlineLevel="0" collapsed="false"/>
    <row r="1532" customFormat="false" ht="12.8" hidden="false" customHeight="false" outlineLevel="0" collapsed="false"/>
    <row r="1533" customFormat="false" ht="12.8" hidden="false" customHeight="false" outlineLevel="0" collapsed="false"/>
    <row r="1534" customFormat="false" ht="12.8" hidden="false" customHeight="false" outlineLevel="0" collapsed="false"/>
    <row r="1535" customFormat="false" ht="12.8" hidden="false" customHeight="false" outlineLevel="0" collapsed="false"/>
    <row r="1536" customFormat="false" ht="12.8" hidden="false" customHeight="false" outlineLevel="0" collapsed="false"/>
    <row r="1537" customFormat="false" ht="12.8" hidden="false" customHeight="false" outlineLevel="0" collapsed="false"/>
    <row r="1538" customFormat="false" ht="12.8" hidden="false" customHeight="false" outlineLevel="0" collapsed="false"/>
    <row r="1539" customFormat="false" ht="12.8" hidden="false" customHeight="false" outlineLevel="0" collapsed="false"/>
    <row r="1540" customFormat="false" ht="12.8" hidden="false" customHeight="false" outlineLevel="0" collapsed="false"/>
    <row r="1541" customFormat="false" ht="12.8" hidden="false" customHeight="false" outlineLevel="0" collapsed="false"/>
    <row r="1542" customFormat="false" ht="12.8" hidden="false" customHeight="false" outlineLevel="0" collapsed="false"/>
    <row r="1543" customFormat="false" ht="12.8" hidden="false" customHeight="false" outlineLevel="0" collapsed="false"/>
    <row r="1544" customFormat="false" ht="12.8" hidden="false" customHeight="false" outlineLevel="0" collapsed="false"/>
    <row r="1545" customFormat="false" ht="12.8" hidden="false" customHeight="false" outlineLevel="0" collapsed="false"/>
    <row r="1546" customFormat="false" ht="12.8" hidden="false" customHeight="false" outlineLevel="0" collapsed="false"/>
    <row r="1547" customFormat="false" ht="12.8" hidden="false" customHeight="false" outlineLevel="0" collapsed="false"/>
    <row r="1548" customFormat="false" ht="12.8" hidden="false" customHeight="false" outlineLevel="0" collapsed="false"/>
    <row r="1549" customFormat="false" ht="12.8" hidden="false" customHeight="false" outlineLevel="0" collapsed="false"/>
    <row r="1550" customFormat="false" ht="12.8" hidden="false" customHeight="false" outlineLevel="0" collapsed="false"/>
    <row r="1551" customFormat="false" ht="12.8" hidden="false" customHeight="false" outlineLevel="0" collapsed="false"/>
    <row r="1552" customFormat="false" ht="12.8" hidden="false" customHeight="false" outlineLevel="0" collapsed="false"/>
    <row r="1553" customFormat="false" ht="12.8" hidden="false" customHeight="false" outlineLevel="0" collapsed="false"/>
    <row r="1554" customFormat="false" ht="12.8" hidden="false" customHeight="false" outlineLevel="0" collapsed="false"/>
    <row r="1555" customFormat="false" ht="12.8" hidden="false" customHeight="false" outlineLevel="0" collapsed="false"/>
    <row r="1556" customFormat="false" ht="12.8" hidden="false" customHeight="false" outlineLevel="0" collapsed="false"/>
    <row r="1557" customFormat="false" ht="12.8" hidden="false" customHeight="false" outlineLevel="0" collapsed="false"/>
    <row r="1558" customFormat="false" ht="12.8" hidden="false" customHeight="false" outlineLevel="0" collapsed="false"/>
    <row r="1559" customFormat="false" ht="12.8" hidden="false" customHeight="false" outlineLevel="0" collapsed="false"/>
    <row r="1560" customFormat="false" ht="12.8" hidden="false" customHeight="false" outlineLevel="0" collapsed="false"/>
    <row r="1561" customFormat="false" ht="12.8" hidden="false" customHeight="false" outlineLevel="0" collapsed="false"/>
    <row r="1562" customFormat="false" ht="12.8" hidden="false" customHeight="false" outlineLevel="0" collapsed="false"/>
    <row r="1563" customFormat="false" ht="12.8" hidden="false" customHeight="false" outlineLevel="0" collapsed="false"/>
    <row r="1564" customFormat="false" ht="12.8" hidden="false" customHeight="false" outlineLevel="0" collapsed="false"/>
    <row r="1565" customFormat="false" ht="12.8" hidden="false" customHeight="false" outlineLevel="0" collapsed="false"/>
    <row r="1566" customFormat="false" ht="12.8" hidden="false" customHeight="false" outlineLevel="0" collapsed="false"/>
    <row r="1567" customFormat="false" ht="12.8" hidden="false" customHeight="false" outlineLevel="0" collapsed="false"/>
    <row r="1568" customFormat="false" ht="12.8" hidden="false" customHeight="false" outlineLevel="0" collapsed="false"/>
    <row r="1569" customFormat="false" ht="12.8" hidden="false" customHeight="false" outlineLevel="0" collapsed="false"/>
    <row r="1570" customFormat="false" ht="12.8" hidden="false" customHeight="false" outlineLevel="0" collapsed="false"/>
    <row r="1571" customFormat="false" ht="12.8" hidden="false" customHeight="false" outlineLevel="0" collapsed="false"/>
    <row r="1572" customFormat="false" ht="12.8" hidden="false" customHeight="false" outlineLevel="0" collapsed="false"/>
    <row r="1573" customFormat="false" ht="12.8" hidden="false" customHeight="false" outlineLevel="0" collapsed="false"/>
    <row r="1574" customFormat="false" ht="12.8" hidden="false" customHeight="false" outlineLevel="0" collapsed="false"/>
    <row r="1575" customFormat="false" ht="12.8" hidden="false" customHeight="false" outlineLevel="0" collapsed="false"/>
    <row r="1576" customFormat="false" ht="12.8" hidden="false" customHeight="false" outlineLevel="0" collapsed="false"/>
    <row r="1577" customFormat="false" ht="12.8" hidden="false" customHeight="false" outlineLevel="0" collapsed="false"/>
    <row r="1578" customFormat="false" ht="12.8" hidden="false" customHeight="false" outlineLevel="0" collapsed="false"/>
    <row r="1579" customFormat="false" ht="12.8" hidden="false" customHeight="false" outlineLevel="0" collapsed="false"/>
    <row r="1580" customFormat="false" ht="12.8" hidden="false" customHeight="false" outlineLevel="0" collapsed="false"/>
    <row r="1581" customFormat="false" ht="12.8" hidden="false" customHeight="false" outlineLevel="0" collapsed="false"/>
    <row r="1582" customFormat="false" ht="12.8" hidden="false" customHeight="false" outlineLevel="0" collapsed="false"/>
    <row r="1583" customFormat="false" ht="12.8" hidden="false" customHeight="false" outlineLevel="0" collapsed="false"/>
    <row r="1584" customFormat="false" ht="12.8" hidden="false" customHeight="false" outlineLevel="0" collapsed="false"/>
    <row r="1585" customFormat="false" ht="12.8" hidden="false" customHeight="false" outlineLevel="0" collapsed="false"/>
    <row r="1586" customFormat="false" ht="12.8" hidden="false" customHeight="false" outlineLevel="0" collapsed="false"/>
    <row r="1587" customFormat="false" ht="12.8" hidden="false" customHeight="false" outlineLevel="0" collapsed="false"/>
    <row r="1588" customFormat="false" ht="12.8" hidden="false" customHeight="false" outlineLevel="0" collapsed="false"/>
    <row r="1589" customFormat="false" ht="12.8" hidden="false" customHeight="false" outlineLevel="0" collapsed="false"/>
    <row r="1590" customFormat="false" ht="12.8" hidden="false" customHeight="false" outlineLevel="0" collapsed="false"/>
    <row r="1591" customFormat="false" ht="12.8" hidden="false" customHeight="false" outlineLevel="0" collapsed="false"/>
    <row r="1592" customFormat="false" ht="12.8" hidden="false" customHeight="false" outlineLevel="0" collapsed="false"/>
    <row r="1593" customFormat="false" ht="12.8" hidden="false" customHeight="false" outlineLevel="0" collapsed="false"/>
    <row r="1594" customFormat="false" ht="12.8" hidden="false" customHeight="false" outlineLevel="0" collapsed="false"/>
    <row r="1595" customFormat="false" ht="12.8" hidden="false" customHeight="false" outlineLevel="0" collapsed="false"/>
    <row r="1596" customFormat="false" ht="12.8" hidden="false" customHeight="false" outlineLevel="0" collapsed="false"/>
    <row r="1597" customFormat="false" ht="12.8" hidden="false" customHeight="false" outlineLevel="0" collapsed="false"/>
    <row r="1598" customFormat="false" ht="12.8" hidden="false" customHeight="false" outlineLevel="0" collapsed="false"/>
    <row r="1599" customFormat="false" ht="12.8" hidden="false" customHeight="false" outlineLevel="0" collapsed="false"/>
    <row r="1600" customFormat="false" ht="12.8" hidden="false" customHeight="false" outlineLevel="0" collapsed="false"/>
    <row r="1601" customFormat="false" ht="12.8" hidden="false" customHeight="false" outlineLevel="0" collapsed="false"/>
    <row r="1602" customFormat="false" ht="12.8" hidden="false" customHeight="false" outlineLevel="0" collapsed="false"/>
    <row r="1603" customFormat="false" ht="12.8" hidden="false" customHeight="false" outlineLevel="0" collapsed="false"/>
    <row r="1604" customFormat="false" ht="12.8" hidden="false" customHeight="false" outlineLevel="0" collapsed="false"/>
    <row r="1605" customFormat="false" ht="12.8" hidden="false" customHeight="false" outlineLevel="0" collapsed="false"/>
    <row r="1606" customFormat="false" ht="12.8" hidden="false" customHeight="false" outlineLevel="0" collapsed="false"/>
    <row r="1607" customFormat="false" ht="12.8" hidden="false" customHeight="false" outlineLevel="0" collapsed="false"/>
    <row r="1608" customFormat="false" ht="12.8" hidden="false" customHeight="false" outlineLevel="0" collapsed="false"/>
    <row r="1609" customFormat="false" ht="12.8" hidden="false" customHeight="false" outlineLevel="0" collapsed="false"/>
    <row r="1610" customFormat="false" ht="12.8" hidden="false" customHeight="false" outlineLevel="0" collapsed="false"/>
    <row r="1611" customFormat="false" ht="12.8" hidden="false" customHeight="false" outlineLevel="0" collapsed="false"/>
    <row r="1612" customFormat="false" ht="12.8" hidden="false" customHeight="false" outlineLevel="0" collapsed="false"/>
    <row r="1613" customFormat="false" ht="12.8" hidden="false" customHeight="false" outlineLevel="0" collapsed="false"/>
    <row r="1614" customFormat="false" ht="12.8" hidden="false" customHeight="false" outlineLevel="0" collapsed="false"/>
    <row r="1615" customFormat="false" ht="12.8" hidden="false" customHeight="false" outlineLevel="0" collapsed="false"/>
    <row r="1616" customFormat="false" ht="12.8" hidden="false" customHeight="false" outlineLevel="0" collapsed="false"/>
    <row r="1617" customFormat="false" ht="12.8" hidden="false" customHeight="false" outlineLevel="0" collapsed="false"/>
    <row r="1618" customFormat="false" ht="12.8" hidden="false" customHeight="false" outlineLevel="0" collapsed="false"/>
    <row r="1619" customFormat="false" ht="12.8" hidden="false" customHeight="false" outlineLevel="0" collapsed="false"/>
    <row r="1620" customFormat="false" ht="12.8" hidden="false" customHeight="false" outlineLevel="0" collapsed="false"/>
    <row r="1621" customFormat="false" ht="12.8" hidden="false" customHeight="false" outlineLevel="0" collapsed="false"/>
    <row r="1622" customFormat="false" ht="12.8" hidden="false" customHeight="false" outlineLevel="0" collapsed="false"/>
    <row r="1623" customFormat="false" ht="12.8" hidden="false" customHeight="false" outlineLevel="0" collapsed="false"/>
    <row r="1624" customFormat="false" ht="12.8" hidden="false" customHeight="false" outlineLevel="0" collapsed="false"/>
    <row r="1625" customFormat="false" ht="12.8" hidden="false" customHeight="false" outlineLevel="0" collapsed="false"/>
    <row r="1626" customFormat="false" ht="12.8" hidden="false" customHeight="false" outlineLevel="0" collapsed="false"/>
    <row r="1627" customFormat="false" ht="12.8" hidden="false" customHeight="false" outlineLevel="0" collapsed="false"/>
    <row r="1628" customFormat="false" ht="12.8" hidden="false" customHeight="false" outlineLevel="0" collapsed="false"/>
    <row r="1629" customFormat="false" ht="12.8" hidden="false" customHeight="false" outlineLevel="0" collapsed="false"/>
    <row r="1630" customFormat="false" ht="12.8" hidden="false" customHeight="false" outlineLevel="0" collapsed="false"/>
    <row r="1631" customFormat="false" ht="12.8" hidden="false" customHeight="false" outlineLevel="0" collapsed="false"/>
    <row r="1632" customFormat="false" ht="12.8" hidden="false" customHeight="false" outlineLevel="0" collapsed="false"/>
    <row r="1633" customFormat="false" ht="12.8" hidden="false" customHeight="false" outlineLevel="0" collapsed="false"/>
    <row r="1634" customFormat="false" ht="12.8" hidden="false" customHeight="false" outlineLevel="0" collapsed="false"/>
    <row r="1635" customFormat="false" ht="12.8" hidden="false" customHeight="false" outlineLevel="0" collapsed="false"/>
    <row r="1636" customFormat="false" ht="12.8" hidden="false" customHeight="false" outlineLevel="0" collapsed="false"/>
    <row r="1637" customFormat="false" ht="12.8" hidden="false" customHeight="false" outlineLevel="0" collapsed="false"/>
    <row r="1638" customFormat="false" ht="12.8" hidden="false" customHeight="false" outlineLevel="0" collapsed="false"/>
    <row r="1639" customFormat="false" ht="12.8" hidden="false" customHeight="false" outlineLevel="0" collapsed="false"/>
    <row r="1640" customFormat="false" ht="12.8" hidden="false" customHeight="false" outlineLevel="0" collapsed="false"/>
    <row r="1641" customFormat="false" ht="12.8" hidden="false" customHeight="false" outlineLevel="0" collapsed="false"/>
    <row r="1642" customFormat="false" ht="12.8" hidden="false" customHeight="false" outlineLevel="0" collapsed="false"/>
    <row r="1643" customFormat="false" ht="12.8" hidden="false" customHeight="false" outlineLevel="0" collapsed="false"/>
    <row r="1644" customFormat="false" ht="12.8" hidden="false" customHeight="false" outlineLevel="0" collapsed="false"/>
    <row r="1645" customFormat="false" ht="12.8" hidden="false" customHeight="false" outlineLevel="0" collapsed="false"/>
    <row r="1646" customFormat="false" ht="12.8" hidden="false" customHeight="false" outlineLevel="0" collapsed="false"/>
    <row r="1647" customFormat="false" ht="12.8" hidden="false" customHeight="false" outlineLevel="0" collapsed="false"/>
    <row r="1648" customFormat="false" ht="12.8" hidden="false" customHeight="false" outlineLevel="0" collapsed="false"/>
    <row r="1649" customFormat="false" ht="12.8" hidden="false" customHeight="false" outlineLevel="0" collapsed="false"/>
    <row r="1650" customFormat="false" ht="12.8" hidden="false" customHeight="false" outlineLevel="0" collapsed="false"/>
    <row r="1651" customFormat="false" ht="12.8" hidden="false" customHeight="false" outlineLevel="0" collapsed="false"/>
    <row r="1652" customFormat="false" ht="12.8" hidden="false" customHeight="false" outlineLevel="0" collapsed="false"/>
    <row r="1653" customFormat="false" ht="12.8" hidden="false" customHeight="false" outlineLevel="0" collapsed="false"/>
    <row r="1654" customFormat="false" ht="12.8" hidden="false" customHeight="false" outlineLevel="0" collapsed="false"/>
    <row r="1655" customFormat="false" ht="12.8" hidden="false" customHeight="false" outlineLevel="0" collapsed="false"/>
    <row r="1656" customFormat="false" ht="12.8" hidden="false" customHeight="false" outlineLevel="0" collapsed="false"/>
    <row r="1657" customFormat="false" ht="12.8" hidden="false" customHeight="false" outlineLevel="0" collapsed="false"/>
    <row r="1658" customFormat="false" ht="12.8" hidden="false" customHeight="false" outlineLevel="0" collapsed="false"/>
    <row r="1659" customFormat="false" ht="12.8" hidden="false" customHeight="false" outlineLevel="0" collapsed="false"/>
    <row r="1660" customFormat="false" ht="12.8" hidden="false" customHeight="false" outlineLevel="0" collapsed="false"/>
    <row r="1661" customFormat="false" ht="12.8" hidden="false" customHeight="false" outlineLevel="0" collapsed="false"/>
    <row r="1662" customFormat="false" ht="12.8" hidden="false" customHeight="false" outlineLevel="0" collapsed="false"/>
    <row r="1663" customFormat="false" ht="12.8" hidden="false" customHeight="false" outlineLevel="0" collapsed="false"/>
    <row r="1664" customFormat="false" ht="12.8" hidden="false" customHeight="false" outlineLevel="0" collapsed="false"/>
    <row r="1665" customFormat="false" ht="12.8" hidden="false" customHeight="false" outlineLevel="0" collapsed="false"/>
    <row r="1666" customFormat="false" ht="12.8" hidden="false" customHeight="false" outlineLevel="0" collapsed="false"/>
    <row r="1667" customFormat="false" ht="12.8" hidden="false" customHeight="false" outlineLevel="0" collapsed="false"/>
    <row r="1668" customFormat="false" ht="12.8" hidden="false" customHeight="false" outlineLevel="0" collapsed="false"/>
    <row r="1669" customFormat="false" ht="12.8" hidden="false" customHeight="false" outlineLevel="0" collapsed="false"/>
    <row r="1670" customFormat="false" ht="12.8" hidden="false" customHeight="false" outlineLevel="0" collapsed="false"/>
    <row r="1671" customFormat="false" ht="12.8" hidden="false" customHeight="false" outlineLevel="0" collapsed="false"/>
    <row r="1672" customFormat="false" ht="12.8" hidden="false" customHeight="false" outlineLevel="0" collapsed="false"/>
    <row r="1673" customFormat="false" ht="12.8" hidden="false" customHeight="false" outlineLevel="0" collapsed="false"/>
    <row r="1674" customFormat="false" ht="12.8" hidden="false" customHeight="false" outlineLevel="0" collapsed="false"/>
    <row r="1675" customFormat="false" ht="12.8" hidden="false" customHeight="false" outlineLevel="0" collapsed="false"/>
    <row r="1676" customFormat="false" ht="12.8" hidden="false" customHeight="false" outlineLevel="0" collapsed="false"/>
    <row r="1677" customFormat="false" ht="12.8" hidden="false" customHeight="false" outlineLevel="0" collapsed="false"/>
    <row r="1678" customFormat="false" ht="12.8" hidden="false" customHeight="false" outlineLevel="0" collapsed="false"/>
    <row r="1679" customFormat="false" ht="12.8" hidden="false" customHeight="false" outlineLevel="0" collapsed="false"/>
    <row r="1680" customFormat="false" ht="12.8" hidden="false" customHeight="false" outlineLevel="0" collapsed="false"/>
    <row r="1681" customFormat="false" ht="12.8" hidden="false" customHeight="false" outlineLevel="0" collapsed="false"/>
    <row r="1682" customFormat="false" ht="12.8" hidden="false" customHeight="false" outlineLevel="0" collapsed="false"/>
    <row r="1683" customFormat="false" ht="12.8" hidden="false" customHeight="false" outlineLevel="0" collapsed="false"/>
    <row r="1684" customFormat="false" ht="12.8" hidden="false" customHeight="false" outlineLevel="0" collapsed="false"/>
    <row r="1685" customFormat="false" ht="12.8" hidden="false" customHeight="false" outlineLevel="0" collapsed="false"/>
    <row r="1686" customFormat="false" ht="12.8" hidden="false" customHeight="false" outlineLevel="0" collapsed="false"/>
    <row r="1687" customFormat="false" ht="12.8" hidden="false" customHeight="false" outlineLevel="0" collapsed="false"/>
    <row r="1688" customFormat="false" ht="12.8" hidden="false" customHeight="false" outlineLevel="0" collapsed="false"/>
    <row r="1689" customFormat="false" ht="12.8" hidden="false" customHeight="false" outlineLevel="0" collapsed="false"/>
    <row r="1690" customFormat="false" ht="12.8" hidden="false" customHeight="false" outlineLevel="0" collapsed="false"/>
    <row r="1691" customFormat="false" ht="12.8" hidden="false" customHeight="false" outlineLevel="0" collapsed="false"/>
    <row r="1692" customFormat="false" ht="12.8" hidden="false" customHeight="false" outlineLevel="0" collapsed="false"/>
    <row r="1693" customFormat="false" ht="12.8" hidden="false" customHeight="false" outlineLevel="0" collapsed="false"/>
    <row r="1694" customFormat="false" ht="12.8" hidden="false" customHeight="false" outlineLevel="0" collapsed="false"/>
    <row r="1695" customFormat="false" ht="12.8" hidden="false" customHeight="false" outlineLevel="0" collapsed="false"/>
    <row r="1696" customFormat="false" ht="12.8" hidden="false" customHeight="false" outlineLevel="0" collapsed="false"/>
    <row r="1697" customFormat="false" ht="12.8" hidden="false" customHeight="false" outlineLevel="0" collapsed="false"/>
    <row r="1698" customFormat="false" ht="12.8" hidden="false" customHeight="false" outlineLevel="0" collapsed="false"/>
    <row r="1699" customFormat="false" ht="12.8" hidden="false" customHeight="false" outlineLevel="0" collapsed="false"/>
    <row r="1700" customFormat="false" ht="12.8" hidden="false" customHeight="false" outlineLevel="0" collapsed="false"/>
    <row r="1701" customFormat="false" ht="12.8" hidden="false" customHeight="false" outlineLevel="0" collapsed="false"/>
    <row r="1702" customFormat="false" ht="12.8" hidden="false" customHeight="false" outlineLevel="0" collapsed="false"/>
    <row r="1703" customFormat="false" ht="12.8" hidden="false" customHeight="false" outlineLevel="0" collapsed="false"/>
    <row r="1704" customFormat="false" ht="12.8" hidden="false" customHeight="false" outlineLevel="0" collapsed="false"/>
    <row r="1705" customFormat="false" ht="12.8" hidden="false" customHeight="false" outlineLevel="0" collapsed="false"/>
    <row r="1706" customFormat="false" ht="12.8" hidden="false" customHeight="false" outlineLevel="0" collapsed="false"/>
    <row r="1707" customFormat="false" ht="12.8" hidden="false" customHeight="false" outlineLevel="0" collapsed="false"/>
    <row r="1708" customFormat="false" ht="12.8" hidden="false" customHeight="false" outlineLevel="0" collapsed="false"/>
    <row r="1709" customFormat="false" ht="12.8" hidden="false" customHeight="false" outlineLevel="0" collapsed="false"/>
    <row r="1710" customFormat="false" ht="12.8" hidden="false" customHeight="false" outlineLevel="0" collapsed="false"/>
    <row r="1711" customFormat="false" ht="12.8" hidden="false" customHeight="false" outlineLevel="0" collapsed="false"/>
    <row r="1712" customFormat="false" ht="12.8" hidden="false" customHeight="false" outlineLevel="0" collapsed="false"/>
    <row r="1713" customFormat="false" ht="12.8" hidden="false" customHeight="false" outlineLevel="0" collapsed="false"/>
    <row r="1714" customFormat="false" ht="12.8" hidden="false" customHeight="false" outlineLevel="0" collapsed="false"/>
    <row r="1715" customFormat="false" ht="12.8" hidden="false" customHeight="false" outlineLevel="0" collapsed="false"/>
    <row r="1716" customFormat="false" ht="12.8" hidden="false" customHeight="false" outlineLevel="0" collapsed="false"/>
    <row r="1717" customFormat="false" ht="12.8" hidden="false" customHeight="false" outlineLevel="0" collapsed="false"/>
    <row r="1718" customFormat="false" ht="12.8" hidden="false" customHeight="false" outlineLevel="0" collapsed="false"/>
    <row r="1719" customFormat="false" ht="12.8" hidden="false" customHeight="false" outlineLevel="0" collapsed="false"/>
    <row r="1720" customFormat="false" ht="12.8" hidden="false" customHeight="false" outlineLevel="0" collapsed="false"/>
    <row r="1721" customFormat="false" ht="12.8" hidden="false" customHeight="false" outlineLevel="0" collapsed="false"/>
    <row r="1722" customFormat="false" ht="12.8" hidden="false" customHeight="false" outlineLevel="0" collapsed="false"/>
    <row r="1723" customFormat="false" ht="12.8" hidden="false" customHeight="false" outlineLevel="0" collapsed="false"/>
    <row r="1724" customFormat="false" ht="12.8" hidden="false" customHeight="false" outlineLevel="0" collapsed="false"/>
    <row r="1725" customFormat="false" ht="12.8" hidden="false" customHeight="false" outlineLevel="0" collapsed="false"/>
    <row r="1726" customFormat="false" ht="12.8" hidden="false" customHeight="false" outlineLevel="0" collapsed="false"/>
    <row r="1727" customFormat="false" ht="12.8" hidden="false" customHeight="false" outlineLevel="0" collapsed="false"/>
    <row r="1728" customFormat="false" ht="12.8" hidden="false" customHeight="false" outlineLevel="0" collapsed="false"/>
    <row r="1729" customFormat="false" ht="12.8" hidden="false" customHeight="false" outlineLevel="0" collapsed="false"/>
    <row r="1730" customFormat="false" ht="12.8" hidden="false" customHeight="false" outlineLevel="0" collapsed="false"/>
    <row r="1731" customFormat="false" ht="12.8" hidden="false" customHeight="false" outlineLevel="0" collapsed="false"/>
    <row r="1732" customFormat="false" ht="12.8" hidden="false" customHeight="false" outlineLevel="0" collapsed="false"/>
    <row r="1733" customFormat="false" ht="12.8" hidden="false" customHeight="false" outlineLevel="0" collapsed="false"/>
    <row r="1734" customFormat="false" ht="12.8" hidden="false" customHeight="false" outlineLevel="0" collapsed="false"/>
    <row r="1735" customFormat="false" ht="12.8" hidden="false" customHeight="false" outlineLevel="0" collapsed="false"/>
    <row r="1736" customFormat="false" ht="12.8" hidden="false" customHeight="false" outlineLevel="0" collapsed="false"/>
    <row r="1737" customFormat="false" ht="12.8" hidden="false" customHeight="false" outlineLevel="0" collapsed="false"/>
    <row r="1738" customFormat="false" ht="12.8" hidden="false" customHeight="false" outlineLevel="0" collapsed="false"/>
    <row r="1739" customFormat="false" ht="12.8" hidden="false" customHeight="false" outlineLevel="0" collapsed="false"/>
    <row r="1740" customFormat="false" ht="12.8" hidden="false" customHeight="false" outlineLevel="0" collapsed="false"/>
    <row r="1741" customFormat="false" ht="12.8" hidden="false" customHeight="false" outlineLevel="0" collapsed="false"/>
    <row r="1742" customFormat="false" ht="12.8" hidden="false" customHeight="false" outlineLevel="0" collapsed="false"/>
    <row r="1743" customFormat="false" ht="12.8" hidden="false" customHeight="false" outlineLevel="0" collapsed="false"/>
    <row r="1744" customFormat="false" ht="12.8" hidden="false" customHeight="false" outlineLevel="0" collapsed="false"/>
    <row r="1745" customFormat="false" ht="12.8" hidden="false" customHeight="false" outlineLevel="0" collapsed="false"/>
    <row r="1746" customFormat="false" ht="12.8" hidden="false" customHeight="false" outlineLevel="0" collapsed="false"/>
    <row r="1747" customFormat="false" ht="12.8" hidden="false" customHeight="false" outlineLevel="0" collapsed="false"/>
    <row r="1748" customFormat="false" ht="12.8" hidden="false" customHeight="false" outlineLevel="0" collapsed="false"/>
    <row r="1749" customFormat="false" ht="12.8" hidden="false" customHeight="false" outlineLevel="0" collapsed="false"/>
    <row r="1750" customFormat="false" ht="12.8" hidden="false" customHeight="false" outlineLevel="0" collapsed="false"/>
    <row r="1751" customFormat="false" ht="12.8" hidden="false" customHeight="false" outlineLevel="0" collapsed="false"/>
    <row r="1752" customFormat="false" ht="12.8" hidden="false" customHeight="false" outlineLevel="0" collapsed="false"/>
    <row r="1753" customFormat="false" ht="12.8" hidden="false" customHeight="false" outlineLevel="0" collapsed="false"/>
    <row r="1754" customFormat="false" ht="12.8" hidden="false" customHeight="false" outlineLevel="0" collapsed="false"/>
    <row r="1755" customFormat="false" ht="12.8" hidden="false" customHeight="false" outlineLevel="0" collapsed="false"/>
    <row r="1756" customFormat="false" ht="12.8" hidden="false" customHeight="false" outlineLevel="0" collapsed="false"/>
    <row r="1757" customFormat="false" ht="12.8" hidden="false" customHeight="false" outlineLevel="0" collapsed="false"/>
    <row r="1758" customFormat="false" ht="12.8" hidden="false" customHeight="false" outlineLevel="0" collapsed="false"/>
    <row r="1759" customFormat="false" ht="12.8" hidden="false" customHeight="false" outlineLevel="0" collapsed="false"/>
    <row r="1760" customFormat="false" ht="12.8" hidden="false" customHeight="false" outlineLevel="0" collapsed="false"/>
    <row r="1761" customFormat="false" ht="12.8" hidden="false" customHeight="false" outlineLevel="0" collapsed="false"/>
    <row r="1762" customFormat="false" ht="12.8" hidden="false" customHeight="false" outlineLevel="0" collapsed="false"/>
    <row r="1763" customFormat="false" ht="12.8" hidden="false" customHeight="false" outlineLevel="0" collapsed="false"/>
    <row r="1764" customFormat="false" ht="12.8" hidden="false" customHeight="false" outlineLevel="0" collapsed="false"/>
    <row r="1765" customFormat="false" ht="12.8" hidden="false" customHeight="false" outlineLevel="0" collapsed="false"/>
    <row r="1766" customFormat="false" ht="12.8" hidden="false" customHeight="false" outlineLevel="0" collapsed="false"/>
    <row r="1767" customFormat="false" ht="12.8" hidden="false" customHeight="false" outlineLevel="0" collapsed="false"/>
    <row r="1768" customFormat="false" ht="12.8" hidden="false" customHeight="false" outlineLevel="0" collapsed="false"/>
    <row r="1769" customFormat="false" ht="12.8" hidden="false" customHeight="false" outlineLevel="0" collapsed="false"/>
    <row r="1770" customFormat="false" ht="12.8" hidden="false" customHeight="false" outlineLevel="0" collapsed="false"/>
    <row r="1771" customFormat="false" ht="12.8" hidden="false" customHeight="false" outlineLevel="0" collapsed="false"/>
    <row r="1772" customFormat="false" ht="12.8" hidden="false" customHeight="false" outlineLevel="0" collapsed="false"/>
    <row r="1773" customFormat="false" ht="12.8" hidden="false" customHeight="false" outlineLevel="0" collapsed="false"/>
    <row r="1774" customFormat="false" ht="12.8" hidden="false" customHeight="false" outlineLevel="0" collapsed="false"/>
    <row r="1775" customFormat="false" ht="12.8" hidden="false" customHeight="false" outlineLevel="0" collapsed="false"/>
    <row r="1776" customFormat="false" ht="12.8" hidden="false" customHeight="false" outlineLevel="0" collapsed="false"/>
    <row r="1777" customFormat="false" ht="12.8" hidden="false" customHeight="false" outlineLevel="0" collapsed="false"/>
    <row r="1778" customFormat="false" ht="12.8" hidden="false" customHeight="false" outlineLevel="0" collapsed="false"/>
    <row r="1779" customFormat="false" ht="12.8" hidden="false" customHeight="false" outlineLevel="0" collapsed="false"/>
    <row r="1780" customFormat="false" ht="12.8" hidden="false" customHeight="false" outlineLevel="0" collapsed="false"/>
    <row r="1781" customFormat="false" ht="12.8" hidden="false" customHeight="false" outlineLevel="0" collapsed="false"/>
    <row r="1782" customFormat="false" ht="12.8" hidden="false" customHeight="false" outlineLevel="0" collapsed="false"/>
    <row r="1783" customFormat="false" ht="12.8" hidden="false" customHeight="false" outlineLevel="0" collapsed="false"/>
    <row r="1784" customFormat="false" ht="12.8" hidden="false" customHeight="false" outlineLevel="0" collapsed="false"/>
    <row r="1785" customFormat="false" ht="12.8" hidden="false" customHeight="false" outlineLevel="0" collapsed="false"/>
    <row r="1786" customFormat="false" ht="12.8" hidden="false" customHeight="false" outlineLevel="0" collapsed="false"/>
    <row r="1787" customFormat="false" ht="12.8" hidden="false" customHeight="false" outlineLevel="0" collapsed="false"/>
    <row r="1788" customFormat="false" ht="12.8" hidden="false" customHeight="false" outlineLevel="0" collapsed="false"/>
    <row r="1789" customFormat="false" ht="12.8" hidden="false" customHeight="false" outlineLevel="0" collapsed="false"/>
    <row r="1790" customFormat="false" ht="12.8" hidden="false" customHeight="false" outlineLevel="0" collapsed="false"/>
    <row r="1791" customFormat="false" ht="12.8" hidden="false" customHeight="false" outlineLevel="0" collapsed="false"/>
    <row r="1792" customFormat="false" ht="12.8" hidden="false" customHeight="false" outlineLevel="0" collapsed="false"/>
    <row r="1793" customFormat="false" ht="12.8" hidden="false" customHeight="false" outlineLevel="0" collapsed="false"/>
    <row r="1794" customFormat="false" ht="12.8" hidden="false" customHeight="false" outlineLevel="0" collapsed="false"/>
    <row r="1795" customFormat="false" ht="12.8" hidden="false" customHeight="false" outlineLevel="0" collapsed="false"/>
    <row r="1796" customFormat="false" ht="12.8" hidden="false" customHeight="false" outlineLevel="0" collapsed="false"/>
    <row r="1797" customFormat="false" ht="12.8" hidden="false" customHeight="false" outlineLevel="0" collapsed="false"/>
    <row r="1798" customFormat="false" ht="12.8" hidden="false" customHeight="false" outlineLevel="0" collapsed="false"/>
    <row r="1799" customFormat="false" ht="12.8" hidden="false" customHeight="false" outlineLevel="0" collapsed="false"/>
    <row r="1800" customFormat="false" ht="12.8" hidden="false" customHeight="false" outlineLevel="0" collapsed="false"/>
    <row r="1801" customFormat="false" ht="12.8" hidden="false" customHeight="false" outlineLevel="0" collapsed="false"/>
    <row r="1802" customFormat="false" ht="12.8" hidden="false" customHeight="false" outlineLevel="0" collapsed="false"/>
    <row r="1803" customFormat="false" ht="12.8" hidden="false" customHeight="false" outlineLevel="0" collapsed="false"/>
    <row r="1804" customFormat="false" ht="12.8" hidden="false" customHeight="false" outlineLevel="0" collapsed="false"/>
    <row r="1805" customFormat="false" ht="12.8" hidden="false" customHeight="false" outlineLevel="0" collapsed="false"/>
    <row r="1806" customFormat="false" ht="12.8" hidden="false" customHeight="false" outlineLevel="0" collapsed="false"/>
    <row r="1807" customFormat="false" ht="12.8" hidden="false" customHeight="false" outlineLevel="0" collapsed="false"/>
    <row r="1808" customFormat="false" ht="12.8" hidden="false" customHeight="false" outlineLevel="0" collapsed="false"/>
    <row r="1809" customFormat="false" ht="12.8" hidden="false" customHeight="false" outlineLevel="0" collapsed="false"/>
    <row r="1810" customFormat="false" ht="12.8" hidden="false" customHeight="false" outlineLevel="0" collapsed="false"/>
    <row r="1811" customFormat="false" ht="12.8" hidden="false" customHeight="false" outlineLevel="0" collapsed="false"/>
    <row r="1812" customFormat="false" ht="12.8" hidden="false" customHeight="false" outlineLevel="0" collapsed="false"/>
    <row r="1813" customFormat="false" ht="12.8" hidden="false" customHeight="false" outlineLevel="0" collapsed="false"/>
    <row r="1814" customFormat="false" ht="12.8" hidden="false" customHeight="false" outlineLevel="0" collapsed="false"/>
    <row r="1815" customFormat="false" ht="12.8" hidden="false" customHeight="false" outlineLevel="0" collapsed="false"/>
    <row r="1816" customFormat="false" ht="12.8" hidden="false" customHeight="false" outlineLevel="0" collapsed="false"/>
    <row r="1817" customFormat="false" ht="12.8" hidden="false" customHeight="false" outlineLevel="0" collapsed="false"/>
    <row r="1818" customFormat="false" ht="12.8" hidden="false" customHeight="false" outlineLevel="0" collapsed="false"/>
    <row r="1819" customFormat="false" ht="12.8" hidden="false" customHeight="false" outlineLevel="0" collapsed="false"/>
    <row r="1820" customFormat="false" ht="12.8" hidden="false" customHeight="false" outlineLevel="0" collapsed="false"/>
    <row r="1821" customFormat="false" ht="12.8" hidden="false" customHeight="false" outlineLevel="0" collapsed="false"/>
    <row r="1822" customFormat="false" ht="12.8" hidden="false" customHeight="false" outlineLevel="0" collapsed="false"/>
    <row r="1823" customFormat="false" ht="12.8" hidden="false" customHeight="false" outlineLevel="0" collapsed="false"/>
    <row r="1824" customFormat="false" ht="12.8" hidden="false" customHeight="false" outlineLevel="0" collapsed="false"/>
    <row r="1825" customFormat="false" ht="12.8" hidden="false" customHeight="false" outlineLevel="0" collapsed="false"/>
    <row r="1826" customFormat="false" ht="12.8" hidden="false" customHeight="false" outlineLevel="0" collapsed="false"/>
    <row r="1827" customFormat="false" ht="12.8" hidden="false" customHeight="false" outlineLevel="0" collapsed="false"/>
    <row r="1828" customFormat="false" ht="12.8" hidden="false" customHeight="false" outlineLevel="0" collapsed="false"/>
    <row r="1829" customFormat="false" ht="12.8" hidden="false" customHeight="false" outlineLevel="0" collapsed="false"/>
    <row r="1830" customFormat="false" ht="12.8" hidden="false" customHeight="false" outlineLevel="0" collapsed="false"/>
    <row r="1831" customFormat="false" ht="12.8" hidden="false" customHeight="false" outlineLevel="0" collapsed="false"/>
    <row r="1832" customFormat="false" ht="12.8" hidden="false" customHeight="false" outlineLevel="0" collapsed="false"/>
    <row r="1833" customFormat="false" ht="12.8" hidden="false" customHeight="false" outlineLevel="0" collapsed="false"/>
    <row r="1834" customFormat="false" ht="12.8" hidden="false" customHeight="false" outlineLevel="0" collapsed="false"/>
    <row r="1835" customFormat="false" ht="12.8" hidden="false" customHeight="false" outlineLevel="0" collapsed="false"/>
    <row r="1836" customFormat="false" ht="12.8" hidden="false" customHeight="false" outlineLevel="0" collapsed="false"/>
    <row r="1837" customFormat="false" ht="12.8" hidden="false" customHeight="false" outlineLevel="0" collapsed="false"/>
    <row r="1838" customFormat="false" ht="12.8" hidden="false" customHeight="false" outlineLevel="0" collapsed="false"/>
    <row r="1839" customFormat="false" ht="12.8" hidden="false" customHeight="false" outlineLevel="0" collapsed="false"/>
    <row r="1840" customFormat="false" ht="12.8" hidden="false" customHeight="false" outlineLevel="0" collapsed="false"/>
    <row r="1841" customFormat="false" ht="12.8" hidden="false" customHeight="false" outlineLevel="0" collapsed="false"/>
    <row r="1842" customFormat="false" ht="12.8" hidden="false" customHeight="false" outlineLevel="0" collapsed="false"/>
    <row r="1843" customFormat="false" ht="12.8" hidden="false" customHeight="false" outlineLevel="0" collapsed="false"/>
    <row r="1844" customFormat="false" ht="12.8" hidden="false" customHeight="false" outlineLevel="0" collapsed="false"/>
    <row r="1845" customFormat="false" ht="12.8" hidden="false" customHeight="false" outlineLevel="0" collapsed="false"/>
    <row r="1846" customFormat="false" ht="12.8" hidden="false" customHeight="false" outlineLevel="0" collapsed="false"/>
    <row r="1847" customFormat="false" ht="12.8" hidden="false" customHeight="false" outlineLevel="0" collapsed="false"/>
    <row r="1848" customFormat="false" ht="12.8" hidden="false" customHeight="false" outlineLevel="0" collapsed="false"/>
    <row r="1849" customFormat="false" ht="12.8" hidden="false" customHeight="false" outlineLevel="0" collapsed="false"/>
    <row r="1850" customFormat="false" ht="12.8" hidden="false" customHeight="false" outlineLevel="0" collapsed="false"/>
    <row r="1851" customFormat="false" ht="12.8" hidden="false" customHeight="false" outlineLevel="0" collapsed="false"/>
    <row r="1852" customFormat="false" ht="12.8" hidden="false" customHeight="false" outlineLevel="0" collapsed="false"/>
    <row r="1853" customFormat="false" ht="12.8" hidden="false" customHeight="false" outlineLevel="0" collapsed="false"/>
    <row r="1854" customFormat="false" ht="12.8" hidden="false" customHeight="false" outlineLevel="0" collapsed="false"/>
    <row r="1855" customFormat="false" ht="12.8" hidden="false" customHeight="false" outlineLevel="0" collapsed="false"/>
    <row r="1856" customFormat="false" ht="12.8" hidden="false" customHeight="false" outlineLevel="0" collapsed="false"/>
    <row r="1857" customFormat="false" ht="12.8" hidden="false" customHeight="false" outlineLevel="0" collapsed="false"/>
    <row r="1858" customFormat="false" ht="12.8" hidden="false" customHeight="false" outlineLevel="0" collapsed="false"/>
    <row r="1859" customFormat="false" ht="12.8" hidden="false" customHeight="false" outlineLevel="0" collapsed="false"/>
    <row r="1860" customFormat="false" ht="12.8" hidden="false" customHeight="false" outlineLevel="0" collapsed="false"/>
    <row r="1861" customFormat="false" ht="12.8" hidden="false" customHeight="false" outlineLevel="0" collapsed="false"/>
    <row r="1862" customFormat="false" ht="12.8" hidden="false" customHeight="false" outlineLevel="0" collapsed="false"/>
    <row r="1863" customFormat="false" ht="12.8" hidden="false" customHeight="false" outlineLevel="0" collapsed="false"/>
    <row r="1864" customFormat="false" ht="12.8" hidden="false" customHeight="false" outlineLevel="0" collapsed="false"/>
    <row r="1865" customFormat="false" ht="12.8" hidden="false" customHeight="false" outlineLevel="0" collapsed="false"/>
    <row r="1866" customFormat="false" ht="12.8" hidden="false" customHeight="false" outlineLevel="0" collapsed="false"/>
    <row r="1867" customFormat="false" ht="12.8" hidden="false" customHeight="false" outlineLevel="0" collapsed="false"/>
    <row r="1868" customFormat="false" ht="12.8" hidden="false" customHeight="false" outlineLevel="0" collapsed="false"/>
    <row r="1869" customFormat="false" ht="12.8" hidden="false" customHeight="false" outlineLevel="0" collapsed="false"/>
    <row r="1870" customFormat="false" ht="12.8" hidden="false" customHeight="false" outlineLevel="0" collapsed="false"/>
    <row r="1871" customFormat="false" ht="12.8" hidden="false" customHeight="false" outlineLevel="0" collapsed="false"/>
    <row r="1872" customFormat="false" ht="12.8" hidden="false" customHeight="false" outlineLevel="0" collapsed="false"/>
    <row r="1873" customFormat="false" ht="12.8" hidden="false" customHeight="false" outlineLevel="0" collapsed="false"/>
    <row r="1874" customFormat="false" ht="12.8" hidden="false" customHeight="false" outlineLevel="0" collapsed="false"/>
    <row r="1875" customFormat="false" ht="12.8" hidden="false" customHeight="false" outlineLevel="0" collapsed="false"/>
    <row r="1876" customFormat="false" ht="12.8" hidden="false" customHeight="false" outlineLevel="0" collapsed="false"/>
    <row r="1877" customFormat="false" ht="12.8" hidden="false" customHeight="false" outlineLevel="0" collapsed="false"/>
    <row r="1878" customFormat="false" ht="12.8" hidden="false" customHeight="false" outlineLevel="0" collapsed="false"/>
    <row r="1879" customFormat="false" ht="12.8" hidden="false" customHeight="false" outlineLevel="0" collapsed="false"/>
    <row r="1880" customFormat="false" ht="12.8" hidden="false" customHeight="false" outlineLevel="0" collapsed="false"/>
    <row r="1881" customFormat="false" ht="12.8" hidden="false" customHeight="false" outlineLevel="0" collapsed="false"/>
    <row r="1882" customFormat="false" ht="12.8" hidden="false" customHeight="false" outlineLevel="0" collapsed="false"/>
    <row r="1883" customFormat="false" ht="12.8" hidden="false" customHeight="false" outlineLevel="0" collapsed="false"/>
    <row r="1884" customFormat="false" ht="12.8" hidden="false" customHeight="false" outlineLevel="0" collapsed="false"/>
    <row r="1885" customFormat="false" ht="12.8" hidden="false" customHeight="false" outlineLevel="0" collapsed="false"/>
    <row r="1886" customFormat="false" ht="12.8" hidden="false" customHeight="false" outlineLevel="0" collapsed="false"/>
    <row r="1887" customFormat="false" ht="12.8" hidden="false" customHeight="false" outlineLevel="0" collapsed="false"/>
    <row r="1888" customFormat="false" ht="12.8" hidden="false" customHeight="false" outlineLevel="0" collapsed="false"/>
    <row r="1889" customFormat="false" ht="12.8" hidden="false" customHeight="false" outlineLevel="0" collapsed="false"/>
    <row r="1890" customFormat="false" ht="12.8" hidden="false" customHeight="false" outlineLevel="0" collapsed="false"/>
    <row r="1891" customFormat="false" ht="12.8" hidden="false" customHeight="false" outlineLevel="0" collapsed="false"/>
    <row r="1892" customFormat="false" ht="12.8" hidden="false" customHeight="false" outlineLevel="0" collapsed="false"/>
    <row r="1893" customFormat="false" ht="12.8" hidden="false" customHeight="false" outlineLevel="0" collapsed="false"/>
    <row r="1894" customFormat="false" ht="12.8" hidden="false" customHeight="false" outlineLevel="0" collapsed="false"/>
    <row r="1895" customFormat="false" ht="12.8" hidden="false" customHeight="false" outlineLevel="0" collapsed="false"/>
    <row r="1896" customFormat="false" ht="12.8" hidden="false" customHeight="false" outlineLevel="0" collapsed="false"/>
    <row r="1897" customFormat="false" ht="12.8" hidden="false" customHeight="false" outlineLevel="0" collapsed="false"/>
    <row r="1898" customFormat="false" ht="12.8" hidden="false" customHeight="false" outlineLevel="0" collapsed="false"/>
    <row r="1899" customFormat="false" ht="12.8" hidden="false" customHeight="false" outlineLevel="0" collapsed="false"/>
    <row r="1900" customFormat="false" ht="12.8" hidden="false" customHeight="false" outlineLevel="0" collapsed="false"/>
    <row r="1901" customFormat="false" ht="12.8" hidden="false" customHeight="false" outlineLevel="0" collapsed="false"/>
    <row r="1902" customFormat="false" ht="12.8" hidden="false" customHeight="false" outlineLevel="0" collapsed="false"/>
    <row r="1903" customFormat="false" ht="12.8" hidden="false" customHeight="false" outlineLevel="0" collapsed="false"/>
    <row r="1904" customFormat="false" ht="12.8" hidden="false" customHeight="false" outlineLevel="0" collapsed="false"/>
    <row r="1905" customFormat="false" ht="12.8" hidden="false" customHeight="false" outlineLevel="0" collapsed="false"/>
    <row r="1906" customFormat="false" ht="12.8" hidden="false" customHeight="false" outlineLevel="0" collapsed="false"/>
    <row r="1907" customFormat="false" ht="12.8" hidden="false" customHeight="false" outlineLevel="0" collapsed="false"/>
    <row r="1908" customFormat="false" ht="12.8" hidden="false" customHeight="false" outlineLevel="0" collapsed="false"/>
    <row r="1909" customFormat="false" ht="12.8" hidden="false" customHeight="false" outlineLevel="0" collapsed="false"/>
    <row r="1910" customFormat="false" ht="12.8" hidden="false" customHeight="false" outlineLevel="0" collapsed="false"/>
    <row r="1911" customFormat="false" ht="12.8" hidden="false" customHeight="false" outlineLevel="0" collapsed="false"/>
    <row r="1912" customFormat="false" ht="12.8" hidden="false" customHeight="false" outlineLevel="0" collapsed="false"/>
    <row r="1913" customFormat="false" ht="12.8" hidden="false" customHeight="false" outlineLevel="0" collapsed="false"/>
    <row r="1914" customFormat="false" ht="12.8" hidden="false" customHeight="false" outlineLevel="0" collapsed="false"/>
    <row r="1915" customFormat="false" ht="12.8" hidden="false" customHeight="false" outlineLevel="0" collapsed="false"/>
    <row r="1916" customFormat="false" ht="12.8" hidden="false" customHeight="false" outlineLevel="0" collapsed="false"/>
    <row r="1917" customFormat="false" ht="12.8" hidden="false" customHeight="false" outlineLevel="0" collapsed="false"/>
    <row r="1918" customFormat="false" ht="12.8" hidden="false" customHeight="false" outlineLevel="0" collapsed="false"/>
    <row r="1919" customFormat="false" ht="12.8" hidden="false" customHeight="false" outlineLevel="0" collapsed="false"/>
    <row r="1920" customFormat="false" ht="12.8" hidden="false" customHeight="false" outlineLevel="0" collapsed="false"/>
    <row r="1921" customFormat="false" ht="12.8" hidden="false" customHeight="false" outlineLevel="0" collapsed="false"/>
    <row r="1922" customFormat="false" ht="12.8" hidden="false" customHeight="false" outlineLevel="0" collapsed="false"/>
    <row r="1923" customFormat="false" ht="12.8" hidden="false" customHeight="false" outlineLevel="0" collapsed="false"/>
    <row r="1924" customFormat="false" ht="12.8" hidden="false" customHeight="false" outlineLevel="0" collapsed="false"/>
    <row r="1925" customFormat="false" ht="12.8" hidden="false" customHeight="false" outlineLevel="0" collapsed="false"/>
    <row r="1926" customFormat="false" ht="12.8" hidden="false" customHeight="false" outlineLevel="0" collapsed="false"/>
    <row r="1927" customFormat="false" ht="12.8" hidden="false" customHeight="false" outlineLevel="0" collapsed="false"/>
    <row r="1928" customFormat="false" ht="12.8" hidden="false" customHeight="false" outlineLevel="0" collapsed="false"/>
    <row r="1929" customFormat="false" ht="12.8" hidden="false" customHeight="false" outlineLevel="0" collapsed="false"/>
    <row r="1930" customFormat="false" ht="12.8" hidden="false" customHeight="false" outlineLevel="0" collapsed="false"/>
    <row r="1931" customFormat="false" ht="12.8" hidden="false" customHeight="false" outlineLevel="0" collapsed="false"/>
    <row r="1932" customFormat="false" ht="12.8" hidden="false" customHeight="false" outlineLevel="0" collapsed="false"/>
    <row r="1933" customFormat="false" ht="12.8" hidden="false" customHeight="false" outlineLevel="0" collapsed="false"/>
    <row r="1934" customFormat="false" ht="12.8" hidden="false" customHeight="false" outlineLevel="0" collapsed="false"/>
    <row r="1935" customFormat="false" ht="12.8" hidden="false" customHeight="false" outlineLevel="0" collapsed="false"/>
    <row r="1936" customFormat="false" ht="12.8" hidden="false" customHeight="false" outlineLevel="0" collapsed="false"/>
    <row r="1937" customFormat="false" ht="12.8" hidden="false" customHeight="false" outlineLevel="0" collapsed="false"/>
    <row r="1938" customFormat="false" ht="12.8" hidden="false" customHeight="false" outlineLevel="0" collapsed="false"/>
    <row r="1939" customFormat="false" ht="12.8" hidden="false" customHeight="false" outlineLevel="0" collapsed="false"/>
    <row r="1940" customFormat="false" ht="12.8" hidden="false" customHeight="false" outlineLevel="0" collapsed="false"/>
    <row r="1941" customFormat="false" ht="12.8" hidden="false" customHeight="false" outlineLevel="0" collapsed="false"/>
    <row r="1942" customFormat="false" ht="12.8" hidden="false" customHeight="false" outlineLevel="0" collapsed="false"/>
    <row r="1943" customFormat="false" ht="12.8" hidden="false" customHeight="false" outlineLevel="0" collapsed="false"/>
    <row r="1944" customFormat="false" ht="12.8" hidden="false" customHeight="false" outlineLevel="0" collapsed="false"/>
    <row r="1945" customFormat="false" ht="12.8" hidden="false" customHeight="false" outlineLevel="0" collapsed="false"/>
    <row r="1946" customFormat="false" ht="12.8" hidden="false" customHeight="false" outlineLevel="0" collapsed="false"/>
    <row r="1947" customFormat="false" ht="12.8" hidden="false" customHeight="false" outlineLevel="0" collapsed="false"/>
    <row r="1948" customFormat="false" ht="12.8" hidden="false" customHeight="false" outlineLevel="0" collapsed="false"/>
    <row r="1949" customFormat="false" ht="12.8" hidden="false" customHeight="false" outlineLevel="0" collapsed="false"/>
    <row r="1950" customFormat="false" ht="12.8" hidden="false" customHeight="false" outlineLevel="0" collapsed="false"/>
    <row r="1951" customFormat="false" ht="12.8" hidden="false" customHeight="false" outlineLevel="0" collapsed="false"/>
    <row r="1952" customFormat="false" ht="12.8" hidden="false" customHeight="false" outlineLevel="0" collapsed="false"/>
    <row r="1953" customFormat="false" ht="12.8" hidden="false" customHeight="false" outlineLevel="0" collapsed="false"/>
    <row r="1954" customFormat="false" ht="12.8" hidden="false" customHeight="false" outlineLevel="0" collapsed="false"/>
    <row r="1955" customFormat="false" ht="12.8" hidden="false" customHeight="false" outlineLevel="0" collapsed="false"/>
    <row r="1956" customFormat="false" ht="12.8" hidden="false" customHeight="false" outlineLevel="0" collapsed="false"/>
    <row r="1957" customFormat="false" ht="12.8" hidden="false" customHeight="false" outlineLevel="0" collapsed="false"/>
    <row r="1958" customFormat="false" ht="12.8" hidden="false" customHeight="false" outlineLevel="0" collapsed="false"/>
    <row r="1959" customFormat="false" ht="12.8" hidden="false" customHeight="false" outlineLevel="0" collapsed="false"/>
    <row r="1960" customFormat="false" ht="12.8" hidden="false" customHeight="false" outlineLevel="0" collapsed="false"/>
    <row r="1961" customFormat="false" ht="12.8" hidden="false" customHeight="false" outlineLevel="0" collapsed="false"/>
    <row r="1962" customFormat="false" ht="12.8" hidden="false" customHeight="false" outlineLevel="0" collapsed="false"/>
    <row r="1963" customFormat="false" ht="12.8" hidden="false" customHeight="false" outlineLevel="0" collapsed="false"/>
    <row r="1964" customFormat="false" ht="12.8" hidden="false" customHeight="false" outlineLevel="0" collapsed="false"/>
    <row r="1965" customFormat="false" ht="12.8" hidden="false" customHeight="false" outlineLevel="0" collapsed="false"/>
    <row r="1966" customFormat="false" ht="12.8" hidden="false" customHeight="false" outlineLevel="0" collapsed="false"/>
    <row r="1967" customFormat="false" ht="12.8" hidden="false" customHeight="false" outlineLevel="0" collapsed="false"/>
    <row r="1968" customFormat="false" ht="12.8" hidden="false" customHeight="false" outlineLevel="0" collapsed="false"/>
    <row r="1969" customFormat="false" ht="12.8" hidden="false" customHeight="false" outlineLevel="0" collapsed="false"/>
    <row r="1970" customFormat="false" ht="12.8" hidden="false" customHeight="false" outlineLevel="0" collapsed="false"/>
    <row r="1971" customFormat="false" ht="12.8" hidden="false" customHeight="false" outlineLevel="0" collapsed="false"/>
    <row r="1972" customFormat="false" ht="12.8" hidden="false" customHeight="false" outlineLevel="0" collapsed="false"/>
    <row r="1973" customFormat="false" ht="12.8" hidden="false" customHeight="false" outlineLevel="0" collapsed="false"/>
    <row r="1974" customFormat="false" ht="12.8" hidden="false" customHeight="false" outlineLevel="0" collapsed="false"/>
    <row r="1975" customFormat="false" ht="12.8" hidden="false" customHeight="false" outlineLevel="0" collapsed="false"/>
    <row r="1976" customFormat="false" ht="12.8" hidden="false" customHeight="false" outlineLevel="0" collapsed="false"/>
    <row r="1977" customFormat="false" ht="12.8" hidden="false" customHeight="false" outlineLevel="0" collapsed="false"/>
    <row r="1978" customFormat="false" ht="12.8" hidden="false" customHeight="false" outlineLevel="0" collapsed="false"/>
    <row r="1979" customFormat="false" ht="12.8" hidden="false" customHeight="false" outlineLevel="0" collapsed="false"/>
    <row r="1980" customFormat="false" ht="12.8" hidden="false" customHeight="false" outlineLevel="0" collapsed="false"/>
    <row r="1981" customFormat="false" ht="12.8" hidden="false" customHeight="false" outlineLevel="0" collapsed="false"/>
    <row r="1982" customFormat="false" ht="12.8" hidden="false" customHeight="false" outlineLevel="0" collapsed="false"/>
    <row r="1983" customFormat="false" ht="12.8" hidden="false" customHeight="false" outlineLevel="0" collapsed="false"/>
    <row r="1984" customFormat="false" ht="12.8" hidden="false" customHeight="false" outlineLevel="0" collapsed="false"/>
    <row r="1985" customFormat="false" ht="12.8" hidden="false" customHeight="false" outlineLevel="0" collapsed="false"/>
    <row r="1986" customFormat="false" ht="12.8" hidden="false" customHeight="false" outlineLevel="0" collapsed="false"/>
    <row r="1987" customFormat="false" ht="12.8" hidden="false" customHeight="false" outlineLevel="0" collapsed="false"/>
    <row r="1988" customFormat="false" ht="12.8" hidden="false" customHeight="false" outlineLevel="0" collapsed="false"/>
    <row r="1989" customFormat="false" ht="12.8" hidden="false" customHeight="false" outlineLevel="0" collapsed="false"/>
    <row r="1990" customFormat="false" ht="12.8" hidden="false" customHeight="false" outlineLevel="0" collapsed="false"/>
    <row r="1991" customFormat="false" ht="12.8" hidden="false" customHeight="false" outlineLevel="0" collapsed="false"/>
    <row r="1992" customFormat="false" ht="12.8" hidden="false" customHeight="false" outlineLevel="0" collapsed="false"/>
    <row r="1993" customFormat="false" ht="12.8" hidden="false" customHeight="false" outlineLevel="0" collapsed="false"/>
    <row r="1994" customFormat="false" ht="12.8" hidden="false" customHeight="false" outlineLevel="0" collapsed="false"/>
    <row r="1995" customFormat="false" ht="12.8" hidden="false" customHeight="false" outlineLevel="0" collapsed="false"/>
    <row r="1996" customFormat="false" ht="12.8" hidden="false" customHeight="false" outlineLevel="0" collapsed="false"/>
    <row r="1997" customFormat="false" ht="12.8" hidden="false" customHeight="false" outlineLevel="0" collapsed="false"/>
    <row r="1998" customFormat="false" ht="12.8" hidden="false" customHeight="false" outlineLevel="0" collapsed="false"/>
    <row r="1999" customFormat="false" ht="12.8" hidden="false" customHeight="false" outlineLevel="0" collapsed="false"/>
    <row r="2000" customFormat="false" ht="12.8" hidden="false" customHeight="false" outlineLevel="0" collapsed="false"/>
    <row r="2001" customFormat="false" ht="12.8" hidden="false" customHeight="false" outlineLevel="0" collapsed="false"/>
    <row r="2002" customFormat="false" ht="12.8" hidden="false" customHeight="false" outlineLevel="0" collapsed="false"/>
    <row r="2003" customFormat="false" ht="12.8" hidden="false" customHeight="false" outlineLevel="0" collapsed="false"/>
    <row r="2004" customFormat="false" ht="12.8" hidden="false" customHeight="false" outlineLevel="0" collapsed="false"/>
    <row r="2005" customFormat="false" ht="12.8" hidden="false" customHeight="false" outlineLevel="0" collapsed="false"/>
    <row r="2006" customFormat="false" ht="12.8" hidden="false" customHeight="false" outlineLevel="0" collapsed="false"/>
    <row r="2007" customFormat="false" ht="12.8" hidden="false" customHeight="false" outlineLevel="0" collapsed="false"/>
    <row r="2008" customFormat="false" ht="12.8" hidden="false" customHeight="false" outlineLevel="0" collapsed="false"/>
    <row r="2009" customFormat="false" ht="12.8" hidden="false" customHeight="false" outlineLevel="0" collapsed="false"/>
    <row r="2010" customFormat="false" ht="12.8" hidden="false" customHeight="false" outlineLevel="0" collapsed="false"/>
    <row r="2011" customFormat="false" ht="12.8" hidden="false" customHeight="false" outlineLevel="0" collapsed="false"/>
    <row r="2012" customFormat="false" ht="12.8" hidden="false" customHeight="false" outlineLevel="0" collapsed="false"/>
    <row r="2013" customFormat="false" ht="12.8" hidden="false" customHeight="false" outlineLevel="0" collapsed="false"/>
    <row r="2014" customFormat="false" ht="12.8" hidden="false" customHeight="false" outlineLevel="0" collapsed="false"/>
    <row r="2015" customFormat="false" ht="12.8" hidden="false" customHeight="false" outlineLevel="0" collapsed="false"/>
    <row r="2016" customFormat="false" ht="12.8" hidden="false" customHeight="false" outlineLevel="0" collapsed="false"/>
    <row r="2017" customFormat="false" ht="12.8" hidden="false" customHeight="false" outlineLevel="0" collapsed="false"/>
    <row r="2018" customFormat="false" ht="12.8" hidden="false" customHeight="false" outlineLevel="0" collapsed="false"/>
    <row r="2019" customFormat="false" ht="12.8" hidden="false" customHeight="false" outlineLevel="0" collapsed="false"/>
    <row r="2020" customFormat="false" ht="12.8" hidden="false" customHeight="false" outlineLevel="0" collapsed="false"/>
    <row r="2021" customFormat="false" ht="12.8" hidden="false" customHeight="false" outlineLevel="0" collapsed="false"/>
    <row r="2022" customFormat="false" ht="12.8" hidden="false" customHeight="false" outlineLevel="0" collapsed="false"/>
    <row r="2023" customFormat="false" ht="12.8" hidden="false" customHeight="false" outlineLevel="0" collapsed="false"/>
    <row r="2024" customFormat="false" ht="12.8" hidden="false" customHeight="false" outlineLevel="0" collapsed="false"/>
    <row r="2025" customFormat="false" ht="12.8" hidden="false" customHeight="false" outlineLevel="0" collapsed="false"/>
    <row r="2026" customFormat="false" ht="12.8" hidden="false" customHeight="false" outlineLevel="0" collapsed="false"/>
    <row r="2027" customFormat="false" ht="12.8" hidden="false" customHeight="false" outlineLevel="0" collapsed="false"/>
    <row r="2028" customFormat="false" ht="12.8" hidden="false" customHeight="false" outlineLevel="0" collapsed="false"/>
    <row r="2029" customFormat="false" ht="12.8" hidden="false" customHeight="false" outlineLevel="0" collapsed="false"/>
    <row r="2030" customFormat="false" ht="12.8" hidden="false" customHeight="false" outlineLevel="0" collapsed="false"/>
    <row r="2031" customFormat="false" ht="12.8" hidden="false" customHeight="false" outlineLevel="0" collapsed="false"/>
    <row r="2032" customFormat="false" ht="12.8" hidden="false" customHeight="false" outlineLevel="0" collapsed="false"/>
    <row r="2033" customFormat="false" ht="12.8" hidden="false" customHeight="false" outlineLevel="0" collapsed="false"/>
    <row r="2034" customFormat="false" ht="12.8" hidden="false" customHeight="false" outlineLevel="0" collapsed="false"/>
    <row r="2035" customFormat="false" ht="12.8" hidden="false" customHeight="false" outlineLevel="0" collapsed="false"/>
    <row r="2036" customFormat="false" ht="12.8" hidden="false" customHeight="false" outlineLevel="0" collapsed="false"/>
    <row r="2037" customFormat="false" ht="12.8" hidden="false" customHeight="false" outlineLevel="0" collapsed="false"/>
    <row r="2038" customFormat="false" ht="12.8" hidden="false" customHeight="false" outlineLevel="0" collapsed="false"/>
    <row r="2039" customFormat="false" ht="12.8" hidden="false" customHeight="false" outlineLevel="0" collapsed="false"/>
    <row r="2040" customFormat="false" ht="12.8" hidden="false" customHeight="false" outlineLevel="0" collapsed="false"/>
    <row r="2041" customFormat="false" ht="12.8" hidden="false" customHeight="false" outlineLevel="0" collapsed="false"/>
    <row r="2042" customFormat="false" ht="12.8" hidden="false" customHeight="false" outlineLevel="0" collapsed="false"/>
    <row r="2043" customFormat="false" ht="12.8" hidden="false" customHeight="false" outlineLevel="0" collapsed="false"/>
    <row r="2044" customFormat="false" ht="12.8" hidden="false" customHeight="false" outlineLevel="0" collapsed="false"/>
    <row r="2045" customFormat="false" ht="12.8" hidden="false" customHeight="false" outlineLevel="0" collapsed="false"/>
    <row r="2046" customFormat="false" ht="12.8" hidden="false" customHeight="false" outlineLevel="0" collapsed="false"/>
    <row r="2047" customFormat="false" ht="12.8" hidden="false" customHeight="false" outlineLevel="0" collapsed="false"/>
    <row r="2048" customFormat="false" ht="12.8" hidden="false" customHeight="false" outlineLevel="0" collapsed="false"/>
    <row r="2049" customFormat="false" ht="12.8" hidden="false" customHeight="false" outlineLevel="0" collapsed="false"/>
    <row r="2050" customFormat="false" ht="12.8" hidden="false" customHeight="false" outlineLevel="0" collapsed="false"/>
    <row r="2051" customFormat="false" ht="12.8" hidden="false" customHeight="false" outlineLevel="0" collapsed="false"/>
    <row r="2052" customFormat="false" ht="12.8" hidden="false" customHeight="false" outlineLevel="0" collapsed="false"/>
    <row r="2053" customFormat="false" ht="12.8" hidden="false" customHeight="false" outlineLevel="0" collapsed="false"/>
    <row r="2054" customFormat="false" ht="12.8" hidden="false" customHeight="false" outlineLevel="0" collapsed="false"/>
    <row r="2055" customFormat="false" ht="12.8" hidden="false" customHeight="false" outlineLevel="0" collapsed="false"/>
    <row r="2056" customFormat="false" ht="12.8" hidden="false" customHeight="false" outlineLevel="0" collapsed="false"/>
    <row r="2057" customFormat="false" ht="12.8" hidden="false" customHeight="false" outlineLevel="0" collapsed="false"/>
    <row r="2058" customFormat="false" ht="12.8" hidden="false" customHeight="false" outlineLevel="0" collapsed="false"/>
    <row r="2059" customFormat="false" ht="12.8" hidden="false" customHeight="false" outlineLevel="0" collapsed="false"/>
    <row r="2060" customFormat="false" ht="12.8" hidden="false" customHeight="false" outlineLevel="0" collapsed="false"/>
    <row r="2061" customFormat="false" ht="12.8" hidden="false" customHeight="false" outlineLevel="0" collapsed="false"/>
    <row r="2062" customFormat="false" ht="12.8" hidden="false" customHeight="false" outlineLevel="0" collapsed="false"/>
    <row r="2063" customFormat="false" ht="12.8" hidden="false" customHeight="false" outlineLevel="0" collapsed="false"/>
    <row r="2064" customFormat="false" ht="12.8" hidden="false" customHeight="false" outlineLevel="0" collapsed="false"/>
    <row r="2065" customFormat="false" ht="12.8" hidden="false" customHeight="false" outlineLevel="0" collapsed="false"/>
    <row r="2066" customFormat="false" ht="12.8" hidden="false" customHeight="false" outlineLevel="0" collapsed="false"/>
    <row r="2067" customFormat="false" ht="12.8" hidden="false" customHeight="false" outlineLevel="0" collapsed="false"/>
    <row r="2068" customFormat="false" ht="12.8" hidden="false" customHeight="false" outlineLevel="0" collapsed="false"/>
    <row r="2069" customFormat="false" ht="12.8" hidden="false" customHeight="false" outlineLevel="0" collapsed="false"/>
    <row r="2070" customFormat="false" ht="12.8" hidden="false" customHeight="false" outlineLevel="0" collapsed="false"/>
    <row r="2071" customFormat="false" ht="12.8" hidden="false" customHeight="false" outlineLevel="0" collapsed="false"/>
    <row r="2072" customFormat="false" ht="12.8" hidden="false" customHeight="false" outlineLevel="0" collapsed="false"/>
    <row r="2073" customFormat="false" ht="12.8" hidden="false" customHeight="false" outlineLevel="0" collapsed="false"/>
    <row r="2074" customFormat="false" ht="12.8" hidden="false" customHeight="false" outlineLevel="0" collapsed="false"/>
    <row r="2075" customFormat="false" ht="12.8" hidden="false" customHeight="false" outlineLevel="0" collapsed="false"/>
    <row r="2076" customFormat="false" ht="12.8" hidden="false" customHeight="false" outlineLevel="0" collapsed="false"/>
    <row r="2077" customFormat="false" ht="12.8" hidden="false" customHeight="false" outlineLevel="0" collapsed="false"/>
    <row r="2078" customFormat="false" ht="12.8" hidden="false" customHeight="false" outlineLevel="0" collapsed="false"/>
    <row r="2079" customFormat="false" ht="12.8" hidden="false" customHeight="false" outlineLevel="0" collapsed="false"/>
    <row r="2080" customFormat="false" ht="12.8" hidden="false" customHeight="false" outlineLevel="0" collapsed="false"/>
    <row r="2081" customFormat="false" ht="12.8" hidden="false" customHeight="false" outlineLevel="0" collapsed="false"/>
    <row r="2082" customFormat="false" ht="12.8" hidden="false" customHeight="false" outlineLevel="0" collapsed="false"/>
    <row r="2083" customFormat="false" ht="12.8" hidden="false" customHeight="false" outlineLevel="0" collapsed="false"/>
    <row r="2084" customFormat="false" ht="12.8" hidden="false" customHeight="false" outlineLevel="0" collapsed="false"/>
    <row r="2085" customFormat="false" ht="12.8" hidden="false" customHeight="false" outlineLevel="0" collapsed="false"/>
    <row r="2086" customFormat="false" ht="12.8" hidden="false" customHeight="false" outlineLevel="0" collapsed="false"/>
    <row r="2087" customFormat="false" ht="12.8" hidden="false" customHeight="false" outlineLevel="0" collapsed="false"/>
    <row r="2088" customFormat="false" ht="12.8" hidden="false" customHeight="false" outlineLevel="0" collapsed="false"/>
    <row r="2089" customFormat="false" ht="12.8" hidden="false" customHeight="false" outlineLevel="0" collapsed="false"/>
    <row r="2090" customFormat="false" ht="12.8" hidden="false" customHeight="false" outlineLevel="0" collapsed="false"/>
    <row r="2091" customFormat="false" ht="12.8" hidden="false" customHeight="false" outlineLevel="0" collapsed="false"/>
    <row r="2092" customFormat="false" ht="12.8" hidden="false" customHeight="false" outlineLevel="0" collapsed="false"/>
    <row r="2093" customFormat="false" ht="12.8" hidden="false" customHeight="false" outlineLevel="0" collapsed="false"/>
    <row r="2094" customFormat="false" ht="12.8" hidden="false" customHeight="false" outlineLevel="0" collapsed="false"/>
    <row r="2095" customFormat="false" ht="12.8" hidden="false" customHeight="false" outlineLevel="0" collapsed="false"/>
    <row r="2096" customFormat="false" ht="12.8" hidden="false" customHeight="false" outlineLevel="0" collapsed="false"/>
    <row r="2097" customFormat="false" ht="12.8" hidden="false" customHeight="false" outlineLevel="0" collapsed="false"/>
    <row r="2098" customFormat="false" ht="12.8" hidden="false" customHeight="false" outlineLevel="0" collapsed="false"/>
    <row r="2099" customFormat="false" ht="12.8" hidden="false" customHeight="false" outlineLevel="0" collapsed="false"/>
    <row r="2100" customFormat="false" ht="12.8" hidden="false" customHeight="false" outlineLevel="0" collapsed="false"/>
    <row r="2101" customFormat="false" ht="12.8" hidden="false" customHeight="false" outlineLevel="0" collapsed="false"/>
    <row r="2102" customFormat="false" ht="12.8" hidden="false" customHeight="false" outlineLevel="0" collapsed="false"/>
    <row r="2103" customFormat="false" ht="12.8" hidden="false" customHeight="false" outlineLevel="0" collapsed="false"/>
    <row r="2104" customFormat="false" ht="12.8" hidden="false" customHeight="false" outlineLevel="0" collapsed="false"/>
    <row r="2105" customFormat="false" ht="12.8" hidden="false" customHeight="false" outlineLevel="0" collapsed="false"/>
    <row r="2106" customFormat="false" ht="12.8" hidden="false" customHeight="false" outlineLevel="0" collapsed="false"/>
    <row r="2107" customFormat="false" ht="12.8" hidden="false" customHeight="false" outlineLevel="0" collapsed="false"/>
    <row r="2108" customFormat="false" ht="12.8" hidden="false" customHeight="false" outlineLevel="0" collapsed="false"/>
    <row r="2109" customFormat="false" ht="12.8" hidden="false" customHeight="false" outlineLevel="0" collapsed="false"/>
    <row r="2110" customFormat="false" ht="12.8" hidden="false" customHeight="false" outlineLevel="0" collapsed="false"/>
    <row r="2111" customFormat="false" ht="12.8" hidden="false" customHeight="false" outlineLevel="0" collapsed="false"/>
    <row r="2112" customFormat="false" ht="12.8" hidden="false" customHeight="false" outlineLevel="0" collapsed="false"/>
    <row r="2113" customFormat="false" ht="12.8" hidden="false" customHeight="false" outlineLevel="0" collapsed="false"/>
    <row r="2114" customFormat="false" ht="12.8" hidden="false" customHeight="false" outlineLevel="0" collapsed="false"/>
    <row r="2115" customFormat="false" ht="12.8" hidden="false" customHeight="false" outlineLevel="0" collapsed="false"/>
    <row r="2116" customFormat="false" ht="12.8" hidden="false" customHeight="false" outlineLevel="0" collapsed="false"/>
    <row r="2117" customFormat="false" ht="12.8" hidden="false" customHeight="false" outlineLevel="0" collapsed="false"/>
    <row r="2118" customFormat="false" ht="12.8" hidden="false" customHeight="false" outlineLevel="0" collapsed="false"/>
    <row r="2119" customFormat="false" ht="12.8" hidden="false" customHeight="false" outlineLevel="0" collapsed="false"/>
    <row r="2120" customFormat="false" ht="12.8" hidden="false" customHeight="false" outlineLevel="0" collapsed="false"/>
    <row r="2121" customFormat="false" ht="12.8" hidden="false" customHeight="false" outlineLevel="0" collapsed="false"/>
    <row r="2122" customFormat="false" ht="12.8" hidden="false" customHeight="false" outlineLevel="0" collapsed="false"/>
    <row r="2123" customFormat="false" ht="12.8" hidden="false" customHeight="false" outlineLevel="0" collapsed="false"/>
    <row r="2124" customFormat="false" ht="12.8" hidden="false" customHeight="false" outlineLevel="0" collapsed="false"/>
    <row r="2125" customFormat="false" ht="12.8" hidden="false" customHeight="false" outlineLevel="0" collapsed="false"/>
    <row r="2126" customFormat="false" ht="12.8" hidden="false" customHeight="false" outlineLevel="0" collapsed="false"/>
    <row r="2127" customFormat="false" ht="12.8" hidden="false" customHeight="false" outlineLevel="0" collapsed="false"/>
    <row r="2128" customFormat="false" ht="12.8" hidden="false" customHeight="false" outlineLevel="0" collapsed="false"/>
    <row r="2129" customFormat="false" ht="12.8" hidden="false" customHeight="false" outlineLevel="0" collapsed="false"/>
    <row r="2130" customFormat="false" ht="12.8" hidden="false" customHeight="false" outlineLevel="0" collapsed="false"/>
    <row r="2131" customFormat="false" ht="12.8" hidden="false" customHeight="false" outlineLevel="0" collapsed="false"/>
    <row r="2132" customFormat="false" ht="12.8" hidden="false" customHeight="false" outlineLevel="0" collapsed="false"/>
    <row r="2133" customFormat="false" ht="12.8" hidden="false" customHeight="false" outlineLevel="0" collapsed="false"/>
    <row r="2134" customFormat="false" ht="12.8" hidden="false" customHeight="false" outlineLevel="0" collapsed="false"/>
    <row r="2135" customFormat="false" ht="12.8" hidden="false" customHeight="false" outlineLevel="0" collapsed="false"/>
    <row r="2136" customFormat="false" ht="12.8" hidden="false" customHeight="false" outlineLevel="0" collapsed="false"/>
    <row r="2137" customFormat="false" ht="12.8" hidden="false" customHeight="false" outlineLevel="0" collapsed="false"/>
    <row r="2138" customFormat="false" ht="12.8" hidden="false" customHeight="false" outlineLevel="0" collapsed="false"/>
    <row r="2139" customFormat="false" ht="12.8" hidden="false" customHeight="false" outlineLevel="0" collapsed="false"/>
    <row r="2140" customFormat="false" ht="12.8" hidden="false" customHeight="false" outlineLevel="0" collapsed="false"/>
    <row r="2141" customFormat="false" ht="12.8" hidden="false" customHeight="false" outlineLevel="0" collapsed="false"/>
    <row r="2142" customFormat="false" ht="12.8" hidden="false" customHeight="false" outlineLevel="0" collapsed="false"/>
    <row r="2143" customFormat="false" ht="12.8" hidden="false" customHeight="false" outlineLevel="0" collapsed="false"/>
    <row r="2144" customFormat="false" ht="12.8" hidden="false" customHeight="false" outlineLevel="0" collapsed="false"/>
    <row r="2145" customFormat="false" ht="12.8" hidden="false" customHeight="false" outlineLevel="0" collapsed="false"/>
    <row r="2146" customFormat="false" ht="12.8" hidden="false" customHeight="false" outlineLevel="0" collapsed="false"/>
    <row r="2147" customFormat="false" ht="12.8" hidden="false" customHeight="false" outlineLevel="0" collapsed="false"/>
    <row r="2148" customFormat="false" ht="12.8" hidden="false" customHeight="false" outlineLevel="0" collapsed="false"/>
    <row r="2149" customFormat="false" ht="12.8" hidden="false" customHeight="false" outlineLevel="0" collapsed="false"/>
    <row r="2150" customFormat="false" ht="12.8" hidden="false" customHeight="false" outlineLevel="0" collapsed="false"/>
    <row r="2151" customFormat="false" ht="12.8" hidden="false" customHeight="false" outlineLevel="0" collapsed="false"/>
    <row r="2152" customFormat="false" ht="12.8" hidden="false" customHeight="false" outlineLevel="0" collapsed="false"/>
    <row r="2153" customFormat="false" ht="12.8" hidden="false" customHeight="false" outlineLevel="0" collapsed="false"/>
    <row r="2154" customFormat="false" ht="12.8" hidden="false" customHeight="false" outlineLevel="0" collapsed="false"/>
    <row r="2155" customFormat="false" ht="12.8" hidden="false" customHeight="false" outlineLevel="0" collapsed="false"/>
    <row r="2156" customFormat="false" ht="12.8" hidden="false" customHeight="false" outlineLevel="0" collapsed="false"/>
    <row r="2157" customFormat="false" ht="12.8" hidden="false" customHeight="false" outlineLevel="0" collapsed="false"/>
    <row r="2158" customFormat="false" ht="12.8" hidden="false" customHeight="false" outlineLevel="0" collapsed="false"/>
    <row r="2159" customFormat="false" ht="12.8" hidden="false" customHeight="false" outlineLevel="0" collapsed="false"/>
    <row r="2160" customFormat="false" ht="12.8" hidden="false" customHeight="false" outlineLevel="0" collapsed="false"/>
    <row r="2161" customFormat="false" ht="12.8" hidden="false" customHeight="false" outlineLevel="0" collapsed="false"/>
    <row r="2162" customFormat="false" ht="12.8" hidden="false" customHeight="false" outlineLevel="0" collapsed="false"/>
    <row r="2163" customFormat="false" ht="12.8" hidden="false" customHeight="false" outlineLevel="0" collapsed="false"/>
    <row r="2164" customFormat="false" ht="12.8" hidden="false" customHeight="false" outlineLevel="0" collapsed="false"/>
    <row r="2165" customFormat="false" ht="12.8" hidden="false" customHeight="false" outlineLevel="0" collapsed="false"/>
    <row r="2166" customFormat="false" ht="12.8" hidden="false" customHeight="false" outlineLevel="0" collapsed="false"/>
    <row r="2167" customFormat="false" ht="12.8" hidden="false" customHeight="false" outlineLevel="0" collapsed="false"/>
    <row r="2168" customFormat="false" ht="12.8" hidden="false" customHeight="false" outlineLevel="0" collapsed="false"/>
    <row r="2169" customFormat="false" ht="12.8" hidden="false" customHeight="false" outlineLevel="0" collapsed="false"/>
    <row r="2170" customFormat="false" ht="12.8" hidden="false" customHeight="false" outlineLevel="0" collapsed="false"/>
    <row r="2171" customFormat="false" ht="12.8" hidden="false" customHeight="false" outlineLevel="0" collapsed="false"/>
    <row r="2172" customFormat="false" ht="12.8" hidden="false" customHeight="false" outlineLevel="0" collapsed="false"/>
    <row r="2173" customFormat="false" ht="12.8" hidden="false" customHeight="false" outlineLevel="0" collapsed="false"/>
    <row r="2174" customFormat="false" ht="12.8" hidden="false" customHeight="false" outlineLevel="0" collapsed="false"/>
    <row r="2175" customFormat="false" ht="12.8" hidden="false" customHeight="false" outlineLevel="0" collapsed="false"/>
    <row r="2176" customFormat="false" ht="12.8" hidden="false" customHeight="false" outlineLevel="0" collapsed="false"/>
    <row r="2177" customFormat="false" ht="12.8" hidden="false" customHeight="false" outlineLevel="0" collapsed="false"/>
    <row r="2178" customFormat="false" ht="12.8" hidden="false" customHeight="false" outlineLevel="0" collapsed="false"/>
    <row r="2179" customFormat="false" ht="12.8" hidden="false" customHeight="false" outlineLevel="0" collapsed="false"/>
    <row r="2180" customFormat="false" ht="12.8" hidden="false" customHeight="false" outlineLevel="0" collapsed="false"/>
    <row r="2181" customFormat="false" ht="12.8" hidden="false" customHeight="false" outlineLevel="0" collapsed="false"/>
    <row r="2182" customFormat="false" ht="12.8" hidden="false" customHeight="false" outlineLevel="0" collapsed="false"/>
    <row r="2183" customFormat="false" ht="12.8" hidden="false" customHeight="false" outlineLevel="0" collapsed="false"/>
    <row r="2184" customFormat="false" ht="12.8" hidden="false" customHeight="false" outlineLevel="0" collapsed="false"/>
    <row r="2185" customFormat="false" ht="12.8" hidden="false" customHeight="false" outlineLevel="0" collapsed="false"/>
    <row r="2186" customFormat="false" ht="12.8" hidden="false" customHeight="false" outlineLevel="0" collapsed="false"/>
    <row r="2187" customFormat="false" ht="12.8" hidden="false" customHeight="false" outlineLevel="0" collapsed="false"/>
    <row r="2188" customFormat="false" ht="12.8" hidden="false" customHeight="false" outlineLevel="0" collapsed="false"/>
    <row r="2189" customFormat="false" ht="12.8" hidden="false" customHeight="false" outlineLevel="0" collapsed="false"/>
    <row r="2190" customFormat="false" ht="12.8" hidden="false" customHeight="false" outlineLevel="0" collapsed="false"/>
    <row r="2191" customFormat="false" ht="12.8" hidden="false" customHeight="false" outlineLevel="0" collapsed="false"/>
    <row r="2192" customFormat="false" ht="12.8" hidden="false" customHeight="false" outlineLevel="0" collapsed="false"/>
    <row r="2193" customFormat="false" ht="12.8" hidden="false" customHeight="false" outlineLevel="0" collapsed="false"/>
    <row r="2194" customFormat="false" ht="12.8" hidden="false" customHeight="false" outlineLevel="0" collapsed="false"/>
    <row r="2195" customFormat="false" ht="12.8" hidden="false" customHeight="false" outlineLevel="0" collapsed="false"/>
    <row r="2196" customFormat="false" ht="12.8" hidden="false" customHeight="false" outlineLevel="0" collapsed="false"/>
    <row r="2197" customFormat="false" ht="12.8" hidden="false" customHeight="false" outlineLevel="0" collapsed="false"/>
    <row r="2198" customFormat="false" ht="12.8" hidden="false" customHeight="false" outlineLevel="0" collapsed="false"/>
    <row r="2199" customFormat="false" ht="12.8" hidden="false" customHeight="false" outlineLevel="0" collapsed="false"/>
    <row r="2200" customFormat="false" ht="12.8" hidden="false" customHeight="false" outlineLevel="0" collapsed="false"/>
    <row r="2201" customFormat="false" ht="12.8" hidden="false" customHeight="false" outlineLevel="0" collapsed="false"/>
    <row r="2202" customFormat="false" ht="12.8" hidden="false" customHeight="false" outlineLevel="0" collapsed="false"/>
    <row r="2203" customFormat="false" ht="12.8" hidden="false" customHeight="false" outlineLevel="0" collapsed="false"/>
    <row r="2204" customFormat="false" ht="12.8" hidden="false" customHeight="false" outlineLevel="0" collapsed="false"/>
    <row r="2205" customFormat="false" ht="12.8" hidden="false" customHeight="false" outlineLevel="0" collapsed="false"/>
    <row r="2206" customFormat="false" ht="12.8" hidden="false" customHeight="false" outlineLevel="0" collapsed="false"/>
    <row r="2207" customFormat="false" ht="12.8" hidden="false" customHeight="false" outlineLevel="0" collapsed="false"/>
    <row r="2208" customFormat="false" ht="12.8" hidden="false" customHeight="false" outlineLevel="0" collapsed="false"/>
    <row r="2209" customFormat="false" ht="12.8" hidden="false" customHeight="false" outlineLevel="0" collapsed="false"/>
    <row r="2210" customFormat="false" ht="12.8" hidden="false" customHeight="false" outlineLevel="0" collapsed="false"/>
    <row r="2211" customFormat="false" ht="12.8" hidden="false" customHeight="false" outlineLevel="0" collapsed="false"/>
    <row r="2212" customFormat="false" ht="12.8" hidden="false" customHeight="false" outlineLevel="0" collapsed="false"/>
    <row r="2213" customFormat="false" ht="12.8" hidden="false" customHeight="false" outlineLevel="0" collapsed="false"/>
    <row r="2214" customFormat="false" ht="12.8" hidden="false" customHeight="false" outlineLevel="0" collapsed="false"/>
    <row r="2215" customFormat="false" ht="12.8" hidden="false" customHeight="false" outlineLevel="0" collapsed="false"/>
    <row r="2216" customFormat="false" ht="12.8" hidden="false" customHeight="false" outlineLevel="0" collapsed="false"/>
    <row r="2217" customFormat="false" ht="12.8" hidden="false" customHeight="false" outlineLevel="0" collapsed="false"/>
    <row r="2218" customFormat="false" ht="12.8" hidden="false" customHeight="false" outlineLevel="0" collapsed="false"/>
    <row r="2219" customFormat="false" ht="12.8" hidden="false" customHeight="false" outlineLevel="0" collapsed="false"/>
    <row r="2220" customFormat="false" ht="12.8" hidden="false" customHeight="false" outlineLevel="0" collapsed="false"/>
    <row r="2221" customFormat="false" ht="12.8" hidden="false" customHeight="false" outlineLevel="0" collapsed="false"/>
    <row r="2222" customFormat="false" ht="12.8" hidden="false" customHeight="false" outlineLevel="0" collapsed="false"/>
    <row r="2223" customFormat="false" ht="12.8" hidden="false" customHeight="false" outlineLevel="0" collapsed="false"/>
    <row r="2224" customFormat="false" ht="12.8" hidden="false" customHeight="false" outlineLevel="0" collapsed="false"/>
    <row r="2225" customFormat="false" ht="12.8" hidden="false" customHeight="false" outlineLevel="0" collapsed="false"/>
    <row r="2226" customFormat="false" ht="12.8" hidden="false" customHeight="false" outlineLevel="0" collapsed="false"/>
    <row r="2227" customFormat="false" ht="12.8" hidden="false" customHeight="false" outlineLevel="0" collapsed="false"/>
    <row r="2228" customFormat="false" ht="12.8" hidden="false" customHeight="false" outlineLevel="0" collapsed="false"/>
    <row r="2229" customFormat="false" ht="12.8" hidden="false" customHeight="false" outlineLevel="0" collapsed="false"/>
    <row r="2230" customFormat="false" ht="12.8" hidden="false" customHeight="false" outlineLevel="0" collapsed="false"/>
    <row r="2231" customFormat="false" ht="12.8" hidden="false" customHeight="false" outlineLevel="0" collapsed="false"/>
    <row r="2232" customFormat="false" ht="12.8" hidden="false" customHeight="false" outlineLevel="0" collapsed="false"/>
    <row r="2233" customFormat="false" ht="12.8" hidden="false" customHeight="false" outlineLevel="0" collapsed="false"/>
    <row r="2234" customFormat="false" ht="12.8" hidden="false" customHeight="false" outlineLevel="0" collapsed="false"/>
    <row r="2235" customFormat="false" ht="12.8" hidden="false" customHeight="false" outlineLevel="0" collapsed="false"/>
    <row r="2236" customFormat="false" ht="12.8" hidden="false" customHeight="false" outlineLevel="0" collapsed="false"/>
    <row r="2237" customFormat="false" ht="12.8" hidden="false" customHeight="false" outlineLevel="0" collapsed="false"/>
    <row r="2238" customFormat="false" ht="12.8" hidden="false" customHeight="false" outlineLevel="0" collapsed="false"/>
    <row r="2239" customFormat="false" ht="12.8" hidden="false" customHeight="false" outlineLevel="0" collapsed="false"/>
    <row r="2240" customFormat="false" ht="12.8" hidden="false" customHeight="false" outlineLevel="0" collapsed="false"/>
    <row r="2241" customFormat="false" ht="12.8" hidden="false" customHeight="false" outlineLevel="0" collapsed="false"/>
    <row r="2242" customFormat="false" ht="12.8" hidden="false" customHeight="false" outlineLevel="0" collapsed="false"/>
    <row r="2243" customFormat="false" ht="12.8" hidden="false" customHeight="false" outlineLevel="0" collapsed="false"/>
    <row r="2244" customFormat="false" ht="12.8" hidden="false" customHeight="false" outlineLevel="0" collapsed="false"/>
    <row r="2245" customFormat="false" ht="12.8" hidden="false" customHeight="false" outlineLevel="0" collapsed="false"/>
    <row r="2246" customFormat="false" ht="12.8" hidden="false" customHeight="false" outlineLevel="0" collapsed="false"/>
    <row r="2247" customFormat="false" ht="12.8" hidden="false" customHeight="false" outlineLevel="0" collapsed="false"/>
    <row r="2248" customFormat="false" ht="12.8" hidden="false" customHeight="false" outlineLevel="0" collapsed="false"/>
    <row r="2249" customFormat="false" ht="12.8" hidden="false" customHeight="false" outlineLevel="0" collapsed="false"/>
    <row r="2250" customFormat="false" ht="12.8" hidden="false" customHeight="false" outlineLevel="0" collapsed="false"/>
    <row r="2251" customFormat="false" ht="12.8" hidden="false" customHeight="false" outlineLevel="0" collapsed="false"/>
    <row r="2252" customFormat="false" ht="12.8" hidden="false" customHeight="false" outlineLevel="0" collapsed="false"/>
    <row r="2253" customFormat="false" ht="12.8" hidden="false" customHeight="false" outlineLevel="0" collapsed="false"/>
    <row r="2254" customFormat="false" ht="12.8" hidden="false" customHeight="false" outlineLevel="0" collapsed="false"/>
    <row r="2255" customFormat="false" ht="12.8" hidden="false" customHeight="false" outlineLevel="0" collapsed="false"/>
    <row r="2256" customFormat="false" ht="12.8" hidden="false" customHeight="false" outlineLevel="0" collapsed="false"/>
    <row r="2257" customFormat="false" ht="12.8" hidden="false" customHeight="false" outlineLevel="0" collapsed="false"/>
    <row r="2258" customFormat="false" ht="12.8" hidden="false" customHeight="false" outlineLevel="0" collapsed="false"/>
    <row r="2259" customFormat="false" ht="12.8" hidden="false" customHeight="false" outlineLevel="0" collapsed="false"/>
    <row r="2260" customFormat="false" ht="12.8" hidden="false" customHeight="false" outlineLevel="0" collapsed="false"/>
    <row r="2261" customFormat="false" ht="12.8" hidden="false" customHeight="false" outlineLevel="0" collapsed="false"/>
    <row r="2262" customFormat="false" ht="12.8" hidden="false" customHeight="false" outlineLevel="0" collapsed="false"/>
    <row r="2263" customFormat="false" ht="12.8" hidden="false" customHeight="false" outlineLevel="0" collapsed="false"/>
    <row r="2264" customFormat="false" ht="12.8" hidden="false" customHeight="false" outlineLevel="0" collapsed="false"/>
    <row r="2265" customFormat="false" ht="12.8" hidden="false" customHeight="false" outlineLevel="0" collapsed="false"/>
    <row r="2266" customFormat="false" ht="12.8" hidden="false" customHeight="false" outlineLevel="0" collapsed="false"/>
    <row r="2267" customFormat="false" ht="12.8" hidden="false" customHeight="false" outlineLevel="0" collapsed="false"/>
    <row r="2268" customFormat="false" ht="12.8" hidden="false" customHeight="false" outlineLevel="0" collapsed="false"/>
    <row r="2269" customFormat="false" ht="12.8" hidden="false" customHeight="false" outlineLevel="0" collapsed="false"/>
    <row r="2270" customFormat="false" ht="12.8" hidden="false" customHeight="false" outlineLevel="0" collapsed="false"/>
    <row r="2271" customFormat="false" ht="12.8" hidden="false" customHeight="false" outlineLevel="0" collapsed="false"/>
    <row r="2272" customFormat="false" ht="12.8" hidden="false" customHeight="false" outlineLevel="0" collapsed="false"/>
    <row r="2273" customFormat="false" ht="12.8" hidden="false" customHeight="false" outlineLevel="0" collapsed="false"/>
    <row r="2274" customFormat="false" ht="12.8" hidden="false" customHeight="false" outlineLevel="0" collapsed="false"/>
    <row r="2275" customFormat="false" ht="12.8" hidden="false" customHeight="false" outlineLevel="0" collapsed="false"/>
    <row r="2276" customFormat="false" ht="12.8" hidden="false" customHeight="false" outlineLevel="0" collapsed="false"/>
    <row r="2277" customFormat="false" ht="12.8" hidden="false" customHeight="false" outlineLevel="0" collapsed="false"/>
    <row r="2278" customFormat="false" ht="12.8" hidden="false" customHeight="false" outlineLevel="0" collapsed="false"/>
    <row r="2279" customFormat="false" ht="12.8" hidden="false" customHeight="false" outlineLevel="0" collapsed="false"/>
    <row r="2280" customFormat="false" ht="12.8" hidden="false" customHeight="false" outlineLevel="0" collapsed="false"/>
    <row r="2281" customFormat="false" ht="12.8" hidden="false" customHeight="false" outlineLevel="0" collapsed="false"/>
    <row r="2282" customFormat="false" ht="12.8" hidden="false" customHeight="false" outlineLevel="0" collapsed="false"/>
    <row r="2283" customFormat="false" ht="12.8" hidden="false" customHeight="false" outlineLevel="0" collapsed="false"/>
    <row r="2284" customFormat="false" ht="12.8" hidden="false" customHeight="false" outlineLevel="0" collapsed="false"/>
    <row r="2285" customFormat="false" ht="12.8" hidden="false" customHeight="false" outlineLevel="0" collapsed="false"/>
    <row r="2286" customFormat="false" ht="12.8" hidden="false" customHeight="false" outlineLevel="0" collapsed="false"/>
    <row r="2287" customFormat="false" ht="12.8" hidden="false" customHeight="false" outlineLevel="0" collapsed="false"/>
    <row r="2288" customFormat="false" ht="12.8" hidden="false" customHeight="false" outlineLevel="0" collapsed="false"/>
    <row r="2289" customFormat="false" ht="12.8" hidden="false" customHeight="false" outlineLevel="0" collapsed="false"/>
    <row r="2290" customFormat="false" ht="12.8" hidden="false" customHeight="false" outlineLevel="0" collapsed="false"/>
    <row r="2291" customFormat="false" ht="12.8" hidden="false" customHeight="false" outlineLevel="0" collapsed="false"/>
    <row r="2292" customFormat="false" ht="12.8" hidden="false" customHeight="false" outlineLevel="0" collapsed="false"/>
    <row r="2293" customFormat="false" ht="12.8" hidden="false" customHeight="false" outlineLevel="0" collapsed="false"/>
    <row r="2294" customFormat="false" ht="12.8" hidden="false" customHeight="false" outlineLevel="0" collapsed="false"/>
    <row r="2295" customFormat="false" ht="12.8" hidden="false" customHeight="false" outlineLevel="0" collapsed="false"/>
    <row r="2296" customFormat="false" ht="12.8" hidden="false" customHeight="false" outlineLevel="0" collapsed="false"/>
    <row r="2297" customFormat="false" ht="12.8" hidden="false" customHeight="false" outlineLevel="0" collapsed="false"/>
    <row r="2298" customFormat="false" ht="12.8" hidden="false" customHeight="false" outlineLevel="0" collapsed="false"/>
    <row r="2299" customFormat="false" ht="12.8" hidden="false" customHeight="false" outlineLevel="0" collapsed="false"/>
    <row r="2300" customFormat="false" ht="12.8" hidden="false" customHeight="false" outlineLevel="0" collapsed="false"/>
    <row r="2301" customFormat="false" ht="12.8" hidden="false" customHeight="false" outlineLevel="0" collapsed="false"/>
    <row r="2302" customFormat="false" ht="12.8" hidden="false" customHeight="false" outlineLevel="0" collapsed="false"/>
    <row r="2303" customFormat="false" ht="12.8" hidden="false" customHeight="false" outlineLevel="0" collapsed="false"/>
    <row r="2304" customFormat="false" ht="12.8" hidden="false" customHeight="false" outlineLevel="0" collapsed="false"/>
    <row r="2305" customFormat="false" ht="12.8" hidden="false" customHeight="false" outlineLevel="0" collapsed="false"/>
    <row r="2306" customFormat="false" ht="12.8" hidden="false" customHeight="false" outlineLevel="0" collapsed="false"/>
    <row r="2307" customFormat="false" ht="12.8" hidden="false" customHeight="false" outlineLevel="0" collapsed="false"/>
    <row r="2308" customFormat="false" ht="12.8" hidden="false" customHeight="false" outlineLevel="0" collapsed="false"/>
    <row r="2309" customFormat="false" ht="12.8" hidden="false" customHeight="false" outlineLevel="0" collapsed="false"/>
    <row r="2310" customFormat="false" ht="12.8" hidden="false" customHeight="false" outlineLevel="0" collapsed="false"/>
    <row r="2311" customFormat="false" ht="12.8" hidden="false" customHeight="false" outlineLevel="0" collapsed="false"/>
    <row r="2312" customFormat="false" ht="12.8" hidden="false" customHeight="false" outlineLevel="0" collapsed="false"/>
    <row r="2313" customFormat="false" ht="12.8" hidden="false" customHeight="false" outlineLevel="0" collapsed="false"/>
    <row r="2314" customFormat="false" ht="12.8" hidden="false" customHeight="false" outlineLevel="0" collapsed="false"/>
    <row r="2315" customFormat="false" ht="12.8" hidden="false" customHeight="false" outlineLevel="0" collapsed="false"/>
    <row r="2316" customFormat="false" ht="12.8" hidden="false" customHeight="false" outlineLevel="0" collapsed="false"/>
    <row r="2317" customFormat="false" ht="12.8" hidden="false" customHeight="false" outlineLevel="0" collapsed="false"/>
    <row r="2318" customFormat="false" ht="12.8" hidden="false" customHeight="false" outlineLevel="0" collapsed="false"/>
    <row r="2319" customFormat="false" ht="12.8" hidden="false" customHeight="false" outlineLevel="0" collapsed="false"/>
    <row r="2320" customFormat="false" ht="12.8" hidden="false" customHeight="false" outlineLevel="0" collapsed="false"/>
    <row r="2321" customFormat="false" ht="12.8" hidden="false" customHeight="false" outlineLevel="0" collapsed="false"/>
    <row r="2322" customFormat="false" ht="12.8" hidden="false" customHeight="false" outlineLevel="0" collapsed="false"/>
    <row r="2323" customFormat="false" ht="12.8" hidden="false" customHeight="false" outlineLevel="0" collapsed="false"/>
    <row r="2324" customFormat="false" ht="12.8" hidden="false" customHeight="false" outlineLevel="0" collapsed="false"/>
    <row r="2325" customFormat="false" ht="12.8" hidden="false" customHeight="false" outlineLevel="0" collapsed="false"/>
    <row r="2326" customFormat="false" ht="12.8" hidden="false" customHeight="false" outlineLevel="0" collapsed="false"/>
    <row r="2327" customFormat="false" ht="12.8" hidden="false" customHeight="false" outlineLevel="0" collapsed="false"/>
    <row r="2328" customFormat="false" ht="12.8" hidden="false" customHeight="false" outlineLevel="0" collapsed="false"/>
    <row r="2329" customFormat="false" ht="12.8" hidden="false" customHeight="false" outlineLevel="0" collapsed="false"/>
    <row r="2330" customFormat="false" ht="12.8" hidden="false" customHeight="false" outlineLevel="0" collapsed="false"/>
    <row r="2331" customFormat="false" ht="12.8" hidden="false" customHeight="false" outlineLevel="0" collapsed="false"/>
    <row r="2332" customFormat="false" ht="12.8" hidden="false" customHeight="false" outlineLevel="0" collapsed="false"/>
    <row r="2333" customFormat="false" ht="12.8" hidden="false" customHeight="false" outlineLevel="0" collapsed="false"/>
    <row r="2334" customFormat="false" ht="12.8" hidden="false" customHeight="false" outlineLevel="0" collapsed="false"/>
    <row r="2335" customFormat="false" ht="12.8" hidden="false" customHeight="false" outlineLevel="0" collapsed="false"/>
    <row r="2336" customFormat="false" ht="12.8" hidden="false" customHeight="false" outlineLevel="0" collapsed="false"/>
    <row r="2337" customFormat="false" ht="12.8" hidden="false" customHeight="false" outlineLevel="0" collapsed="false"/>
    <row r="2338" customFormat="false" ht="12.8" hidden="false" customHeight="false" outlineLevel="0" collapsed="false"/>
    <row r="2339" customFormat="false" ht="12.8" hidden="false" customHeight="false" outlineLevel="0" collapsed="false"/>
    <row r="2340" customFormat="false" ht="12.8" hidden="false" customHeight="false" outlineLevel="0" collapsed="false"/>
    <row r="2341" customFormat="false" ht="12.8" hidden="false" customHeight="false" outlineLevel="0" collapsed="false"/>
    <row r="2342" customFormat="false" ht="12.8" hidden="false" customHeight="false" outlineLevel="0" collapsed="false"/>
    <row r="2343" customFormat="false" ht="12.8" hidden="false" customHeight="false" outlineLevel="0" collapsed="false"/>
    <row r="2344" customFormat="false" ht="12.8" hidden="false" customHeight="false" outlineLevel="0" collapsed="false"/>
    <row r="2345" customFormat="false" ht="12.8" hidden="false" customHeight="false" outlineLevel="0" collapsed="false"/>
    <row r="2346" customFormat="false" ht="12.8" hidden="false" customHeight="false" outlineLevel="0" collapsed="false"/>
    <row r="2347" customFormat="false" ht="12.8" hidden="false" customHeight="false" outlineLevel="0" collapsed="false"/>
    <row r="2348" customFormat="false" ht="12.8" hidden="false" customHeight="false" outlineLevel="0" collapsed="false"/>
    <row r="2349" customFormat="false" ht="12.8" hidden="false" customHeight="false" outlineLevel="0" collapsed="false"/>
    <row r="2350" customFormat="false" ht="12.8" hidden="false" customHeight="false" outlineLevel="0" collapsed="false"/>
    <row r="2351" customFormat="false" ht="12.8" hidden="false" customHeight="false" outlineLevel="0" collapsed="false"/>
    <row r="2352" customFormat="false" ht="12.8" hidden="false" customHeight="false" outlineLevel="0" collapsed="false"/>
    <row r="2353" customFormat="false" ht="12.8" hidden="false" customHeight="false" outlineLevel="0" collapsed="false"/>
    <row r="2354" customFormat="false" ht="12.8" hidden="false" customHeight="false" outlineLevel="0" collapsed="false"/>
    <row r="2355" customFormat="false" ht="12.8" hidden="false" customHeight="false" outlineLevel="0" collapsed="false"/>
    <row r="2356" customFormat="false" ht="12.8" hidden="false" customHeight="false" outlineLevel="0" collapsed="false"/>
    <row r="2357" customFormat="false" ht="12.8" hidden="false" customHeight="false" outlineLevel="0" collapsed="false"/>
    <row r="2358" customFormat="false" ht="12.8" hidden="false" customHeight="false" outlineLevel="0" collapsed="false"/>
    <row r="2359" customFormat="false" ht="12.8" hidden="false" customHeight="false" outlineLevel="0" collapsed="false"/>
    <row r="2360" customFormat="false" ht="12.8" hidden="false" customHeight="false" outlineLevel="0" collapsed="false"/>
    <row r="2361" customFormat="false" ht="12.8" hidden="false" customHeight="false" outlineLevel="0" collapsed="false"/>
    <row r="2362" customFormat="false" ht="12.8" hidden="false" customHeight="false" outlineLevel="0" collapsed="false"/>
    <row r="2363" customFormat="false" ht="12.8" hidden="false" customHeight="false" outlineLevel="0" collapsed="false"/>
    <row r="2364" customFormat="false" ht="12.8" hidden="false" customHeight="false" outlineLevel="0" collapsed="false"/>
    <row r="2365" customFormat="false" ht="12.8" hidden="false" customHeight="false" outlineLevel="0" collapsed="false"/>
    <row r="2366" customFormat="false" ht="12.8" hidden="false" customHeight="false" outlineLevel="0" collapsed="false"/>
    <row r="2367" customFormat="false" ht="12.8" hidden="false" customHeight="false" outlineLevel="0" collapsed="false"/>
    <row r="2368" customFormat="false" ht="12.8" hidden="false" customHeight="false" outlineLevel="0" collapsed="false"/>
    <row r="2369" customFormat="false" ht="12.8" hidden="false" customHeight="false" outlineLevel="0" collapsed="false"/>
    <row r="2370" customFormat="false" ht="12.8" hidden="false" customHeight="false" outlineLevel="0" collapsed="false"/>
    <row r="2371" customFormat="false" ht="12.8" hidden="false" customHeight="false" outlineLevel="0" collapsed="false"/>
    <row r="2372" customFormat="false" ht="12.8" hidden="false" customHeight="false" outlineLevel="0" collapsed="false"/>
    <row r="2373" customFormat="false" ht="12.8" hidden="false" customHeight="false" outlineLevel="0" collapsed="false"/>
    <row r="2374" customFormat="false" ht="12.8" hidden="false" customHeight="false" outlineLevel="0" collapsed="false"/>
    <row r="2375" customFormat="false" ht="12.8" hidden="false" customHeight="false" outlineLevel="0" collapsed="false"/>
    <row r="2376" customFormat="false" ht="12.8" hidden="false" customHeight="false" outlineLevel="0" collapsed="false"/>
    <row r="2377" customFormat="false" ht="12.8" hidden="false" customHeight="false" outlineLevel="0" collapsed="false"/>
    <row r="2378" customFormat="false" ht="12.8" hidden="false" customHeight="false" outlineLevel="0" collapsed="false"/>
    <row r="2379" customFormat="false" ht="12.8" hidden="false" customHeight="false" outlineLevel="0" collapsed="false"/>
    <row r="2380" customFormat="false" ht="12.8" hidden="false" customHeight="false" outlineLevel="0" collapsed="false"/>
    <row r="2381" customFormat="false" ht="12.8" hidden="false" customHeight="false" outlineLevel="0" collapsed="false"/>
    <row r="2382" customFormat="false" ht="12.8" hidden="false" customHeight="false" outlineLevel="0" collapsed="false"/>
    <row r="2383" customFormat="false" ht="12.8" hidden="false" customHeight="false" outlineLevel="0" collapsed="false"/>
    <row r="2384" customFormat="false" ht="12.8" hidden="false" customHeight="false" outlineLevel="0" collapsed="false"/>
    <row r="2385" customFormat="false" ht="12.8" hidden="false" customHeight="false" outlineLevel="0" collapsed="false"/>
    <row r="2386" customFormat="false" ht="12.8" hidden="false" customHeight="false" outlineLevel="0" collapsed="false"/>
    <row r="2387" customFormat="false" ht="12.8" hidden="false" customHeight="false" outlineLevel="0" collapsed="false"/>
    <row r="2388" customFormat="false" ht="12.8" hidden="false" customHeight="false" outlineLevel="0" collapsed="false"/>
    <row r="2389" customFormat="false" ht="12.8" hidden="false" customHeight="false" outlineLevel="0" collapsed="false"/>
    <row r="2390" customFormat="false" ht="12.8" hidden="false" customHeight="false" outlineLevel="0" collapsed="false"/>
    <row r="2391" customFormat="false" ht="12.8" hidden="false" customHeight="false" outlineLevel="0" collapsed="false"/>
    <row r="2392" customFormat="false" ht="12.8" hidden="false" customHeight="false" outlineLevel="0" collapsed="false"/>
    <row r="2393" customFormat="false" ht="12.8" hidden="false" customHeight="false" outlineLevel="0" collapsed="false"/>
    <row r="2394" customFormat="false" ht="12.8" hidden="false" customHeight="false" outlineLevel="0" collapsed="false"/>
    <row r="2395" customFormat="false" ht="12.8" hidden="false" customHeight="false" outlineLevel="0" collapsed="false"/>
    <row r="2396" customFormat="false" ht="12.8" hidden="false" customHeight="false" outlineLevel="0" collapsed="false"/>
    <row r="2397" customFormat="false" ht="12.8" hidden="false" customHeight="false" outlineLevel="0" collapsed="false"/>
    <row r="2398" customFormat="false" ht="12.8" hidden="false" customHeight="false" outlineLevel="0" collapsed="false"/>
    <row r="2399" customFormat="false" ht="12.8" hidden="false" customHeight="false" outlineLevel="0" collapsed="false"/>
    <row r="2400" customFormat="false" ht="12.8" hidden="false" customHeight="false" outlineLevel="0" collapsed="false"/>
    <row r="2401" customFormat="false" ht="12.8" hidden="false" customHeight="false" outlineLevel="0" collapsed="false"/>
    <row r="2402" customFormat="false" ht="12.8" hidden="false" customHeight="false" outlineLevel="0" collapsed="false"/>
    <row r="2403" customFormat="false" ht="12.8" hidden="false" customHeight="false" outlineLevel="0" collapsed="false"/>
    <row r="2404" customFormat="false" ht="12.8" hidden="false" customHeight="false" outlineLevel="0" collapsed="false"/>
    <row r="2405" customFormat="false" ht="12.8" hidden="false" customHeight="false" outlineLevel="0" collapsed="false"/>
    <row r="2406" customFormat="false" ht="12.8" hidden="false" customHeight="false" outlineLevel="0" collapsed="false"/>
    <row r="2407" customFormat="false" ht="12.8" hidden="false" customHeight="false" outlineLevel="0" collapsed="false"/>
    <row r="2408" customFormat="false" ht="12.8" hidden="false" customHeight="false" outlineLevel="0" collapsed="false"/>
    <row r="2409" customFormat="false" ht="12.8" hidden="false" customHeight="false" outlineLevel="0" collapsed="false"/>
    <row r="2410" customFormat="false" ht="12.8" hidden="false" customHeight="false" outlineLevel="0" collapsed="false"/>
    <row r="2411" customFormat="false" ht="12.8" hidden="false" customHeight="false" outlineLevel="0" collapsed="false"/>
    <row r="2412" customFormat="false" ht="12.8" hidden="false" customHeight="false" outlineLevel="0" collapsed="false"/>
    <row r="2413" customFormat="false" ht="12.8" hidden="false" customHeight="false" outlineLevel="0" collapsed="false"/>
    <row r="2414" customFormat="false" ht="12.8" hidden="false" customHeight="false" outlineLevel="0" collapsed="false"/>
    <row r="2415" customFormat="false" ht="12.8" hidden="false" customHeight="false" outlineLevel="0" collapsed="false"/>
    <row r="2416" customFormat="false" ht="12.8" hidden="false" customHeight="false" outlineLevel="0" collapsed="false"/>
    <row r="2417" customFormat="false" ht="12.8" hidden="false" customHeight="false" outlineLevel="0" collapsed="false"/>
    <row r="2418" customFormat="false" ht="12.8" hidden="false" customHeight="false" outlineLevel="0" collapsed="false"/>
    <row r="2419" customFormat="false" ht="12.8" hidden="false" customHeight="false" outlineLevel="0" collapsed="false"/>
    <row r="2420" customFormat="false" ht="12.8" hidden="false" customHeight="false" outlineLevel="0" collapsed="false"/>
    <row r="2421" customFormat="false" ht="12.8" hidden="false" customHeight="false" outlineLevel="0" collapsed="false"/>
    <row r="2422" customFormat="false" ht="12.8" hidden="false" customHeight="false" outlineLevel="0" collapsed="false"/>
    <row r="2423" customFormat="false" ht="12.8" hidden="false" customHeight="false" outlineLevel="0" collapsed="false"/>
    <row r="2424" customFormat="false" ht="12.8" hidden="false" customHeight="false" outlineLevel="0" collapsed="false"/>
    <row r="2425" customFormat="false" ht="12.8" hidden="false" customHeight="false" outlineLevel="0" collapsed="false"/>
    <row r="2426" customFormat="false" ht="12.8" hidden="false" customHeight="false" outlineLevel="0" collapsed="false"/>
    <row r="2427" customFormat="false" ht="12.8" hidden="false" customHeight="false" outlineLevel="0" collapsed="false"/>
    <row r="2428" customFormat="false" ht="12.8" hidden="false" customHeight="false" outlineLevel="0" collapsed="false"/>
    <row r="2429" customFormat="false" ht="12.8" hidden="false" customHeight="false" outlineLevel="0" collapsed="false"/>
    <row r="2430" customFormat="false" ht="12.8" hidden="false" customHeight="false" outlineLevel="0" collapsed="false"/>
    <row r="2431" customFormat="false" ht="12.8" hidden="false" customHeight="false" outlineLevel="0" collapsed="false"/>
    <row r="2432" customFormat="false" ht="12.8" hidden="false" customHeight="false" outlineLevel="0" collapsed="false"/>
    <row r="2433" customFormat="false" ht="12.8" hidden="false" customHeight="false" outlineLevel="0" collapsed="false"/>
    <row r="2434" customFormat="false" ht="12.8" hidden="false" customHeight="false" outlineLevel="0" collapsed="false"/>
    <row r="2435" customFormat="false" ht="12.8" hidden="false" customHeight="false" outlineLevel="0" collapsed="false"/>
    <row r="2436" customFormat="false" ht="12.8" hidden="false" customHeight="false" outlineLevel="0" collapsed="false"/>
    <row r="2437" customFormat="false" ht="12.8" hidden="false" customHeight="false" outlineLevel="0" collapsed="false"/>
    <row r="2438" customFormat="false" ht="12.8" hidden="false" customHeight="false" outlineLevel="0" collapsed="false"/>
    <row r="2439" customFormat="false" ht="12.8" hidden="false" customHeight="false" outlineLevel="0" collapsed="false"/>
    <row r="2440" customFormat="false" ht="12.8" hidden="false" customHeight="false" outlineLevel="0" collapsed="false"/>
    <row r="2441" customFormat="false" ht="12.8" hidden="false" customHeight="false" outlineLevel="0" collapsed="false"/>
    <row r="2442" customFormat="false" ht="12.8" hidden="false" customHeight="false" outlineLevel="0" collapsed="false"/>
    <row r="2443" customFormat="false" ht="12.8" hidden="false" customHeight="false" outlineLevel="0" collapsed="false"/>
    <row r="2444" customFormat="false" ht="12.8" hidden="false" customHeight="false" outlineLevel="0" collapsed="false"/>
    <row r="2445" customFormat="false" ht="12.8" hidden="false" customHeight="false" outlineLevel="0" collapsed="false"/>
    <row r="2446" customFormat="false" ht="12.8" hidden="false" customHeight="false" outlineLevel="0" collapsed="false"/>
    <row r="2447" customFormat="false" ht="12.8" hidden="false" customHeight="false" outlineLevel="0" collapsed="false"/>
    <row r="2448" customFormat="false" ht="12.8" hidden="false" customHeight="false" outlineLevel="0" collapsed="false"/>
    <row r="2449" customFormat="false" ht="12.8" hidden="false" customHeight="false" outlineLevel="0" collapsed="false"/>
    <row r="2450" customFormat="false" ht="12.8" hidden="false" customHeight="false" outlineLevel="0" collapsed="false"/>
    <row r="2451" customFormat="false" ht="12.8" hidden="false" customHeight="false" outlineLevel="0" collapsed="false"/>
    <row r="2452" customFormat="false" ht="12.8" hidden="false" customHeight="false" outlineLevel="0" collapsed="false"/>
    <row r="2453" customFormat="false" ht="12.8" hidden="false" customHeight="false" outlineLevel="0" collapsed="false"/>
    <row r="2454" customFormat="false" ht="12.8" hidden="false" customHeight="false" outlineLevel="0" collapsed="false"/>
    <row r="2455" customFormat="false" ht="12.8" hidden="false" customHeight="false" outlineLevel="0" collapsed="false"/>
    <row r="2456" customFormat="false" ht="12.8" hidden="false" customHeight="false" outlineLevel="0" collapsed="false"/>
    <row r="2457" customFormat="false" ht="12.8" hidden="false" customHeight="false" outlineLevel="0" collapsed="false"/>
    <row r="2458" customFormat="false" ht="12.8" hidden="false" customHeight="false" outlineLevel="0" collapsed="false"/>
    <row r="2459" customFormat="false" ht="12.8" hidden="false" customHeight="false" outlineLevel="0" collapsed="false"/>
    <row r="2460" customFormat="false" ht="12.8" hidden="false" customHeight="false" outlineLevel="0" collapsed="false"/>
    <row r="2461" customFormat="false" ht="12.8" hidden="false" customHeight="false" outlineLevel="0" collapsed="false"/>
    <row r="2462" customFormat="false" ht="12.8" hidden="false" customHeight="false" outlineLevel="0" collapsed="false"/>
    <row r="2463" customFormat="false" ht="12.8" hidden="false" customHeight="false" outlineLevel="0" collapsed="false"/>
    <row r="2464" customFormat="false" ht="12.8" hidden="false" customHeight="false" outlineLevel="0" collapsed="false"/>
    <row r="2465" customFormat="false" ht="12.8" hidden="false" customHeight="false" outlineLevel="0" collapsed="false"/>
    <row r="2466" customFormat="false" ht="12.8" hidden="false" customHeight="false" outlineLevel="0" collapsed="false"/>
    <row r="2467" customFormat="false" ht="12.8" hidden="false" customHeight="false" outlineLevel="0" collapsed="false"/>
    <row r="2468" customFormat="false" ht="12.8" hidden="false" customHeight="false" outlineLevel="0" collapsed="false"/>
    <row r="2469" customFormat="false" ht="12.8" hidden="false" customHeight="false" outlineLevel="0" collapsed="false"/>
    <row r="2470" customFormat="false" ht="12.8" hidden="false" customHeight="false" outlineLevel="0" collapsed="false"/>
    <row r="2471" customFormat="false" ht="12.8" hidden="false" customHeight="false" outlineLevel="0" collapsed="false"/>
    <row r="2472" customFormat="false" ht="12.8" hidden="false" customHeight="false" outlineLevel="0" collapsed="false"/>
    <row r="2473" customFormat="false" ht="12.8" hidden="false" customHeight="false" outlineLevel="0" collapsed="false"/>
    <row r="2474" customFormat="false" ht="12.8" hidden="false" customHeight="false" outlineLevel="0" collapsed="false"/>
    <row r="2475" customFormat="false" ht="12.8" hidden="false" customHeight="false" outlineLevel="0" collapsed="false"/>
    <row r="2476" customFormat="false" ht="12.8" hidden="false" customHeight="false" outlineLevel="0" collapsed="false"/>
    <row r="2477" customFormat="false" ht="12.8" hidden="false" customHeight="false" outlineLevel="0" collapsed="false"/>
    <row r="2478" customFormat="false" ht="12.8" hidden="false" customHeight="false" outlineLevel="0" collapsed="false"/>
    <row r="2479" customFormat="false" ht="12.8" hidden="false" customHeight="false" outlineLevel="0" collapsed="false"/>
    <row r="2480" customFormat="false" ht="12.8" hidden="false" customHeight="false" outlineLevel="0" collapsed="false"/>
    <row r="2481" customFormat="false" ht="12.8" hidden="false" customHeight="false" outlineLevel="0" collapsed="false"/>
    <row r="2482" customFormat="false" ht="12.8" hidden="false" customHeight="false" outlineLevel="0" collapsed="false"/>
    <row r="2483" customFormat="false" ht="12.8" hidden="false" customHeight="false" outlineLevel="0" collapsed="false"/>
    <row r="2484" customFormat="false" ht="12.8" hidden="false" customHeight="false" outlineLevel="0" collapsed="false"/>
    <row r="2485" customFormat="false" ht="12.8" hidden="false" customHeight="false" outlineLevel="0" collapsed="false"/>
    <row r="2486" customFormat="false" ht="12.8" hidden="false" customHeight="false" outlineLevel="0" collapsed="false"/>
    <row r="2487" customFormat="false" ht="12.8" hidden="false" customHeight="false" outlineLevel="0" collapsed="false"/>
    <row r="2488" customFormat="false" ht="12.8" hidden="false" customHeight="false" outlineLevel="0" collapsed="false"/>
    <row r="2489" customFormat="false" ht="12.8" hidden="false" customHeight="false" outlineLevel="0" collapsed="false"/>
    <row r="2490" customFormat="false" ht="12.8" hidden="false" customHeight="false" outlineLevel="0" collapsed="false"/>
    <row r="2491" customFormat="false" ht="12.8" hidden="false" customHeight="false" outlineLevel="0" collapsed="false"/>
    <row r="2492" customFormat="false" ht="12.8" hidden="false" customHeight="false" outlineLevel="0" collapsed="false"/>
    <row r="2493" customFormat="false" ht="12.8" hidden="false" customHeight="false" outlineLevel="0" collapsed="false"/>
    <row r="2494" customFormat="false" ht="12.8" hidden="false" customHeight="false" outlineLevel="0" collapsed="false"/>
    <row r="2495" customFormat="false" ht="12.8" hidden="false" customHeight="false" outlineLevel="0" collapsed="false"/>
    <row r="2496" customFormat="false" ht="12.8" hidden="false" customHeight="false" outlineLevel="0" collapsed="false"/>
    <row r="2497" customFormat="false" ht="12.8" hidden="false" customHeight="false" outlineLevel="0" collapsed="false"/>
    <row r="2498" customFormat="false" ht="12.8" hidden="false" customHeight="false" outlineLevel="0" collapsed="false"/>
    <row r="2499" customFormat="false" ht="12.8" hidden="false" customHeight="false" outlineLevel="0" collapsed="false"/>
    <row r="2500" customFormat="false" ht="12.8" hidden="false" customHeight="false" outlineLevel="0" collapsed="false"/>
    <row r="2501" customFormat="false" ht="12.8" hidden="false" customHeight="false" outlineLevel="0" collapsed="false"/>
    <row r="2502" customFormat="false" ht="12.8" hidden="false" customHeight="false" outlineLevel="0" collapsed="false"/>
    <row r="2503" customFormat="false" ht="12.8" hidden="false" customHeight="false" outlineLevel="0" collapsed="false"/>
    <row r="2504" customFormat="false" ht="12.8" hidden="false" customHeight="false" outlineLevel="0" collapsed="false"/>
    <row r="2505" customFormat="false" ht="12.8" hidden="false" customHeight="false" outlineLevel="0" collapsed="false"/>
    <row r="2506" customFormat="false" ht="12.8" hidden="false" customHeight="false" outlineLevel="0" collapsed="false"/>
    <row r="2507" customFormat="false" ht="12.8" hidden="false" customHeight="false" outlineLevel="0" collapsed="false"/>
    <row r="2508" customFormat="false" ht="12.8" hidden="false" customHeight="false" outlineLevel="0" collapsed="false"/>
    <row r="2509" customFormat="false" ht="12.8" hidden="false" customHeight="false" outlineLevel="0" collapsed="false"/>
    <row r="2510" customFormat="false" ht="12.8" hidden="false" customHeight="false" outlineLevel="0" collapsed="false"/>
    <row r="2511" customFormat="false" ht="12.8" hidden="false" customHeight="false" outlineLevel="0" collapsed="false"/>
    <row r="2512" customFormat="false" ht="12.8" hidden="false" customHeight="false" outlineLevel="0" collapsed="false"/>
    <row r="2513" customFormat="false" ht="12.8" hidden="false" customHeight="false" outlineLevel="0" collapsed="false"/>
    <row r="2514" customFormat="false" ht="12.8" hidden="false" customHeight="false" outlineLevel="0" collapsed="false"/>
    <row r="2515" customFormat="false" ht="12.8" hidden="false" customHeight="false" outlineLevel="0" collapsed="false"/>
    <row r="2516" customFormat="false" ht="12.8" hidden="false" customHeight="false" outlineLevel="0" collapsed="false"/>
    <row r="2517" customFormat="false" ht="12.8" hidden="false" customHeight="false" outlineLevel="0" collapsed="false"/>
    <row r="2518" customFormat="false" ht="12.8" hidden="false" customHeight="false" outlineLevel="0" collapsed="false"/>
    <row r="2519" customFormat="false" ht="12.8" hidden="false" customHeight="false" outlineLevel="0" collapsed="false"/>
    <row r="2520" customFormat="false" ht="12.8" hidden="false" customHeight="false" outlineLevel="0" collapsed="false"/>
    <row r="2521" customFormat="false" ht="12.8" hidden="false" customHeight="false" outlineLevel="0" collapsed="false"/>
    <row r="2522" customFormat="false" ht="12.8" hidden="false" customHeight="false" outlineLevel="0" collapsed="false"/>
    <row r="2523" customFormat="false" ht="12.8" hidden="false" customHeight="false" outlineLevel="0" collapsed="false"/>
    <row r="2524" customFormat="false" ht="12.8" hidden="false" customHeight="false" outlineLevel="0" collapsed="false"/>
    <row r="2525" customFormat="false" ht="12.8" hidden="false" customHeight="false" outlineLevel="0" collapsed="false"/>
    <row r="2526" customFormat="false" ht="12.8" hidden="false" customHeight="false" outlineLevel="0" collapsed="false"/>
    <row r="2527" customFormat="false" ht="12.8" hidden="false" customHeight="false" outlineLevel="0" collapsed="false"/>
    <row r="2528" customFormat="false" ht="12.8" hidden="false" customHeight="false" outlineLevel="0" collapsed="false"/>
    <row r="2529" customFormat="false" ht="12.8" hidden="false" customHeight="false" outlineLevel="0" collapsed="false"/>
    <row r="2530" customFormat="false" ht="12.8" hidden="false" customHeight="false" outlineLevel="0" collapsed="false"/>
    <row r="2531" customFormat="false" ht="12.8" hidden="false" customHeight="false" outlineLevel="0" collapsed="false"/>
    <row r="2532" customFormat="false" ht="12.8" hidden="false" customHeight="false" outlineLevel="0" collapsed="false"/>
    <row r="2533" customFormat="false" ht="12.8" hidden="false" customHeight="false" outlineLevel="0" collapsed="false"/>
    <row r="2534" customFormat="false" ht="12.8" hidden="false" customHeight="false" outlineLevel="0" collapsed="false"/>
    <row r="2535" customFormat="false" ht="12.8" hidden="false" customHeight="false" outlineLevel="0" collapsed="false"/>
    <row r="2536" customFormat="false" ht="12.8" hidden="false" customHeight="false" outlineLevel="0" collapsed="false"/>
    <row r="2537" customFormat="false" ht="12.8" hidden="false" customHeight="false" outlineLevel="0" collapsed="false"/>
    <row r="2538" customFormat="false" ht="12.8" hidden="false" customHeight="false" outlineLevel="0" collapsed="false"/>
    <row r="2539" customFormat="false" ht="12.8" hidden="false" customHeight="false" outlineLevel="0" collapsed="false"/>
    <row r="2540" customFormat="false" ht="12.8" hidden="false" customHeight="false" outlineLevel="0" collapsed="false"/>
    <row r="2541" customFormat="false" ht="12.8" hidden="false" customHeight="false" outlineLevel="0" collapsed="false"/>
    <row r="2542" customFormat="false" ht="12.8" hidden="false" customHeight="false" outlineLevel="0" collapsed="false"/>
    <row r="2543" customFormat="false" ht="12.8" hidden="false" customHeight="false" outlineLevel="0" collapsed="false"/>
    <row r="2544" customFormat="false" ht="12.8" hidden="false" customHeight="false" outlineLevel="0" collapsed="false"/>
    <row r="2545" customFormat="false" ht="12.8" hidden="false" customHeight="false" outlineLevel="0" collapsed="false"/>
    <row r="2546" customFormat="false" ht="12.8" hidden="false" customHeight="false" outlineLevel="0" collapsed="false"/>
    <row r="2547" customFormat="false" ht="12.8" hidden="false" customHeight="false" outlineLevel="0" collapsed="false"/>
    <row r="2548" customFormat="false" ht="12.8" hidden="false" customHeight="false" outlineLevel="0" collapsed="false"/>
    <row r="2549" customFormat="false" ht="12.8" hidden="false" customHeight="false" outlineLevel="0" collapsed="false"/>
    <row r="2550" customFormat="false" ht="12.8" hidden="false" customHeight="false" outlineLevel="0" collapsed="false"/>
    <row r="2551" customFormat="false" ht="12.8" hidden="false" customHeight="false" outlineLevel="0" collapsed="false"/>
    <row r="2552" customFormat="false" ht="12.8" hidden="false" customHeight="false" outlineLevel="0" collapsed="false"/>
    <row r="2553" customFormat="false" ht="12.8" hidden="false" customHeight="false" outlineLevel="0" collapsed="false"/>
    <row r="2554" customFormat="false" ht="12.8" hidden="false" customHeight="false" outlineLevel="0" collapsed="false"/>
    <row r="2555" customFormat="false" ht="12.8" hidden="false" customHeight="false" outlineLevel="0" collapsed="false"/>
    <row r="2556" customFormat="false" ht="12.8" hidden="false" customHeight="false" outlineLevel="0" collapsed="false"/>
    <row r="2557" customFormat="false" ht="12.8" hidden="false" customHeight="false" outlineLevel="0" collapsed="false"/>
    <row r="2558" customFormat="false" ht="12.8" hidden="false" customHeight="false" outlineLevel="0" collapsed="false"/>
    <row r="2559" customFormat="false" ht="12.8" hidden="false" customHeight="false" outlineLevel="0" collapsed="false"/>
    <row r="2560" customFormat="false" ht="12.8" hidden="false" customHeight="false" outlineLevel="0" collapsed="false"/>
    <row r="2561" customFormat="false" ht="12.8" hidden="false" customHeight="false" outlineLevel="0" collapsed="false"/>
    <row r="2562" customFormat="false" ht="12.8" hidden="false" customHeight="false" outlineLevel="0" collapsed="false"/>
    <row r="2563" customFormat="false" ht="12.8" hidden="false" customHeight="false" outlineLevel="0" collapsed="false"/>
    <row r="2564" customFormat="false" ht="12.8" hidden="false" customHeight="false" outlineLevel="0" collapsed="false"/>
    <row r="2565" customFormat="false" ht="12.8" hidden="false" customHeight="false" outlineLevel="0" collapsed="false"/>
    <row r="2566" customFormat="false" ht="12.8" hidden="false" customHeight="false" outlineLevel="0" collapsed="false"/>
    <row r="2567" customFormat="false" ht="12.8" hidden="false" customHeight="false" outlineLevel="0" collapsed="false"/>
    <row r="2568" customFormat="false" ht="12.8" hidden="false" customHeight="false" outlineLevel="0" collapsed="false"/>
    <row r="2569" customFormat="false" ht="12.8" hidden="false" customHeight="false" outlineLevel="0" collapsed="false"/>
    <row r="2570" customFormat="false" ht="12.8" hidden="false" customHeight="false" outlineLevel="0" collapsed="false"/>
    <row r="2571" customFormat="false" ht="12.8" hidden="false" customHeight="false" outlineLevel="0" collapsed="false"/>
    <row r="2572" customFormat="false" ht="12.8" hidden="false" customHeight="false" outlineLevel="0" collapsed="false"/>
    <row r="2573" customFormat="false" ht="12.8" hidden="false" customHeight="false" outlineLevel="0" collapsed="false"/>
    <row r="2574" customFormat="false" ht="12.8" hidden="false" customHeight="false" outlineLevel="0" collapsed="false"/>
    <row r="2575" customFormat="false" ht="12.8" hidden="false" customHeight="false" outlineLevel="0" collapsed="false"/>
    <row r="2576" customFormat="false" ht="12.8" hidden="false" customHeight="false" outlineLevel="0" collapsed="false"/>
    <row r="2577" customFormat="false" ht="12.8" hidden="false" customHeight="false" outlineLevel="0" collapsed="false"/>
    <row r="2578" customFormat="false" ht="12.8" hidden="false" customHeight="false" outlineLevel="0" collapsed="false"/>
    <row r="2579" customFormat="false" ht="12.8" hidden="false" customHeight="false" outlineLevel="0" collapsed="false"/>
    <row r="2580" customFormat="false" ht="12.8" hidden="false" customHeight="false" outlineLevel="0" collapsed="false"/>
    <row r="2581" customFormat="false" ht="12.8" hidden="false" customHeight="false" outlineLevel="0" collapsed="false"/>
    <row r="2582" customFormat="false" ht="12.8" hidden="false" customHeight="false" outlineLevel="0" collapsed="false"/>
    <row r="2583" customFormat="false" ht="12.8" hidden="false" customHeight="false" outlineLevel="0" collapsed="false"/>
    <row r="2584" customFormat="false" ht="12.8" hidden="false" customHeight="false" outlineLevel="0" collapsed="false"/>
    <row r="2585" customFormat="false" ht="12.8" hidden="false" customHeight="false" outlineLevel="0" collapsed="false"/>
    <row r="2586" customFormat="false" ht="12.8" hidden="false" customHeight="false" outlineLevel="0" collapsed="false"/>
    <row r="2587" customFormat="false" ht="12.8" hidden="false" customHeight="false" outlineLevel="0" collapsed="false"/>
    <row r="2588" customFormat="false" ht="12.8" hidden="false" customHeight="false" outlineLevel="0" collapsed="false"/>
    <row r="2589" customFormat="false" ht="12.8" hidden="false" customHeight="false" outlineLevel="0" collapsed="false"/>
    <row r="2590" customFormat="false" ht="12.8" hidden="false" customHeight="false" outlineLevel="0" collapsed="false"/>
    <row r="2591" customFormat="false" ht="12.8" hidden="false" customHeight="false" outlineLevel="0" collapsed="false"/>
    <row r="2592" customFormat="false" ht="12.8" hidden="false" customHeight="false" outlineLevel="0" collapsed="false"/>
    <row r="2593" customFormat="false" ht="12.8" hidden="false" customHeight="false" outlineLevel="0" collapsed="false"/>
    <row r="2594" customFormat="false" ht="12.8" hidden="false" customHeight="false" outlineLevel="0" collapsed="false"/>
    <row r="2595" customFormat="false" ht="12.8" hidden="false" customHeight="false" outlineLevel="0" collapsed="false"/>
    <row r="2596" customFormat="false" ht="12.8" hidden="false" customHeight="false" outlineLevel="0" collapsed="false"/>
    <row r="2597" customFormat="false" ht="12.8" hidden="false" customHeight="false" outlineLevel="0" collapsed="false"/>
    <row r="2598" customFormat="false" ht="12.8" hidden="false" customHeight="false" outlineLevel="0" collapsed="false"/>
    <row r="2599" customFormat="false" ht="12.8" hidden="false" customHeight="false" outlineLevel="0" collapsed="false"/>
    <row r="2600" customFormat="false" ht="12.8" hidden="false" customHeight="false" outlineLevel="0" collapsed="false"/>
    <row r="2601" customFormat="false" ht="12.8" hidden="false" customHeight="false" outlineLevel="0" collapsed="false"/>
    <row r="2602" customFormat="false" ht="12.8" hidden="false" customHeight="false" outlineLevel="0" collapsed="false"/>
    <row r="2603" customFormat="false" ht="12.8" hidden="false" customHeight="false" outlineLevel="0" collapsed="false"/>
    <row r="2604" customFormat="false" ht="12.8" hidden="false" customHeight="false" outlineLevel="0" collapsed="false"/>
    <row r="2605" customFormat="false" ht="12.8" hidden="false" customHeight="false" outlineLevel="0" collapsed="false"/>
    <row r="2606" customFormat="false" ht="12.8" hidden="false" customHeight="false" outlineLevel="0" collapsed="false"/>
    <row r="2607" customFormat="false" ht="12.8" hidden="false" customHeight="false" outlineLevel="0" collapsed="false"/>
    <row r="2608" customFormat="false" ht="12.8" hidden="false" customHeight="false" outlineLevel="0" collapsed="false"/>
    <row r="2609" customFormat="false" ht="12.8" hidden="false" customHeight="false" outlineLevel="0" collapsed="false"/>
    <row r="2610" customFormat="false" ht="12.8" hidden="false" customHeight="false" outlineLevel="0" collapsed="false"/>
    <row r="2611" customFormat="false" ht="12.8" hidden="false" customHeight="false" outlineLevel="0" collapsed="false"/>
    <row r="2612" customFormat="false" ht="12.8" hidden="false" customHeight="false" outlineLevel="0" collapsed="false"/>
    <row r="2613" customFormat="false" ht="12.8" hidden="false" customHeight="false" outlineLevel="0" collapsed="false"/>
    <row r="2614" customFormat="false" ht="12.8" hidden="false" customHeight="false" outlineLevel="0" collapsed="false"/>
    <row r="2615" customFormat="false" ht="12.8" hidden="false" customHeight="false" outlineLevel="0" collapsed="false"/>
    <row r="2616" customFormat="false" ht="12.8" hidden="false" customHeight="false" outlineLevel="0" collapsed="false"/>
    <row r="2617" customFormat="false" ht="12.8" hidden="false" customHeight="false" outlineLevel="0" collapsed="false"/>
    <row r="2618" customFormat="false" ht="12.8" hidden="false" customHeight="false" outlineLevel="0" collapsed="false"/>
    <row r="2619" customFormat="false" ht="12.8" hidden="false" customHeight="false" outlineLevel="0" collapsed="false"/>
    <row r="2620" customFormat="false" ht="12.8" hidden="false" customHeight="false" outlineLevel="0" collapsed="false"/>
    <row r="2621" customFormat="false" ht="12.8" hidden="false" customHeight="false" outlineLevel="0" collapsed="false"/>
    <row r="2622" customFormat="false" ht="12.8" hidden="false" customHeight="false" outlineLevel="0" collapsed="false"/>
    <row r="2623" customFormat="false" ht="12.8" hidden="false" customHeight="false" outlineLevel="0" collapsed="false"/>
    <row r="2624" customFormat="false" ht="12.8" hidden="false" customHeight="false" outlineLevel="0" collapsed="false"/>
    <row r="2625" customFormat="false" ht="12.8" hidden="false" customHeight="false" outlineLevel="0" collapsed="false"/>
    <row r="2626" customFormat="false" ht="12.8" hidden="false" customHeight="false" outlineLevel="0" collapsed="false"/>
    <row r="2627" customFormat="false" ht="12.8" hidden="false" customHeight="false" outlineLevel="0" collapsed="false"/>
    <row r="2628" customFormat="false" ht="12.8" hidden="false" customHeight="false" outlineLevel="0" collapsed="false"/>
    <row r="2629" customFormat="false" ht="12.8" hidden="false" customHeight="false" outlineLevel="0" collapsed="false"/>
    <row r="2630" customFormat="false" ht="12.8" hidden="false" customHeight="false" outlineLevel="0" collapsed="false"/>
    <row r="2631" customFormat="false" ht="12.8" hidden="false" customHeight="false" outlineLevel="0" collapsed="false"/>
    <row r="2632" customFormat="false" ht="12.8" hidden="false" customHeight="false" outlineLevel="0" collapsed="false"/>
    <row r="2633" customFormat="false" ht="12.8" hidden="false" customHeight="false" outlineLevel="0" collapsed="false"/>
    <row r="2634" customFormat="false" ht="12.8" hidden="false" customHeight="false" outlineLevel="0" collapsed="false"/>
    <row r="2635" customFormat="false" ht="12.8" hidden="false" customHeight="false" outlineLevel="0" collapsed="false"/>
    <row r="2636" customFormat="false" ht="12.8" hidden="false" customHeight="false" outlineLevel="0" collapsed="false"/>
    <row r="2637" customFormat="false" ht="12.8" hidden="false" customHeight="false" outlineLevel="0" collapsed="false"/>
    <row r="2638" customFormat="false" ht="12.8" hidden="false" customHeight="false" outlineLevel="0" collapsed="false"/>
    <row r="2639" customFormat="false" ht="12.8" hidden="false" customHeight="false" outlineLevel="0" collapsed="false"/>
    <row r="2640" customFormat="false" ht="12.8" hidden="false" customHeight="false" outlineLevel="0" collapsed="false"/>
    <row r="2641" customFormat="false" ht="12.8" hidden="false" customHeight="false" outlineLevel="0" collapsed="false"/>
    <row r="2642" customFormat="false" ht="12.8" hidden="false" customHeight="false" outlineLevel="0" collapsed="false"/>
    <row r="2643" customFormat="false" ht="12.8" hidden="false" customHeight="false" outlineLevel="0" collapsed="false"/>
    <row r="2644" customFormat="false" ht="12.8" hidden="false" customHeight="false" outlineLevel="0" collapsed="false"/>
    <row r="2645" customFormat="false" ht="12.8" hidden="false" customHeight="false" outlineLevel="0" collapsed="false"/>
    <row r="2646" customFormat="false" ht="12.8" hidden="false" customHeight="false" outlineLevel="0" collapsed="false"/>
    <row r="2647" customFormat="false" ht="12.8" hidden="false" customHeight="false" outlineLevel="0" collapsed="false"/>
    <row r="2648" customFormat="false" ht="12.8" hidden="false" customHeight="false" outlineLevel="0" collapsed="false"/>
    <row r="2649" customFormat="false" ht="12.8" hidden="false" customHeight="false" outlineLevel="0" collapsed="false"/>
    <row r="2650" customFormat="false" ht="12.8" hidden="false" customHeight="false" outlineLevel="0" collapsed="false"/>
    <row r="2651" customFormat="false" ht="12.8" hidden="false" customHeight="false" outlineLevel="0" collapsed="false"/>
    <row r="2652" customFormat="false" ht="12.8" hidden="false" customHeight="false" outlineLevel="0" collapsed="false"/>
    <row r="2653" customFormat="false" ht="12.8" hidden="false" customHeight="false" outlineLevel="0" collapsed="false"/>
    <row r="2654" customFormat="false" ht="12.8" hidden="false" customHeight="false" outlineLevel="0" collapsed="false"/>
    <row r="2655" customFormat="false" ht="12.8" hidden="false" customHeight="false" outlineLevel="0" collapsed="false"/>
    <row r="2656" customFormat="false" ht="12.8" hidden="false" customHeight="false" outlineLevel="0" collapsed="false"/>
    <row r="2657" customFormat="false" ht="12.8" hidden="false" customHeight="false" outlineLevel="0" collapsed="false"/>
    <row r="2658" customFormat="false" ht="12.8" hidden="false" customHeight="false" outlineLevel="0" collapsed="false"/>
    <row r="2659" customFormat="false" ht="12.8" hidden="false" customHeight="false" outlineLevel="0" collapsed="false"/>
    <row r="2660" customFormat="false" ht="12.8" hidden="false" customHeight="false" outlineLevel="0" collapsed="false"/>
    <row r="2661" customFormat="false" ht="12.8" hidden="false" customHeight="false" outlineLevel="0" collapsed="false"/>
    <row r="2662" customFormat="false" ht="12.8" hidden="false" customHeight="false" outlineLevel="0" collapsed="false"/>
    <row r="2663" customFormat="false" ht="12.8" hidden="false" customHeight="false" outlineLevel="0" collapsed="false"/>
    <row r="2664" customFormat="false" ht="12.8" hidden="false" customHeight="false" outlineLevel="0" collapsed="false"/>
    <row r="2665" customFormat="false" ht="12.8" hidden="false" customHeight="false" outlineLevel="0" collapsed="false"/>
    <row r="2666" customFormat="false" ht="12.8" hidden="false" customHeight="false" outlineLevel="0" collapsed="false"/>
    <row r="2667" customFormat="false" ht="12.8" hidden="false" customHeight="false" outlineLevel="0" collapsed="false"/>
    <row r="2668" customFormat="false" ht="12.8" hidden="false" customHeight="false" outlineLevel="0" collapsed="false"/>
    <row r="2669" customFormat="false" ht="12.8" hidden="false" customHeight="false" outlineLevel="0" collapsed="false"/>
    <row r="2670" customFormat="false" ht="12.8" hidden="false" customHeight="false" outlineLevel="0" collapsed="false"/>
    <row r="2671" customFormat="false" ht="12.8" hidden="false" customHeight="false" outlineLevel="0" collapsed="false"/>
    <row r="2672" customFormat="false" ht="12.8" hidden="false" customHeight="false" outlineLevel="0" collapsed="false"/>
    <row r="2673" customFormat="false" ht="12.8" hidden="false" customHeight="false" outlineLevel="0" collapsed="false"/>
    <row r="2674" customFormat="false" ht="12.8" hidden="false" customHeight="false" outlineLevel="0" collapsed="false"/>
    <row r="2675" customFormat="false" ht="12.8" hidden="false" customHeight="false" outlineLevel="0" collapsed="false"/>
    <row r="2676" customFormat="false" ht="12.8" hidden="false" customHeight="false" outlineLevel="0" collapsed="false"/>
    <row r="2677" customFormat="false" ht="12.8" hidden="false" customHeight="false" outlineLevel="0" collapsed="false"/>
    <row r="2678" customFormat="false" ht="12.8" hidden="false" customHeight="false" outlineLevel="0" collapsed="false"/>
    <row r="2679" customFormat="false" ht="12.8" hidden="false" customHeight="false" outlineLevel="0" collapsed="false"/>
    <row r="2680" customFormat="false" ht="12.8" hidden="false" customHeight="false" outlineLevel="0" collapsed="false"/>
    <row r="2681" customFormat="false" ht="12.8" hidden="false" customHeight="false" outlineLevel="0" collapsed="false"/>
    <row r="2682" customFormat="false" ht="12.8" hidden="false" customHeight="false" outlineLevel="0" collapsed="false"/>
    <row r="2683" customFormat="false" ht="12.8" hidden="false" customHeight="false" outlineLevel="0" collapsed="false"/>
    <row r="2684" customFormat="false" ht="12.8" hidden="false" customHeight="false" outlineLevel="0" collapsed="false"/>
    <row r="2685" customFormat="false" ht="12.8" hidden="false" customHeight="false" outlineLevel="0" collapsed="false"/>
    <row r="2686" customFormat="false" ht="12.8" hidden="false" customHeight="false" outlineLevel="0" collapsed="false"/>
    <row r="2687" customFormat="false" ht="12.8" hidden="false" customHeight="false" outlineLevel="0" collapsed="false"/>
    <row r="2688" customFormat="false" ht="12.8" hidden="false" customHeight="false" outlineLevel="0" collapsed="false"/>
    <row r="2689" customFormat="false" ht="12.8" hidden="false" customHeight="false" outlineLevel="0" collapsed="false"/>
    <row r="2690" customFormat="false" ht="12.8" hidden="false" customHeight="false" outlineLevel="0" collapsed="false"/>
    <row r="2691" customFormat="false" ht="12.8" hidden="false" customHeight="false" outlineLevel="0" collapsed="false"/>
    <row r="2692" customFormat="false" ht="12.8" hidden="false" customHeight="false" outlineLevel="0" collapsed="false"/>
    <row r="2693" customFormat="false" ht="12.8" hidden="false" customHeight="false" outlineLevel="0" collapsed="false"/>
    <row r="2694" customFormat="false" ht="12.8" hidden="false" customHeight="false" outlineLevel="0" collapsed="false"/>
    <row r="2695" customFormat="false" ht="12.8" hidden="false" customHeight="false" outlineLevel="0" collapsed="false"/>
    <row r="2696" customFormat="false" ht="12.8" hidden="false" customHeight="false" outlineLevel="0" collapsed="false"/>
    <row r="2697" customFormat="false" ht="12.8" hidden="false" customHeight="false" outlineLevel="0" collapsed="false"/>
    <row r="2698" customFormat="false" ht="12.8" hidden="false" customHeight="false" outlineLevel="0" collapsed="false"/>
    <row r="2699" customFormat="false" ht="12.8" hidden="false" customHeight="false" outlineLevel="0" collapsed="false"/>
    <row r="2700" customFormat="false" ht="12.8" hidden="false" customHeight="false" outlineLevel="0" collapsed="false"/>
    <row r="2701" customFormat="false" ht="12.8" hidden="false" customHeight="false" outlineLevel="0" collapsed="false"/>
    <row r="2702" customFormat="false" ht="12.8" hidden="false" customHeight="false" outlineLevel="0" collapsed="false"/>
    <row r="2703" customFormat="false" ht="12.8" hidden="false" customHeight="false" outlineLevel="0" collapsed="false"/>
    <row r="2704" customFormat="false" ht="12.8" hidden="false" customHeight="false" outlineLevel="0" collapsed="false"/>
    <row r="2705" customFormat="false" ht="12.8" hidden="false" customHeight="false" outlineLevel="0" collapsed="false"/>
    <row r="2706" customFormat="false" ht="12.8" hidden="false" customHeight="false" outlineLevel="0" collapsed="false"/>
    <row r="2707" customFormat="false" ht="12.8" hidden="false" customHeight="false" outlineLevel="0" collapsed="false"/>
    <row r="2708" customFormat="false" ht="12.8" hidden="false" customHeight="false" outlineLevel="0" collapsed="false"/>
    <row r="2709" customFormat="false" ht="12.8" hidden="false" customHeight="false" outlineLevel="0" collapsed="false"/>
    <row r="2710" customFormat="false" ht="12.8" hidden="false" customHeight="false" outlineLevel="0" collapsed="false"/>
    <row r="2711" customFormat="false" ht="12.8" hidden="false" customHeight="false" outlineLevel="0" collapsed="false"/>
    <row r="2712" customFormat="false" ht="12.8" hidden="false" customHeight="false" outlineLevel="0" collapsed="false"/>
    <row r="2713" customFormat="false" ht="12.8" hidden="false" customHeight="false" outlineLevel="0" collapsed="false"/>
    <row r="2714" customFormat="false" ht="12.8" hidden="false" customHeight="false" outlineLevel="0" collapsed="false"/>
    <row r="2715" customFormat="false" ht="12.8" hidden="false" customHeight="false" outlineLevel="0" collapsed="false"/>
    <row r="2716" customFormat="false" ht="12.8" hidden="false" customHeight="false" outlineLevel="0" collapsed="false"/>
    <row r="2717" customFormat="false" ht="12.8" hidden="false" customHeight="false" outlineLevel="0" collapsed="false"/>
    <row r="2718" customFormat="false" ht="12.8" hidden="false" customHeight="false" outlineLevel="0" collapsed="false"/>
    <row r="2719" customFormat="false" ht="12.8" hidden="false" customHeight="false" outlineLevel="0" collapsed="false"/>
    <row r="2720" customFormat="false" ht="12.8" hidden="false" customHeight="false" outlineLevel="0" collapsed="false"/>
    <row r="2721" customFormat="false" ht="12.8" hidden="false" customHeight="false" outlineLevel="0" collapsed="false"/>
    <row r="2722" customFormat="false" ht="12.8" hidden="false" customHeight="false" outlineLevel="0" collapsed="false"/>
    <row r="2723" customFormat="false" ht="12.8" hidden="false" customHeight="false" outlineLevel="0" collapsed="false"/>
    <row r="2724" customFormat="false" ht="12.8" hidden="false" customHeight="false" outlineLevel="0" collapsed="false"/>
    <row r="2725" customFormat="false" ht="12.8" hidden="false" customHeight="false" outlineLevel="0" collapsed="false"/>
    <row r="2726" customFormat="false" ht="12.8" hidden="false" customHeight="false" outlineLevel="0" collapsed="false"/>
    <row r="2727" customFormat="false" ht="12.8" hidden="false" customHeight="false" outlineLevel="0" collapsed="false"/>
    <row r="2728" customFormat="false" ht="12.8" hidden="false" customHeight="false" outlineLevel="0" collapsed="false"/>
    <row r="2729" customFormat="false" ht="12.8" hidden="false" customHeight="false" outlineLevel="0" collapsed="false"/>
    <row r="2730" customFormat="false" ht="12.8" hidden="false" customHeight="false" outlineLevel="0" collapsed="false"/>
    <row r="2731" customFormat="false" ht="12.8" hidden="false" customHeight="false" outlineLevel="0" collapsed="false"/>
    <row r="2732" customFormat="false" ht="12.8" hidden="false" customHeight="false" outlineLevel="0" collapsed="false"/>
    <row r="2733" customFormat="false" ht="12.8" hidden="false" customHeight="false" outlineLevel="0" collapsed="false"/>
    <row r="2734" customFormat="false" ht="12.8" hidden="false" customHeight="false" outlineLevel="0" collapsed="false"/>
    <row r="2735" customFormat="false" ht="12.8" hidden="false" customHeight="false" outlineLevel="0" collapsed="false"/>
    <row r="2736" customFormat="false" ht="12.8" hidden="false" customHeight="false" outlineLevel="0" collapsed="false"/>
    <row r="2737" customFormat="false" ht="12.8" hidden="false" customHeight="false" outlineLevel="0" collapsed="false"/>
    <row r="2738" customFormat="false" ht="12.8" hidden="false" customHeight="false" outlineLevel="0" collapsed="false"/>
    <row r="2739" customFormat="false" ht="12.8" hidden="false" customHeight="false" outlineLevel="0" collapsed="false"/>
    <row r="2740" customFormat="false" ht="12.8" hidden="false" customHeight="false" outlineLevel="0" collapsed="false"/>
    <row r="2741" customFormat="false" ht="12.8" hidden="false" customHeight="false" outlineLevel="0" collapsed="false"/>
    <row r="2742" customFormat="false" ht="12.8" hidden="false" customHeight="false" outlineLevel="0" collapsed="false"/>
    <row r="2743" customFormat="false" ht="12.8" hidden="false" customHeight="false" outlineLevel="0" collapsed="false"/>
    <row r="2744" customFormat="false" ht="12.8" hidden="false" customHeight="false" outlineLevel="0" collapsed="false"/>
    <row r="2745" customFormat="false" ht="12.8" hidden="false" customHeight="false" outlineLevel="0" collapsed="false"/>
    <row r="2746" customFormat="false" ht="12.8" hidden="false" customHeight="false" outlineLevel="0" collapsed="false"/>
    <row r="2747" customFormat="false" ht="12.8" hidden="false" customHeight="false" outlineLevel="0" collapsed="false"/>
    <row r="2748" customFormat="false" ht="12.8" hidden="false" customHeight="false" outlineLevel="0" collapsed="false"/>
    <row r="2749" customFormat="false" ht="12.8" hidden="false" customHeight="false" outlineLevel="0" collapsed="false"/>
    <row r="2750" customFormat="false" ht="12.8" hidden="false" customHeight="false" outlineLevel="0" collapsed="false"/>
    <row r="2751" customFormat="false" ht="12.8" hidden="false" customHeight="false" outlineLevel="0" collapsed="false"/>
    <row r="2752" customFormat="false" ht="12.8" hidden="false" customHeight="false" outlineLevel="0" collapsed="false"/>
    <row r="2753" customFormat="false" ht="12.8" hidden="false" customHeight="false" outlineLevel="0" collapsed="false"/>
    <row r="2754" customFormat="false" ht="12.8" hidden="false" customHeight="false" outlineLevel="0" collapsed="false"/>
    <row r="2755" customFormat="false" ht="12.8" hidden="false" customHeight="false" outlineLevel="0" collapsed="false"/>
    <row r="2756" customFormat="false" ht="12.8" hidden="false" customHeight="false" outlineLevel="0" collapsed="false"/>
    <row r="2757" customFormat="false" ht="12.8" hidden="false" customHeight="false" outlineLevel="0" collapsed="false"/>
    <row r="2758" customFormat="false" ht="12.8" hidden="false" customHeight="false" outlineLevel="0" collapsed="false"/>
    <row r="2759" customFormat="false" ht="12.8" hidden="false" customHeight="false" outlineLevel="0" collapsed="false"/>
    <row r="2760" customFormat="false" ht="12.8" hidden="false" customHeight="false" outlineLevel="0" collapsed="false"/>
    <row r="2761" customFormat="false" ht="12.8" hidden="false" customHeight="false" outlineLevel="0" collapsed="false"/>
    <row r="2762" customFormat="false" ht="12.8" hidden="false" customHeight="false" outlineLevel="0" collapsed="false"/>
    <row r="2763" customFormat="false" ht="12.8" hidden="false" customHeight="false" outlineLevel="0" collapsed="false"/>
    <row r="2764" customFormat="false" ht="12.8" hidden="false" customHeight="false" outlineLevel="0" collapsed="false"/>
    <row r="2765" customFormat="false" ht="12.8" hidden="false" customHeight="false" outlineLevel="0" collapsed="false"/>
    <row r="2766" customFormat="false" ht="12.8" hidden="false" customHeight="false" outlineLevel="0" collapsed="false"/>
    <row r="2767" customFormat="false" ht="12.8" hidden="false" customHeight="false" outlineLevel="0" collapsed="false"/>
    <row r="2768" customFormat="false" ht="12.8" hidden="false" customHeight="false" outlineLevel="0" collapsed="false"/>
    <row r="2769" customFormat="false" ht="12.8" hidden="false" customHeight="false" outlineLevel="0" collapsed="false"/>
    <row r="2770" customFormat="false" ht="12.8" hidden="false" customHeight="false" outlineLevel="0" collapsed="false"/>
    <row r="2771" customFormat="false" ht="12.8" hidden="false" customHeight="false" outlineLevel="0" collapsed="false"/>
    <row r="2772" customFormat="false" ht="12.8" hidden="false" customHeight="false" outlineLevel="0" collapsed="false"/>
    <row r="2773" customFormat="false" ht="12.8" hidden="false" customHeight="false" outlineLevel="0" collapsed="false"/>
    <row r="2774" customFormat="false" ht="12.8" hidden="false" customHeight="false" outlineLevel="0" collapsed="false"/>
    <row r="2775" customFormat="false" ht="12.8" hidden="false" customHeight="false" outlineLevel="0" collapsed="false"/>
    <row r="2776" customFormat="false" ht="12.8" hidden="false" customHeight="false" outlineLevel="0" collapsed="false"/>
    <row r="2777" customFormat="false" ht="12.8" hidden="false" customHeight="false" outlineLevel="0" collapsed="false"/>
    <row r="2778" customFormat="false" ht="12.8" hidden="false" customHeight="false" outlineLevel="0" collapsed="false"/>
    <row r="2779" customFormat="false" ht="12.8" hidden="false" customHeight="false" outlineLevel="0" collapsed="false"/>
    <row r="2780" customFormat="false" ht="12.8" hidden="false" customHeight="false" outlineLevel="0" collapsed="false"/>
    <row r="2781" customFormat="false" ht="12.8" hidden="false" customHeight="false" outlineLevel="0" collapsed="false"/>
    <row r="2782" customFormat="false" ht="12.8" hidden="false" customHeight="false" outlineLevel="0" collapsed="false"/>
    <row r="2783" customFormat="false" ht="12.8" hidden="false" customHeight="false" outlineLevel="0" collapsed="false"/>
    <row r="2784" customFormat="false" ht="12.8" hidden="false" customHeight="false" outlineLevel="0" collapsed="false"/>
    <row r="2785" customFormat="false" ht="12.8" hidden="false" customHeight="false" outlineLevel="0" collapsed="false"/>
    <row r="2786" customFormat="false" ht="12.8" hidden="false" customHeight="false" outlineLevel="0" collapsed="false"/>
    <row r="2787" customFormat="false" ht="12.8" hidden="false" customHeight="false" outlineLevel="0" collapsed="false"/>
    <row r="2788" customFormat="false" ht="12.8" hidden="false" customHeight="false" outlineLevel="0" collapsed="false"/>
    <row r="2789" customFormat="false" ht="12.8" hidden="false" customHeight="false" outlineLevel="0" collapsed="false"/>
    <row r="2790" customFormat="false" ht="12.8" hidden="false" customHeight="false" outlineLevel="0" collapsed="false"/>
    <row r="2791" customFormat="false" ht="12.8" hidden="false" customHeight="false" outlineLevel="0" collapsed="false"/>
    <row r="2792" customFormat="false" ht="12.8" hidden="false" customHeight="false" outlineLevel="0" collapsed="false"/>
    <row r="2793" customFormat="false" ht="12.8" hidden="false" customHeight="false" outlineLevel="0" collapsed="false"/>
    <row r="2794" customFormat="false" ht="12.8" hidden="false" customHeight="false" outlineLevel="0" collapsed="false"/>
    <row r="2795" customFormat="false" ht="12.8" hidden="false" customHeight="false" outlineLevel="0" collapsed="false"/>
    <row r="2796" customFormat="false" ht="12.8" hidden="false" customHeight="false" outlineLevel="0" collapsed="false"/>
    <row r="2797" customFormat="false" ht="12.8" hidden="false" customHeight="false" outlineLevel="0" collapsed="false"/>
    <row r="2798" customFormat="false" ht="12.8" hidden="false" customHeight="false" outlineLevel="0" collapsed="false"/>
    <row r="2799" customFormat="false" ht="12.8" hidden="false" customHeight="false" outlineLevel="0" collapsed="false"/>
    <row r="2800" customFormat="false" ht="12.8" hidden="false" customHeight="false" outlineLevel="0" collapsed="false"/>
    <row r="2801" customFormat="false" ht="12.8" hidden="false" customHeight="false" outlineLevel="0" collapsed="false"/>
    <row r="2802" customFormat="false" ht="12.8" hidden="false" customHeight="false" outlineLevel="0" collapsed="false"/>
    <row r="2803" customFormat="false" ht="12.8" hidden="false" customHeight="false" outlineLevel="0" collapsed="false"/>
    <row r="2804" customFormat="false" ht="12.8" hidden="false" customHeight="false" outlineLevel="0" collapsed="false"/>
    <row r="2805" customFormat="false" ht="12.8" hidden="false" customHeight="false" outlineLevel="0" collapsed="false"/>
    <row r="2806" customFormat="false" ht="12.8" hidden="false" customHeight="false" outlineLevel="0" collapsed="false"/>
    <row r="2807" customFormat="false" ht="12.8" hidden="false" customHeight="false" outlineLevel="0" collapsed="false"/>
    <row r="2808" customFormat="false" ht="12.8" hidden="false" customHeight="false" outlineLevel="0" collapsed="false"/>
    <row r="2809" customFormat="false" ht="12.8" hidden="false" customHeight="false" outlineLevel="0" collapsed="false"/>
    <row r="2810" customFormat="false" ht="12.8" hidden="false" customHeight="false" outlineLevel="0" collapsed="false"/>
    <row r="2811" customFormat="false" ht="12.8" hidden="false" customHeight="false" outlineLevel="0" collapsed="false"/>
    <row r="2812" customFormat="false" ht="12.8" hidden="false" customHeight="false" outlineLevel="0" collapsed="false"/>
    <row r="2813" customFormat="false" ht="12.8" hidden="false" customHeight="false" outlineLevel="0" collapsed="false"/>
    <row r="2814" customFormat="false" ht="12.8" hidden="false" customHeight="false" outlineLevel="0" collapsed="false"/>
    <row r="2815" customFormat="false" ht="12.8" hidden="false" customHeight="false" outlineLevel="0" collapsed="false"/>
    <row r="2816" customFormat="false" ht="12.8" hidden="false" customHeight="false" outlineLevel="0" collapsed="false"/>
    <row r="2817" customFormat="false" ht="12.8" hidden="false" customHeight="false" outlineLevel="0" collapsed="false"/>
    <row r="2818" customFormat="false" ht="12.8" hidden="false" customHeight="false" outlineLevel="0" collapsed="false"/>
    <row r="2819" customFormat="false" ht="12.8" hidden="false" customHeight="false" outlineLevel="0" collapsed="false"/>
    <row r="2820" customFormat="false" ht="12.8" hidden="false" customHeight="false" outlineLevel="0" collapsed="false"/>
    <row r="2821" customFormat="false" ht="12.8" hidden="false" customHeight="false" outlineLevel="0" collapsed="false"/>
    <row r="2822" customFormat="false" ht="12.8" hidden="false" customHeight="false" outlineLevel="0" collapsed="false"/>
    <row r="2823" customFormat="false" ht="12.8" hidden="false" customHeight="false" outlineLevel="0" collapsed="false"/>
    <row r="2824" customFormat="false" ht="12.8" hidden="false" customHeight="false" outlineLevel="0" collapsed="false"/>
    <row r="2825" customFormat="false" ht="12.8" hidden="false" customHeight="false" outlineLevel="0" collapsed="false"/>
    <row r="2826" customFormat="false" ht="12.8" hidden="false" customHeight="false" outlineLevel="0" collapsed="false"/>
    <row r="2827" customFormat="false" ht="12.8" hidden="false" customHeight="false" outlineLevel="0" collapsed="false"/>
    <row r="2828" customFormat="false" ht="12.8" hidden="false" customHeight="false" outlineLevel="0" collapsed="false"/>
    <row r="2829" customFormat="false" ht="12.8" hidden="false" customHeight="false" outlineLevel="0" collapsed="false"/>
    <row r="2830" customFormat="false" ht="12.8" hidden="false" customHeight="false" outlineLevel="0" collapsed="false"/>
    <row r="2831" customFormat="false" ht="12.8" hidden="false" customHeight="false" outlineLevel="0" collapsed="false"/>
    <row r="2832" customFormat="false" ht="12.8" hidden="false" customHeight="false" outlineLevel="0" collapsed="false"/>
    <row r="2833" customFormat="false" ht="12.8" hidden="false" customHeight="false" outlineLevel="0" collapsed="false"/>
    <row r="2834" customFormat="false" ht="12.8" hidden="false" customHeight="false" outlineLevel="0" collapsed="false"/>
    <row r="2835" customFormat="false" ht="12.8" hidden="false" customHeight="false" outlineLevel="0" collapsed="false"/>
    <row r="2836" customFormat="false" ht="12.8" hidden="false" customHeight="false" outlineLevel="0" collapsed="false"/>
    <row r="2837" customFormat="false" ht="12.8" hidden="false" customHeight="false" outlineLevel="0" collapsed="false"/>
    <row r="2838" customFormat="false" ht="12.8" hidden="false" customHeight="false" outlineLevel="0" collapsed="false"/>
    <row r="2839" customFormat="false" ht="12.8" hidden="false" customHeight="false" outlineLevel="0" collapsed="false"/>
    <row r="2840" customFormat="false" ht="12.8" hidden="false" customHeight="false" outlineLevel="0" collapsed="false"/>
    <row r="2841" customFormat="false" ht="12.8" hidden="false" customHeight="false" outlineLevel="0" collapsed="false"/>
    <row r="2842" customFormat="false" ht="12.8" hidden="false" customHeight="false" outlineLevel="0" collapsed="false"/>
    <row r="2843" customFormat="false" ht="12.8" hidden="false" customHeight="false" outlineLevel="0" collapsed="false"/>
    <row r="2844" customFormat="false" ht="12.8" hidden="false" customHeight="false" outlineLevel="0" collapsed="false"/>
    <row r="2845" customFormat="false" ht="12.8" hidden="false" customHeight="false" outlineLevel="0" collapsed="false"/>
    <row r="2846" customFormat="false" ht="12.8" hidden="false" customHeight="false" outlineLevel="0" collapsed="false"/>
    <row r="2847" customFormat="false" ht="12.8" hidden="false" customHeight="false" outlineLevel="0" collapsed="false"/>
    <row r="2848" customFormat="false" ht="12.8" hidden="false" customHeight="false" outlineLevel="0" collapsed="false"/>
    <row r="2849" customFormat="false" ht="12.8" hidden="false" customHeight="false" outlineLevel="0" collapsed="false"/>
    <row r="2850" customFormat="false" ht="12.8" hidden="false" customHeight="false" outlineLevel="0" collapsed="false"/>
    <row r="2851" customFormat="false" ht="12.8" hidden="false" customHeight="false" outlineLevel="0" collapsed="false"/>
    <row r="2852" customFormat="false" ht="12.8" hidden="false" customHeight="false" outlineLevel="0" collapsed="false"/>
    <row r="2853" customFormat="false" ht="12.8" hidden="false" customHeight="false" outlineLevel="0" collapsed="false"/>
    <row r="2854" customFormat="false" ht="12.8" hidden="false" customHeight="false" outlineLevel="0" collapsed="false"/>
    <row r="2855" customFormat="false" ht="12.8" hidden="false" customHeight="false" outlineLevel="0" collapsed="false"/>
    <row r="2856" customFormat="false" ht="12.8" hidden="false" customHeight="false" outlineLevel="0" collapsed="false"/>
    <row r="2857" customFormat="false" ht="12.8" hidden="false" customHeight="false" outlineLevel="0" collapsed="false"/>
    <row r="2858" customFormat="false" ht="12.8" hidden="false" customHeight="false" outlineLevel="0" collapsed="false"/>
    <row r="2859" customFormat="false" ht="12.8" hidden="false" customHeight="false" outlineLevel="0" collapsed="false"/>
    <row r="2860" customFormat="false" ht="12.8" hidden="false" customHeight="false" outlineLevel="0" collapsed="false"/>
    <row r="2861" customFormat="false" ht="12.8" hidden="false" customHeight="false" outlineLevel="0" collapsed="false"/>
    <row r="2862" customFormat="false" ht="12.8" hidden="false" customHeight="false" outlineLevel="0" collapsed="false"/>
    <row r="2863" customFormat="false" ht="12.8" hidden="false" customHeight="false" outlineLevel="0" collapsed="false"/>
    <row r="2864" customFormat="false" ht="12.8" hidden="false" customHeight="false" outlineLevel="0" collapsed="false"/>
    <row r="2865" customFormat="false" ht="12.8" hidden="false" customHeight="false" outlineLevel="0" collapsed="false"/>
    <row r="2866" customFormat="false" ht="12.8" hidden="false" customHeight="false" outlineLevel="0" collapsed="false"/>
    <row r="2867" customFormat="false" ht="12.8" hidden="false" customHeight="false" outlineLevel="0" collapsed="false"/>
    <row r="2868" customFormat="false" ht="12.8" hidden="false" customHeight="false" outlineLevel="0" collapsed="false"/>
    <row r="2869" customFormat="false" ht="12.8" hidden="false" customHeight="false" outlineLevel="0" collapsed="false"/>
    <row r="2870" customFormat="false" ht="12.8" hidden="false" customHeight="false" outlineLevel="0" collapsed="false"/>
    <row r="2871" customFormat="false" ht="12.8" hidden="false" customHeight="false" outlineLevel="0" collapsed="false"/>
    <row r="2872" customFormat="false" ht="12.8" hidden="false" customHeight="false" outlineLevel="0" collapsed="false"/>
    <row r="2873" customFormat="false" ht="12.8" hidden="false" customHeight="false" outlineLevel="0" collapsed="false"/>
    <row r="2874" customFormat="false" ht="12.8" hidden="false" customHeight="false" outlineLevel="0" collapsed="false"/>
    <row r="2875" customFormat="false" ht="12.8" hidden="false" customHeight="false" outlineLevel="0" collapsed="false"/>
    <row r="2876" customFormat="false" ht="12.8" hidden="false" customHeight="false" outlineLevel="0" collapsed="false"/>
    <row r="2877" customFormat="false" ht="12.8" hidden="false" customHeight="false" outlineLevel="0" collapsed="false"/>
    <row r="2878" customFormat="false" ht="12.8" hidden="false" customHeight="false" outlineLevel="0" collapsed="false"/>
    <row r="2879" customFormat="false" ht="12.8" hidden="false" customHeight="false" outlineLevel="0" collapsed="false"/>
    <row r="2880" customFormat="false" ht="12.8" hidden="false" customHeight="false" outlineLevel="0" collapsed="false"/>
    <row r="2881" customFormat="false" ht="12.8" hidden="false" customHeight="false" outlineLevel="0" collapsed="false"/>
    <row r="2882" customFormat="false" ht="12.8" hidden="false" customHeight="false" outlineLevel="0" collapsed="false"/>
    <row r="2883" customFormat="false" ht="12.8" hidden="false" customHeight="false" outlineLevel="0" collapsed="false"/>
    <row r="2884" customFormat="false" ht="12.8" hidden="false" customHeight="false" outlineLevel="0" collapsed="false"/>
    <row r="2885" customFormat="false" ht="12.8" hidden="false" customHeight="false" outlineLevel="0" collapsed="false"/>
    <row r="2886" customFormat="false" ht="12.8" hidden="false" customHeight="false" outlineLevel="0" collapsed="false"/>
    <row r="2887" customFormat="false" ht="12.8" hidden="false" customHeight="false" outlineLevel="0" collapsed="false"/>
    <row r="2888" customFormat="false" ht="12.8" hidden="false" customHeight="false" outlineLevel="0" collapsed="false"/>
    <row r="2889" customFormat="false" ht="12.8" hidden="false" customHeight="false" outlineLevel="0" collapsed="false"/>
    <row r="2890" customFormat="false" ht="12.8" hidden="false" customHeight="false" outlineLevel="0" collapsed="false"/>
    <row r="2891" customFormat="false" ht="12.8" hidden="false" customHeight="false" outlineLevel="0" collapsed="false"/>
    <row r="2892" customFormat="false" ht="12.8" hidden="false" customHeight="false" outlineLevel="0" collapsed="false"/>
    <row r="2893" customFormat="false" ht="12.8" hidden="false" customHeight="false" outlineLevel="0" collapsed="false"/>
    <row r="2894" customFormat="false" ht="12.8" hidden="false" customHeight="false" outlineLevel="0" collapsed="false"/>
    <row r="2895" customFormat="false" ht="12.8" hidden="false" customHeight="false" outlineLevel="0" collapsed="false"/>
    <row r="2896" customFormat="false" ht="12.8" hidden="false" customHeight="false" outlineLevel="0" collapsed="false"/>
    <row r="2897" customFormat="false" ht="12.8" hidden="false" customHeight="false" outlineLevel="0" collapsed="false"/>
    <row r="2898" customFormat="false" ht="12.8" hidden="false" customHeight="false" outlineLevel="0" collapsed="false"/>
    <row r="2899" customFormat="false" ht="12.8" hidden="false" customHeight="false" outlineLevel="0" collapsed="false"/>
    <row r="2900" customFormat="false" ht="12.8" hidden="false" customHeight="false" outlineLevel="0" collapsed="false"/>
    <row r="2901" customFormat="false" ht="12.8" hidden="false" customHeight="false" outlineLevel="0" collapsed="false"/>
    <row r="2902" customFormat="false" ht="12.8" hidden="false" customHeight="false" outlineLevel="0" collapsed="false"/>
    <row r="2903" customFormat="false" ht="12.8" hidden="false" customHeight="false" outlineLevel="0" collapsed="false"/>
    <row r="2904" customFormat="false" ht="12.8" hidden="false" customHeight="false" outlineLevel="0" collapsed="false"/>
    <row r="2905" customFormat="false" ht="12.8" hidden="false" customHeight="false" outlineLevel="0" collapsed="false"/>
    <row r="2906" customFormat="false" ht="12.8" hidden="false" customHeight="false" outlineLevel="0" collapsed="false"/>
    <row r="2907" customFormat="false" ht="12.8" hidden="false" customHeight="false" outlineLevel="0" collapsed="false"/>
    <row r="2908" customFormat="false" ht="12.8" hidden="false" customHeight="false" outlineLevel="0" collapsed="false"/>
    <row r="2909" customFormat="false" ht="12.8" hidden="false" customHeight="false" outlineLevel="0" collapsed="false"/>
    <row r="2910" customFormat="false" ht="12.8" hidden="false" customHeight="false" outlineLevel="0" collapsed="false"/>
    <row r="2911" customFormat="false" ht="12.8" hidden="false" customHeight="false" outlineLevel="0" collapsed="false"/>
    <row r="2912" customFormat="false" ht="12.8" hidden="false" customHeight="false" outlineLevel="0" collapsed="false"/>
    <row r="2913" customFormat="false" ht="12.8" hidden="false" customHeight="false" outlineLevel="0" collapsed="false"/>
    <row r="2914" customFormat="false" ht="12.8" hidden="false" customHeight="false" outlineLevel="0" collapsed="false"/>
    <row r="2915" customFormat="false" ht="12.8" hidden="false" customHeight="false" outlineLevel="0" collapsed="false"/>
    <row r="2916" customFormat="false" ht="12.8" hidden="false" customHeight="false" outlineLevel="0" collapsed="false"/>
    <row r="2917" customFormat="false" ht="12.8" hidden="false" customHeight="false" outlineLevel="0" collapsed="false"/>
    <row r="2918" customFormat="false" ht="12.8" hidden="false" customHeight="false" outlineLevel="0" collapsed="false"/>
    <row r="2919" customFormat="false" ht="12.8" hidden="false" customHeight="false" outlineLevel="0" collapsed="false"/>
    <row r="2920" customFormat="false" ht="12.8" hidden="false" customHeight="false" outlineLevel="0" collapsed="false"/>
    <row r="2921" customFormat="false" ht="12.8" hidden="false" customHeight="false" outlineLevel="0" collapsed="false"/>
    <row r="2922" customFormat="false" ht="12.8" hidden="false" customHeight="false" outlineLevel="0" collapsed="false"/>
    <row r="2923" customFormat="false" ht="12.8" hidden="false" customHeight="false" outlineLevel="0" collapsed="false"/>
    <row r="2924" customFormat="false" ht="12.8" hidden="false" customHeight="false" outlineLevel="0" collapsed="false"/>
    <row r="2925" customFormat="false" ht="12.8" hidden="false" customHeight="false" outlineLevel="0" collapsed="false"/>
    <row r="2926" customFormat="false" ht="12.8" hidden="false" customHeight="false" outlineLevel="0" collapsed="false"/>
    <row r="2927" customFormat="false" ht="12.8" hidden="false" customHeight="false" outlineLevel="0" collapsed="false"/>
    <row r="2928" customFormat="false" ht="12.8" hidden="false" customHeight="false" outlineLevel="0" collapsed="false"/>
    <row r="2929" customFormat="false" ht="12.8" hidden="false" customHeight="false" outlineLevel="0" collapsed="false"/>
    <row r="2930" customFormat="false" ht="12.8" hidden="false" customHeight="false" outlineLevel="0" collapsed="false"/>
    <row r="2931" customFormat="false" ht="12.8" hidden="false" customHeight="false" outlineLevel="0" collapsed="false"/>
    <row r="2932" customFormat="false" ht="12.8" hidden="false" customHeight="false" outlineLevel="0" collapsed="false"/>
    <row r="2933" customFormat="false" ht="12.8" hidden="false" customHeight="false" outlineLevel="0" collapsed="false"/>
    <row r="2934" customFormat="false" ht="12.8" hidden="false" customHeight="false" outlineLevel="0" collapsed="false"/>
    <row r="2935" customFormat="false" ht="12.8" hidden="false" customHeight="false" outlineLevel="0" collapsed="false"/>
    <row r="2936" customFormat="false" ht="12.8" hidden="false" customHeight="false" outlineLevel="0" collapsed="false"/>
    <row r="2937" customFormat="false" ht="12.8" hidden="false" customHeight="false" outlineLevel="0" collapsed="false"/>
    <row r="2938" customFormat="false" ht="12.8" hidden="false" customHeight="false" outlineLevel="0" collapsed="false"/>
    <row r="2939" customFormat="false" ht="12.8" hidden="false" customHeight="false" outlineLevel="0" collapsed="false"/>
    <row r="2940" customFormat="false" ht="12.8" hidden="false" customHeight="false" outlineLevel="0" collapsed="false"/>
    <row r="2941" customFormat="false" ht="12.8" hidden="false" customHeight="false" outlineLevel="0" collapsed="false"/>
    <row r="2942" customFormat="false" ht="12.8" hidden="false" customHeight="false" outlineLevel="0" collapsed="false"/>
    <row r="2943" customFormat="false" ht="12.8" hidden="false" customHeight="false" outlineLevel="0" collapsed="false"/>
    <row r="2944" customFormat="false" ht="12.8" hidden="false" customHeight="false" outlineLevel="0" collapsed="false"/>
    <row r="2945" customFormat="false" ht="12.8" hidden="false" customHeight="false" outlineLevel="0" collapsed="false"/>
    <row r="2946" customFormat="false" ht="12.8" hidden="false" customHeight="false" outlineLevel="0" collapsed="false"/>
    <row r="2947" customFormat="false" ht="12.8" hidden="false" customHeight="false" outlineLevel="0" collapsed="false"/>
    <row r="2948" customFormat="false" ht="12.8" hidden="false" customHeight="false" outlineLevel="0" collapsed="false"/>
    <row r="2949" customFormat="false" ht="12.8" hidden="false" customHeight="false" outlineLevel="0" collapsed="false"/>
    <row r="2950" customFormat="false" ht="12.8" hidden="false" customHeight="false" outlineLevel="0" collapsed="false"/>
    <row r="2951" customFormat="false" ht="12.8" hidden="false" customHeight="false" outlineLevel="0" collapsed="false"/>
    <row r="2952" customFormat="false" ht="12.8" hidden="false" customHeight="false" outlineLevel="0" collapsed="false"/>
    <row r="2953" customFormat="false" ht="12.8" hidden="false" customHeight="false" outlineLevel="0" collapsed="false"/>
    <row r="2954" customFormat="false" ht="12.8" hidden="false" customHeight="false" outlineLevel="0" collapsed="false"/>
    <row r="2955" customFormat="false" ht="12.8" hidden="false" customHeight="false" outlineLevel="0" collapsed="false"/>
    <row r="2956" customFormat="false" ht="12.8" hidden="false" customHeight="false" outlineLevel="0" collapsed="false"/>
    <row r="2957" customFormat="false" ht="12.8" hidden="false" customHeight="false" outlineLevel="0" collapsed="false"/>
    <row r="2958" customFormat="false" ht="12.8" hidden="false" customHeight="false" outlineLevel="0" collapsed="false"/>
    <row r="2959" customFormat="false" ht="12.8" hidden="false" customHeight="false" outlineLevel="0" collapsed="false"/>
    <row r="2960" customFormat="false" ht="12.8" hidden="false" customHeight="false" outlineLevel="0" collapsed="false"/>
    <row r="2961" customFormat="false" ht="12.8" hidden="false" customHeight="false" outlineLevel="0" collapsed="false"/>
    <row r="2962" customFormat="false" ht="12.8" hidden="false" customHeight="false" outlineLevel="0" collapsed="false"/>
    <row r="2963" customFormat="false" ht="12.8" hidden="false" customHeight="false" outlineLevel="0" collapsed="false"/>
    <row r="2964" customFormat="false" ht="12.8" hidden="false" customHeight="false" outlineLevel="0" collapsed="false"/>
    <row r="2965" customFormat="false" ht="12.8" hidden="false" customHeight="false" outlineLevel="0" collapsed="false"/>
    <row r="2966" customFormat="false" ht="12.8" hidden="false" customHeight="false" outlineLevel="0" collapsed="false"/>
    <row r="2967" customFormat="false" ht="12.8" hidden="false" customHeight="false" outlineLevel="0" collapsed="false"/>
    <row r="2968" customFormat="false" ht="12.8" hidden="false" customHeight="false" outlineLevel="0" collapsed="false"/>
    <row r="2969" customFormat="false" ht="12.8" hidden="false" customHeight="false" outlineLevel="0" collapsed="false"/>
    <row r="2970" customFormat="false" ht="12.8" hidden="false" customHeight="false" outlineLevel="0" collapsed="false"/>
    <row r="2971" customFormat="false" ht="12.8" hidden="false" customHeight="false" outlineLevel="0" collapsed="false"/>
    <row r="2972" customFormat="false" ht="12.8" hidden="false" customHeight="false" outlineLevel="0" collapsed="false"/>
    <row r="2973" customFormat="false" ht="12.8" hidden="false" customHeight="false" outlineLevel="0" collapsed="false"/>
    <row r="2974" customFormat="false" ht="12.8" hidden="false" customHeight="false" outlineLevel="0" collapsed="false"/>
    <row r="2975" customFormat="false" ht="12.8" hidden="false" customHeight="false" outlineLevel="0" collapsed="false"/>
    <row r="2976" customFormat="false" ht="12.8" hidden="false" customHeight="false" outlineLevel="0" collapsed="false"/>
    <row r="2977" customFormat="false" ht="12.8" hidden="false" customHeight="false" outlineLevel="0" collapsed="false"/>
    <row r="2978" customFormat="false" ht="12.8" hidden="false" customHeight="false" outlineLevel="0" collapsed="false"/>
    <row r="2979" customFormat="false" ht="12.8" hidden="false" customHeight="false" outlineLevel="0" collapsed="false"/>
    <row r="2980" customFormat="false" ht="12.8" hidden="false" customHeight="false" outlineLevel="0" collapsed="false"/>
    <row r="2981" customFormat="false" ht="12.8" hidden="false" customHeight="false" outlineLevel="0" collapsed="false"/>
    <row r="2982" customFormat="false" ht="12.8" hidden="false" customHeight="false" outlineLevel="0" collapsed="false"/>
    <row r="2983" customFormat="false" ht="12.8" hidden="false" customHeight="false" outlineLevel="0" collapsed="false"/>
    <row r="2984" customFormat="false" ht="12.8" hidden="false" customHeight="false" outlineLevel="0" collapsed="false"/>
    <row r="2985" customFormat="false" ht="12.8" hidden="false" customHeight="false" outlineLevel="0" collapsed="false"/>
    <row r="2986" customFormat="false" ht="12.8" hidden="false" customHeight="false" outlineLevel="0" collapsed="false"/>
    <row r="2987" customFormat="false" ht="12.8" hidden="false" customHeight="false" outlineLevel="0" collapsed="false"/>
    <row r="2988" customFormat="false" ht="12.8" hidden="false" customHeight="false" outlineLevel="0" collapsed="false"/>
    <row r="2989" customFormat="false" ht="12.8" hidden="false" customHeight="false" outlineLevel="0" collapsed="false"/>
    <row r="2990" customFormat="false" ht="12.8" hidden="false" customHeight="false" outlineLevel="0" collapsed="false"/>
    <row r="2991" customFormat="false" ht="12.8" hidden="false" customHeight="false" outlineLevel="0" collapsed="false"/>
    <row r="2992" customFormat="false" ht="12.8" hidden="false" customHeight="false" outlineLevel="0" collapsed="false"/>
    <row r="2993" customFormat="false" ht="12.8" hidden="false" customHeight="false" outlineLevel="0" collapsed="false"/>
    <row r="2994" customFormat="false" ht="12.8" hidden="false" customHeight="false" outlineLevel="0" collapsed="false"/>
    <row r="2995" customFormat="false" ht="12.8" hidden="false" customHeight="false" outlineLevel="0" collapsed="false"/>
    <row r="2996" customFormat="false" ht="12.8" hidden="false" customHeight="false" outlineLevel="0" collapsed="false"/>
    <row r="2997" customFormat="false" ht="12.8" hidden="false" customHeight="false" outlineLevel="0" collapsed="false"/>
    <row r="2998" customFormat="false" ht="12.8" hidden="false" customHeight="false" outlineLevel="0" collapsed="false"/>
    <row r="2999" customFormat="false" ht="12.8" hidden="false" customHeight="false" outlineLevel="0" collapsed="false"/>
    <row r="3000" customFormat="false" ht="12.8" hidden="false" customHeight="false" outlineLevel="0" collapsed="false"/>
    <row r="3001" customFormat="false" ht="12.8" hidden="false" customHeight="false" outlineLevel="0" collapsed="false"/>
    <row r="3002" customFormat="false" ht="12.8" hidden="false" customHeight="false" outlineLevel="0" collapsed="false"/>
    <row r="3003" customFormat="false" ht="12.8" hidden="false" customHeight="false" outlineLevel="0" collapsed="false"/>
    <row r="3004" customFormat="false" ht="12.8" hidden="false" customHeight="false" outlineLevel="0" collapsed="false"/>
    <row r="3005" customFormat="false" ht="12.8" hidden="false" customHeight="false" outlineLevel="0" collapsed="false"/>
    <row r="3006" customFormat="false" ht="12.8" hidden="false" customHeight="false" outlineLevel="0" collapsed="false"/>
    <row r="3007" customFormat="false" ht="12.8" hidden="false" customHeight="false" outlineLevel="0" collapsed="false"/>
    <row r="3008" customFormat="false" ht="12.8" hidden="false" customHeight="false" outlineLevel="0" collapsed="false"/>
    <row r="3009" customFormat="false" ht="12.8" hidden="false" customHeight="false" outlineLevel="0" collapsed="false"/>
    <row r="3010" customFormat="false" ht="12.8" hidden="false" customHeight="false" outlineLevel="0" collapsed="false"/>
    <row r="3011" customFormat="false" ht="12.8" hidden="false" customHeight="false" outlineLevel="0" collapsed="false"/>
    <row r="3012" customFormat="false" ht="12.8" hidden="false" customHeight="false" outlineLevel="0" collapsed="false"/>
    <row r="3013" customFormat="false" ht="12.8" hidden="false" customHeight="false" outlineLevel="0" collapsed="false"/>
    <row r="3014" customFormat="false" ht="12.8" hidden="false" customHeight="false" outlineLevel="0" collapsed="false"/>
    <row r="3015" customFormat="false" ht="12.8" hidden="false" customHeight="false" outlineLevel="0" collapsed="false"/>
    <row r="3016" customFormat="false" ht="12.8" hidden="false" customHeight="false" outlineLevel="0" collapsed="false"/>
    <row r="3017" customFormat="false" ht="12.8" hidden="false" customHeight="false" outlineLevel="0" collapsed="false"/>
    <row r="3018" customFormat="false" ht="12.8" hidden="false" customHeight="false" outlineLevel="0" collapsed="false"/>
    <row r="3019" customFormat="false" ht="12.8" hidden="false" customHeight="false" outlineLevel="0" collapsed="false"/>
    <row r="3020" customFormat="false" ht="12.8" hidden="false" customHeight="false" outlineLevel="0" collapsed="false"/>
    <row r="3021" customFormat="false" ht="12.8" hidden="false" customHeight="false" outlineLevel="0" collapsed="false"/>
    <row r="3022" customFormat="false" ht="12.8" hidden="false" customHeight="false" outlineLevel="0" collapsed="false"/>
    <row r="3023" customFormat="false" ht="12.8" hidden="false" customHeight="false" outlineLevel="0" collapsed="false"/>
    <row r="3024" customFormat="false" ht="12.8" hidden="false" customHeight="false" outlineLevel="0" collapsed="false"/>
    <row r="3025" customFormat="false" ht="12.8" hidden="false" customHeight="false" outlineLevel="0" collapsed="false"/>
    <row r="3026" customFormat="false" ht="12.8" hidden="false" customHeight="false" outlineLevel="0" collapsed="false"/>
    <row r="3027" customFormat="false" ht="12.8" hidden="false" customHeight="false" outlineLevel="0" collapsed="false"/>
    <row r="3028" customFormat="false" ht="12.8" hidden="false" customHeight="false" outlineLevel="0" collapsed="false"/>
    <row r="3029" customFormat="false" ht="12.8" hidden="false" customHeight="false" outlineLevel="0" collapsed="false"/>
    <row r="3030" customFormat="false" ht="12.8" hidden="false" customHeight="false" outlineLevel="0" collapsed="false"/>
    <row r="3031" customFormat="false" ht="12.8" hidden="false" customHeight="false" outlineLevel="0" collapsed="false"/>
    <row r="3032" customFormat="false" ht="12.8" hidden="false" customHeight="false" outlineLevel="0" collapsed="false"/>
    <row r="3033" customFormat="false" ht="12.8" hidden="false" customHeight="false" outlineLevel="0" collapsed="false"/>
    <row r="3034" customFormat="false" ht="12.8" hidden="false" customHeight="false" outlineLevel="0" collapsed="false"/>
    <row r="3035" customFormat="false" ht="12.8" hidden="false" customHeight="false" outlineLevel="0" collapsed="false"/>
    <row r="3036" customFormat="false" ht="12.8" hidden="false" customHeight="false" outlineLevel="0" collapsed="false"/>
    <row r="3037" customFormat="false" ht="12.8" hidden="false" customHeight="false" outlineLevel="0" collapsed="false"/>
    <row r="3038" customFormat="false" ht="12.8" hidden="false" customHeight="false" outlineLevel="0" collapsed="false"/>
    <row r="3039" customFormat="false" ht="12.8" hidden="false" customHeight="false" outlineLevel="0" collapsed="false"/>
    <row r="3040" customFormat="false" ht="12.8" hidden="false" customHeight="false" outlineLevel="0" collapsed="false"/>
    <row r="3041" customFormat="false" ht="12.8" hidden="false" customHeight="false" outlineLevel="0" collapsed="false"/>
    <row r="3042" customFormat="false" ht="12.8" hidden="false" customHeight="false" outlineLevel="0" collapsed="false"/>
    <row r="3043" customFormat="false" ht="12.8" hidden="false" customHeight="false" outlineLevel="0" collapsed="false"/>
    <row r="3044" customFormat="false" ht="12.8" hidden="false" customHeight="false" outlineLevel="0" collapsed="false"/>
    <row r="3045" customFormat="false" ht="12.8" hidden="false" customHeight="false" outlineLevel="0" collapsed="false"/>
    <row r="3046" customFormat="false" ht="12.8" hidden="false" customHeight="false" outlineLevel="0" collapsed="false"/>
    <row r="3047" customFormat="false" ht="12.8" hidden="false" customHeight="false" outlineLevel="0" collapsed="false"/>
    <row r="3048" customFormat="false" ht="12.8" hidden="false" customHeight="false" outlineLevel="0" collapsed="false"/>
    <row r="3049" customFormat="false" ht="12.8" hidden="false" customHeight="false" outlineLevel="0" collapsed="false"/>
    <row r="3050" customFormat="false" ht="12.8" hidden="false" customHeight="false" outlineLevel="0" collapsed="false"/>
    <row r="3051" customFormat="false" ht="12.8" hidden="false" customHeight="false" outlineLevel="0" collapsed="false"/>
    <row r="3052" customFormat="false" ht="12.8" hidden="false" customHeight="false" outlineLevel="0" collapsed="false"/>
    <row r="3053" customFormat="false" ht="12.8" hidden="false" customHeight="false" outlineLevel="0" collapsed="false"/>
    <row r="3054" customFormat="false" ht="12.8" hidden="false" customHeight="false" outlineLevel="0" collapsed="false"/>
    <row r="3055" customFormat="false" ht="12.8" hidden="false" customHeight="false" outlineLevel="0" collapsed="false"/>
    <row r="3056" customFormat="false" ht="12.8" hidden="false" customHeight="false" outlineLevel="0" collapsed="false"/>
    <row r="3057" customFormat="false" ht="12.8" hidden="false" customHeight="false" outlineLevel="0" collapsed="false"/>
    <row r="3058" customFormat="false" ht="12.8" hidden="false" customHeight="false" outlineLevel="0" collapsed="false"/>
    <row r="3059" customFormat="false" ht="12.8" hidden="false" customHeight="false" outlineLevel="0" collapsed="false"/>
    <row r="3060" customFormat="false" ht="12.8" hidden="false" customHeight="false" outlineLevel="0" collapsed="false"/>
    <row r="3061" customFormat="false" ht="12.8" hidden="false" customHeight="false" outlineLevel="0" collapsed="false"/>
    <row r="3062" customFormat="false" ht="12.8" hidden="false" customHeight="false" outlineLevel="0" collapsed="false"/>
    <row r="3063" customFormat="false" ht="12.8" hidden="false" customHeight="false" outlineLevel="0" collapsed="false"/>
    <row r="3064" customFormat="false" ht="12.8" hidden="false" customHeight="false" outlineLevel="0" collapsed="false"/>
    <row r="3065" customFormat="false" ht="12.8" hidden="false" customHeight="false" outlineLevel="0" collapsed="false"/>
    <row r="3066" customFormat="false" ht="12.8" hidden="false" customHeight="false" outlineLevel="0" collapsed="false"/>
    <row r="3067" customFormat="false" ht="12.8" hidden="false" customHeight="false" outlineLevel="0" collapsed="false"/>
    <row r="3068" customFormat="false" ht="12.8" hidden="false" customHeight="false" outlineLevel="0" collapsed="false"/>
    <row r="3069" customFormat="false" ht="12.8" hidden="false" customHeight="false" outlineLevel="0" collapsed="false"/>
    <row r="3070" customFormat="false" ht="12.8" hidden="false" customHeight="false" outlineLevel="0" collapsed="false"/>
    <row r="3071" customFormat="false" ht="12.8" hidden="false" customHeight="false" outlineLevel="0" collapsed="false"/>
    <row r="3072" customFormat="false" ht="12.8" hidden="false" customHeight="false" outlineLevel="0" collapsed="false"/>
    <row r="3073" customFormat="false" ht="12.8" hidden="false" customHeight="false" outlineLevel="0" collapsed="false"/>
    <row r="3074" customFormat="false" ht="12.8" hidden="false" customHeight="false" outlineLevel="0" collapsed="false"/>
    <row r="3075" customFormat="false" ht="12.8" hidden="false" customHeight="false" outlineLevel="0" collapsed="false"/>
    <row r="3076" customFormat="false" ht="12.8" hidden="false" customHeight="false" outlineLevel="0" collapsed="false"/>
    <row r="3077" customFormat="false" ht="12.8" hidden="false" customHeight="false" outlineLevel="0" collapsed="false"/>
    <row r="3078" customFormat="false" ht="12.8" hidden="false" customHeight="false" outlineLevel="0" collapsed="false"/>
    <row r="3079" customFormat="false" ht="12.8" hidden="false" customHeight="false" outlineLevel="0" collapsed="false"/>
    <row r="3080" customFormat="false" ht="12.8" hidden="false" customHeight="false" outlineLevel="0" collapsed="false"/>
    <row r="3081" customFormat="false" ht="12.8" hidden="false" customHeight="false" outlineLevel="0" collapsed="false"/>
    <row r="3082" customFormat="false" ht="12.8" hidden="false" customHeight="false" outlineLevel="0" collapsed="false"/>
    <row r="3083" customFormat="false" ht="12.8" hidden="false" customHeight="false" outlineLevel="0" collapsed="false"/>
    <row r="3084" customFormat="false" ht="12.8" hidden="false" customHeight="false" outlineLevel="0" collapsed="false"/>
    <row r="3085" customFormat="false" ht="12.8" hidden="false" customHeight="false" outlineLevel="0" collapsed="false"/>
    <row r="3086" customFormat="false" ht="12.8" hidden="false" customHeight="false" outlineLevel="0" collapsed="false"/>
    <row r="3087" customFormat="false" ht="12.8" hidden="false" customHeight="false" outlineLevel="0" collapsed="false"/>
    <row r="3088" customFormat="false" ht="12.8" hidden="false" customHeight="false" outlineLevel="0" collapsed="false"/>
    <row r="3089" customFormat="false" ht="12.8" hidden="false" customHeight="false" outlineLevel="0" collapsed="false"/>
    <row r="3090" customFormat="false" ht="12.8" hidden="false" customHeight="false" outlineLevel="0" collapsed="false"/>
    <row r="3091" customFormat="false" ht="12.8" hidden="false" customHeight="false" outlineLevel="0" collapsed="false"/>
    <row r="3092" customFormat="false" ht="12.8" hidden="false" customHeight="false" outlineLevel="0" collapsed="false"/>
    <row r="3093" customFormat="false" ht="12.8" hidden="false" customHeight="false" outlineLevel="0" collapsed="false"/>
    <row r="3094" customFormat="false" ht="12.8" hidden="false" customHeight="false" outlineLevel="0" collapsed="false"/>
    <row r="3095" customFormat="false" ht="12.8" hidden="false" customHeight="false" outlineLevel="0" collapsed="false"/>
    <row r="3096" customFormat="false" ht="12.8" hidden="false" customHeight="false" outlineLevel="0" collapsed="false"/>
    <row r="3097" customFormat="false" ht="12.8" hidden="false" customHeight="false" outlineLevel="0" collapsed="false"/>
    <row r="3098" customFormat="false" ht="12.8" hidden="false" customHeight="false" outlineLevel="0" collapsed="false"/>
    <row r="3099" customFormat="false" ht="12.8" hidden="false" customHeight="false" outlineLevel="0" collapsed="false"/>
    <row r="3100" customFormat="false" ht="12.8" hidden="false" customHeight="false" outlineLevel="0" collapsed="false"/>
    <row r="3101" customFormat="false" ht="12.8" hidden="false" customHeight="false" outlineLevel="0" collapsed="false"/>
    <row r="3102" customFormat="false" ht="12.8" hidden="false" customHeight="false" outlineLevel="0" collapsed="false"/>
    <row r="3103" customFormat="false" ht="12.8" hidden="false" customHeight="false" outlineLevel="0" collapsed="false"/>
    <row r="3104" customFormat="false" ht="12.8" hidden="false" customHeight="false" outlineLevel="0" collapsed="false"/>
    <row r="3105" customFormat="false" ht="12.8" hidden="false" customHeight="false" outlineLevel="0" collapsed="false"/>
    <row r="3106" customFormat="false" ht="12.8" hidden="false" customHeight="false" outlineLevel="0" collapsed="false"/>
    <row r="3107" customFormat="false" ht="12.8" hidden="false" customHeight="false" outlineLevel="0" collapsed="false"/>
    <row r="3108" customFormat="false" ht="12.8" hidden="false" customHeight="false" outlineLevel="0" collapsed="false"/>
    <row r="3109" customFormat="false" ht="12.8" hidden="false" customHeight="false" outlineLevel="0" collapsed="false"/>
    <row r="3110" customFormat="false" ht="12.8" hidden="false" customHeight="false" outlineLevel="0" collapsed="false"/>
    <row r="3111" customFormat="false" ht="12.8" hidden="false" customHeight="false" outlineLevel="0" collapsed="false"/>
    <row r="3112" customFormat="false" ht="12.8" hidden="false" customHeight="false" outlineLevel="0" collapsed="false"/>
    <row r="3113" customFormat="false" ht="12.8" hidden="false" customHeight="false" outlineLevel="0" collapsed="false"/>
    <row r="3114" customFormat="false" ht="12.8" hidden="false" customHeight="false" outlineLevel="0" collapsed="false"/>
    <row r="3115" customFormat="false" ht="12.8" hidden="false" customHeight="false" outlineLevel="0" collapsed="false"/>
    <row r="3116" customFormat="false" ht="12.8" hidden="false" customHeight="false" outlineLevel="0" collapsed="false"/>
    <row r="3117" customFormat="false" ht="12.8" hidden="false" customHeight="false" outlineLevel="0" collapsed="false"/>
    <row r="3118" customFormat="false" ht="12.8" hidden="false" customHeight="false" outlineLevel="0" collapsed="false"/>
    <row r="3119" customFormat="false" ht="12.8" hidden="false" customHeight="false" outlineLevel="0" collapsed="false"/>
    <row r="3120" customFormat="false" ht="12.8" hidden="false" customHeight="false" outlineLevel="0" collapsed="false"/>
    <row r="3121" customFormat="false" ht="12.8" hidden="false" customHeight="false" outlineLevel="0" collapsed="false"/>
    <row r="3122" customFormat="false" ht="12.8" hidden="false" customHeight="false" outlineLevel="0" collapsed="false"/>
    <row r="3123" customFormat="false" ht="12.8" hidden="false" customHeight="false" outlineLevel="0" collapsed="false"/>
    <row r="3124" customFormat="false" ht="12.8" hidden="false" customHeight="false" outlineLevel="0" collapsed="false"/>
    <row r="3125" customFormat="false" ht="12.8" hidden="false" customHeight="false" outlineLevel="0" collapsed="false"/>
    <row r="3126" customFormat="false" ht="12.8" hidden="false" customHeight="false" outlineLevel="0" collapsed="false"/>
    <row r="3127" customFormat="false" ht="12.8" hidden="false" customHeight="false" outlineLevel="0" collapsed="false"/>
    <row r="3128" customFormat="false" ht="12.8" hidden="false" customHeight="false" outlineLevel="0" collapsed="false"/>
    <row r="3129" customFormat="false" ht="12.8" hidden="false" customHeight="false" outlineLevel="0" collapsed="false"/>
    <row r="3130" customFormat="false" ht="12.8" hidden="false" customHeight="false" outlineLevel="0" collapsed="false"/>
    <row r="3131" customFormat="false" ht="12.8" hidden="false" customHeight="false" outlineLevel="0" collapsed="false"/>
    <row r="3132" customFormat="false" ht="12.8" hidden="false" customHeight="false" outlineLevel="0" collapsed="false"/>
    <row r="3133" customFormat="false" ht="12.8" hidden="false" customHeight="false" outlineLevel="0" collapsed="false"/>
    <row r="3134" customFormat="false" ht="12.8" hidden="false" customHeight="false" outlineLevel="0" collapsed="false"/>
    <row r="3135" customFormat="false" ht="12.8" hidden="false" customHeight="false" outlineLevel="0" collapsed="false"/>
    <row r="3136" customFormat="false" ht="12.8" hidden="false" customHeight="false" outlineLevel="0" collapsed="false"/>
    <row r="3137" customFormat="false" ht="12.8" hidden="false" customHeight="false" outlineLevel="0" collapsed="false"/>
    <row r="3138" customFormat="false" ht="12.8" hidden="false" customHeight="false" outlineLevel="0" collapsed="false"/>
    <row r="3139" customFormat="false" ht="12.8" hidden="false" customHeight="false" outlineLevel="0" collapsed="false"/>
    <row r="3140" customFormat="false" ht="12.8" hidden="false" customHeight="false" outlineLevel="0" collapsed="false"/>
    <row r="3141" customFormat="false" ht="12.8" hidden="false" customHeight="false" outlineLevel="0" collapsed="false"/>
    <row r="3142" customFormat="false" ht="12.8" hidden="false" customHeight="false" outlineLevel="0" collapsed="false"/>
    <row r="3143" customFormat="false" ht="12.8" hidden="false" customHeight="false" outlineLevel="0" collapsed="false"/>
    <row r="3144" customFormat="false" ht="12.8" hidden="false" customHeight="false" outlineLevel="0" collapsed="false"/>
    <row r="3145" customFormat="false" ht="12.8" hidden="false" customHeight="false" outlineLevel="0" collapsed="false"/>
    <row r="3146" customFormat="false" ht="12.8" hidden="false" customHeight="false" outlineLevel="0" collapsed="false"/>
    <row r="3147" customFormat="false" ht="12.8" hidden="false" customHeight="false" outlineLevel="0" collapsed="false"/>
    <row r="3148" customFormat="false" ht="12.8" hidden="false" customHeight="false" outlineLevel="0" collapsed="false"/>
    <row r="3149" customFormat="false" ht="12.8" hidden="false" customHeight="false" outlineLevel="0" collapsed="false"/>
    <row r="3150" customFormat="false" ht="12.8" hidden="false" customHeight="false" outlineLevel="0" collapsed="false"/>
    <row r="3151" customFormat="false" ht="12.8" hidden="false" customHeight="false" outlineLevel="0" collapsed="false"/>
    <row r="3152" customFormat="false" ht="12.8" hidden="false" customHeight="false" outlineLevel="0" collapsed="false"/>
    <row r="3153" customFormat="false" ht="12.8" hidden="false" customHeight="false" outlineLevel="0" collapsed="false"/>
    <row r="3154" customFormat="false" ht="12.8" hidden="false" customHeight="false" outlineLevel="0" collapsed="false"/>
    <row r="3155" customFormat="false" ht="12.8" hidden="false" customHeight="false" outlineLevel="0" collapsed="false"/>
    <row r="3156" customFormat="false" ht="12.8" hidden="false" customHeight="false" outlineLevel="0" collapsed="false"/>
    <row r="3157" customFormat="false" ht="12.8" hidden="false" customHeight="false" outlineLevel="0" collapsed="false"/>
    <row r="3158" customFormat="false" ht="12.8" hidden="false" customHeight="false" outlineLevel="0" collapsed="false"/>
    <row r="3159" customFormat="false" ht="12.8" hidden="false" customHeight="false" outlineLevel="0" collapsed="false"/>
    <row r="3160" customFormat="false" ht="12.8" hidden="false" customHeight="false" outlineLevel="0" collapsed="false"/>
    <row r="3161" customFormat="false" ht="12.8" hidden="false" customHeight="false" outlineLevel="0" collapsed="false"/>
    <row r="3162" customFormat="false" ht="12.8" hidden="false" customHeight="false" outlineLevel="0" collapsed="false"/>
    <row r="3163" customFormat="false" ht="12.8" hidden="false" customHeight="false" outlineLevel="0" collapsed="false"/>
    <row r="3164" customFormat="false" ht="12.8" hidden="false" customHeight="false" outlineLevel="0" collapsed="false"/>
    <row r="3165" customFormat="false" ht="12.8" hidden="false" customHeight="false" outlineLevel="0" collapsed="false"/>
    <row r="3166" customFormat="false" ht="12.8" hidden="false" customHeight="false" outlineLevel="0" collapsed="false"/>
    <row r="3167" customFormat="false" ht="12.8" hidden="false" customHeight="false" outlineLevel="0" collapsed="false"/>
    <row r="3168" customFormat="false" ht="12.8" hidden="false" customHeight="false" outlineLevel="0" collapsed="false"/>
    <row r="3169" customFormat="false" ht="12.8" hidden="false" customHeight="false" outlineLevel="0" collapsed="false"/>
    <row r="3170" customFormat="false" ht="12.8" hidden="false" customHeight="false" outlineLevel="0" collapsed="false"/>
    <row r="3171" customFormat="false" ht="12.8" hidden="false" customHeight="false" outlineLevel="0" collapsed="false"/>
    <row r="3172" customFormat="false" ht="12.8" hidden="false" customHeight="false" outlineLevel="0" collapsed="false"/>
    <row r="3173" customFormat="false" ht="12.8" hidden="false" customHeight="false" outlineLevel="0" collapsed="false"/>
    <row r="3174" customFormat="false" ht="12.8" hidden="false" customHeight="false" outlineLevel="0" collapsed="false"/>
    <row r="3175" customFormat="false" ht="12.8" hidden="false" customHeight="false" outlineLevel="0" collapsed="false"/>
    <row r="3176" customFormat="false" ht="12.8" hidden="false" customHeight="false" outlineLevel="0" collapsed="false"/>
    <row r="3177" customFormat="false" ht="12.8" hidden="false" customHeight="false" outlineLevel="0" collapsed="false"/>
    <row r="3178" customFormat="false" ht="12.8" hidden="false" customHeight="false" outlineLevel="0" collapsed="false"/>
    <row r="3179" customFormat="false" ht="12.8" hidden="false" customHeight="false" outlineLevel="0" collapsed="false"/>
    <row r="3180" customFormat="false" ht="12.8" hidden="false" customHeight="false" outlineLevel="0" collapsed="false"/>
    <row r="3181" customFormat="false" ht="12.8" hidden="false" customHeight="false" outlineLevel="0" collapsed="false"/>
    <row r="3182" customFormat="false" ht="12.8" hidden="false" customHeight="false" outlineLevel="0" collapsed="false"/>
    <row r="3183" customFormat="false" ht="12.8" hidden="false" customHeight="false" outlineLevel="0" collapsed="false"/>
    <row r="3184" customFormat="false" ht="12.8" hidden="false" customHeight="false" outlineLevel="0" collapsed="false"/>
    <row r="3185" customFormat="false" ht="12.8" hidden="false" customHeight="false" outlineLevel="0" collapsed="false"/>
    <row r="3186" customFormat="false" ht="12.8" hidden="false" customHeight="false" outlineLevel="0" collapsed="false"/>
    <row r="3187" customFormat="false" ht="12.8" hidden="false" customHeight="false" outlineLevel="0" collapsed="false"/>
    <row r="3188" customFormat="false" ht="12.8" hidden="false" customHeight="false" outlineLevel="0" collapsed="false"/>
    <row r="3189" customFormat="false" ht="12.8" hidden="false" customHeight="false" outlineLevel="0" collapsed="false"/>
    <row r="3190" customFormat="false" ht="12.8" hidden="false" customHeight="false" outlineLevel="0" collapsed="false"/>
    <row r="3191" customFormat="false" ht="12.8" hidden="false" customHeight="false" outlineLevel="0" collapsed="false"/>
    <row r="3192" customFormat="false" ht="12.8" hidden="false" customHeight="false" outlineLevel="0" collapsed="false"/>
    <row r="3193" customFormat="false" ht="12.8" hidden="false" customHeight="false" outlineLevel="0" collapsed="false"/>
    <row r="3194" customFormat="false" ht="12.8" hidden="false" customHeight="false" outlineLevel="0" collapsed="false"/>
    <row r="3195" customFormat="false" ht="12.8" hidden="false" customHeight="false" outlineLevel="0" collapsed="false"/>
    <row r="3196" customFormat="false" ht="12.8" hidden="false" customHeight="false" outlineLevel="0" collapsed="false"/>
    <row r="3197" customFormat="false" ht="12.8" hidden="false" customHeight="false" outlineLevel="0" collapsed="false"/>
    <row r="3198" customFormat="false" ht="12.8" hidden="false" customHeight="false" outlineLevel="0" collapsed="false"/>
    <row r="3199" customFormat="false" ht="12.8" hidden="false" customHeight="false" outlineLevel="0" collapsed="false"/>
    <row r="3200" customFormat="false" ht="12.8" hidden="false" customHeight="false" outlineLevel="0" collapsed="false"/>
    <row r="3201" customFormat="false" ht="12.8" hidden="false" customHeight="false" outlineLevel="0" collapsed="false"/>
    <row r="3202" customFormat="false" ht="12.8" hidden="false" customHeight="false" outlineLevel="0" collapsed="false"/>
    <row r="3203" customFormat="false" ht="12.8" hidden="false" customHeight="false" outlineLevel="0" collapsed="false"/>
    <row r="3204" customFormat="false" ht="12.8" hidden="false" customHeight="false" outlineLevel="0" collapsed="false"/>
    <row r="3205" customFormat="false" ht="12.8" hidden="false" customHeight="false" outlineLevel="0" collapsed="false"/>
    <row r="3206" customFormat="false" ht="12.8" hidden="false" customHeight="false" outlineLevel="0" collapsed="false"/>
    <row r="3207" customFormat="false" ht="12.8" hidden="false" customHeight="false" outlineLevel="0" collapsed="false"/>
    <row r="3208" customFormat="false" ht="12.8" hidden="false" customHeight="false" outlineLevel="0" collapsed="false"/>
    <row r="3209" customFormat="false" ht="12.8" hidden="false" customHeight="false" outlineLevel="0" collapsed="false"/>
    <row r="3210" customFormat="false" ht="12.8" hidden="false" customHeight="false" outlineLevel="0" collapsed="false"/>
    <row r="3211" customFormat="false" ht="12.8" hidden="false" customHeight="false" outlineLevel="0" collapsed="false"/>
    <row r="3212" customFormat="false" ht="12.8" hidden="false" customHeight="false" outlineLevel="0" collapsed="false"/>
    <row r="3213" customFormat="false" ht="12.8" hidden="false" customHeight="false" outlineLevel="0" collapsed="false"/>
    <row r="3214" customFormat="false" ht="12.8" hidden="false" customHeight="false" outlineLevel="0" collapsed="false"/>
    <row r="3215" customFormat="false" ht="12.8" hidden="false" customHeight="false" outlineLevel="0" collapsed="false"/>
    <row r="3216" customFormat="false" ht="12.8" hidden="false" customHeight="false" outlineLevel="0" collapsed="false"/>
    <row r="3217" customFormat="false" ht="12.8" hidden="false" customHeight="false" outlineLevel="0" collapsed="false"/>
    <row r="3218" customFormat="false" ht="12.8" hidden="false" customHeight="false" outlineLevel="0" collapsed="false"/>
    <row r="3219" customFormat="false" ht="12.8" hidden="false" customHeight="false" outlineLevel="0" collapsed="false"/>
    <row r="3220" customFormat="false" ht="12.8" hidden="false" customHeight="false" outlineLevel="0" collapsed="false"/>
    <row r="3221" customFormat="false" ht="12.8" hidden="false" customHeight="false" outlineLevel="0" collapsed="false"/>
    <row r="3222" customFormat="false" ht="12.8" hidden="false" customHeight="false" outlineLevel="0" collapsed="false"/>
    <row r="3223" customFormat="false" ht="12.8" hidden="false" customHeight="false" outlineLevel="0" collapsed="false"/>
    <row r="3224" customFormat="false" ht="12.8" hidden="false" customHeight="false" outlineLevel="0" collapsed="false"/>
    <row r="3225" customFormat="false" ht="12.8" hidden="false" customHeight="false" outlineLevel="0" collapsed="false"/>
    <row r="3226" customFormat="false" ht="12.8" hidden="false" customHeight="false" outlineLevel="0" collapsed="false"/>
    <row r="3227" customFormat="false" ht="12.8" hidden="false" customHeight="false" outlineLevel="0" collapsed="false"/>
    <row r="3228" customFormat="false" ht="12.8" hidden="false" customHeight="false" outlineLevel="0" collapsed="false"/>
    <row r="3229" customFormat="false" ht="12.8" hidden="false" customHeight="false" outlineLevel="0" collapsed="false"/>
    <row r="3230" customFormat="false" ht="12.8" hidden="false" customHeight="false" outlineLevel="0" collapsed="false"/>
    <row r="3231" customFormat="false" ht="12.8" hidden="false" customHeight="false" outlineLevel="0" collapsed="false"/>
    <row r="3232" customFormat="false" ht="12.8" hidden="false" customHeight="false" outlineLevel="0" collapsed="false"/>
    <row r="3233" customFormat="false" ht="12.8" hidden="false" customHeight="false" outlineLevel="0" collapsed="false"/>
    <row r="3234" customFormat="false" ht="12.8" hidden="false" customHeight="false" outlineLevel="0" collapsed="false"/>
    <row r="3235" customFormat="false" ht="12.8" hidden="false" customHeight="false" outlineLevel="0" collapsed="false"/>
    <row r="3236" customFormat="false" ht="12.8" hidden="false" customHeight="false" outlineLevel="0" collapsed="false"/>
    <row r="3237" customFormat="false" ht="12.8" hidden="false" customHeight="false" outlineLevel="0" collapsed="false"/>
    <row r="3238" customFormat="false" ht="12.8" hidden="false" customHeight="false" outlineLevel="0" collapsed="false"/>
    <row r="3239" customFormat="false" ht="12.8" hidden="false" customHeight="false" outlineLevel="0" collapsed="false"/>
    <row r="3240" customFormat="false" ht="12.8" hidden="false" customHeight="false" outlineLevel="0" collapsed="false"/>
    <row r="3241" customFormat="false" ht="12.8" hidden="false" customHeight="false" outlineLevel="0" collapsed="false"/>
    <row r="3242" customFormat="false" ht="12.8" hidden="false" customHeight="false" outlineLevel="0" collapsed="false"/>
    <row r="3243" customFormat="false" ht="12.8" hidden="false" customHeight="false" outlineLevel="0" collapsed="false"/>
    <row r="3244" customFormat="false" ht="12.8" hidden="false" customHeight="false" outlineLevel="0" collapsed="false"/>
    <row r="3245" customFormat="false" ht="12.8" hidden="false" customHeight="false" outlineLevel="0" collapsed="false"/>
    <row r="3246" customFormat="false" ht="12.8" hidden="false" customHeight="false" outlineLevel="0" collapsed="false"/>
    <row r="3247" customFormat="false" ht="12.8" hidden="false" customHeight="false" outlineLevel="0" collapsed="false"/>
    <row r="3248" customFormat="false" ht="12.8" hidden="false" customHeight="false" outlineLevel="0" collapsed="false"/>
    <row r="3249" customFormat="false" ht="12.8" hidden="false" customHeight="false" outlineLevel="0" collapsed="false"/>
    <row r="3250" customFormat="false" ht="12.8" hidden="false" customHeight="false" outlineLevel="0" collapsed="false"/>
    <row r="3251" customFormat="false" ht="12.8" hidden="false" customHeight="false" outlineLevel="0" collapsed="false"/>
    <row r="3252" customFormat="false" ht="12.8" hidden="false" customHeight="false" outlineLevel="0" collapsed="false"/>
    <row r="3253" customFormat="false" ht="12.8" hidden="false" customHeight="false" outlineLevel="0" collapsed="false"/>
    <row r="3254" customFormat="false" ht="12.8" hidden="false" customHeight="false" outlineLevel="0" collapsed="false"/>
    <row r="3255" customFormat="false" ht="12.8" hidden="false" customHeight="false" outlineLevel="0" collapsed="false"/>
    <row r="3256" customFormat="false" ht="12.8" hidden="false" customHeight="false" outlineLevel="0" collapsed="false"/>
    <row r="3257" customFormat="false" ht="12.8" hidden="false" customHeight="false" outlineLevel="0" collapsed="false"/>
    <row r="3258" customFormat="false" ht="12.8" hidden="false" customHeight="false" outlineLevel="0" collapsed="false"/>
    <row r="3259" customFormat="false" ht="12.8" hidden="false" customHeight="false" outlineLevel="0" collapsed="false"/>
    <row r="3260" customFormat="false" ht="12.8" hidden="false" customHeight="false" outlineLevel="0" collapsed="false"/>
    <row r="3261" customFormat="false" ht="12.8" hidden="false" customHeight="false" outlineLevel="0" collapsed="false"/>
    <row r="3262" customFormat="false" ht="12.8" hidden="false" customHeight="false" outlineLevel="0" collapsed="false"/>
    <row r="3263" customFormat="false" ht="12.8" hidden="false" customHeight="false" outlineLevel="0" collapsed="false"/>
    <row r="3264" customFormat="false" ht="12.8" hidden="false" customHeight="false" outlineLevel="0" collapsed="false"/>
    <row r="3265" customFormat="false" ht="12.8" hidden="false" customHeight="false" outlineLevel="0" collapsed="false"/>
    <row r="3266" customFormat="false" ht="12.8" hidden="false" customHeight="false" outlineLevel="0" collapsed="false"/>
    <row r="3267" customFormat="false" ht="12.8" hidden="false" customHeight="false" outlineLevel="0" collapsed="false"/>
    <row r="3268" customFormat="false" ht="12.8" hidden="false" customHeight="false" outlineLevel="0" collapsed="false"/>
    <row r="3269" customFormat="false" ht="12.8" hidden="false" customHeight="false" outlineLevel="0" collapsed="false"/>
    <row r="3270" customFormat="false" ht="12.8" hidden="false" customHeight="false" outlineLevel="0" collapsed="false"/>
    <row r="3271" customFormat="false" ht="12.8" hidden="false" customHeight="false" outlineLevel="0" collapsed="false"/>
    <row r="3272" customFormat="false" ht="12.8" hidden="false" customHeight="false" outlineLevel="0" collapsed="false"/>
    <row r="3273" customFormat="false" ht="12.8" hidden="false" customHeight="false" outlineLevel="0" collapsed="false"/>
    <row r="3274" customFormat="false" ht="12.8" hidden="false" customHeight="false" outlineLevel="0" collapsed="false"/>
    <row r="3275" customFormat="false" ht="12.8" hidden="false" customHeight="false" outlineLevel="0" collapsed="false"/>
    <row r="3276" customFormat="false" ht="12.8" hidden="false" customHeight="false" outlineLevel="0" collapsed="false"/>
    <row r="3277" customFormat="false" ht="12.8" hidden="false" customHeight="false" outlineLevel="0" collapsed="false"/>
    <row r="3278" customFormat="false" ht="12.8" hidden="false" customHeight="false" outlineLevel="0" collapsed="false"/>
    <row r="3279" customFormat="false" ht="12.8" hidden="false" customHeight="false" outlineLevel="0" collapsed="false"/>
    <row r="3280" customFormat="false" ht="12.8" hidden="false" customHeight="false" outlineLevel="0" collapsed="false"/>
    <row r="3281" customFormat="false" ht="12.8" hidden="false" customHeight="false" outlineLevel="0" collapsed="false"/>
    <row r="3282" customFormat="false" ht="12.8" hidden="false" customHeight="false" outlineLevel="0" collapsed="false"/>
    <row r="3283" customFormat="false" ht="12.8" hidden="false" customHeight="false" outlineLevel="0" collapsed="false"/>
    <row r="3284" customFormat="false" ht="12.8" hidden="false" customHeight="false" outlineLevel="0" collapsed="false"/>
    <row r="3285" customFormat="false" ht="12.8" hidden="false" customHeight="false" outlineLevel="0" collapsed="false"/>
    <row r="3286" customFormat="false" ht="12.8" hidden="false" customHeight="false" outlineLevel="0" collapsed="false"/>
    <row r="3287" customFormat="false" ht="12.8" hidden="false" customHeight="false" outlineLevel="0" collapsed="false"/>
    <row r="3288" customFormat="false" ht="12.8" hidden="false" customHeight="false" outlineLevel="0" collapsed="false"/>
    <row r="3289" customFormat="false" ht="12.8" hidden="false" customHeight="false" outlineLevel="0" collapsed="false"/>
    <row r="3290" customFormat="false" ht="12.8" hidden="false" customHeight="false" outlineLevel="0" collapsed="false"/>
    <row r="3291" customFormat="false" ht="12.8" hidden="false" customHeight="false" outlineLevel="0" collapsed="false"/>
    <row r="3292" customFormat="false" ht="12.8" hidden="false" customHeight="false" outlineLevel="0" collapsed="false"/>
    <row r="3293" customFormat="false" ht="12.8" hidden="false" customHeight="false" outlineLevel="0" collapsed="false"/>
    <row r="3294" customFormat="false" ht="12.8" hidden="false" customHeight="false" outlineLevel="0" collapsed="false"/>
    <row r="3295" customFormat="false" ht="12.8" hidden="false" customHeight="false" outlineLevel="0" collapsed="false"/>
    <row r="3296" customFormat="false" ht="12.8" hidden="false" customHeight="false" outlineLevel="0" collapsed="false"/>
    <row r="3297" customFormat="false" ht="12.8" hidden="false" customHeight="false" outlineLevel="0" collapsed="false"/>
    <row r="3298" customFormat="false" ht="12.8" hidden="false" customHeight="false" outlineLevel="0" collapsed="false"/>
    <row r="3299" customFormat="false" ht="12.8" hidden="false" customHeight="false" outlineLevel="0" collapsed="false"/>
    <row r="3300" customFormat="false" ht="12.8" hidden="false" customHeight="false" outlineLevel="0" collapsed="false"/>
    <row r="3301" customFormat="false" ht="12.8" hidden="false" customHeight="false" outlineLevel="0" collapsed="false"/>
    <row r="3302" customFormat="false" ht="12.8" hidden="false" customHeight="false" outlineLevel="0" collapsed="false"/>
    <row r="3303" customFormat="false" ht="12.8" hidden="false" customHeight="false" outlineLevel="0" collapsed="false"/>
    <row r="3304" customFormat="false" ht="12.8" hidden="false" customHeight="false" outlineLevel="0" collapsed="false"/>
    <row r="3305" customFormat="false" ht="12.8" hidden="false" customHeight="false" outlineLevel="0" collapsed="false"/>
    <row r="3306" customFormat="false" ht="12.8" hidden="false" customHeight="false" outlineLevel="0" collapsed="false"/>
    <row r="3307" customFormat="false" ht="12.8" hidden="false" customHeight="false" outlineLevel="0" collapsed="false"/>
    <row r="3308" customFormat="false" ht="12.8" hidden="false" customHeight="false" outlineLevel="0" collapsed="false"/>
    <row r="3309" customFormat="false" ht="12.8" hidden="false" customHeight="false" outlineLevel="0" collapsed="false"/>
    <row r="3310" customFormat="false" ht="12.8" hidden="false" customHeight="false" outlineLevel="0" collapsed="false"/>
    <row r="3311" customFormat="false" ht="12.8" hidden="false" customHeight="false" outlineLevel="0" collapsed="false"/>
    <row r="3312" customFormat="false" ht="12.8" hidden="false" customHeight="false" outlineLevel="0" collapsed="false"/>
    <row r="3313" customFormat="false" ht="12.8" hidden="false" customHeight="false" outlineLevel="0" collapsed="false"/>
    <row r="3314" customFormat="false" ht="12.8" hidden="false" customHeight="false" outlineLevel="0" collapsed="false"/>
    <row r="3315" customFormat="false" ht="12.8" hidden="false" customHeight="false" outlineLevel="0" collapsed="false"/>
    <row r="3316" customFormat="false" ht="12.8" hidden="false" customHeight="false" outlineLevel="0" collapsed="false"/>
    <row r="3317" customFormat="false" ht="12.8" hidden="false" customHeight="false" outlineLevel="0" collapsed="false"/>
    <row r="3318" customFormat="false" ht="12.8" hidden="false" customHeight="false" outlineLevel="0" collapsed="false"/>
    <row r="3319" customFormat="false" ht="12.8" hidden="false" customHeight="false" outlineLevel="0" collapsed="false"/>
    <row r="3320" customFormat="false" ht="12.8" hidden="false" customHeight="false" outlineLevel="0" collapsed="false"/>
    <row r="3321" customFormat="false" ht="12.8" hidden="false" customHeight="false" outlineLevel="0" collapsed="false"/>
    <row r="3322" customFormat="false" ht="12.8" hidden="false" customHeight="false" outlineLevel="0" collapsed="false"/>
    <row r="3323" customFormat="false" ht="12.8" hidden="false" customHeight="false" outlineLevel="0" collapsed="false"/>
    <row r="3324" customFormat="false" ht="12.8" hidden="false" customHeight="false" outlineLevel="0" collapsed="false"/>
    <row r="3325" customFormat="false" ht="12.8" hidden="false" customHeight="false" outlineLevel="0" collapsed="false"/>
    <row r="3326" customFormat="false" ht="12.8" hidden="false" customHeight="false" outlineLevel="0" collapsed="false"/>
    <row r="3327" customFormat="false" ht="12.8" hidden="false" customHeight="false" outlineLevel="0" collapsed="false"/>
    <row r="3328" customFormat="false" ht="12.8" hidden="false" customHeight="false" outlineLevel="0" collapsed="false"/>
    <row r="3329" customFormat="false" ht="12.8" hidden="false" customHeight="false" outlineLevel="0" collapsed="false"/>
    <row r="3330" customFormat="false" ht="12.8" hidden="false" customHeight="false" outlineLevel="0" collapsed="false"/>
    <row r="3331" customFormat="false" ht="12.8" hidden="false" customHeight="false" outlineLevel="0" collapsed="false"/>
    <row r="3332" customFormat="false" ht="12.8" hidden="false" customHeight="false" outlineLevel="0" collapsed="false"/>
    <row r="3333" customFormat="false" ht="12.8" hidden="false" customHeight="false" outlineLevel="0" collapsed="false"/>
    <row r="3334" customFormat="false" ht="12.8" hidden="false" customHeight="false" outlineLevel="0" collapsed="false"/>
    <row r="3335" customFormat="false" ht="12.8" hidden="false" customHeight="false" outlineLevel="0" collapsed="false"/>
    <row r="3336" customFormat="false" ht="12.8" hidden="false" customHeight="false" outlineLevel="0" collapsed="false"/>
    <row r="3337" customFormat="false" ht="12.8" hidden="false" customHeight="false" outlineLevel="0" collapsed="false"/>
    <row r="3338" customFormat="false" ht="12.8" hidden="false" customHeight="false" outlineLevel="0" collapsed="false"/>
    <row r="3339" customFormat="false" ht="12.8" hidden="false" customHeight="false" outlineLevel="0" collapsed="false"/>
    <row r="3340" customFormat="false" ht="12.8" hidden="false" customHeight="false" outlineLevel="0" collapsed="false"/>
    <row r="3341" customFormat="false" ht="12.8" hidden="false" customHeight="false" outlineLevel="0" collapsed="false"/>
    <row r="3342" customFormat="false" ht="12.8" hidden="false" customHeight="false" outlineLevel="0" collapsed="false"/>
    <row r="3343" customFormat="false" ht="12.8" hidden="false" customHeight="false" outlineLevel="0" collapsed="false"/>
    <row r="3344" customFormat="false" ht="12.8" hidden="false" customHeight="false" outlineLevel="0" collapsed="false"/>
    <row r="3345" customFormat="false" ht="12.8" hidden="false" customHeight="false" outlineLevel="0" collapsed="false"/>
    <row r="3346" customFormat="false" ht="12.8" hidden="false" customHeight="false" outlineLevel="0" collapsed="false"/>
    <row r="3347" customFormat="false" ht="12.8" hidden="false" customHeight="false" outlineLevel="0" collapsed="false"/>
    <row r="3348" customFormat="false" ht="12.8" hidden="false" customHeight="false" outlineLevel="0" collapsed="false"/>
    <row r="3349" customFormat="false" ht="12.8" hidden="false" customHeight="false" outlineLevel="0" collapsed="false"/>
    <row r="3350" customFormat="false" ht="12.8" hidden="false" customHeight="false" outlineLevel="0" collapsed="false"/>
    <row r="3351" customFormat="false" ht="12.8" hidden="false" customHeight="false" outlineLevel="0" collapsed="false"/>
    <row r="3352" customFormat="false" ht="12.8" hidden="false" customHeight="false" outlineLevel="0" collapsed="false"/>
    <row r="3353" customFormat="false" ht="12.8" hidden="false" customHeight="false" outlineLevel="0" collapsed="false"/>
    <row r="3354" customFormat="false" ht="12.8" hidden="false" customHeight="false" outlineLevel="0" collapsed="false"/>
    <row r="3355" customFormat="false" ht="12.8" hidden="false" customHeight="false" outlineLevel="0" collapsed="false"/>
    <row r="3356" customFormat="false" ht="12.8" hidden="false" customHeight="false" outlineLevel="0" collapsed="false"/>
    <row r="3357" customFormat="false" ht="12.8" hidden="false" customHeight="false" outlineLevel="0" collapsed="false"/>
    <row r="3358" customFormat="false" ht="12.8" hidden="false" customHeight="false" outlineLevel="0" collapsed="false"/>
    <row r="3359" customFormat="false" ht="12.8" hidden="false" customHeight="false" outlineLevel="0" collapsed="false"/>
    <row r="3360" customFormat="false" ht="12.8" hidden="false" customHeight="false" outlineLevel="0" collapsed="false"/>
    <row r="3361" customFormat="false" ht="12.8" hidden="false" customHeight="false" outlineLevel="0" collapsed="false"/>
    <row r="3362" customFormat="false" ht="12.8" hidden="false" customHeight="false" outlineLevel="0" collapsed="false"/>
    <row r="3363" customFormat="false" ht="12.8" hidden="false" customHeight="false" outlineLevel="0" collapsed="false"/>
    <row r="3364" customFormat="false" ht="12.8" hidden="false" customHeight="false" outlineLevel="0" collapsed="false"/>
    <row r="3365" customFormat="false" ht="12.8" hidden="false" customHeight="false" outlineLevel="0" collapsed="false"/>
    <row r="3366" customFormat="false" ht="12.8" hidden="false" customHeight="false" outlineLevel="0" collapsed="false"/>
    <row r="3367" customFormat="false" ht="12.8" hidden="false" customHeight="false" outlineLevel="0" collapsed="false"/>
    <row r="3368" customFormat="false" ht="12.8" hidden="false" customHeight="false" outlineLevel="0" collapsed="false"/>
    <row r="3369" customFormat="false" ht="12.8" hidden="false" customHeight="false" outlineLevel="0" collapsed="false"/>
    <row r="3370" customFormat="false" ht="12.8" hidden="false" customHeight="false" outlineLevel="0" collapsed="false"/>
    <row r="3371" customFormat="false" ht="12.8" hidden="false" customHeight="false" outlineLevel="0" collapsed="false"/>
    <row r="3372" customFormat="false" ht="12.8" hidden="false" customHeight="false" outlineLevel="0" collapsed="false"/>
    <row r="3373" customFormat="false" ht="12.8" hidden="false" customHeight="false" outlineLevel="0" collapsed="false"/>
    <row r="3374" customFormat="false" ht="12.8" hidden="false" customHeight="false" outlineLevel="0" collapsed="false"/>
    <row r="3375" customFormat="false" ht="12.8" hidden="false" customHeight="false" outlineLevel="0" collapsed="false"/>
    <row r="3376" customFormat="false" ht="12.8" hidden="false" customHeight="false" outlineLevel="0" collapsed="false"/>
    <row r="3377" customFormat="false" ht="12.8" hidden="false" customHeight="false" outlineLevel="0" collapsed="false"/>
    <row r="3378" customFormat="false" ht="12.8" hidden="false" customHeight="false" outlineLevel="0" collapsed="false"/>
    <row r="3379" customFormat="false" ht="12.8" hidden="false" customHeight="false" outlineLevel="0" collapsed="false"/>
    <row r="3380" customFormat="false" ht="12.8" hidden="false" customHeight="false" outlineLevel="0" collapsed="false"/>
    <row r="3381" customFormat="false" ht="12.8" hidden="false" customHeight="false" outlineLevel="0" collapsed="false"/>
    <row r="3382" customFormat="false" ht="12.8" hidden="false" customHeight="false" outlineLevel="0" collapsed="false"/>
    <row r="3383" customFormat="false" ht="12.8" hidden="false" customHeight="false" outlineLevel="0" collapsed="false"/>
    <row r="3384" customFormat="false" ht="12.8" hidden="false" customHeight="false" outlineLevel="0" collapsed="false"/>
    <row r="3385" customFormat="false" ht="12.8" hidden="false" customHeight="false" outlineLevel="0" collapsed="false"/>
    <row r="3386" customFormat="false" ht="12.8" hidden="false" customHeight="false" outlineLevel="0" collapsed="false"/>
    <row r="3387" customFormat="false" ht="12.8" hidden="false" customHeight="false" outlineLevel="0" collapsed="false"/>
    <row r="3388" customFormat="false" ht="12.8" hidden="false" customHeight="false" outlineLevel="0" collapsed="false"/>
    <row r="3389" customFormat="false" ht="12.8" hidden="false" customHeight="false" outlineLevel="0" collapsed="false"/>
    <row r="3390" customFormat="false" ht="12.8" hidden="false" customHeight="false" outlineLevel="0" collapsed="false"/>
    <row r="3391" customFormat="false" ht="12.8" hidden="false" customHeight="false" outlineLevel="0" collapsed="false"/>
    <row r="3392" customFormat="false" ht="12.8" hidden="false" customHeight="false" outlineLevel="0" collapsed="false"/>
    <row r="3393" customFormat="false" ht="12.8" hidden="false" customHeight="false" outlineLevel="0" collapsed="false"/>
    <row r="3394" customFormat="false" ht="12.8" hidden="false" customHeight="false" outlineLevel="0" collapsed="false"/>
    <row r="3395" customFormat="false" ht="12.8" hidden="false" customHeight="false" outlineLevel="0" collapsed="false"/>
    <row r="3396" customFormat="false" ht="12.8" hidden="false" customHeight="false" outlineLevel="0" collapsed="false"/>
    <row r="3397" customFormat="false" ht="12.8" hidden="false" customHeight="false" outlineLevel="0" collapsed="false"/>
    <row r="3398" customFormat="false" ht="12.8" hidden="false" customHeight="false" outlineLevel="0" collapsed="false"/>
    <row r="3399" customFormat="false" ht="12.8" hidden="false" customHeight="false" outlineLevel="0" collapsed="false"/>
    <row r="3400" customFormat="false" ht="12.8" hidden="false" customHeight="false" outlineLevel="0" collapsed="false"/>
    <row r="3401" customFormat="false" ht="12.8" hidden="false" customHeight="false" outlineLevel="0" collapsed="false"/>
    <row r="3402" customFormat="false" ht="12.8" hidden="false" customHeight="false" outlineLevel="0" collapsed="false"/>
    <row r="3403" customFormat="false" ht="12.8" hidden="false" customHeight="false" outlineLevel="0" collapsed="false"/>
    <row r="3404" customFormat="false" ht="12.8" hidden="false" customHeight="false" outlineLevel="0" collapsed="false"/>
    <row r="3405" customFormat="false" ht="12.8" hidden="false" customHeight="false" outlineLevel="0" collapsed="false"/>
    <row r="3406" customFormat="false" ht="12.8" hidden="false" customHeight="false" outlineLevel="0" collapsed="false"/>
    <row r="3407" customFormat="false" ht="12.8" hidden="false" customHeight="false" outlineLevel="0" collapsed="false"/>
    <row r="3408" customFormat="false" ht="12.8" hidden="false" customHeight="false" outlineLevel="0" collapsed="false"/>
    <row r="3409" customFormat="false" ht="12.8" hidden="false" customHeight="false" outlineLevel="0" collapsed="false"/>
    <row r="3410" customFormat="false" ht="12.8" hidden="false" customHeight="false" outlineLevel="0" collapsed="false"/>
    <row r="3411" customFormat="false" ht="12.8" hidden="false" customHeight="false" outlineLevel="0" collapsed="false"/>
    <row r="3412" customFormat="false" ht="12.8" hidden="false" customHeight="false" outlineLevel="0" collapsed="false"/>
    <row r="3413" customFormat="false" ht="12.8" hidden="false" customHeight="false" outlineLevel="0" collapsed="false"/>
    <row r="3414" customFormat="false" ht="12.8" hidden="false" customHeight="false" outlineLevel="0" collapsed="false"/>
    <row r="3415" customFormat="false" ht="12.8" hidden="false" customHeight="false" outlineLevel="0" collapsed="false"/>
    <row r="3416" customFormat="false" ht="12.8" hidden="false" customHeight="false" outlineLevel="0" collapsed="false"/>
    <row r="3417" customFormat="false" ht="12.8" hidden="false" customHeight="false" outlineLevel="0" collapsed="false"/>
    <row r="3418" customFormat="false" ht="12.8" hidden="false" customHeight="false" outlineLevel="0" collapsed="false"/>
    <row r="3419" customFormat="false" ht="12.8" hidden="false" customHeight="false" outlineLevel="0" collapsed="false"/>
    <row r="3420" customFormat="false" ht="12.8" hidden="false" customHeight="false" outlineLevel="0" collapsed="false"/>
    <row r="3421" customFormat="false" ht="12.8" hidden="false" customHeight="false" outlineLevel="0" collapsed="false"/>
    <row r="3422" customFormat="false" ht="12.8" hidden="false" customHeight="false" outlineLevel="0" collapsed="false"/>
    <row r="3423" customFormat="false" ht="12.8" hidden="false" customHeight="false" outlineLevel="0" collapsed="false"/>
    <row r="3424" customFormat="false" ht="12.8" hidden="false" customHeight="false" outlineLevel="0" collapsed="false"/>
    <row r="3425" customFormat="false" ht="12.8" hidden="false" customHeight="false" outlineLevel="0" collapsed="false"/>
    <row r="3426" customFormat="false" ht="12.8" hidden="false" customHeight="false" outlineLevel="0" collapsed="false"/>
    <row r="3427" customFormat="false" ht="12.8" hidden="false" customHeight="false" outlineLevel="0" collapsed="false"/>
    <row r="3428" customFormat="false" ht="12.8" hidden="false" customHeight="false" outlineLevel="0" collapsed="false"/>
    <row r="3429" customFormat="false" ht="12.8" hidden="false" customHeight="false" outlineLevel="0" collapsed="false"/>
    <row r="3430" customFormat="false" ht="12.8" hidden="false" customHeight="false" outlineLevel="0" collapsed="false"/>
    <row r="3431" customFormat="false" ht="12.8" hidden="false" customHeight="false" outlineLevel="0" collapsed="false"/>
    <row r="3432" customFormat="false" ht="12.8" hidden="false" customHeight="false" outlineLevel="0" collapsed="false"/>
    <row r="3433" customFormat="false" ht="12.8" hidden="false" customHeight="false" outlineLevel="0" collapsed="false"/>
    <row r="3434" customFormat="false" ht="12.8" hidden="false" customHeight="false" outlineLevel="0" collapsed="false"/>
    <row r="3435" customFormat="false" ht="12.8" hidden="false" customHeight="false" outlineLevel="0" collapsed="false"/>
    <row r="3436" customFormat="false" ht="12.8" hidden="false" customHeight="false" outlineLevel="0" collapsed="false"/>
    <row r="3437" customFormat="false" ht="12.8" hidden="false" customHeight="false" outlineLevel="0" collapsed="false"/>
    <row r="3438" customFormat="false" ht="12.8" hidden="false" customHeight="false" outlineLevel="0" collapsed="false"/>
    <row r="3439" customFormat="false" ht="12.8" hidden="false" customHeight="false" outlineLevel="0" collapsed="false"/>
    <row r="3440" customFormat="false" ht="12.8" hidden="false" customHeight="false" outlineLevel="0" collapsed="false"/>
    <row r="3441" customFormat="false" ht="12.8" hidden="false" customHeight="false" outlineLevel="0" collapsed="false"/>
    <row r="3442" customFormat="false" ht="12.8" hidden="false" customHeight="false" outlineLevel="0" collapsed="false"/>
    <row r="3443" customFormat="false" ht="12.8" hidden="false" customHeight="false" outlineLevel="0" collapsed="false"/>
    <row r="3444" customFormat="false" ht="12.8" hidden="false" customHeight="false" outlineLevel="0" collapsed="false"/>
    <row r="3445" customFormat="false" ht="12.8" hidden="false" customHeight="false" outlineLevel="0" collapsed="false"/>
    <row r="3446" customFormat="false" ht="12.8" hidden="false" customHeight="false" outlineLevel="0" collapsed="false"/>
    <row r="3447" customFormat="false" ht="12.8" hidden="false" customHeight="false" outlineLevel="0" collapsed="false"/>
    <row r="3448" customFormat="false" ht="12.8" hidden="false" customHeight="false" outlineLevel="0" collapsed="false"/>
    <row r="3449" customFormat="false" ht="12.8" hidden="false" customHeight="false" outlineLevel="0" collapsed="false"/>
    <row r="3450" customFormat="false" ht="12.8" hidden="false" customHeight="false" outlineLevel="0" collapsed="false"/>
    <row r="3451" customFormat="false" ht="12.8" hidden="false" customHeight="false" outlineLevel="0" collapsed="false"/>
    <row r="3452" customFormat="false" ht="12.8" hidden="false" customHeight="false" outlineLevel="0" collapsed="false"/>
    <row r="3453" customFormat="false" ht="12.8" hidden="false" customHeight="false" outlineLevel="0" collapsed="false"/>
    <row r="3454" customFormat="false" ht="12.8" hidden="false" customHeight="false" outlineLevel="0" collapsed="false"/>
    <row r="3455" customFormat="false" ht="12.8" hidden="false" customHeight="false" outlineLevel="0" collapsed="false"/>
    <row r="3456" customFormat="false" ht="12.8" hidden="false" customHeight="false" outlineLevel="0" collapsed="false"/>
    <row r="3457" customFormat="false" ht="12.8" hidden="false" customHeight="false" outlineLevel="0" collapsed="false"/>
    <row r="3458" customFormat="false" ht="12.8" hidden="false" customHeight="false" outlineLevel="0" collapsed="false"/>
    <row r="3459" customFormat="false" ht="12.8" hidden="false" customHeight="false" outlineLevel="0" collapsed="false"/>
    <row r="3460" customFormat="false" ht="12.8" hidden="false" customHeight="false" outlineLevel="0" collapsed="false"/>
    <row r="3461" customFormat="false" ht="12.8" hidden="false" customHeight="false" outlineLevel="0" collapsed="false"/>
    <row r="3462" customFormat="false" ht="12.8" hidden="false" customHeight="false" outlineLevel="0" collapsed="false"/>
    <row r="3463" customFormat="false" ht="12.8" hidden="false" customHeight="false" outlineLevel="0" collapsed="false"/>
    <row r="3464" customFormat="false" ht="12.8" hidden="false" customHeight="false" outlineLevel="0" collapsed="false"/>
    <row r="3465" customFormat="false" ht="12.8" hidden="false" customHeight="false" outlineLevel="0" collapsed="false"/>
    <row r="3466" customFormat="false" ht="12.8" hidden="false" customHeight="false" outlineLevel="0" collapsed="false"/>
    <row r="3467" customFormat="false" ht="12.8" hidden="false" customHeight="false" outlineLevel="0" collapsed="false"/>
    <row r="3468" customFormat="false" ht="12.8" hidden="false" customHeight="false" outlineLevel="0" collapsed="false"/>
    <row r="3469" customFormat="false" ht="12.8" hidden="false" customHeight="false" outlineLevel="0" collapsed="false"/>
    <row r="3470" customFormat="false" ht="12.8" hidden="false" customHeight="false" outlineLevel="0" collapsed="false"/>
    <row r="3471" customFormat="false" ht="12.8" hidden="false" customHeight="false" outlineLevel="0" collapsed="false"/>
    <row r="3472" customFormat="false" ht="12.8" hidden="false" customHeight="false" outlineLevel="0" collapsed="false"/>
    <row r="3473" customFormat="false" ht="12.8" hidden="false" customHeight="false" outlineLevel="0" collapsed="false"/>
    <row r="3474" customFormat="false" ht="12.8" hidden="false" customHeight="false" outlineLevel="0" collapsed="false"/>
    <row r="3475" customFormat="false" ht="12.8" hidden="false" customHeight="false" outlineLevel="0" collapsed="false"/>
    <row r="3476" customFormat="false" ht="12.8" hidden="false" customHeight="false" outlineLevel="0" collapsed="false"/>
    <row r="3477" customFormat="false" ht="12.8" hidden="false" customHeight="false" outlineLevel="0" collapsed="false"/>
    <row r="3478" customFormat="false" ht="12.8" hidden="false" customHeight="false" outlineLevel="0" collapsed="false"/>
    <row r="3479" customFormat="false" ht="12.8" hidden="false" customHeight="false" outlineLevel="0" collapsed="false"/>
    <row r="3480" customFormat="false" ht="12.8" hidden="false" customHeight="false" outlineLevel="0" collapsed="false"/>
    <row r="3481" customFormat="false" ht="12.8" hidden="false" customHeight="false" outlineLevel="0" collapsed="false"/>
    <row r="3482" customFormat="false" ht="12.8" hidden="false" customHeight="false" outlineLevel="0" collapsed="false"/>
    <row r="3483" customFormat="false" ht="12.8" hidden="false" customHeight="false" outlineLevel="0" collapsed="false"/>
    <row r="3484" customFormat="false" ht="12.8" hidden="false" customHeight="false" outlineLevel="0" collapsed="false"/>
    <row r="3485" customFormat="false" ht="12.8" hidden="false" customHeight="false" outlineLevel="0" collapsed="false"/>
    <row r="3486" customFormat="false" ht="12.8" hidden="false" customHeight="false" outlineLevel="0" collapsed="false"/>
    <row r="3487" customFormat="false" ht="12.8" hidden="false" customHeight="false" outlineLevel="0" collapsed="false"/>
    <row r="3488" customFormat="false" ht="12.8" hidden="false" customHeight="false" outlineLevel="0" collapsed="false"/>
    <row r="3489" customFormat="false" ht="12.8" hidden="false" customHeight="false" outlineLevel="0" collapsed="false"/>
    <row r="3490" customFormat="false" ht="12.8" hidden="false" customHeight="false" outlineLevel="0" collapsed="false"/>
    <row r="3491" customFormat="false" ht="12.8" hidden="false" customHeight="false" outlineLevel="0" collapsed="false"/>
    <row r="3492" customFormat="false" ht="12.8" hidden="false" customHeight="false" outlineLevel="0" collapsed="false"/>
    <row r="3493" customFormat="false" ht="12.8" hidden="false" customHeight="false" outlineLevel="0" collapsed="false"/>
    <row r="3494" customFormat="false" ht="12.8" hidden="false" customHeight="false" outlineLevel="0" collapsed="false"/>
    <row r="3495" customFormat="false" ht="12.8" hidden="false" customHeight="false" outlineLevel="0" collapsed="false"/>
    <row r="3496" customFormat="false" ht="12.8" hidden="false" customHeight="false" outlineLevel="0" collapsed="false"/>
    <row r="3497" customFormat="false" ht="12.8" hidden="false" customHeight="false" outlineLevel="0" collapsed="false"/>
    <row r="3498" customFormat="false" ht="12.8" hidden="false" customHeight="false" outlineLevel="0" collapsed="false"/>
    <row r="3499" customFormat="false" ht="12.8" hidden="false" customHeight="false" outlineLevel="0" collapsed="false"/>
    <row r="3500" customFormat="false" ht="12.8" hidden="false" customHeight="false" outlineLevel="0" collapsed="false"/>
    <row r="3501" customFormat="false" ht="12.8" hidden="false" customHeight="false" outlineLevel="0" collapsed="false"/>
    <row r="3502" customFormat="false" ht="12.8" hidden="false" customHeight="false" outlineLevel="0" collapsed="false"/>
    <row r="3503" customFormat="false" ht="12.8" hidden="false" customHeight="false" outlineLevel="0" collapsed="false"/>
    <row r="3504" customFormat="false" ht="12.8" hidden="false" customHeight="false" outlineLevel="0" collapsed="false"/>
    <row r="3505" customFormat="false" ht="12.8" hidden="false" customHeight="false" outlineLevel="0" collapsed="false"/>
    <row r="3506" customFormat="false" ht="12.8" hidden="false" customHeight="false" outlineLevel="0" collapsed="false"/>
    <row r="3507" customFormat="false" ht="12.8" hidden="false" customHeight="false" outlineLevel="0" collapsed="false"/>
    <row r="3508" customFormat="false" ht="12.8" hidden="false" customHeight="false" outlineLevel="0" collapsed="false"/>
    <row r="3509" customFormat="false" ht="12.8" hidden="false" customHeight="false" outlineLevel="0" collapsed="false"/>
    <row r="3510" customFormat="false" ht="12.8" hidden="false" customHeight="false" outlineLevel="0" collapsed="false"/>
    <row r="3511" customFormat="false" ht="12.8" hidden="false" customHeight="false" outlineLevel="0" collapsed="false"/>
    <row r="3512" customFormat="false" ht="12.8" hidden="false" customHeight="false" outlineLevel="0" collapsed="false"/>
    <row r="3513" customFormat="false" ht="12.8" hidden="false" customHeight="false" outlineLevel="0" collapsed="false"/>
    <row r="3514" customFormat="false" ht="12.8" hidden="false" customHeight="false" outlineLevel="0" collapsed="false"/>
    <row r="3515" customFormat="false" ht="12.8" hidden="false" customHeight="false" outlineLevel="0" collapsed="false"/>
    <row r="3516" customFormat="false" ht="12.8" hidden="false" customHeight="false" outlineLevel="0" collapsed="false"/>
    <row r="3517" customFormat="false" ht="12.8" hidden="false" customHeight="false" outlineLevel="0" collapsed="false"/>
    <row r="3518" customFormat="false" ht="12.8" hidden="false" customHeight="false" outlineLevel="0" collapsed="false"/>
    <row r="3519" customFormat="false" ht="12.8" hidden="false" customHeight="false" outlineLevel="0" collapsed="false"/>
    <row r="3520" customFormat="false" ht="12.8" hidden="false" customHeight="false" outlineLevel="0" collapsed="false"/>
    <row r="3521" customFormat="false" ht="12.8" hidden="false" customHeight="false" outlineLevel="0" collapsed="false"/>
    <row r="3522" customFormat="false" ht="12.8" hidden="false" customHeight="false" outlineLevel="0" collapsed="false"/>
    <row r="3523" customFormat="false" ht="12.8" hidden="false" customHeight="false" outlineLevel="0" collapsed="false"/>
    <row r="3524" customFormat="false" ht="12.8" hidden="false" customHeight="false" outlineLevel="0" collapsed="false"/>
    <row r="3525" customFormat="false" ht="12.8" hidden="false" customHeight="false" outlineLevel="0" collapsed="false"/>
    <row r="3526" customFormat="false" ht="12.8" hidden="false" customHeight="false" outlineLevel="0" collapsed="false"/>
    <row r="3527" customFormat="false" ht="12.8" hidden="false" customHeight="false" outlineLevel="0" collapsed="false"/>
    <row r="3528" customFormat="false" ht="12.8" hidden="false" customHeight="false" outlineLevel="0" collapsed="false"/>
    <row r="3529" customFormat="false" ht="12.8" hidden="false" customHeight="false" outlineLevel="0" collapsed="false"/>
    <row r="3530" customFormat="false" ht="12.8" hidden="false" customHeight="false" outlineLevel="0" collapsed="false"/>
    <row r="3531" customFormat="false" ht="12.8" hidden="false" customHeight="false" outlineLevel="0" collapsed="false"/>
    <row r="3532" customFormat="false" ht="12.8" hidden="false" customHeight="false" outlineLevel="0" collapsed="false"/>
    <row r="3533" customFormat="false" ht="12.8" hidden="false" customHeight="false" outlineLevel="0" collapsed="false"/>
    <row r="3534" customFormat="false" ht="12.8" hidden="false" customHeight="false" outlineLevel="0" collapsed="false"/>
    <row r="3535" customFormat="false" ht="12.8" hidden="false" customHeight="false" outlineLevel="0" collapsed="false"/>
    <row r="3536" customFormat="false" ht="12.8" hidden="false" customHeight="false" outlineLevel="0" collapsed="false"/>
    <row r="3537" customFormat="false" ht="12.8" hidden="false" customHeight="false" outlineLevel="0" collapsed="false"/>
    <row r="3538" customFormat="false" ht="12.8" hidden="false" customHeight="false" outlineLevel="0" collapsed="false"/>
    <row r="3539" customFormat="false" ht="12.8" hidden="false" customHeight="false" outlineLevel="0" collapsed="false"/>
    <row r="3540" customFormat="false" ht="12.8" hidden="false" customHeight="false" outlineLevel="0" collapsed="false"/>
    <row r="3541" customFormat="false" ht="12.8" hidden="false" customHeight="false" outlineLevel="0" collapsed="false"/>
    <row r="3542" customFormat="false" ht="12.8" hidden="false" customHeight="false" outlineLevel="0" collapsed="false"/>
    <row r="3543" customFormat="false" ht="12.8" hidden="false" customHeight="false" outlineLevel="0" collapsed="false"/>
    <row r="3544" customFormat="false" ht="12.8" hidden="false" customHeight="false" outlineLevel="0" collapsed="false"/>
    <row r="3545" customFormat="false" ht="12.8" hidden="false" customHeight="false" outlineLevel="0" collapsed="false"/>
    <row r="3546" customFormat="false" ht="12.8" hidden="false" customHeight="false" outlineLevel="0" collapsed="false"/>
    <row r="3547" customFormat="false" ht="12.8" hidden="false" customHeight="false" outlineLevel="0" collapsed="false"/>
    <row r="3548" customFormat="false" ht="12.8" hidden="false" customHeight="false" outlineLevel="0" collapsed="false"/>
    <row r="3549" customFormat="false" ht="12.8" hidden="false" customHeight="false" outlineLevel="0" collapsed="false"/>
    <row r="3550" customFormat="false" ht="12.8" hidden="false" customHeight="false" outlineLevel="0" collapsed="false"/>
    <row r="3551" customFormat="false" ht="12.8" hidden="false" customHeight="false" outlineLevel="0" collapsed="false"/>
    <row r="3552" customFormat="false" ht="12.8" hidden="false" customHeight="false" outlineLevel="0" collapsed="false"/>
    <row r="3553" customFormat="false" ht="12.8" hidden="false" customHeight="false" outlineLevel="0" collapsed="false"/>
    <row r="3554" customFormat="false" ht="12.8" hidden="false" customHeight="false" outlineLevel="0" collapsed="false"/>
    <row r="3555" customFormat="false" ht="12.8" hidden="false" customHeight="false" outlineLevel="0" collapsed="false"/>
    <row r="3556" customFormat="false" ht="12.8" hidden="false" customHeight="false" outlineLevel="0" collapsed="false"/>
    <row r="3557" customFormat="false" ht="12.8" hidden="false" customHeight="false" outlineLevel="0" collapsed="false"/>
    <row r="3558" customFormat="false" ht="12.8" hidden="false" customHeight="false" outlineLevel="0" collapsed="false"/>
    <row r="3559" customFormat="false" ht="12.8" hidden="false" customHeight="false" outlineLevel="0" collapsed="false"/>
    <row r="3560" customFormat="false" ht="12.8" hidden="false" customHeight="false" outlineLevel="0" collapsed="false"/>
    <row r="3561" customFormat="false" ht="12.8" hidden="false" customHeight="false" outlineLevel="0" collapsed="false"/>
    <row r="3562" customFormat="false" ht="12.8" hidden="false" customHeight="false" outlineLevel="0" collapsed="false"/>
    <row r="3563" customFormat="false" ht="12.8" hidden="false" customHeight="false" outlineLevel="0" collapsed="false"/>
    <row r="3564" customFormat="false" ht="12.8" hidden="false" customHeight="false" outlineLevel="0" collapsed="false"/>
    <row r="3565" customFormat="false" ht="12.8" hidden="false" customHeight="false" outlineLevel="0" collapsed="false"/>
    <row r="3566" customFormat="false" ht="12.8" hidden="false" customHeight="false" outlineLevel="0" collapsed="false"/>
    <row r="3567" customFormat="false" ht="12.8" hidden="false" customHeight="false" outlineLevel="0" collapsed="false"/>
    <row r="3568" customFormat="false" ht="12.8" hidden="false" customHeight="false" outlineLevel="0" collapsed="false"/>
    <row r="3569" customFormat="false" ht="12.8" hidden="false" customHeight="false" outlineLevel="0" collapsed="false"/>
    <row r="3570" customFormat="false" ht="12.8" hidden="false" customHeight="false" outlineLevel="0" collapsed="false"/>
    <row r="3571" customFormat="false" ht="12.8" hidden="false" customHeight="false" outlineLevel="0" collapsed="false"/>
    <row r="3572" customFormat="false" ht="12.8" hidden="false" customHeight="false" outlineLevel="0" collapsed="false"/>
    <row r="3573" customFormat="false" ht="12.8" hidden="false" customHeight="false" outlineLevel="0" collapsed="false"/>
    <row r="3574" customFormat="false" ht="12.8" hidden="false" customHeight="false" outlineLevel="0" collapsed="false"/>
    <row r="3575" customFormat="false" ht="12.8" hidden="false" customHeight="false" outlineLevel="0" collapsed="false"/>
    <row r="3576" customFormat="false" ht="12.8" hidden="false" customHeight="false" outlineLevel="0" collapsed="false"/>
    <row r="3577" customFormat="false" ht="12.8" hidden="false" customHeight="false" outlineLevel="0" collapsed="false"/>
    <row r="3578" customFormat="false" ht="12.8" hidden="false" customHeight="false" outlineLevel="0" collapsed="false"/>
    <row r="3579" customFormat="false" ht="12.8" hidden="false" customHeight="false" outlineLevel="0" collapsed="false"/>
    <row r="3580" customFormat="false" ht="12.8" hidden="false" customHeight="false" outlineLevel="0" collapsed="false"/>
    <row r="3581" customFormat="false" ht="12.8" hidden="false" customHeight="false" outlineLevel="0" collapsed="false"/>
    <row r="3582" customFormat="false" ht="12.8" hidden="false" customHeight="false" outlineLevel="0" collapsed="false"/>
    <row r="3583" customFormat="false" ht="12.8" hidden="false" customHeight="false" outlineLevel="0" collapsed="false"/>
    <row r="3584" customFormat="false" ht="12.8" hidden="false" customHeight="false" outlineLevel="0" collapsed="false"/>
    <row r="3585" customFormat="false" ht="12.8" hidden="false" customHeight="false" outlineLevel="0" collapsed="false"/>
    <row r="3586" customFormat="false" ht="12.8" hidden="false" customHeight="false" outlineLevel="0" collapsed="false"/>
    <row r="3587" customFormat="false" ht="12.8" hidden="false" customHeight="false" outlineLevel="0" collapsed="false"/>
    <row r="3588" customFormat="false" ht="12.8" hidden="false" customHeight="false" outlineLevel="0" collapsed="false"/>
    <row r="3589" customFormat="false" ht="12.8" hidden="false" customHeight="false" outlineLevel="0" collapsed="false"/>
    <row r="3590" customFormat="false" ht="12.8" hidden="false" customHeight="false" outlineLevel="0" collapsed="false"/>
    <row r="3591" customFormat="false" ht="12.8" hidden="false" customHeight="false" outlineLevel="0" collapsed="false"/>
    <row r="3592" customFormat="false" ht="12.8" hidden="false" customHeight="false" outlineLevel="0" collapsed="false"/>
    <row r="3593" customFormat="false" ht="12.8" hidden="false" customHeight="false" outlineLevel="0" collapsed="false"/>
    <row r="3594" customFormat="false" ht="12.8" hidden="false" customHeight="false" outlineLevel="0" collapsed="false"/>
    <row r="3595" customFormat="false" ht="12.8" hidden="false" customHeight="false" outlineLevel="0" collapsed="false"/>
    <row r="3596" customFormat="false" ht="12.8" hidden="false" customHeight="false" outlineLevel="0" collapsed="false"/>
    <row r="3597" customFormat="false" ht="12.8" hidden="false" customHeight="false" outlineLevel="0" collapsed="false"/>
    <row r="3598" customFormat="false" ht="12.8" hidden="false" customHeight="false" outlineLevel="0" collapsed="false"/>
    <row r="3599" customFormat="false" ht="12.8" hidden="false" customHeight="false" outlineLevel="0" collapsed="false"/>
    <row r="3600" customFormat="false" ht="12.8" hidden="false" customHeight="false" outlineLevel="0" collapsed="false"/>
    <row r="3601" customFormat="false" ht="12.8" hidden="false" customHeight="false" outlineLevel="0" collapsed="false"/>
    <row r="3602" customFormat="false" ht="12.8" hidden="false" customHeight="false" outlineLevel="0" collapsed="false"/>
    <row r="3603" customFormat="false" ht="12.8" hidden="false" customHeight="false" outlineLevel="0" collapsed="false"/>
    <row r="3604" customFormat="false" ht="12.8" hidden="false" customHeight="false" outlineLevel="0" collapsed="false"/>
    <row r="3605" customFormat="false" ht="12.8" hidden="false" customHeight="false" outlineLevel="0" collapsed="false"/>
    <row r="3606" customFormat="false" ht="12.8" hidden="false" customHeight="false" outlineLevel="0" collapsed="false"/>
    <row r="3607" customFormat="false" ht="12.8" hidden="false" customHeight="false" outlineLevel="0" collapsed="false"/>
    <row r="3608" customFormat="false" ht="12.8" hidden="false" customHeight="false" outlineLevel="0" collapsed="false"/>
    <row r="3609" customFormat="false" ht="12.8" hidden="false" customHeight="false" outlineLevel="0" collapsed="false"/>
    <row r="3610" customFormat="false" ht="12.8" hidden="false" customHeight="false" outlineLevel="0" collapsed="false"/>
    <row r="3611" customFormat="false" ht="12.8" hidden="false" customHeight="false" outlineLevel="0" collapsed="false"/>
    <row r="3612" customFormat="false" ht="12.8" hidden="false" customHeight="false" outlineLevel="0" collapsed="false"/>
    <row r="3613" customFormat="false" ht="12.8" hidden="false" customHeight="false" outlineLevel="0" collapsed="false"/>
    <row r="3614" customFormat="false" ht="12.8" hidden="false" customHeight="false" outlineLevel="0" collapsed="false"/>
    <row r="3615" customFormat="false" ht="12.8" hidden="false" customHeight="false" outlineLevel="0" collapsed="false"/>
    <row r="3616" customFormat="false" ht="12.8" hidden="false" customHeight="false" outlineLevel="0" collapsed="false"/>
    <row r="3617" customFormat="false" ht="12.8" hidden="false" customHeight="false" outlineLevel="0" collapsed="false"/>
    <row r="3618" customFormat="false" ht="12.8" hidden="false" customHeight="false" outlineLevel="0" collapsed="false"/>
    <row r="3619" customFormat="false" ht="12.8" hidden="false" customHeight="false" outlineLevel="0" collapsed="false"/>
    <row r="3620" customFormat="false" ht="12.8" hidden="false" customHeight="false" outlineLevel="0" collapsed="false"/>
    <row r="3621" customFormat="false" ht="12.8" hidden="false" customHeight="false" outlineLevel="0" collapsed="false"/>
    <row r="3622" customFormat="false" ht="12.8" hidden="false" customHeight="false" outlineLevel="0" collapsed="false"/>
    <row r="3623" customFormat="false" ht="12.8" hidden="false" customHeight="false" outlineLevel="0" collapsed="false"/>
    <row r="3624" customFormat="false" ht="12.8" hidden="false" customHeight="false" outlineLevel="0" collapsed="false"/>
    <row r="3625" customFormat="false" ht="12.8" hidden="false" customHeight="false" outlineLevel="0" collapsed="false"/>
    <row r="3626" customFormat="false" ht="12.8" hidden="false" customHeight="false" outlineLevel="0" collapsed="false"/>
    <row r="3627" customFormat="false" ht="12.8" hidden="false" customHeight="false" outlineLevel="0" collapsed="false"/>
    <row r="3628" customFormat="false" ht="12.8" hidden="false" customHeight="false" outlineLevel="0" collapsed="false"/>
    <row r="3629" customFormat="false" ht="12.8" hidden="false" customHeight="false" outlineLevel="0" collapsed="false"/>
    <row r="3630" customFormat="false" ht="12.8" hidden="false" customHeight="false" outlineLevel="0" collapsed="false"/>
    <row r="3631" customFormat="false" ht="12.8" hidden="false" customHeight="false" outlineLevel="0" collapsed="false"/>
    <row r="3632" customFormat="false" ht="12.8" hidden="false" customHeight="false" outlineLevel="0" collapsed="false"/>
    <row r="3633" customFormat="false" ht="12.8" hidden="false" customHeight="false" outlineLevel="0" collapsed="false"/>
    <row r="3634" customFormat="false" ht="12.8" hidden="false" customHeight="false" outlineLevel="0" collapsed="false"/>
    <row r="3635" customFormat="false" ht="12.8" hidden="false" customHeight="false" outlineLevel="0" collapsed="false"/>
    <row r="3636" customFormat="false" ht="12.8" hidden="false" customHeight="false" outlineLevel="0" collapsed="false"/>
    <row r="3637" customFormat="false" ht="12.8" hidden="false" customHeight="false" outlineLevel="0" collapsed="false"/>
    <row r="3638" customFormat="false" ht="12.8" hidden="false" customHeight="false" outlineLevel="0" collapsed="false"/>
    <row r="3639" customFormat="false" ht="12.8" hidden="false" customHeight="false" outlineLevel="0" collapsed="false"/>
    <row r="3640" customFormat="false" ht="12.8" hidden="false" customHeight="false" outlineLevel="0" collapsed="false"/>
    <row r="3641" customFormat="false" ht="12.8" hidden="false" customHeight="false" outlineLevel="0" collapsed="false"/>
    <row r="3642" customFormat="false" ht="12.8" hidden="false" customHeight="false" outlineLevel="0" collapsed="false"/>
    <row r="3643" customFormat="false" ht="12.8" hidden="false" customHeight="false" outlineLevel="0" collapsed="false"/>
    <row r="3644" customFormat="false" ht="12.8" hidden="false" customHeight="false" outlineLevel="0" collapsed="false"/>
    <row r="3645" customFormat="false" ht="12.8" hidden="false" customHeight="false" outlineLevel="0" collapsed="false"/>
    <row r="3646" customFormat="false" ht="12.8" hidden="false" customHeight="false" outlineLevel="0" collapsed="false"/>
    <row r="3647" customFormat="false" ht="12.8" hidden="false" customHeight="false" outlineLevel="0" collapsed="false"/>
    <row r="3648" customFormat="false" ht="12.8" hidden="false" customHeight="false" outlineLevel="0" collapsed="false"/>
    <row r="3649" customFormat="false" ht="12.8" hidden="false" customHeight="false" outlineLevel="0" collapsed="false"/>
    <row r="3650" customFormat="false" ht="12.8" hidden="false" customHeight="false" outlineLevel="0" collapsed="false"/>
    <row r="3651" customFormat="false" ht="12.8" hidden="false" customHeight="false" outlineLevel="0" collapsed="false"/>
    <row r="3652" customFormat="false" ht="12.8" hidden="false" customHeight="false" outlineLevel="0" collapsed="false"/>
    <row r="3653" customFormat="false" ht="12.8" hidden="false" customHeight="false" outlineLevel="0" collapsed="false"/>
    <row r="3654" customFormat="false" ht="12.8" hidden="false" customHeight="false" outlineLevel="0" collapsed="false"/>
    <row r="3655" customFormat="false" ht="12.8" hidden="false" customHeight="false" outlineLevel="0" collapsed="false"/>
    <row r="3656" customFormat="false" ht="12.8" hidden="false" customHeight="false" outlineLevel="0" collapsed="false"/>
    <row r="3657" customFormat="false" ht="12.8" hidden="false" customHeight="false" outlineLevel="0" collapsed="false"/>
    <row r="3658" customFormat="false" ht="12.8" hidden="false" customHeight="false" outlineLevel="0" collapsed="false"/>
    <row r="3659" customFormat="false" ht="12.8" hidden="false" customHeight="false" outlineLevel="0" collapsed="false"/>
    <row r="3660" customFormat="false" ht="12.8" hidden="false" customHeight="false" outlineLevel="0" collapsed="false"/>
    <row r="3661" customFormat="false" ht="12.8" hidden="false" customHeight="false" outlineLevel="0" collapsed="false"/>
    <row r="3662" customFormat="false" ht="12.8" hidden="false" customHeight="false" outlineLevel="0" collapsed="false"/>
    <row r="3663" customFormat="false" ht="12.8" hidden="false" customHeight="false" outlineLevel="0" collapsed="false"/>
    <row r="3664" customFormat="false" ht="12.8" hidden="false" customHeight="false" outlineLevel="0" collapsed="false"/>
    <row r="3665" customFormat="false" ht="12.8" hidden="false" customHeight="false" outlineLevel="0" collapsed="false"/>
    <row r="3666" customFormat="false" ht="12.8" hidden="false" customHeight="false" outlineLevel="0" collapsed="false"/>
    <row r="3667" customFormat="false" ht="12.8" hidden="false" customHeight="false" outlineLevel="0" collapsed="false"/>
    <row r="3668" customFormat="false" ht="12.8" hidden="false" customHeight="false" outlineLevel="0" collapsed="false"/>
    <row r="3669" customFormat="false" ht="12.8" hidden="false" customHeight="false" outlineLevel="0" collapsed="false"/>
    <row r="3670" customFormat="false" ht="12.8" hidden="false" customHeight="false" outlineLevel="0" collapsed="false"/>
    <row r="3671" customFormat="false" ht="12.8" hidden="false" customHeight="false" outlineLevel="0" collapsed="false"/>
    <row r="3672" customFormat="false" ht="12.8" hidden="false" customHeight="false" outlineLevel="0" collapsed="false"/>
    <row r="3673" customFormat="false" ht="12.8" hidden="false" customHeight="false" outlineLevel="0" collapsed="false"/>
    <row r="3674" customFormat="false" ht="12.8" hidden="false" customHeight="false" outlineLevel="0" collapsed="false"/>
    <row r="3675" customFormat="false" ht="12.8" hidden="false" customHeight="false" outlineLevel="0" collapsed="false"/>
    <row r="3676" customFormat="false" ht="12.8" hidden="false" customHeight="false" outlineLevel="0" collapsed="false"/>
    <row r="3677" customFormat="false" ht="12.8" hidden="false" customHeight="false" outlineLevel="0" collapsed="false"/>
    <row r="3678" customFormat="false" ht="12.8" hidden="false" customHeight="false" outlineLevel="0" collapsed="false"/>
    <row r="3679" customFormat="false" ht="12.8" hidden="false" customHeight="false" outlineLevel="0" collapsed="false"/>
    <row r="3680" customFormat="false" ht="12.8" hidden="false" customHeight="false" outlineLevel="0" collapsed="false"/>
    <row r="3681" customFormat="false" ht="12.8" hidden="false" customHeight="false" outlineLevel="0" collapsed="false"/>
    <row r="3682" customFormat="false" ht="12.8" hidden="false" customHeight="false" outlineLevel="0" collapsed="false"/>
    <row r="3683" customFormat="false" ht="12.8" hidden="false" customHeight="false" outlineLevel="0" collapsed="false"/>
    <row r="3684" customFormat="false" ht="12.8" hidden="false" customHeight="false" outlineLevel="0" collapsed="false"/>
    <row r="3685" customFormat="false" ht="12.8" hidden="false" customHeight="false" outlineLevel="0" collapsed="false"/>
    <row r="3686" customFormat="false" ht="12.8" hidden="false" customHeight="false" outlineLevel="0" collapsed="false"/>
    <row r="3687" customFormat="false" ht="12.8" hidden="false" customHeight="false" outlineLevel="0" collapsed="false"/>
    <row r="3688" customFormat="false" ht="12.8" hidden="false" customHeight="false" outlineLevel="0" collapsed="false"/>
    <row r="3689" customFormat="false" ht="12.8" hidden="false" customHeight="false" outlineLevel="0" collapsed="false"/>
    <row r="3690" customFormat="false" ht="12.8" hidden="false" customHeight="false" outlineLevel="0" collapsed="false"/>
    <row r="3691" customFormat="false" ht="12.8" hidden="false" customHeight="false" outlineLevel="0" collapsed="false"/>
    <row r="3692" customFormat="false" ht="12.8" hidden="false" customHeight="false" outlineLevel="0" collapsed="false"/>
    <row r="3693" customFormat="false" ht="12.8" hidden="false" customHeight="false" outlineLevel="0" collapsed="false"/>
    <row r="3694" customFormat="false" ht="12.8" hidden="false" customHeight="false" outlineLevel="0" collapsed="false"/>
    <row r="3695" customFormat="false" ht="12.8" hidden="false" customHeight="false" outlineLevel="0" collapsed="false"/>
    <row r="3696" customFormat="false" ht="12.8" hidden="false" customHeight="false" outlineLevel="0" collapsed="false"/>
    <row r="3697" customFormat="false" ht="12.8" hidden="false" customHeight="false" outlineLevel="0" collapsed="false"/>
    <row r="3698" customFormat="false" ht="12.8" hidden="false" customHeight="false" outlineLevel="0" collapsed="false"/>
    <row r="3699" customFormat="false" ht="12.8" hidden="false" customHeight="false" outlineLevel="0" collapsed="false"/>
    <row r="3700" customFormat="false" ht="12.8" hidden="false" customHeight="false" outlineLevel="0" collapsed="false"/>
    <row r="3701" customFormat="false" ht="12.8" hidden="false" customHeight="false" outlineLevel="0" collapsed="false"/>
    <row r="3702" customFormat="false" ht="12.8" hidden="false" customHeight="false" outlineLevel="0" collapsed="false"/>
    <row r="3703" customFormat="false" ht="12.8" hidden="false" customHeight="false" outlineLevel="0" collapsed="false"/>
    <row r="3704" customFormat="false" ht="12.8" hidden="false" customHeight="false" outlineLevel="0" collapsed="false"/>
    <row r="3705" customFormat="false" ht="12.8" hidden="false" customHeight="false" outlineLevel="0" collapsed="false"/>
    <row r="3706" customFormat="false" ht="12.8" hidden="false" customHeight="false" outlineLevel="0" collapsed="false"/>
    <row r="3707" customFormat="false" ht="12.8" hidden="false" customHeight="false" outlineLevel="0" collapsed="false"/>
    <row r="3708" customFormat="false" ht="12.8" hidden="false" customHeight="false" outlineLevel="0" collapsed="false"/>
    <row r="3709" customFormat="false" ht="12.8" hidden="false" customHeight="false" outlineLevel="0" collapsed="false"/>
    <row r="3710" customFormat="false" ht="12.8" hidden="false" customHeight="false" outlineLevel="0" collapsed="false"/>
    <row r="3711" customFormat="false" ht="12.8" hidden="false" customHeight="false" outlineLevel="0" collapsed="false"/>
    <row r="3712" customFormat="false" ht="12.8" hidden="false" customHeight="false" outlineLevel="0" collapsed="false"/>
    <row r="3713" customFormat="false" ht="12.8" hidden="false" customHeight="false" outlineLevel="0" collapsed="false"/>
    <row r="3714" customFormat="false" ht="12.8" hidden="false" customHeight="false" outlineLevel="0" collapsed="false"/>
    <row r="3715" customFormat="false" ht="12.8" hidden="false" customHeight="false" outlineLevel="0" collapsed="false"/>
    <row r="3716" customFormat="false" ht="12.8" hidden="false" customHeight="false" outlineLevel="0" collapsed="false"/>
    <row r="3717" customFormat="false" ht="12.8" hidden="false" customHeight="false" outlineLevel="0" collapsed="false"/>
    <row r="3718" customFormat="false" ht="12.8" hidden="false" customHeight="false" outlineLevel="0" collapsed="false"/>
    <row r="3719" customFormat="false" ht="12.8" hidden="false" customHeight="false" outlineLevel="0" collapsed="false"/>
    <row r="3720" customFormat="false" ht="12.8" hidden="false" customHeight="false" outlineLevel="0" collapsed="false"/>
    <row r="3721" customFormat="false" ht="12.8" hidden="false" customHeight="false" outlineLevel="0" collapsed="false"/>
    <row r="3722" customFormat="false" ht="12.8" hidden="false" customHeight="false" outlineLevel="0" collapsed="false"/>
    <row r="3723" customFormat="false" ht="12.8" hidden="false" customHeight="false" outlineLevel="0" collapsed="false"/>
    <row r="3724" customFormat="false" ht="12.8" hidden="false" customHeight="false" outlineLevel="0" collapsed="false"/>
    <row r="3725" customFormat="false" ht="12.8" hidden="false" customHeight="false" outlineLevel="0" collapsed="false"/>
    <row r="3726" customFormat="false" ht="12.8" hidden="false" customHeight="false" outlineLevel="0" collapsed="false"/>
    <row r="3727" customFormat="false" ht="12.8" hidden="false" customHeight="false" outlineLevel="0" collapsed="false"/>
    <row r="3728" customFormat="false" ht="12.8" hidden="false" customHeight="false" outlineLevel="0" collapsed="false"/>
    <row r="3729" customFormat="false" ht="12.8" hidden="false" customHeight="false" outlineLevel="0" collapsed="false"/>
    <row r="3730" customFormat="false" ht="12.8" hidden="false" customHeight="false" outlineLevel="0" collapsed="false"/>
    <row r="3731" customFormat="false" ht="12.8" hidden="false" customHeight="false" outlineLevel="0" collapsed="false"/>
    <row r="3732" customFormat="false" ht="12.8" hidden="false" customHeight="false" outlineLevel="0" collapsed="false"/>
    <row r="3733" customFormat="false" ht="12.8" hidden="false" customHeight="false" outlineLevel="0" collapsed="false"/>
    <row r="3734" customFormat="false" ht="12.8" hidden="false" customHeight="false" outlineLevel="0" collapsed="false"/>
    <row r="3735" customFormat="false" ht="12.8" hidden="false" customHeight="false" outlineLevel="0" collapsed="false"/>
    <row r="3736" customFormat="false" ht="12.8" hidden="false" customHeight="false" outlineLevel="0" collapsed="false"/>
    <row r="3737" customFormat="false" ht="12.8" hidden="false" customHeight="false" outlineLevel="0" collapsed="false"/>
    <row r="3738" customFormat="false" ht="12.8" hidden="false" customHeight="false" outlineLevel="0" collapsed="false"/>
    <row r="3739" customFormat="false" ht="12.8" hidden="false" customHeight="false" outlineLevel="0" collapsed="false"/>
    <row r="3740" customFormat="false" ht="12.8" hidden="false" customHeight="false" outlineLevel="0" collapsed="false"/>
    <row r="3741" customFormat="false" ht="12.8" hidden="false" customHeight="false" outlineLevel="0" collapsed="false"/>
    <row r="3742" customFormat="false" ht="12.8" hidden="false" customHeight="false" outlineLevel="0" collapsed="false"/>
    <row r="3743" customFormat="false" ht="12.8" hidden="false" customHeight="false" outlineLevel="0" collapsed="false"/>
    <row r="3744" customFormat="false" ht="12.8" hidden="false" customHeight="false" outlineLevel="0" collapsed="false"/>
    <row r="3745" customFormat="false" ht="12.8" hidden="false" customHeight="false" outlineLevel="0" collapsed="false"/>
    <row r="3746" customFormat="false" ht="12.8" hidden="false" customHeight="false" outlineLevel="0" collapsed="false"/>
    <row r="3747" customFormat="false" ht="12.8" hidden="false" customHeight="false" outlineLevel="0" collapsed="false"/>
    <row r="3748" customFormat="false" ht="12.8" hidden="false" customHeight="false" outlineLevel="0" collapsed="false"/>
    <row r="3749" customFormat="false" ht="12.8" hidden="false" customHeight="false" outlineLevel="0" collapsed="false"/>
    <row r="3750" customFormat="false" ht="12.8" hidden="false" customHeight="false" outlineLevel="0" collapsed="false"/>
    <row r="3751" customFormat="false" ht="12.8" hidden="false" customHeight="false" outlineLevel="0" collapsed="false"/>
    <row r="3752" customFormat="false" ht="12.8" hidden="false" customHeight="false" outlineLevel="0" collapsed="false"/>
    <row r="3753" customFormat="false" ht="12.8" hidden="false" customHeight="false" outlineLevel="0" collapsed="false"/>
    <row r="3754" customFormat="false" ht="12.8" hidden="false" customHeight="false" outlineLevel="0" collapsed="false"/>
    <row r="3755" customFormat="false" ht="12.8" hidden="false" customHeight="false" outlineLevel="0" collapsed="false"/>
    <row r="3756" customFormat="false" ht="12.8" hidden="false" customHeight="false" outlineLevel="0" collapsed="false"/>
    <row r="3757" customFormat="false" ht="12.8" hidden="false" customHeight="false" outlineLevel="0" collapsed="false"/>
    <row r="3758" customFormat="false" ht="12.8" hidden="false" customHeight="false" outlineLevel="0" collapsed="false"/>
    <row r="3759" customFormat="false" ht="12.8" hidden="false" customHeight="false" outlineLevel="0" collapsed="false"/>
    <row r="3760" customFormat="false" ht="12.8" hidden="false" customHeight="false" outlineLevel="0" collapsed="false"/>
    <row r="3761" customFormat="false" ht="12.8" hidden="false" customHeight="false" outlineLevel="0" collapsed="false"/>
    <row r="3762" customFormat="false" ht="12.8" hidden="false" customHeight="false" outlineLevel="0" collapsed="false"/>
    <row r="3763" customFormat="false" ht="12.8" hidden="false" customHeight="false" outlineLevel="0" collapsed="false"/>
    <row r="3764" customFormat="false" ht="12.8" hidden="false" customHeight="false" outlineLevel="0" collapsed="false"/>
    <row r="3765" customFormat="false" ht="12.8" hidden="false" customHeight="false" outlineLevel="0" collapsed="false"/>
    <row r="3766" customFormat="false" ht="12.8" hidden="false" customHeight="false" outlineLevel="0" collapsed="false"/>
    <row r="3767" customFormat="false" ht="12.8" hidden="false" customHeight="false" outlineLevel="0" collapsed="false"/>
    <row r="3768" customFormat="false" ht="12.8" hidden="false" customHeight="false" outlineLevel="0" collapsed="false"/>
    <row r="3769" customFormat="false" ht="12.8" hidden="false" customHeight="false" outlineLevel="0" collapsed="false"/>
    <row r="3770" customFormat="false" ht="12.8" hidden="false" customHeight="false" outlineLevel="0" collapsed="false"/>
    <row r="3771" customFormat="false" ht="12.8" hidden="false" customHeight="false" outlineLevel="0" collapsed="false"/>
    <row r="3772" customFormat="false" ht="12.8" hidden="false" customHeight="false" outlineLevel="0" collapsed="false"/>
    <row r="3773" customFormat="false" ht="12.8" hidden="false" customHeight="false" outlineLevel="0" collapsed="false"/>
    <row r="3774" customFormat="false" ht="12.8" hidden="false" customHeight="false" outlineLevel="0" collapsed="false"/>
    <row r="3775" customFormat="false" ht="12.8" hidden="false" customHeight="false" outlineLevel="0" collapsed="false"/>
    <row r="3776" customFormat="false" ht="12.8" hidden="false" customHeight="false" outlineLevel="0" collapsed="false"/>
    <row r="3777" customFormat="false" ht="12.8" hidden="false" customHeight="false" outlineLevel="0" collapsed="false"/>
    <row r="3778" customFormat="false" ht="12.8" hidden="false" customHeight="false" outlineLevel="0" collapsed="false"/>
    <row r="3779" customFormat="false" ht="12.8" hidden="false" customHeight="false" outlineLevel="0" collapsed="false"/>
    <row r="3780" customFormat="false" ht="12.8" hidden="false" customHeight="false" outlineLevel="0" collapsed="false"/>
    <row r="3781" customFormat="false" ht="12.8" hidden="false" customHeight="false" outlineLevel="0" collapsed="false"/>
    <row r="3782" customFormat="false" ht="12.8" hidden="false" customHeight="false" outlineLevel="0" collapsed="false"/>
    <row r="3783" customFormat="false" ht="12.8" hidden="false" customHeight="false" outlineLevel="0" collapsed="false"/>
    <row r="3784" customFormat="false" ht="12.8" hidden="false" customHeight="false" outlineLevel="0" collapsed="false"/>
    <row r="3785" customFormat="false" ht="12.8" hidden="false" customHeight="false" outlineLevel="0" collapsed="false"/>
    <row r="3786" customFormat="false" ht="12.8" hidden="false" customHeight="false" outlineLevel="0" collapsed="false"/>
    <row r="3787" customFormat="false" ht="12.8" hidden="false" customHeight="false" outlineLevel="0" collapsed="false"/>
    <row r="3788" customFormat="false" ht="12.8" hidden="false" customHeight="false" outlineLevel="0" collapsed="false"/>
    <row r="3789" customFormat="false" ht="12.8" hidden="false" customHeight="false" outlineLevel="0" collapsed="false"/>
    <row r="3790" customFormat="false" ht="12.8" hidden="false" customHeight="false" outlineLevel="0" collapsed="false"/>
    <row r="3791" customFormat="false" ht="12.8" hidden="false" customHeight="false" outlineLevel="0" collapsed="false"/>
    <row r="3792" customFormat="false" ht="12.8" hidden="false" customHeight="false" outlineLevel="0" collapsed="false"/>
    <row r="3793" customFormat="false" ht="12.8" hidden="false" customHeight="false" outlineLevel="0" collapsed="false"/>
    <row r="3794" customFormat="false" ht="12.8" hidden="false" customHeight="false" outlineLevel="0" collapsed="false"/>
    <row r="3795" customFormat="false" ht="12.8" hidden="false" customHeight="false" outlineLevel="0" collapsed="false"/>
    <row r="3796" customFormat="false" ht="12.8" hidden="false" customHeight="false" outlineLevel="0" collapsed="false"/>
    <row r="3797" customFormat="false" ht="12.8" hidden="false" customHeight="false" outlineLevel="0" collapsed="false"/>
    <row r="3798" customFormat="false" ht="12.8" hidden="false" customHeight="false" outlineLevel="0" collapsed="false"/>
    <row r="3799" customFormat="false" ht="12.8" hidden="false" customHeight="false" outlineLevel="0" collapsed="false"/>
    <row r="3800" customFormat="false" ht="12.8" hidden="false" customHeight="false" outlineLevel="0" collapsed="false"/>
    <row r="3801" customFormat="false" ht="12.8" hidden="false" customHeight="false" outlineLevel="0" collapsed="false"/>
    <row r="3802" customFormat="false" ht="12.8" hidden="false" customHeight="false" outlineLevel="0" collapsed="false"/>
    <row r="3803" customFormat="false" ht="12.8" hidden="false" customHeight="false" outlineLevel="0" collapsed="false"/>
    <row r="3804" customFormat="false" ht="12.8" hidden="false" customHeight="false" outlineLevel="0" collapsed="false"/>
    <row r="3805" customFormat="false" ht="12.8" hidden="false" customHeight="false" outlineLevel="0" collapsed="false"/>
    <row r="3806" customFormat="false" ht="12.8" hidden="false" customHeight="false" outlineLevel="0" collapsed="false"/>
    <row r="3807" customFormat="false" ht="12.8" hidden="false" customHeight="false" outlineLevel="0" collapsed="false"/>
    <row r="3808" customFormat="false" ht="12.8" hidden="false" customHeight="false" outlineLevel="0" collapsed="false"/>
    <row r="3809" customFormat="false" ht="12.8" hidden="false" customHeight="false" outlineLevel="0" collapsed="false"/>
    <row r="3810" customFormat="false" ht="12.8" hidden="false" customHeight="false" outlineLevel="0" collapsed="false"/>
    <row r="3811" customFormat="false" ht="12.8" hidden="false" customHeight="false" outlineLevel="0" collapsed="false"/>
    <row r="3812" customFormat="false" ht="12.8" hidden="false" customHeight="false" outlineLevel="0" collapsed="false"/>
    <row r="3813" customFormat="false" ht="12.8" hidden="false" customHeight="false" outlineLevel="0" collapsed="false"/>
    <row r="3814" customFormat="false" ht="12.8" hidden="false" customHeight="false" outlineLevel="0" collapsed="false"/>
    <row r="3815" customFormat="false" ht="12.8" hidden="false" customHeight="false" outlineLevel="0" collapsed="false"/>
    <row r="3816" customFormat="false" ht="12.8" hidden="false" customHeight="false" outlineLevel="0" collapsed="false"/>
    <row r="3817" customFormat="false" ht="12.8" hidden="false" customHeight="false" outlineLevel="0" collapsed="false"/>
    <row r="3818" customFormat="false" ht="12.8" hidden="false" customHeight="false" outlineLevel="0" collapsed="false"/>
    <row r="3819" customFormat="false" ht="12.8" hidden="false" customHeight="false" outlineLevel="0" collapsed="false"/>
    <row r="3820" customFormat="false" ht="12.8" hidden="false" customHeight="false" outlineLevel="0" collapsed="false"/>
    <row r="3821" customFormat="false" ht="12.8" hidden="false" customHeight="false" outlineLevel="0" collapsed="false"/>
    <row r="3822" customFormat="false" ht="12.8" hidden="false" customHeight="false" outlineLevel="0" collapsed="false"/>
    <row r="3823" customFormat="false" ht="12.8" hidden="false" customHeight="false" outlineLevel="0" collapsed="false"/>
    <row r="3824" customFormat="false" ht="12.8" hidden="false" customHeight="false" outlineLevel="0" collapsed="false"/>
    <row r="3825" customFormat="false" ht="12.8" hidden="false" customHeight="false" outlineLevel="0" collapsed="false"/>
    <row r="3826" customFormat="false" ht="12.8" hidden="false" customHeight="false" outlineLevel="0" collapsed="false"/>
    <row r="3827" customFormat="false" ht="12.8" hidden="false" customHeight="false" outlineLevel="0" collapsed="false"/>
    <row r="3828" customFormat="false" ht="12.8" hidden="false" customHeight="false" outlineLevel="0" collapsed="false"/>
    <row r="3829" customFormat="false" ht="12.8" hidden="false" customHeight="false" outlineLevel="0" collapsed="false"/>
    <row r="3830" customFormat="false" ht="12.8" hidden="false" customHeight="false" outlineLevel="0" collapsed="false"/>
    <row r="3831" customFormat="false" ht="12.8" hidden="false" customHeight="false" outlineLevel="0" collapsed="false"/>
    <row r="3832" customFormat="false" ht="12.8" hidden="false" customHeight="false" outlineLevel="0" collapsed="false"/>
    <row r="3833" customFormat="false" ht="12.8" hidden="false" customHeight="false" outlineLevel="0" collapsed="false"/>
    <row r="3834" customFormat="false" ht="12.8" hidden="false" customHeight="false" outlineLevel="0" collapsed="false"/>
    <row r="3835" customFormat="false" ht="12.8" hidden="false" customHeight="false" outlineLevel="0" collapsed="false"/>
    <row r="3836" customFormat="false" ht="12.8" hidden="false" customHeight="false" outlineLevel="0" collapsed="false"/>
    <row r="3837" customFormat="false" ht="12.8" hidden="false" customHeight="false" outlineLevel="0" collapsed="false"/>
    <row r="3838" customFormat="false" ht="12.8" hidden="false" customHeight="false" outlineLevel="0" collapsed="false"/>
    <row r="3839" customFormat="false" ht="12.8" hidden="false" customHeight="false" outlineLevel="0" collapsed="false"/>
    <row r="3840" customFormat="false" ht="12.8" hidden="false" customHeight="false" outlineLevel="0" collapsed="false"/>
    <row r="3841" customFormat="false" ht="12.8" hidden="false" customHeight="false" outlineLevel="0" collapsed="false"/>
    <row r="3842" customFormat="false" ht="12.8" hidden="false" customHeight="false" outlineLevel="0" collapsed="false"/>
    <row r="3843" customFormat="false" ht="12.8" hidden="false" customHeight="false" outlineLevel="0" collapsed="false"/>
    <row r="3844" customFormat="false" ht="12.8" hidden="false" customHeight="false" outlineLevel="0" collapsed="false"/>
    <row r="3845" customFormat="false" ht="12.8" hidden="false" customHeight="false" outlineLevel="0" collapsed="false"/>
    <row r="3846" customFormat="false" ht="12.8" hidden="false" customHeight="false" outlineLevel="0" collapsed="false"/>
    <row r="3847" customFormat="false" ht="12.8" hidden="false" customHeight="false" outlineLevel="0" collapsed="false"/>
    <row r="3848" customFormat="false" ht="12.8" hidden="false" customHeight="false" outlineLevel="0" collapsed="false"/>
    <row r="3849" customFormat="false" ht="12.8" hidden="false" customHeight="false" outlineLevel="0" collapsed="false"/>
    <row r="3850" customFormat="false" ht="12.8" hidden="false" customHeight="false" outlineLevel="0" collapsed="false"/>
    <row r="3851" customFormat="false" ht="12.8" hidden="false" customHeight="false" outlineLevel="0" collapsed="false"/>
    <row r="3852" customFormat="false" ht="12.8" hidden="false" customHeight="false" outlineLevel="0" collapsed="false"/>
    <row r="3853" customFormat="false" ht="12.8" hidden="false" customHeight="false" outlineLevel="0" collapsed="false"/>
    <row r="3854" customFormat="false" ht="12.8" hidden="false" customHeight="false" outlineLevel="0" collapsed="false"/>
    <row r="3855" customFormat="false" ht="12.8" hidden="false" customHeight="false" outlineLevel="0" collapsed="false"/>
    <row r="3856" customFormat="false" ht="12.8" hidden="false" customHeight="false" outlineLevel="0" collapsed="false"/>
    <row r="3857" customFormat="false" ht="12.8" hidden="false" customHeight="false" outlineLevel="0" collapsed="false"/>
    <row r="3858" customFormat="false" ht="12.8" hidden="false" customHeight="false" outlineLevel="0" collapsed="false"/>
    <row r="3859" customFormat="false" ht="12.8" hidden="false" customHeight="false" outlineLevel="0" collapsed="false"/>
    <row r="3860" customFormat="false" ht="12.8" hidden="false" customHeight="false" outlineLevel="0" collapsed="false"/>
    <row r="3861" customFormat="false" ht="12.8" hidden="false" customHeight="false" outlineLevel="0" collapsed="false"/>
    <row r="3862" customFormat="false" ht="12.8" hidden="false" customHeight="false" outlineLevel="0" collapsed="false"/>
    <row r="3863" customFormat="false" ht="12.8" hidden="false" customHeight="false" outlineLevel="0" collapsed="false"/>
    <row r="3864" customFormat="false" ht="12.8" hidden="false" customHeight="false" outlineLevel="0" collapsed="false"/>
    <row r="3865" customFormat="false" ht="12.8" hidden="false" customHeight="false" outlineLevel="0" collapsed="false"/>
    <row r="3866" customFormat="false" ht="12.8" hidden="false" customHeight="false" outlineLevel="0" collapsed="false"/>
    <row r="3867" customFormat="false" ht="12.8" hidden="false" customHeight="false" outlineLevel="0" collapsed="false"/>
    <row r="3868" customFormat="false" ht="12.8" hidden="false" customHeight="false" outlineLevel="0" collapsed="false"/>
    <row r="3869" customFormat="false" ht="12.8" hidden="false" customHeight="false" outlineLevel="0" collapsed="false"/>
    <row r="3870" customFormat="false" ht="12.8" hidden="false" customHeight="false" outlineLevel="0" collapsed="false"/>
    <row r="3871" customFormat="false" ht="12.8" hidden="false" customHeight="false" outlineLevel="0" collapsed="false"/>
    <row r="3872" customFormat="false" ht="12.8" hidden="false" customHeight="false" outlineLevel="0" collapsed="false"/>
    <row r="3873" customFormat="false" ht="12.8" hidden="false" customHeight="false" outlineLevel="0" collapsed="false"/>
    <row r="3874" customFormat="false" ht="12.8" hidden="false" customHeight="false" outlineLevel="0" collapsed="false"/>
    <row r="3875" customFormat="false" ht="12.8" hidden="false" customHeight="false" outlineLevel="0" collapsed="false"/>
    <row r="3876" customFormat="false" ht="12.8" hidden="false" customHeight="false" outlineLevel="0" collapsed="false"/>
    <row r="3877" customFormat="false" ht="12.8" hidden="false" customHeight="false" outlineLevel="0" collapsed="false"/>
    <row r="3878" customFormat="false" ht="12.8" hidden="false" customHeight="false" outlineLevel="0" collapsed="false"/>
    <row r="3879" customFormat="false" ht="12.8" hidden="false" customHeight="false" outlineLevel="0" collapsed="false"/>
    <row r="3880" customFormat="false" ht="12.8" hidden="false" customHeight="false" outlineLevel="0" collapsed="false"/>
    <row r="3881" customFormat="false" ht="12.8" hidden="false" customHeight="false" outlineLevel="0" collapsed="false"/>
    <row r="3882" customFormat="false" ht="12.8" hidden="false" customHeight="false" outlineLevel="0" collapsed="false"/>
    <row r="3883" customFormat="false" ht="12.8" hidden="false" customHeight="false" outlineLevel="0" collapsed="false"/>
    <row r="3884" customFormat="false" ht="12.8" hidden="false" customHeight="false" outlineLevel="0" collapsed="false"/>
    <row r="3885" customFormat="false" ht="12.8" hidden="false" customHeight="false" outlineLevel="0" collapsed="false"/>
    <row r="3886" customFormat="false" ht="12.8" hidden="false" customHeight="false" outlineLevel="0" collapsed="false"/>
    <row r="3887" customFormat="false" ht="12.8" hidden="false" customHeight="false" outlineLevel="0" collapsed="false"/>
    <row r="3888" customFormat="false" ht="12.8" hidden="false" customHeight="false" outlineLevel="0" collapsed="false"/>
    <row r="3889" customFormat="false" ht="12.8" hidden="false" customHeight="false" outlineLevel="0" collapsed="false"/>
    <row r="3890" customFormat="false" ht="12.8" hidden="false" customHeight="false" outlineLevel="0" collapsed="false"/>
    <row r="3891" customFormat="false" ht="12.8" hidden="false" customHeight="false" outlineLevel="0" collapsed="false"/>
    <row r="3892" customFormat="false" ht="12.8" hidden="false" customHeight="false" outlineLevel="0" collapsed="false"/>
    <row r="3893" customFormat="false" ht="12.8" hidden="false" customHeight="false" outlineLevel="0" collapsed="false"/>
    <row r="3894" customFormat="false" ht="12.8" hidden="false" customHeight="false" outlineLevel="0" collapsed="false"/>
    <row r="3895" customFormat="false" ht="12.8" hidden="false" customHeight="false" outlineLevel="0" collapsed="false"/>
    <row r="3896" customFormat="false" ht="12.8" hidden="false" customHeight="false" outlineLevel="0" collapsed="false"/>
    <row r="3897" customFormat="false" ht="12.8" hidden="false" customHeight="false" outlineLevel="0" collapsed="false"/>
    <row r="3898" customFormat="false" ht="12.8" hidden="false" customHeight="false" outlineLevel="0" collapsed="false"/>
    <row r="3899" customFormat="false" ht="12.8" hidden="false" customHeight="false" outlineLevel="0" collapsed="false"/>
    <row r="3900" customFormat="false" ht="12.8" hidden="false" customHeight="false" outlineLevel="0" collapsed="false"/>
    <row r="3901" customFormat="false" ht="12.8" hidden="false" customHeight="false" outlineLevel="0" collapsed="false"/>
    <row r="3902" customFormat="false" ht="12.8" hidden="false" customHeight="false" outlineLevel="0" collapsed="false"/>
    <row r="3903" customFormat="false" ht="12.8" hidden="false" customHeight="false" outlineLevel="0" collapsed="false"/>
    <row r="3904" customFormat="false" ht="12.8" hidden="false" customHeight="false" outlineLevel="0" collapsed="false"/>
    <row r="3905" customFormat="false" ht="12.8" hidden="false" customHeight="false" outlineLevel="0" collapsed="false"/>
    <row r="3906" customFormat="false" ht="12.8" hidden="false" customHeight="false" outlineLevel="0" collapsed="false"/>
    <row r="3907" customFormat="false" ht="12.8" hidden="false" customHeight="false" outlineLevel="0" collapsed="false"/>
    <row r="3908" customFormat="false" ht="12.8" hidden="false" customHeight="false" outlineLevel="0" collapsed="false"/>
    <row r="3909" customFormat="false" ht="12.8" hidden="false" customHeight="false" outlineLevel="0" collapsed="false"/>
    <row r="3910" customFormat="false" ht="12.8" hidden="false" customHeight="false" outlineLevel="0" collapsed="false"/>
    <row r="3911" customFormat="false" ht="12.8" hidden="false" customHeight="false" outlineLevel="0" collapsed="false"/>
    <row r="3912" customFormat="false" ht="12.8" hidden="false" customHeight="false" outlineLevel="0" collapsed="false"/>
    <row r="3913" customFormat="false" ht="12.8" hidden="false" customHeight="false" outlineLevel="0" collapsed="false"/>
    <row r="3914" customFormat="false" ht="12.8" hidden="false" customHeight="false" outlineLevel="0" collapsed="false"/>
    <row r="3915" customFormat="false" ht="12.8" hidden="false" customHeight="false" outlineLevel="0" collapsed="false"/>
    <row r="3916" customFormat="false" ht="12.8" hidden="false" customHeight="false" outlineLevel="0" collapsed="false"/>
    <row r="3917" customFormat="false" ht="12.8" hidden="false" customHeight="false" outlineLevel="0" collapsed="false"/>
    <row r="3918" customFormat="false" ht="12.8" hidden="false" customHeight="false" outlineLevel="0" collapsed="false"/>
    <row r="3919" customFormat="false" ht="12.8" hidden="false" customHeight="false" outlineLevel="0" collapsed="false"/>
    <row r="3920" customFormat="false" ht="12.8" hidden="false" customHeight="false" outlineLevel="0" collapsed="false"/>
    <row r="3921" customFormat="false" ht="12.8" hidden="false" customHeight="false" outlineLevel="0" collapsed="false"/>
    <row r="3922" customFormat="false" ht="12.8" hidden="false" customHeight="false" outlineLevel="0" collapsed="false"/>
    <row r="3923" customFormat="false" ht="12.8" hidden="false" customHeight="false" outlineLevel="0" collapsed="false"/>
    <row r="3924" customFormat="false" ht="12.8" hidden="false" customHeight="false" outlineLevel="0" collapsed="false"/>
    <row r="3925" customFormat="false" ht="12.8" hidden="false" customHeight="false" outlineLevel="0" collapsed="false"/>
    <row r="3926" customFormat="false" ht="12.8" hidden="false" customHeight="false" outlineLevel="0" collapsed="false"/>
    <row r="3927" customFormat="false" ht="12.8" hidden="false" customHeight="false" outlineLevel="0" collapsed="false"/>
    <row r="3928" customFormat="false" ht="12.8" hidden="false" customHeight="false" outlineLevel="0" collapsed="false"/>
    <row r="3929" customFormat="false" ht="12.8" hidden="false" customHeight="false" outlineLevel="0" collapsed="false"/>
    <row r="3930" customFormat="false" ht="12.8" hidden="false" customHeight="false" outlineLevel="0" collapsed="false"/>
    <row r="3931" customFormat="false" ht="12.8" hidden="false" customHeight="false" outlineLevel="0" collapsed="false"/>
    <row r="3932" customFormat="false" ht="12.8" hidden="false" customHeight="false" outlineLevel="0" collapsed="false"/>
    <row r="3933" customFormat="false" ht="12.8" hidden="false" customHeight="false" outlineLevel="0" collapsed="false"/>
    <row r="3934" customFormat="false" ht="12.8" hidden="false" customHeight="false" outlineLevel="0" collapsed="false"/>
    <row r="3935" customFormat="false" ht="12.8" hidden="false" customHeight="false" outlineLevel="0" collapsed="false"/>
    <row r="3936" customFormat="false" ht="12.8" hidden="false" customHeight="false" outlineLevel="0" collapsed="false"/>
    <row r="3937" customFormat="false" ht="12.8" hidden="false" customHeight="false" outlineLevel="0" collapsed="false"/>
    <row r="3938" customFormat="false" ht="12.8" hidden="false" customHeight="false" outlineLevel="0" collapsed="false"/>
    <row r="3939" customFormat="false" ht="12.8" hidden="false" customHeight="false" outlineLevel="0" collapsed="false"/>
    <row r="3940" customFormat="false" ht="12.8" hidden="false" customHeight="false" outlineLevel="0" collapsed="false"/>
    <row r="3941" customFormat="false" ht="12.8" hidden="false" customHeight="false" outlineLevel="0" collapsed="false"/>
    <row r="3942" customFormat="false" ht="12.8" hidden="false" customHeight="false" outlineLevel="0" collapsed="false"/>
    <row r="3943" customFormat="false" ht="12.8" hidden="false" customHeight="false" outlineLevel="0" collapsed="false"/>
    <row r="3944" customFormat="false" ht="12.8" hidden="false" customHeight="false" outlineLevel="0" collapsed="false"/>
    <row r="3945" customFormat="false" ht="12.8" hidden="false" customHeight="false" outlineLevel="0" collapsed="false"/>
    <row r="3946" customFormat="false" ht="12.8" hidden="false" customHeight="false" outlineLevel="0" collapsed="false"/>
    <row r="3947" customFormat="false" ht="12.8" hidden="false" customHeight="false" outlineLevel="0" collapsed="false"/>
    <row r="3948" customFormat="false" ht="12.8" hidden="false" customHeight="false" outlineLevel="0" collapsed="false"/>
    <row r="3949" customFormat="false" ht="12.8" hidden="false" customHeight="false" outlineLevel="0" collapsed="false"/>
    <row r="3950" customFormat="false" ht="12.8" hidden="false" customHeight="false" outlineLevel="0" collapsed="false"/>
    <row r="3951" customFormat="false" ht="12.8" hidden="false" customHeight="false" outlineLevel="0" collapsed="false"/>
    <row r="3952" customFormat="false" ht="12.8" hidden="false" customHeight="false" outlineLevel="0" collapsed="false"/>
    <row r="3953" customFormat="false" ht="12.8" hidden="false" customHeight="false" outlineLevel="0" collapsed="false"/>
    <row r="3954" customFormat="false" ht="12.8" hidden="false" customHeight="false" outlineLevel="0" collapsed="false"/>
    <row r="3955" customFormat="false" ht="12.8" hidden="false" customHeight="false" outlineLevel="0" collapsed="false"/>
    <row r="3956" customFormat="false" ht="12.8" hidden="false" customHeight="false" outlineLevel="0" collapsed="false"/>
    <row r="3957" customFormat="false" ht="12.8" hidden="false" customHeight="false" outlineLevel="0" collapsed="false"/>
    <row r="3958" customFormat="false" ht="12.8" hidden="false" customHeight="false" outlineLevel="0" collapsed="false"/>
    <row r="3959" customFormat="false" ht="12.8" hidden="false" customHeight="false" outlineLevel="0" collapsed="false"/>
    <row r="3960" customFormat="false" ht="12.8" hidden="false" customHeight="false" outlineLevel="0" collapsed="false"/>
    <row r="3961" customFormat="false" ht="12.8" hidden="false" customHeight="false" outlineLevel="0" collapsed="false"/>
    <row r="3962" customFormat="false" ht="12.8" hidden="false" customHeight="false" outlineLevel="0" collapsed="false"/>
    <row r="3963" customFormat="false" ht="12.8" hidden="false" customHeight="false" outlineLevel="0" collapsed="false"/>
    <row r="3964" customFormat="false" ht="12.8" hidden="false" customHeight="false" outlineLevel="0" collapsed="false"/>
    <row r="3965" customFormat="false" ht="12.8" hidden="false" customHeight="false" outlineLevel="0" collapsed="false"/>
    <row r="3966" customFormat="false" ht="12.8" hidden="false" customHeight="false" outlineLevel="0" collapsed="false"/>
    <row r="3967" customFormat="false" ht="12.8" hidden="false" customHeight="false" outlineLevel="0" collapsed="false"/>
    <row r="3968" customFormat="false" ht="12.8" hidden="false" customHeight="false" outlineLevel="0" collapsed="false"/>
    <row r="3969" customFormat="false" ht="12.8" hidden="false" customHeight="false" outlineLevel="0" collapsed="false"/>
    <row r="3970" customFormat="false" ht="12.8" hidden="false" customHeight="false" outlineLevel="0" collapsed="false"/>
    <row r="3971" customFormat="false" ht="12.8" hidden="false" customHeight="false" outlineLevel="0" collapsed="false"/>
    <row r="3972" customFormat="false" ht="12.8" hidden="false" customHeight="false" outlineLevel="0" collapsed="false"/>
    <row r="3973" customFormat="false" ht="12.8" hidden="false" customHeight="false" outlineLevel="0" collapsed="false"/>
    <row r="3974" customFormat="false" ht="12.8" hidden="false" customHeight="false" outlineLevel="0" collapsed="false"/>
    <row r="3975" customFormat="false" ht="12.8" hidden="false" customHeight="false" outlineLevel="0" collapsed="false"/>
    <row r="3976" customFormat="false" ht="12.8" hidden="false" customHeight="false" outlineLevel="0" collapsed="false"/>
    <row r="3977" customFormat="false" ht="12.8" hidden="false" customHeight="false" outlineLevel="0" collapsed="false"/>
    <row r="3978" customFormat="false" ht="12.8" hidden="false" customHeight="false" outlineLevel="0" collapsed="false"/>
    <row r="3979" customFormat="false" ht="12.8" hidden="false" customHeight="false" outlineLevel="0" collapsed="false"/>
    <row r="3980" customFormat="false" ht="12.8" hidden="false" customHeight="false" outlineLevel="0" collapsed="false"/>
    <row r="3981" customFormat="false" ht="12.8" hidden="false" customHeight="false" outlineLevel="0" collapsed="false"/>
    <row r="3982" customFormat="false" ht="12.8" hidden="false" customHeight="false" outlineLevel="0" collapsed="false"/>
    <row r="3983" customFormat="false" ht="12.8" hidden="false" customHeight="false" outlineLevel="0" collapsed="false"/>
    <row r="3984" customFormat="false" ht="12.8" hidden="false" customHeight="false" outlineLevel="0" collapsed="false"/>
    <row r="3985" customFormat="false" ht="12.8" hidden="false" customHeight="false" outlineLevel="0" collapsed="false"/>
    <row r="3986" customFormat="false" ht="12.8" hidden="false" customHeight="false" outlineLevel="0" collapsed="false"/>
    <row r="3987" customFormat="false" ht="12.8" hidden="false" customHeight="false" outlineLevel="0" collapsed="false"/>
    <row r="3988" customFormat="false" ht="12.8" hidden="false" customHeight="false" outlineLevel="0" collapsed="false"/>
    <row r="3989" customFormat="false" ht="12.8" hidden="false" customHeight="false" outlineLevel="0" collapsed="false"/>
    <row r="3990" customFormat="false" ht="12.8" hidden="false" customHeight="false" outlineLevel="0" collapsed="false"/>
    <row r="3991" customFormat="false" ht="12.8" hidden="false" customHeight="false" outlineLevel="0" collapsed="false"/>
    <row r="3992" customFormat="false" ht="12.8" hidden="false" customHeight="false" outlineLevel="0" collapsed="false"/>
    <row r="3993" customFormat="false" ht="12.8" hidden="false" customHeight="false" outlineLevel="0" collapsed="false"/>
    <row r="3994" customFormat="false" ht="12.8" hidden="false" customHeight="false" outlineLevel="0" collapsed="false"/>
    <row r="3995" customFormat="false" ht="12.8" hidden="false" customHeight="false" outlineLevel="0" collapsed="false"/>
    <row r="3996" customFormat="false" ht="12.8" hidden="false" customHeight="false" outlineLevel="0" collapsed="false"/>
    <row r="3997" customFormat="false" ht="12.8" hidden="false" customHeight="false" outlineLevel="0" collapsed="false"/>
    <row r="3998" customFormat="false" ht="12.8" hidden="false" customHeight="false" outlineLevel="0" collapsed="false"/>
    <row r="3999" customFormat="false" ht="12.8" hidden="false" customHeight="false" outlineLevel="0" collapsed="false"/>
    <row r="4000" customFormat="false" ht="12.8" hidden="false" customHeight="false" outlineLevel="0" collapsed="false"/>
    <row r="4001" customFormat="false" ht="12.8" hidden="false" customHeight="false" outlineLevel="0" collapsed="false"/>
    <row r="4002" customFormat="false" ht="12.8" hidden="false" customHeight="false" outlineLevel="0" collapsed="false"/>
    <row r="4003" customFormat="false" ht="12.8" hidden="false" customHeight="false" outlineLevel="0" collapsed="false"/>
    <row r="4004" customFormat="false" ht="12.8" hidden="false" customHeight="false" outlineLevel="0" collapsed="false"/>
    <row r="4005" customFormat="false" ht="12.8" hidden="false" customHeight="false" outlineLevel="0" collapsed="false"/>
    <row r="4006" customFormat="false" ht="12.8" hidden="false" customHeight="false" outlineLevel="0" collapsed="false"/>
    <row r="4007" customFormat="false" ht="12.8" hidden="false" customHeight="false" outlineLevel="0" collapsed="false"/>
    <row r="4008" customFormat="false" ht="12.8" hidden="false" customHeight="false" outlineLevel="0" collapsed="false"/>
    <row r="4009" customFormat="false" ht="12.8" hidden="false" customHeight="false" outlineLevel="0" collapsed="false"/>
    <row r="4010" customFormat="false" ht="12.8" hidden="false" customHeight="false" outlineLevel="0" collapsed="false"/>
    <row r="4011" customFormat="false" ht="12.8" hidden="false" customHeight="false" outlineLevel="0" collapsed="false"/>
    <row r="4012" customFormat="false" ht="12.8" hidden="false" customHeight="false" outlineLevel="0" collapsed="false"/>
    <row r="4013" customFormat="false" ht="12.8" hidden="false" customHeight="false" outlineLevel="0" collapsed="false"/>
    <row r="4014" customFormat="false" ht="12.8" hidden="false" customHeight="false" outlineLevel="0" collapsed="false"/>
    <row r="4015" customFormat="false" ht="12.8" hidden="false" customHeight="false" outlineLevel="0" collapsed="false"/>
    <row r="4016" customFormat="false" ht="12.8" hidden="false" customHeight="false" outlineLevel="0" collapsed="false"/>
    <row r="4017" customFormat="false" ht="12.8" hidden="false" customHeight="false" outlineLevel="0" collapsed="false"/>
    <row r="4018" customFormat="false" ht="12.8" hidden="false" customHeight="false" outlineLevel="0" collapsed="false"/>
    <row r="4019" customFormat="false" ht="12.8" hidden="false" customHeight="false" outlineLevel="0" collapsed="false"/>
    <row r="4020" customFormat="false" ht="12.8" hidden="false" customHeight="false" outlineLevel="0" collapsed="false"/>
    <row r="4021" customFormat="false" ht="12.8" hidden="false" customHeight="false" outlineLevel="0" collapsed="false"/>
    <row r="4022" customFormat="false" ht="12.8" hidden="false" customHeight="false" outlineLevel="0" collapsed="false"/>
    <row r="4023" customFormat="false" ht="12.8" hidden="false" customHeight="false" outlineLevel="0" collapsed="false"/>
    <row r="4024" customFormat="false" ht="12.8" hidden="false" customHeight="false" outlineLevel="0" collapsed="false"/>
    <row r="4025" customFormat="false" ht="12.8" hidden="false" customHeight="false" outlineLevel="0" collapsed="false"/>
    <row r="4026" customFormat="false" ht="12.8" hidden="false" customHeight="false" outlineLevel="0" collapsed="false"/>
    <row r="4027" customFormat="false" ht="12.8" hidden="false" customHeight="false" outlineLevel="0" collapsed="false"/>
    <row r="4028" customFormat="false" ht="12.8" hidden="false" customHeight="false" outlineLevel="0" collapsed="false"/>
    <row r="4029" customFormat="false" ht="12.8" hidden="false" customHeight="false" outlineLevel="0" collapsed="false"/>
    <row r="4030" customFormat="false" ht="12.8" hidden="false" customHeight="false" outlineLevel="0" collapsed="false"/>
    <row r="4031" customFormat="false" ht="12.8" hidden="false" customHeight="false" outlineLevel="0" collapsed="false"/>
    <row r="4032" customFormat="false" ht="12.8" hidden="false" customHeight="false" outlineLevel="0" collapsed="false"/>
    <row r="4033" customFormat="false" ht="12.8" hidden="false" customHeight="false" outlineLevel="0" collapsed="false"/>
    <row r="4034" customFormat="false" ht="12.8" hidden="false" customHeight="false" outlineLevel="0" collapsed="false"/>
    <row r="4035" customFormat="false" ht="12.8" hidden="false" customHeight="false" outlineLevel="0" collapsed="false"/>
    <row r="4036" customFormat="false" ht="12.8" hidden="false" customHeight="false" outlineLevel="0" collapsed="false"/>
    <row r="4037" customFormat="false" ht="12.8" hidden="false" customHeight="false" outlineLevel="0" collapsed="false"/>
    <row r="4038" customFormat="false" ht="12.8" hidden="false" customHeight="false" outlineLevel="0" collapsed="false"/>
    <row r="4039" customFormat="false" ht="12.8" hidden="false" customHeight="false" outlineLevel="0" collapsed="false"/>
    <row r="4040" customFormat="false" ht="12.8" hidden="false" customHeight="false" outlineLevel="0" collapsed="false"/>
    <row r="4041" customFormat="false" ht="12.8" hidden="false" customHeight="false" outlineLevel="0" collapsed="false"/>
    <row r="4042" customFormat="false" ht="12.8" hidden="false" customHeight="false" outlineLevel="0" collapsed="false"/>
    <row r="4043" customFormat="false" ht="12.8" hidden="false" customHeight="false" outlineLevel="0" collapsed="false"/>
    <row r="4044" customFormat="false" ht="12.8" hidden="false" customHeight="false" outlineLevel="0" collapsed="false"/>
    <row r="4045" customFormat="false" ht="12.8" hidden="false" customHeight="false" outlineLevel="0" collapsed="false"/>
    <row r="4046" customFormat="false" ht="12.8" hidden="false" customHeight="false" outlineLevel="0" collapsed="false"/>
    <row r="4047" customFormat="false" ht="12.8" hidden="false" customHeight="false" outlineLevel="0" collapsed="false"/>
    <row r="4048" customFormat="false" ht="12.8" hidden="false" customHeight="false" outlineLevel="0" collapsed="false"/>
    <row r="4049" customFormat="false" ht="12.8" hidden="false" customHeight="false" outlineLevel="0" collapsed="false"/>
    <row r="4050" customFormat="false" ht="12.8" hidden="false" customHeight="false" outlineLevel="0" collapsed="false"/>
    <row r="4051" customFormat="false" ht="12.8" hidden="false" customHeight="false" outlineLevel="0" collapsed="false"/>
    <row r="4052" customFormat="false" ht="12.8" hidden="false" customHeight="false" outlineLevel="0" collapsed="false"/>
    <row r="4053" customFormat="false" ht="12.8" hidden="false" customHeight="false" outlineLevel="0" collapsed="false"/>
    <row r="4054" customFormat="false" ht="12.8" hidden="false" customHeight="false" outlineLevel="0" collapsed="false"/>
    <row r="4055" customFormat="false" ht="12.8" hidden="false" customHeight="false" outlineLevel="0" collapsed="false"/>
    <row r="4056" customFormat="false" ht="12.8" hidden="false" customHeight="false" outlineLevel="0" collapsed="false"/>
    <row r="4057" customFormat="false" ht="12.8" hidden="false" customHeight="false" outlineLevel="0" collapsed="false"/>
    <row r="4058" customFormat="false" ht="12.8" hidden="false" customHeight="false" outlineLevel="0" collapsed="false"/>
    <row r="4059" customFormat="false" ht="12.8" hidden="false" customHeight="false" outlineLevel="0" collapsed="false"/>
    <row r="4060" customFormat="false" ht="12.8" hidden="false" customHeight="false" outlineLevel="0" collapsed="false"/>
    <row r="4061" customFormat="false" ht="12.8" hidden="false" customHeight="false" outlineLevel="0" collapsed="false"/>
    <row r="4062" customFormat="false" ht="12.8" hidden="false" customHeight="false" outlineLevel="0" collapsed="false"/>
    <row r="4063" customFormat="false" ht="12.8" hidden="false" customHeight="false" outlineLevel="0" collapsed="false"/>
    <row r="4064" customFormat="false" ht="12.8" hidden="false" customHeight="false" outlineLevel="0" collapsed="false"/>
    <row r="4065" customFormat="false" ht="12.8" hidden="false" customHeight="false" outlineLevel="0" collapsed="false"/>
    <row r="4066" customFormat="false" ht="12.8" hidden="false" customHeight="false" outlineLevel="0" collapsed="false"/>
    <row r="4067" customFormat="false" ht="12.8" hidden="false" customHeight="false" outlineLevel="0" collapsed="false"/>
    <row r="4068" customFormat="false" ht="12.8" hidden="false" customHeight="false" outlineLevel="0" collapsed="false"/>
    <row r="4069" customFormat="false" ht="12.8" hidden="false" customHeight="false" outlineLevel="0" collapsed="false"/>
    <row r="4070" customFormat="false" ht="12.8" hidden="false" customHeight="false" outlineLevel="0" collapsed="false"/>
    <row r="4071" customFormat="false" ht="12.8" hidden="false" customHeight="false" outlineLevel="0" collapsed="false"/>
    <row r="4072" customFormat="false" ht="12.8" hidden="false" customHeight="false" outlineLevel="0" collapsed="false"/>
    <row r="4073" customFormat="false" ht="12.8" hidden="false" customHeight="false" outlineLevel="0" collapsed="false"/>
    <row r="4074" customFormat="false" ht="12.8" hidden="false" customHeight="false" outlineLevel="0" collapsed="false"/>
    <row r="4075" customFormat="false" ht="12.8" hidden="false" customHeight="false" outlineLevel="0" collapsed="false"/>
    <row r="4076" customFormat="false" ht="12.8" hidden="false" customHeight="false" outlineLevel="0" collapsed="false"/>
    <row r="4077" customFormat="false" ht="12.8" hidden="false" customHeight="false" outlineLevel="0" collapsed="false"/>
    <row r="4078" customFormat="false" ht="12.8" hidden="false" customHeight="false" outlineLevel="0" collapsed="false"/>
    <row r="4079" customFormat="false" ht="12.8" hidden="false" customHeight="false" outlineLevel="0" collapsed="false"/>
    <row r="4080" customFormat="false" ht="12.8" hidden="false" customHeight="false" outlineLevel="0" collapsed="false"/>
    <row r="4081" customFormat="false" ht="12.8" hidden="false" customHeight="false" outlineLevel="0" collapsed="false"/>
    <row r="4082" customFormat="false" ht="12.8" hidden="false" customHeight="false" outlineLevel="0" collapsed="false"/>
    <row r="4083" customFormat="false" ht="12.8" hidden="false" customHeight="false" outlineLevel="0" collapsed="false"/>
    <row r="4084" customFormat="false" ht="12.8" hidden="false" customHeight="false" outlineLevel="0" collapsed="false"/>
    <row r="4085" customFormat="false" ht="12.8" hidden="false" customHeight="false" outlineLevel="0" collapsed="false"/>
    <row r="4086" customFormat="false" ht="12.8" hidden="false" customHeight="false" outlineLevel="0" collapsed="false"/>
    <row r="4087" customFormat="false" ht="12.8" hidden="false" customHeight="false" outlineLevel="0" collapsed="false"/>
    <row r="4088" customFormat="false" ht="12.8" hidden="false" customHeight="false" outlineLevel="0" collapsed="false"/>
    <row r="4089" customFormat="false" ht="12.8" hidden="false" customHeight="false" outlineLevel="0" collapsed="false"/>
    <row r="4090" customFormat="false" ht="12.8" hidden="false" customHeight="false" outlineLevel="0" collapsed="false"/>
    <row r="4091" customFormat="false" ht="12.8" hidden="false" customHeight="false" outlineLevel="0" collapsed="false"/>
    <row r="4092" customFormat="false" ht="12.8" hidden="false" customHeight="false" outlineLevel="0" collapsed="false"/>
    <row r="4093" customFormat="false" ht="12.8" hidden="false" customHeight="false" outlineLevel="0" collapsed="false"/>
    <row r="4094" customFormat="false" ht="12.8" hidden="false" customHeight="false" outlineLevel="0" collapsed="false"/>
    <row r="4095" customFormat="false" ht="12.8" hidden="false" customHeight="false" outlineLevel="0" collapsed="false"/>
    <row r="4096" customFormat="false" ht="12.8" hidden="false" customHeight="false" outlineLevel="0" collapsed="false"/>
    <row r="4097" customFormat="false" ht="12.8" hidden="false" customHeight="false" outlineLevel="0" collapsed="false"/>
    <row r="4098" customFormat="false" ht="12.8" hidden="false" customHeight="false" outlineLevel="0" collapsed="false"/>
    <row r="4099" customFormat="false" ht="12.8" hidden="false" customHeight="false" outlineLevel="0" collapsed="false"/>
    <row r="4100" customFormat="false" ht="12.8" hidden="false" customHeight="false" outlineLevel="0" collapsed="false"/>
    <row r="4101" customFormat="false" ht="12.8" hidden="false" customHeight="false" outlineLevel="0" collapsed="false"/>
    <row r="4102" customFormat="false" ht="12.8" hidden="false" customHeight="false" outlineLevel="0" collapsed="false"/>
    <row r="4103" customFormat="false" ht="12.8" hidden="false" customHeight="false" outlineLevel="0" collapsed="false"/>
    <row r="4104" customFormat="false" ht="12.8" hidden="false" customHeight="false" outlineLevel="0" collapsed="false"/>
    <row r="4105" customFormat="false" ht="12.8" hidden="false" customHeight="false" outlineLevel="0" collapsed="false"/>
    <row r="4106" customFormat="false" ht="12.8" hidden="false" customHeight="false" outlineLevel="0" collapsed="false"/>
    <row r="4107" customFormat="false" ht="12.8" hidden="false" customHeight="false" outlineLevel="0" collapsed="false"/>
    <row r="4108" customFormat="false" ht="12.8" hidden="false" customHeight="false" outlineLevel="0" collapsed="false"/>
    <row r="4109" customFormat="false" ht="12.8" hidden="false" customHeight="false" outlineLevel="0" collapsed="false"/>
    <row r="4110" customFormat="false" ht="12.8" hidden="false" customHeight="false" outlineLevel="0" collapsed="false"/>
    <row r="4111" customFormat="false" ht="12.8" hidden="false" customHeight="false" outlineLevel="0" collapsed="false"/>
    <row r="4112" customFormat="false" ht="12.8" hidden="false" customHeight="false" outlineLevel="0" collapsed="false"/>
    <row r="4113" customFormat="false" ht="12.8" hidden="false" customHeight="false" outlineLevel="0" collapsed="false"/>
    <row r="4114" customFormat="false" ht="12.8" hidden="false" customHeight="false" outlineLevel="0" collapsed="false"/>
    <row r="4115" customFormat="false" ht="12.8" hidden="false" customHeight="false" outlineLevel="0" collapsed="false"/>
    <row r="4116" customFormat="false" ht="12.8" hidden="false" customHeight="false" outlineLevel="0" collapsed="false"/>
    <row r="4117" customFormat="false" ht="12.8" hidden="false" customHeight="false" outlineLevel="0" collapsed="false"/>
    <row r="4118" customFormat="false" ht="12.8" hidden="false" customHeight="false" outlineLevel="0" collapsed="false"/>
    <row r="4119" customFormat="false" ht="12.8" hidden="false" customHeight="false" outlineLevel="0" collapsed="false"/>
    <row r="4120" customFormat="false" ht="12.8" hidden="false" customHeight="false" outlineLevel="0" collapsed="false"/>
    <row r="4121" customFormat="false" ht="12.8" hidden="false" customHeight="false" outlineLevel="0" collapsed="false"/>
    <row r="4122" customFormat="false" ht="12.8" hidden="false" customHeight="false" outlineLevel="0" collapsed="false"/>
    <row r="4123" customFormat="false" ht="12.8" hidden="false" customHeight="false" outlineLevel="0" collapsed="false"/>
    <row r="4124" customFormat="false" ht="12.8" hidden="false" customHeight="false" outlineLevel="0" collapsed="false"/>
    <row r="4125" customFormat="false" ht="12.8" hidden="false" customHeight="false" outlineLevel="0" collapsed="false"/>
    <row r="4126" customFormat="false" ht="12.8" hidden="false" customHeight="false" outlineLevel="0" collapsed="false"/>
    <row r="4127" customFormat="false" ht="12.8" hidden="false" customHeight="false" outlineLevel="0" collapsed="false"/>
    <row r="4128" customFormat="false" ht="12.8" hidden="false" customHeight="false" outlineLevel="0" collapsed="false"/>
    <row r="4129" customFormat="false" ht="12.8" hidden="false" customHeight="false" outlineLevel="0" collapsed="false"/>
    <row r="4130" customFormat="false" ht="12.8" hidden="false" customHeight="false" outlineLevel="0" collapsed="false"/>
    <row r="4131" customFormat="false" ht="12.8" hidden="false" customHeight="false" outlineLevel="0" collapsed="false"/>
    <row r="4132" customFormat="false" ht="12.8" hidden="false" customHeight="false" outlineLevel="0" collapsed="false"/>
    <row r="4133" customFormat="false" ht="12.8" hidden="false" customHeight="false" outlineLevel="0" collapsed="false"/>
    <row r="4134" customFormat="false" ht="12.8" hidden="false" customHeight="false" outlineLevel="0" collapsed="false"/>
    <row r="4135" customFormat="false" ht="12.8" hidden="false" customHeight="false" outlineLevel="0" collapsed="false"/>
    <row r="4136" customFormat="false" ht="12.8" hidden="false" customHeight="false" outlineLevel="0" collapsed="false"/>
    <row r="4137" customFormat="false" ht="12.8" hidden="false" customHeight="false" outlineLevel="0" collapsed="false"/>
    <row r="4138" customFormat="false" ht="12.8" hidden="false" customHeight="false" outlineLevel="0" collapsed="false"/>
    <row r="4139" customFormat="false" ht="12.8" hidden="false" customHeight="false" outlineLevel="0" collapsed="false"/>
    <row r="4140" customFormat="false" ht="12.8" hidden="false" customHeight="false" outlineLevel="0" collapsed="false"/>
    <row r="4141" customFormat="false" ht="12.8" hidden="false" customHeight="false" outlineLevel="0" collapsed="false"/>
    <row r="4142" customFormat="false" ht="12.8" hidden="false" customHeight="false" outlineLevel="0" collapsed="false"/>
    <row r="4143" customFormat="false" ht="12.8" hidden="false" customHeight="false" outlineLevel="0" collapsed="false"/>
    <row r="4144" customFormat="false" ht="12.8" hidden="false" customHeight="false" outlineLevel="0" collapsed="false"/>
    <row r="4145" customFormat="false" ht="12.8" hidden="false" customHeight="false" outlineLevel="0" collapsed="false"/>
    <row r="4146" customFormat="false" ht="12.8" hidden="false" customHeight="false" outlineLevel="0" collapsed="false"/>
    <row r="4147" customFormat="false" ht="12.8" hidden="false" customHeight="false" outlineLevel="0" collapsed="false"/>
    <row r="4148" customFormat="false" ht="12.8" hidden="false" customHeight="false" outlineLevel="0" collapsed="false"/>
    <row r="4149" customFormat="false" ht="12.8" hidden="false" customHeight="false" outlineLevel="0" collapsed="false"/>
    <row r="4150" customFormat="false" ht="12.8" hidden="false" customHeight="false" outlineLevel="0" collapsed="false"/>
    <row r="4151" customFormat="false" ht="12.8" hidden="false" customHeight="false" outlineLevel="0" collapsed="false"/>
    <row r="4152" customFormat="false" ht="12.8" hidden="false" customHeight="false" outlineLevel="0" collapsed="false"/>
    <row r="4153" customFormat="false" ht="12.8" hidden="false" customHeight="false" outlineLevel="0" collapsed="false"/>
    <row r="4154" customFormat="false" ht="12.8" hidden="false" customHeight="false" outlineLevel="0" collapsed="false"/>
    <row r="4155" customFormat="false" ht="12.8" hidden="false" customHeight="false" outlineLevel="0" collapsed="false"/>
    <row r="4156" customFormat="false" ht="12.8" hidden="false" customHeight="false" outlineLevel="0" collapsed="false"/>
    <row r="4157" customFormat="false" ht="12.8" hidden="false" customHeight="false" outlineLevel="0" collapsed="false"/>
    <row r="4158" customFormat="false" ht="12.8" hidden="false" customHeight="false" outlineLevel="0" collapsed="false"/>
    <row r="4159" customFormat="false" ht="12.8" hidden="false" customHeight="false" outlineLevel="0" collapsed="false"/>
    <row r="4160" customFormat="false" ht="12.8" hidden="false" customHeight="false" outlineLevel="0" collapsed="false"/>
    <row r="4161" customFormat="false" ht="12.8" hidden="false" customHeight="false" outlineLevel="0" collapsed="false"/>
    <row r="4162" customFormat="false" ht="12.8" hidden="false" customHeight="false" outlineLevel="0" collapsed="false"/>
    <row r="4163" customFormat="false" ht="12.8" hidden="false" customHeight="false" outlineLevel="0" collapsed="false"/>
    <row r="4164" customFormat="false" ht="12.8" hidden="false" customHeight="false" outlineLevel="0" collapsed="false"/>
    <row r="4165" customFormat="false" ht="12.8" hidden="false" customHeight="false" outlineLevel="0" collapsed="false"/>
    <row r="4166" customFormat="false" ht="12.8" hidden="false" customHeight="false" outlineLevel="0" collapsed="false"/>
    <row r="4167" customFormat="false" ht="12.8" hidden="false" customHeight="false" outlineLevel="0" collapsed="false"/>
    <row r="4168" customFormat="false" ht="12.8" hidden="false" customHeight="false" outlineLevel="0" collapsed="false"/>
    <row r="4169" customFormat="false" ht="12.8" hidden="false" customHeight="false" outlineLevel="0" collapsed="false"/>
    <row r="4170" customFormat="false" ht="12.8" hidden="false" customHeight="false" outlineLevel="0" collapsed="false"/>
    <row r="4171" customFormat="false" ht="12.8" hidden="false" customHeight="false" outlineLevel="0" collapsed="false"/>
    <row r="4172" customFormat="false" ht="12.8" hidden="false" customHeight="false" outlineLevel="0" collapsed="false"/>
    <row r="4173" customFormat="false" ht="12.8" hidden="false" customHeight="false" outlineLevel="0" collapsed="false"/>
    <row r="4174" customFormat="false" ht="12.8" hidden="false" customHeight="false" outlineLevel="0" collapsed="false"/>
    <row r="4175" customFormat="false" ht="12.8" hidden="false" customHeight="false" outlineLevel="0" collapsed="false"/>
    <row r="4176" customFormat="false" ht="12.8" hidden="false" customHeight="false" outlineLevel="0" collapsed="false"/>
    <row r="4177" customFormat="false" ht="12.8" hidden="false" customHeight="false" outlineLevel="0" collapsed="false"/>
    <row r="4178" customFormat="false" ht="12.8" hidden="false" customHeight="false" outlineLevel="0" collapsed="false"/>
    <row r="4179" customFormat="false" ht="12.8" hidden="false" customHeight="false" outlineLevel="0" collapsed="false"/>
    <row r="4180" customFormat="false" ht="12.8" hidden="false" customHeight="false" outlineLevel="0" collapsed="false"/>
    <row r="4181" customFormat="false" ht="12.8" hidden="false" customHeight="false" outlineLevel="0" collapsed="false"/>
    <row r="4182" customFormat="false" ht="12.8" hidden="false" customHeight="false" outlineLevel="0" collapsed="false"/>
    <row r="4183" customFormat="false" ht="12.8" hidden="false" customHeight="false" outlineLevel="0" collapsed="false"/>
    <row r="4184" customFormat="false" ht="12.8" hidden="false" customHeight="false" outlineLevel="0" collapsed="false"/>
    <row r="4185" customFormat="false" ht="12.8" hidden="false" customHeight="false" outlineLevel="0" collapsed="false"/>
    <row r="4186" customFormat="false" ht="12.8" hidden="false" customHeight="false" outlineLevel="0" collapsed="false"/>
    <row r="4187" customFormat="false" ht="12.8" hidden="false" customHeight="false" outlineLevel="0" collapsed="false"/>
    <row r="4188" customFormat="false" ht="12.8" hidden="false" customHeight="false" outlineLevel="0" collapsed="false"/>
    <row r="4189" customFormat="false" ht="12.8" hidden="false" customHeight="false" outlineLevel="0" collapsed="false"/>
    <row r="4190" customFormat="false" ht="12.8" hidden="false" customHeight="false" outlineLevel="0" collapsed="false"/>
    <row r="4191" customFormat="false" ht="12.8" hidden="false" customHeight="false" outlineLevel="0" collapsed="false"/>
    <row r="4192" customFormat="false" ht="12.8" hidden="false" customHeight="false" outlineLevel="0" collapsed="false"/>
    <row r="4193" customFormat="false" ht="12.8" hidden="false" customHeight="false" outlineLevel="0" collapsed="false"/>
    <row r="4194" customFormat="false" ht="12.8" hidden="false" customHeight="false" outlineLevel="0" collapsed="false"/>
    <row r="4195" customFormat="false" ht="12.8" hidden="false" customHeight="false" outlineLevel="0" collapsed="false"/>
    <row r="4196" customFormat="false" ht="12.8" hidden="false" customHeight="false" outlineLevel="0" collapsed="false"/>
    <row r="4197" customFormat="false" ht="12.8" hidden="false" customHeight="false" outlineLevel="0" collapsed="false"/>
    <row r="4198" customFormat="false" ht="12.8" hidden="false" customHeight="false" outlineLevel="0" collapsed="false"/>
    <row r="4199" customFormat="false" ht="12.8" hidden="false" customHeight="false" outlineLevel="0" collapsed="false"/>
    <row r="4200" customFormat="false" ht="12.8" hidden="false" customHeight="false" outlineLevel="0" collapsed="false"/>
    <row r="4201" customFormat="false" ht="12.8" hidden="false" customHeight="false" outlineLevel="0" collapsed="false"/>
    <row r="4202" customFormat="false" ht="12.8" hidden="false" customHeight="false" outlineLevel="0" collapsed="false"/>
    <row r="4203" customFormat="false" ht="12.8" hidden="false" customHeight="false" outlineLevel="0" collapsed="false"/>
    <row r="4204" customFormat="false" ht="12.8" hidden="false" customHeight="false" outlineLevel="0" collapsed="false"/>
    <row r="4205" customFormat="false" ht="12.8" hidden="false" customHeight="false" outlineLevel="0" collapsed="false"/>
    <row r="4206" customFormat="false" ht="12.8" hidden="false" customHeight="false" outlineLevel="0" collapsed="false"/>
    <row r="4207" customFormat="false" ht="12.8" hidden="false" customHeight="false" outlineLevel="0" collapsed="false"/>
    <row r="4208" customFormat="false" ht="12.8" hidden="false" customHeight="false" outlineLevel="0" collapsed="false"/>
    <row r="4209" customFormat="false" ht="12.8" hidden="false" customHeight="false" outlineLevel="0" collapsed="false"/>
    <row r="4210" customFormat="false" ht="12.8" hidden="false" customHeight="false" outlineLevel="0" collapsed="false"/>
    <row r="4211" customFormat="false" ht="12.8" hidden="false" customHeight="false" outlineLevel="0" collapsed="false"/>
    <row r="4212" customFormat="false" ht="12.8" hidden="false" customHeight="false" outlineLevel="0" collapsed="false"/>
    <row r="4213" customFormat="false" ht="12.8" hidden="false" customHeight="false" outlineLevel="0" collapsed="false"/>
    <row r="4214" customFormat="false" ht="12.8" hidden="false" customHeight="false" outlineLevel="0" collapsed="false"/>
    <row r="4215" customFormat="false" ht="12.8" hidden="false" customHeight="false" outlineLevel="0" collapsed="false"/>
    <row r="4216" customFormat="false" ht="12.8" hidden="false" customHeight="false" outlineLevel="0" collapsed="false"/>
    <row r="4217" customFormat="false" ht="12.8" hidden="false" customHeight="false" outlineLevel="0" collapsed="false"/>
    <row r="4218" customFormat="false" ht="12.8" hidden="false" customHeight="false" outlineLevel="0" collapsed="false"/>
    <row r="4219" customFormat="false" ht="12.8" hidden="false" customHeight="false" outlineLevel="0" collapsed="false"/>
    <row r="4220" customFormat="false" ht="12.8" hidden="false" customHeight="false" outlineLevel="0" collapsed="false"/>
    <row r="4221" customFormat="false" ht="12.8" hidden="false" customHeight="false" outlineLevel="0" collapsed="false"/>
    <row r="4222" customFormat="false" ht="12.8" hidden="false" customHeight="false" outlineLevel="0" collapsed="false"/>
    <row r="4223" customFormat="false" ht="12.8" hidden="false" customHeight="false" outlineLevel="0" collapsed="false"/>
    <row r="4224" customFormat="false" ht="12.8" hidden="false" customHeight="false" outlineLevel="0" collapsed="false"/>
    <row r="4225" customFormat="false" ht="12.8" hidden="false" customHeight="false" outlineLevel="0" collapsed="false"/>
    <row r="4226" customFormat="false" ht="12.8" hidden="false" customHeight="false" outlineLevel="0" collapsed="false"/>
    <row r="4227" customFormat="false" ht="12.8" hidden="false" customHeight="false" outlineLevel="0" collapsed="false"/>
    <row r="4228" customFormat="false" ht="12.8" hidden="false" customHeight="false" outlineLevel="0" collapsed="false"/>
    <row r="4229" customFormat="false" ht="12.8" hidden="false" customHeight="false" outlineLevel="0" collapsed="false"/>
    <row r="4230" customFormat="false" ht="12.8" hidden="false" customHeight="false" outlineLevel="0" collapsed="false"/>
    <row r="4231" customFormat="false" ht="12.8" hidden="false" customHeight="false" outlineLevel="0" collapsed="false"/>
    <row r="4232" customFormat="false" ht="12.8" hidden="false" customHeight="false" outlineLevel="0" collapsed="false"/>
    <row r="4233" customFormat="false" ht="12.8" hidden="false" customHeight="false" outlineLevel="0" collapsed="false"/>
    <row r="4234" customFormat="false" ht="12.8" hidden="false" customHeight="false" outlineLevel="0" collapsed="false"/>
    <row r="4235" customFormat="false" ht="12.8" hidden="false" customHeight="false" outlineLevel="0" collapsed="false"/>
    <row r="4236" customFormat="false" ht="12.8" hidden="false" customHeight="false" outlineLevel="0" collapsed="false"/>
    <row r="4237" customFormat="false" ht="12.8" hidden="false" customHeight="false" outlineLevel="0" collapsed="false"/>
    <row r="4238" customFormat="false" ht="12.8" hidden="false" customHeight="false" outlineLevel="0" collapsed="false"/>
    <row r="4239" customFormat="false" ht="12.8" hidden="false" customHeight="false" outlineLevel="0" collapsed="false"/>
    <row r="4240" customFormat="false" ht="12.8" hidden="false" customHeight="false" outlineLevel="0" collapsed="false"/>
    <row r="4241" customFormat="false" ht="12.8" hidden="false" customHeight="false" outlineLevel="0" collapsed="false"/>
    <row r="4242" customFormat="false" ht="12.8" hidden="false" customHeight="false" outlineLevel="0" collapsed="false"/>
    <row r="4243" customFormat="false" ht="12.8" hidden="false" customHeight="false" outlineLevel="0" collapsed="false"/>
    <row r="4244" customFormat="false" ht="12.8" hidden="false" customHeight="false" outlineLevel="0" collapsed="false"/>
    <row r="4245" customFormat="false" ht="12.8" hidden="false" customHeight="false" outlineLevel="0" collapsed="false"/>
    <row r="4246" customFormat="false" ht="12.8" hidden="false" customHeight="false" outlineLevel="0" collapsed="false"/>
    <row r="4247" customFormat="false" ht="12.8" hidden="false" customHeight="false" outlineLevel="0" collapsed="false"/>
    <row r="4248" customFormat="false" ht="12.8" hidden="false" customHeight="false" outlineLevel="0" collapsed="false"/>
    <row r="4249" customFormat="false" ht="12.8" hidden="false" customHeight="false" outlineLevel="0" collapsed="false"/>
    <row r="4250" customFormat="false" ht="12.8" hidden="false" customHeight="false" outlineLevel="0" collapsed="false"/>
    <row r="4251" customFormat="false" ht="12.8" hidden="false" customHeight="false" outlineLevel="0" collapsed="false"/>
    <row r="4252" customFormat="false" ht="12.8" hidden="false" customHeight="false" outlineLevel="0" collapsed="false"/>
    <row r="4253" customFormat="false" ht="12.8" hidden="false" customHeight="false" outlineLevel="0" collapsed="false"/>
    <row r="4254" customFormat="false" ht="12.8" hidden="false" customHeight="false" outlineLevel="0" collapsed="false"/>
    <row r="4255" customFormat="false" ht="12.8" hidden="false" customHeight="false" outlineLevel="0" collapsed="false"/>
    <row r="4256" customFormat="false" ht="12.8" hidden="false" customHeight="false" outlineLevel="0" collapsed="false"/>
    <row r="4257" customFormat="false" ht="12.8" hidden="false" customHeight="false" outlineLevel="0" collapsed="false"/>
    <row r="4258" customFormat="false" ht="12.8" hidden="false" customHeight="false" outlineLevel="0" collapsed="false"/>
    <row r="4259" customFormat="false" ht="12.8" hidden="false" customHeight="false" outlineLevel="0" collapsed="false"/>
    <row r="4260" customFormat="false" ht="12.8" hidden="false" customHeight="false" outlineLevel="0" collapsed="false"/>
    <row r="4261" customFormat="false" ht="12.8" hidden="false" customHeight="false" outlineLevel="0" collapsed="false"/>
    <row r="4262" customFormat="false" ht="12.8" hidden="false" customHeight="false" outlineLevel="0" collapsed="false"/>
    <row r="4263" customFormat="false" ht="12.8" hidden="false" customHeight="false" outlineLevel="0" collapsed="false"/>
    <row r="4264" customFormat="false" ht="12.8" hidden="false" customHeight="false" outlineLevel="0" collapsed="false"/>
    <row r="4265" customFormat="false" ht="12.8" hidden="false" customHeight="false" outlineLevel="0" collapsed="false"/>
    <row r="4266" customFormat="false" ht="12.8" hidden="false" customHeight="false" outlineLevel="0" collapsed="false"/>
    <row r="4267" customFormat="false" ht="12.8" hidden="false" customHeight="false" outlineLevel="0" collapsed="false"/>
    <row r="4268" customFormat="false" ht="12.8" hidden="false" customHeight="false" outlineLevel="0" collapsed="false"/>
    <row r="4269" customFormat="false" ht="12.8" hidden="false" customHeight="false" outlineLevel="0" collapsed="false"/>
    <row r="4270" customFormat="false" ht="12.8" hidden="false" customHeight="false" outlineLevel="0" collapsed="false"/>
    <row r="4271" customFormat="false" ht="12.8" hidden="false" customHeight="false" outlineLevel="0" collapsed="false"/>
    <row r="4272" customFormat="false" ht="12.8" hidden="false" customHeight="false" outlineLevel="0" collapsed="false"/>
    <row r="4273" customFormat="false" ht="12.8" hidden="false" customHeight="false" outlineLevel="0" collapsed="false"/>
    <row r="4274" customFormat="false" ht="12.8" hidden="false" customHeight="false" outlineLevel="0" collapsed="false"/>
    <row r="4275" customFormat="false" ht="12.8" hidden="false" customHeight="false" outlineLevel="0" collapsed="false"/>
    <row r="4276" customFormat="false" ht="12.8" hidden="false" customHeight="false" outlineLevel="0" collapsed="false"/>
    <row r="4277" customFormat="false" ht="12.8" hidden="false" customHeight="false" outlineLevel="0" collapsed="false"/>
    <row r="4278" customFormat="false" ht="12.8" hidden="false" customHeight="false" outlineLevel="0" collapsed="false"/>
    <row r="4279" customFormat="false" ht="12.8" hidden="false" customHeight="false" outlineLevel="0" collapsed="false"/>
    <row r="4280" customFormat="false" ht="12.8" hidden="false" customHeight="false" outlineLevel="0" collapsed="false"/>
    <row r="4281" customFormat="false" ht="12.8" hidden="false" customHeight="false" outlineLevel="0" collapsed="false"/>
    <row r="4282" customFormat="false" ht="12.8" hidden="false" customHeight="false" outlineLevel="0" collapsed="false"/>
    <row r="4283" customFormat="false" ht="12.8" hidden="false" customHeight="false" outlineLevel="0" collapsed="false"/>
    <row r="4284" customFormat="false" ht="12.8" hidden="false" customHeight="false" outlineLevel="0" collapsed="false"/>
    <row r="4285" customFormat="false" ht="12.8" hidden="false" customHeight="false" outlineLevel="0" collapsed="false"/>
    <row r="4286" customFormat="false" ht="12.8" hidden="false" customHeight="false" outlineLevel="0" collapsed="false"/>
    <row r="4287" customFormat="false" ht="12.8" hidden="false" customHeight="false" outlineLevel="0" collapsed="false"/>
    <row r="4288" customFormat="false" ht="12.8" hidden="false" customHeight="false" outlineLevel="0" collapsed="false"/>
    <row r="4289" customFormat="false" ht="12.8" hidden="false" customHeight="false" outlineLevel="0" collapsed="false"/>
    <row r="4290" customFormat="false" ht="12.8" hidden="false" customHeight="false" outlineLevel="0" collapsed="false"/>
    <row r="4291" customFormat="false" ht="12.8" hidden="false" customHeight="false" outlineLevel="0" collapsed="false"/>
    <row r="4292" customFormat="false" ht="12.8" hidden="false" customHeight="false" outlineLevel="0" collapsed="false"/>
    <row r="4293" customFormat="false" ht="12.8" hidden="false" customHeight="false" outlineLevel="0" collapsed="false"/>
    <row r="4294" customFormat="false" ht="12.8" hidden="false" customHeight="false" outlineLevel="0" collapsed="false"/>
    <row r="4295" customFormat="false" ht="12.8" hidden="false" customHeight="false" outlineLevel="0" collapsed="false"/>
    <row r="4296" customFormat="false" ht="12.8" hidden="false" customHeight="false" outlineLevel="0" collapsed="false"/>
    <row r="4297" customFormat="false" ht="12.8" hidden="false" customHeight="false" outlineLevel="0" collapsed="false"/>
    <row r="4298" customFormat="false" ht="12.8" hidden="false" customHeight="false" outlineLevel="0" collapsed="false"/>
    <row r="4299" customFormat="false" ht="12.8" hidden="false" customHeight="false" outlineLevel="0" collapsed="false"/>
    <row r="4300" customFormat="false" ht="12.8" hidden="false" customHeight="false" outlineLevel="0" collapsed="false"/>
    <row r="4301" customFormat="false" ht="12.8" hidden="false" customHeight="false" outlineLevel="0" collapsed="false"/>
    <row r="4302" customFormat="false" ht="12.8" hidden="false" customHeight="false" outlineLevel="0" collapsed="false"/>
    <row r="4303" customFormat="false" ht="12.8" hidden="false" customHeight="false" outlineLevel="0" collapsed="false"/>
    <row r="4304" customFormat="false" ht="12.8" hidden="false" customHeight="false" outlineLevel="0" collapsed="false"/>
    <row r="4305" customFormat="false" ht="12.8" hidden="false" customHeight="false" outlineLevel="0" collapsed="false"/>
    <row r="4306" customFormat="false" ht="12.8" hidden="false" customHeight="false" outlineLevel="0" collapsed="false"/>
    <row r="4307" customFormat="false" ht="12.8" hidden="false" customHeight="false" outlineLevel="0" collapsed="false"/>
    <row r="4308" customFormat="false" ht="12.8" hidden="false" customHeight="false" outlineLevel="0" collapsed="false"/>
    <row r="4309" customFormat="false" ht="12.8" hidden="false" customHeight="false" outlineLevel="0" collapsed="false"/>
    <row r="4310" customFormat="false" ht="12.8" hidden="false" customHeight="false" outlineLevel="0" collapsed="false"/>
    <row r="4311" customFormat="false" ht="12.8" hidden="false" customHeight="false" outlineLevel="0" collapsed="false"/>
    <row r="4312" customFormat="false" ht="12.8" hidden="false" customHeight="false" outlineLevel="0" collapsed="false"/>
    <row r="4313" customFormat="false" ht="12.8" hidden="false" customHeight="false" outlineLevel="0" collapsed="false"/>
    <row r="4314" customFormat="false" ht="12.8" hidden="false" customHeight="false" outlineLevel="0" collapsed="false"/>
    <row r="4315" customFormat="false" ht="12.8" hidden="false" customHeight="false" outlineLevel="0" collapsed="false"/>
    <row r="4316" customFormat="false" ht="12.8" hidden="false" customHeight="false" outlineLevel="0" collapsed="false"/>
    <row r="4317" customFormat="false" ht="12.8" hidden="false" customHeight="false" outlineLevel="0" collapsed="false"/>
    <row r="4318" customFormat="false" ht="12.8" hidden="false" customHeight="false" outlineLevel="0" collapsed="false"/>
    <row r="4319" customFormat="false" ht="12.8" hidden="false" customHeight="false" outlineLevel="0" collapsed="false"/>
    <row r="4320" customFormat="false" ht="12.8" hidden="false" customHeight="false" outlineLevel="0" collapsed="false"/>
    <row r="4321" customFormat="false" ht="12.8" hidden="false" customHeight="false" outlineLevel="0" collapsed="false"/>
    <row r="4322" customFormat="false" ht="12.8" hidden="false" customHeight="false" outlineLevel="0" collapsed="false"/>
    <row r="4323" customFormat="false" ht="12.8" hidden="false" customHeight="false" outlineLevel="0" collapsed="false"/>
    <row r="4324" customFormat="false" ht="12.8" hidden="false" customHeight="false" outlineLevel="0" collapsed="false"/>
    <row r="4325" customFormat="false" ht="12.8" hidden="false" customHeight="false" outlineLevel="0" collapsed="false"/>
    <row r="4326" customFormat="false" ht="12.8" hidden="false" customHeight="false" outlineLevel="0" collapsed="false"/>
    <row r="4327" customFormat="false" ht="12.8" hidden="false" customHeight="false" outlineLevel="0" collapsed="false"/>
    <row r="4328" customFormat="false" ht="12.8" hidden="false" customHeight="false" outlineLevel="0" collapsed="false"/>
    <row r="4329" customFormat="false" ht="12.8" hidden="false" customHeight="false" outlineLevel="0" collapsed="false"/>
    <row r="4330" customFormat="false" ht="12.8" hidden="false" customHeight="false" outlineLevel="0" collapsed="false"/>
    <row r="4331" customFormat="false" ht="12.8" hidden="false" customHeight="false" outlineLevel="0" collapsed="false"/>
    <row r="4332" customFormat="false" ht="12.8" hidden="false" customHeight="false" outlineLevel="0" collapsed="false"/>
    <row r="4333" customFormat="false" ht="12.8" hidden="false" customHeight="false" outlineLevel="0" collapsed="false"/>
    <row r="4334" customFormat="false" ht="12.8" hidden="false" customHeight="false" outlineLevel="0" collapsed="false"/>
    <row r="4335" customFormat="false" ht="12.8" hidden="false" customHeight="false" outlineLevel="0" collapsed="false"/>
    <row r="4336" customFormat="false" ht="12.8" hidden="false" customHeight="false" outlineLevel="0" collapsed="false"/>
    <row r="4337" customFormat="false" ht="12.8" hidden="false" customHeight="false" outlineLevel="0" collapsed="false"/>
    <row r="4338" customFormat="false" ht="12.8" hidden="false" customHeight="false" outlineLevel="0" collapsed="false"/>
    <row r="4339" customFormat="false" ht="12.8" hidden="false" customHeight="false" outlineLevel="0" collapsed="false"/>
    <row r="4340" customFormat="false" ht="12.8" hidden="false" customHeight="false" outlineLevel="0" collapsed="false"/>
    <row r="4341" customFormat="false" ht="12.8" hidden="false" customHeight="false" outlineLevel="0" collapsed="false"/>
    <row r="4342" customFormat="false" ht="12.8" hidden="false" customHeight="false" outlineLevel="0" collapsed="false"/>
    <row r="4343" customFormat="false" ht="12.8" hidden="false" customHeight="false" outlineLevel="0" collapsed="false"/>
    <row r="4344" customFormat="false" ht="12.8" hidden="false" customHeight="false" outlineLevel="0" collapsed="false"/>
    <row r="4345" customFormat="false" ht="12.8" hidden="false" customHeight="false" outlineLevel="0" collapsed="false"/>
    <row r="4346" customFormat="false" ht="12.8" hidden="false" customHeight="false" outlineLevel="0" collapsed="false"/>
    <row r="4347" customFormat="false" ht="12.8" hidden="false" customHeight="false" outlineLevel="0" collapsed="false"/>
    <row r="4348" customFormat="false" ht="12.8" hidden="false" customHeight="false" outlineLevel="0" collapsed="false"/>
    <row r="4349" customFormat="false" ht="12.8" hidden="false" customHeight="false" outlineLevel="0" collapsed="false"/>
    <row r="4350" customFormat="false" ht="12.8" hidden="false" customHeight="false" outlineLevel="0" collapsed="false"/>
    <row r="4351" customFormat="false" ht="12.8" hidden="false" customHeight="false" outlineLevel="0" collapsed="false"/>
    <row r="4352" customFormat="false" ht="12.8" hidden="false" customHeight="false" outlineLevel="0" collapsed="false"/>
    <row r="4353" customFormat="false" ht="12.8" hidden="false" customHeight="false" outlineLevel="0" collapsed="false"/>
    <row r="4354" customFormat="false" ht="12.8" hidden="false" customHeight="false" outlineLevel="0" collapsed="false"/>
    <row r="4355" customFormat="false" ht="12.8" hidden="false" customHeight="false" outlineLevel="0" collapsed="false"/>
    <row r="4356" customFormat="false" ht="12.8" hidden="false" customHeight="false" outlineLevel="0" collapsed="false"/>
    <row r="4357" customFormat="false" ht="12.8" hidden="false" customHeight="false" outlineLevel="0" collapsed="false"/>
    <row r="4358" customFormat="false" ht="12.8" hidden="false" customHeight="false" outlineLevel="0" collapsed="false"/>
    <row r="4359" customFormat="false" ht="12.8" hidden="false" customHeight="false" outlineLevel="0" collapsed="false"/>
    <row r="4360" customFormat="false" ht="12.8" hidden="false" customHeight="false" outlineLevel="0" collapsed="false"/>
    <row r="4361" customFormat="false" ht="12.8" hidden="false" customHeight="false" outlineLevel="0" collapsed="false"/>
    <row r="4362" customFormat="false" ht="12.8" hidden="false" customHeight="false" outlineLevel="0" collapsed="false"/>
    <row r="4363" customFormat="false" ht="12.8" hidden="false" customHeight="false" outlineLevel="0" collapsed="false"/>
    <row r="4364" customFormat="false" ht="12.8" hidden="false" customHeight="false" outlineLevel="0" collapsed="false"/>
    <row r="4365" customFormat="false" ht="12.8" hidden="false" customHeight="false" outlineLevel="0" collapsed="false"/>
    <row r="4366" customFormat="false" ht="12.8" hidden="false" customHeight="false" outlineLevel="0" collapsed="false"/>
    <row r="4367" customFormat="false" ht="12.8" hidden="false" customHeight="false" outlineLevel="0" collapsed="false"/>
    <row r="4368" customFormat="false" ht="12.8" hidden="false" customHeight="false" outlineLevel="0" collapsed="false"/>
    <row r="4369" customFormat="false" ht="12.8" hidden="false" customHeight="false" outlineLevel="0" collapsed="false"/>
    <row r="4370" customFormat="false" ht="12.8" hidden="false" customHeight="false" outlineLevel="0" collapsed="false"/>
    <row r="4371" customFormat="false" ht="12.8" hidden="false" customHeight="false" outlineLevel="0" collapsed="false"/>
    <row r="4372" customFormat="false" ht="12.8" hidden="false" customHeight="false" outlineLevel="0" collapsed="false"/>
    <row r="4373" customFormat="false" ht="12.8" hidden="false" customHeight="false" outlineLevel="0" collapsed="false"/>
    <row r="4374" customFormat="false" ht="12.8" hidden="false" customHeight="false" outlineLevel="0" collapsed="false"/>
    <row r="4375" customFormat="false" ht="12.8" hidden="false" customHeight="false" outlineLevel="0" collapsed="false"/>
    <row r="4376" customFormat="false" ht="12.8" hidden="false" customHeight="false" outlineLevel="0" collapsed="false"/>
    <row r="4377" customFormat="false" ht="12.8" hidden="false" customHeight="false" outlineLevel="0" collapsed="false"/>
    <row r="4378" customFormat="false" ht="12.8" hidden="false" customHeight="false" outlineLevel="0" collapsed="false"/>
    <row r="4379" customFormat="false" ht="12.8" hidden="false" customHeight="false" outlineLevel="0" collapsed="false"/>
    <row r="4380" customFormat="false" ht="12.8" hidden="false" customHeight="false" outlineLevel="0" collapsed="false"/>
    <row r="4381" customFormat="false" ht="12.8" hidden="false" customHeight="false" outlineLevel="0" collapsed="false"/>
    <row r="4382" customFormat="false" ht="12.8" hidden="false" customHeight="false" outlineLevel="0" collapsed="false"/>
    <row r="4383" customFormat="false" ht="12.8" hidden="false" customHeight="false" outlineLevel="0" collapsed="false"/>
    <row r="4384" customFormat="false" ht="12.8" hidden="false" customHeight="false" outlineLevel="0" collapsed="false"/>
    <row r="4385" customFormat="false" ht="12.8" hidden="false" customHeight="false" outlineLevel="0" collapsed="false"/>
    <row r="4386" customFormat="false" ht="12.8" hidden="false" customHeight="false" outlineLevel="0" collapsed="false"/>
    <row r="4387" customFormat="false" ht="12.8" hidden="false" customHeight="false" outlineLevel="0" collapsed="false"/>
    <row r="4388" customFormat="false" ht="12.8" hidden="false" customHeight="false" outlineLevel="0" collapsed="false"/>
    <row r="4389" customFormat="false" ht="12.8" hidden="false" customHeight="false" outlineLevel="0" collapsed="false"/>
    <row r="4390" customFormat="false" ht="12.8" hidden="false" customHeight="false" outlineLevel="0" collapsed="false"/>
    <row r="4391" customFormat="false" ht="12.8" hidden="false" customHeight="false" outlineLevel="0" collapsed="false"/>
    <row r="4392" customFormat="false" ht="12.8" hidden="false" customHeight="false" outlineLevel="0" collapsed="false"/>
    <row r="4393" customFormat="false" ht="12.8" hidden="false" customHeight="false" outlineLevel="0" collapsed="false"/>
    <row r="4394" customFormat="false" ht="12.8" hidden="false" customHeight="false" outlineLevel="0" collapsed="false"/>
    <row r="4395" customFormat="false" ht="12.8" hidden="false" customHeight="false" outlineLevel="0" collapsed="false"/>
    <row r="4396" customFormat="false" ht="12.8" hidden="false" customHeight="false" outlineLevel="0" collapsed="false"/>
    <row r="4397" customFormat="false" ht="12.8" hidden="false" customHeight="false" outlineLevel="0" collapsed="false"/>
    <row r="4398" customFormat="false" ht="12.8" hidden="false" customHeight="false" outlineLevel="0" collapsed="false"/>
    <row r="4399" customFormat="false" ht="12.8" hidden="false" customHeight="false" outlineLevel="0" collapsed="false"/>
    <row r="4400" customFormat="false" ht="12.8" hidden="false" customHeight="false" outlineLevel="0" collapsed="false"/>
    <row r="4401" customFormat="false" ht="12.8" hidden="false" customHeight="false" outlineLevel="0" collapsed="false"/>
    <row r="4402" customFormat="false" ht="12.8" hidden="false" customHeight="false" outlineLevel="0" collapsed="false"/>
    <row r="4403" customFormat="false" ht="12.8" hidden="false" customHeight="false" outlineLevel="0" collapsed="false"/>
    <row r="4404" customFormat="false" ht="12.8" hidden="false" customHeight="false" outlineLevel="0" collapsed="false"/>
    <row r="4405" customFormat="false" ht="12.8" hidden="false" customHeight="false" outlineLevel="0" collapsed="false"/>
    <row r="4406" customFormat="false" ht="12.8" hidden="false" customHeight="false" outlineLevel="0" collapsed="false"/>
    <row r="4407" customFormat="false" ht="12.8" hidden="false" customHeight="false" outlineLevel="0" collapsed="false"/>
    <row r="4408" customFormat="false" ht="12.8" hidden="false" customHeight="false" outlineLevel="0" collapsed="false"/>
    <row r="4409" customFormat="false" ht="12.8" hidden="false" customHeight="false" outlineLevel="0" collapsed="false"/>
    <row r="4410" customFormat="false" ht="12.8" hidden="false" customHeight="false" outlineLevel="0" collapsed="false"/>
    <row r="4411" customFormat="false" ht="12.8" hidden="false" customHeight="false" outlineLevel="0" collapsed="false"/>
    <row r="4412" customFormat="false" ht="12.8" hidden="false" customHeight="false" outlineLevel="0" collapsed="false"/>
    <row r="4413" customFormat="false" ht="12.8" hidden="false" customHeight="false" outlineLevel="0" collapsed="false"/>
    <row r="4414" customFormat="false" ht="12.8" hidden="false" customHeight="false" outlineLevel="0" collapsed="false"/>
    <row r="4415" customFormat="false" ht="12.8" hidden="false" customHeight="false" outlineLevel="0" collapsed="false"/>
    <row r="4416" customFormat="false" ht="12.8" hidden="false" customHeight="false" outlineLevel="0" collapsed="false"/>
    <row r="4417" customFormat="false" ht="12.8" hidden="false" customHeight="false" outlineLevel="0" collapsed="false"/>
    <row r="4418" customFormat="false" ht="12.8" hidden="false" customHeight="false" outlineLevel="0" collapsed="false"/>
    <row r="4419" customFormat="false" ht="12.8" hidden="false" customHeight="false" outlineLevel="0" collapsed="false"/>
    <row r="4420" customFormat="false" ht="12.8" hidden="false" customHeight="false" outlineLevel="0" collapsed="false"/>
    <row r="4421" customFormat="false" ht="12.8" hidden="false" customHeight="false" outlineLevel="0" collapsed="false"/>
    <row r="4422" customFormat="false" ht="12.8" hidden="false" customHeight="false" outlineLevel="0" collapsed="false"/>
    <row r="4423" customFormat="false" ht="12.8" hidden="false" customHeight="false" outlineLevel="0" collapsed="false"/>
    <row r="4424" customFormat="false" ht="12.8" hidden="false" customHeight="false" outlineLevel="0" collapsed="false"/>
    <row r="4425" customFormat="false" ht="12.8" hidden="false" customHeight="false" outlineLevel="0" collapsed="false"/>
    <row r="4426" customFormat="false" ht="12.8" hidden="false" customHeight="false" outlineLevel="0" collapsed="false"/>
    <row r="4427" customFormat="false" ht="12.8" hidden="false" customHeight="false" outlineLevel="0" collapsed="false"/>
    <row r="4428" customFormat="false" ht="12.8" hidden="false" customHeight="false" outlineLevel="0" collapsed="false"/>
    <row r="4429" customFormat="false" ht="12.8" hidden="false" customHeight="false" outlineLevel="0" collapsed="false"/>
    <row r="4430" customFormat="false" ht="12.8" hidden="false" customHeight="false" outlineLevel="0" collapsed="false"/>
    <row r="4431" customFormat="false" ht="12.8" hidden="false" customHeight="false" outlineLevel="0" collapsed="false"/>
    <row r="4432" customFormat="false" ht="12.8" hidden="false" customHeight="false" outlineLevel="0" collapsed="false"/>
    <row r="4433" customFormat="false" ht="12.8" hidden="false" customHeight="false" outlineLevel="0" collapsed="false"/>
    <row r="4434" customFormat="false" ht="12.8" hidden="false" customHeight="false" outlineLevel="0" collapsed="false"/>
    <row r="4435" customFormat="false" ht="12.8" hidden="false" customHeight="false" outlineLevel="0" collapsed="false"/>
    <row r="4436" customFormat="false" ht="12.8" hidden="false" customHeight="false" outlineLevel="0" collapsed="false"/>
    <row r="4437" customFormat="false" ht="12.8" hidden="false" customHeight="false" outlineLevel="0" collapsed="false"/>
    <row r="4438" customFormat="false" ht="12.8" hidden="false" customHeight="false" outlineLevel="0" collapsed="false"/>
    <row r="4439" customFormat="false" ht="12.8" hidden="false" customHeight="false" outlineLevel="0" collapsed="false"/>
    <row r="4440" customFormat="false" ht="12.8" hidden="false" customHeight="false" outlineLevel="0" collapsed="false"/>
    <row r="4441" customFormat="false" ht="12.8" hidden="false" customHeight="false" outlineLevel="0" collapsed="false"/>
    <row r="4442" customFormat="false" ht="12.8" hidden="false" customHeight="false" outlineLevel="0" collapsed="false"/>
    <row r="4443" customFormat="false" ht="12.8" hidden="false" customHeight="false" outlineLevel="0" collapsed="false"/>
    <row r="4444" customFormat="false" ht="12.8" hidden="false" customHeight="false" outlineLevel="0" collapsed="false"/>
    <row r="4445" customFormat="false" ht="12.8" hidden="false" customHeight="false" outlineLevel="0" collapsed="false"/>
    <row r="4446" customFormat="false" ht="12.8" hidden="false" customHeight="false" outlineLevel="0" collapsed="false"/>
    <row r="4447" customFormat="false" ht="12.8" hidden="false" customHeight="false" outlineLevel="0" collapsed="false"/>
    <row r="4448" customFormat="false" ht="12.8" hidden="false" customHeight="false" outlineLevel="0" collapsed="false"/>
    <row r="4449" customFormat="false" ht="12.8" hidden="false" customHeight="false" outlineLevel="0" collapsed="false"/>
    <row r="4450" customFormat="false" ht="12.8" hidden="false" customHeight="false" outlineLevel="0" collapsed="false"/>
    <row r="4451" customFormat="false" ht="12.8" hidden="false" customHeight="false" outlineLevel="0" collapsed="false"/>
    <row r="4452" customFormat="false" ht="12.8" hidden="false" customHeight="false" outlineLevel="0" collapsed="false"/>
    <row r="4453" customFormat="false" ht="12.8" hidden="false" customHeight="false" outlineLevel="0" collapsed="false"/>
    <row r="4454" customFormat="false" ht="12.8" hidden="false" customHeight="false" outlineLevel="0" collapsed="false"/>
    <row r="4455" customFormat="false" ht="12.8" hidden="false" customHeight="false" outlineLevel="0" collapsed="false"/>
    <row r="4456" customFormat="false" ht="12.8" hidden="false" customHeight="false" outlineLevel="0" collapsed="false"/>
    <row r="4457" customFormat="false" ht="12.8" hidden="false" customHeight="false" outlineLevel="0" collapsed="false"/>
    <row r="4458" customFormat="false" ht="12.8" hidden="false" customHeight="false" outlineLevel="0" collapsed="false"/>
    <row r="4459" customFormat="false" ht="12.8" hidden="false" customHeight="false" outlineLevel="0" collapsed="false"/>
    <row r="4460" customFormat="false" ht="12.8" hidden="false" customHeight="false" outlineLevel="0" collapsed="false"/>
    <row r="4461" customFormat="false" ht="12.8" hidden="false" customHeight="false" outlineLevel="0" collapsed="false"/>
    <row r="4462" customFormat="false" ht="12.8" hidden="false" customHeight="false" outlineLevel="0" collapsed="false"/>
    <row r="4463" customFormat="false" ht="12.8" hidden="false" customHeight="false" outlineLevel="0" collapsed="false"/>
    <row r="4464" customFormat="false" ht="12.8" hidden="false" customHeight="false" outlineLevel="0" collapsed="false"/>
    <row r="4465" customFormat="false" ht="12.8" hidden="false" customHeight="false" outlineLevel="0" collapsed="false"/>
    <row r="4466" customFormat="false" ht="12.8" hidden="false" customHeight="false" outlineLevel="0" collapsed="false"/>
    <row r="4467" customFormat="false" ht="12.8" hidden="false" customHeight="false" outlineLevel="0" collapsed="false"/>
    <row r="4468" customFormat="false" ht="12.8" hidden="false" customHeight="false" outlineLevel="0" collapsed="false"/>
    <row r="4469" customFormat="false" ht="12.8" hidden="false" customHeight="false" outlineLevel="0" collapsed="false"/>
    <row r="4470" customFormat="false" ht="12.8" hidden="false" customHeight="false" outlineLevel="0" collapsed="false"/>
    <row r="4471" customFormat="false" ht="12.8" hidden="false" customHeight="false" outlineLevel="0" collapsed="false"/>
    <row r="4472" customFormat="false" ht="12.8" hidden="false" customHeight="false" outlineLevel="0" collapsed="false"/>
    <row r="4473" customFormat="false" ht="12.8" hidden="false" customHeight="false" outlineLevel="0" collapsed="false"/>
    <row r="4474" customFormat="false" ht="12.8" hidden="false" customHeight="false" outlineLevel="0" collapsed="false"/>
    <row r="4475" customFormat="false" ht="12.8" hidden="false" customHeight="false" outlineLevel="0" collapsed="false"/>
    <row r="4476" customFormat="false" ht="12.8" hidden="false" customHeight="false" outlineLevel="0" collapsed="false"/>
    <row r="4477" customFormat="false" ht="12.8" hidden="false" customHeight="false" outlineLevel="0" collapsed="false"/>
    <row r="4478" customFormat="false" ht="12.8" hidden="false" customHeight="false" outlineLevel="0" collapsed="false"/>
    <row r="4479" customFormat="false" ht="12.8" hidden="false" customHeight="false" outlineLevel="0" collapsed="false"/>
    <row r="4480" customFormat="false" ht="12.8" hidden="false" customHeight="false" outlineLevel="0" collapsed="false"/>
    <row r="4481" customFormat="false" ht="12.8" hidden="false" customHeight="false" outlineLevel="0" collapsed="false"/>
    <row r="4482" customFormat="false" ht="12.8" hidden="false" customHeight="false" outlineLevel="0" collapsed="false"/>
    <row r="4483" customFormat="false" ht="12.8" hidden="false" customHeight="false" outlineLevel="0" collapsed="false"/>
    <row r="4484" customFormat="false" ht="12.8" hidden="false" customHeight="false" outlineLevel="0" collapsed="false"/>
    <row r="4485" customFormat="false" ht="12.8" hidden="false" customHeight="false" outlineLevel="0" collapsed="false"/>
    <row r="4486" customFormat="false" ht="12.8" hidden="false" customHeight="false" outlineLevel="0" collapsed="false"/>
    <row r="4487" customFormat="false" ht="12.8" hidden="false" customHeight="false" outlineLevel="0" collapsed="false"/>
    <row r="4488" customFormat="false" ht="12.8" hidden="false" customHeight="false" outlineLevel="0" collapsed="false"/>
    <row r="4489" customFormat="false" ht="12.8" hidden="false" customHeight="false" outlineLevel="0" collapsed="false"/>
    <row r="4490" customFormat="false" ht="12.8" hidden="false" customHeight="false" outlineLevel="0" collapsed="false"/>
    <row r="4491" customFormat="false" ht="12.8" hidden="false" customHeight="false" outlineLevel="0" collapsed="false"/>
    <row r="4492" customFormat="false" ht="12.8" hidden="false" customHeight="false" outlineLevel="0" collapsed="false"/>
    <row r="4493" customFormat="false" ht="12.8" hidden="false" customHeight="false" outlineLevel="0" collapsed="false"/>
    <row r="4494" customFormat="false" ht="12.8" hidden="false" customHeight="false" outlineLevel="0" collapsed="false"/>
    <row r="4495" customFormat="false" ht="12.8" hidden="false" customHeight="false" outlineLevel="0" collapsed="false"/>
    <row r="4496" customFormat="false" ht="12.8" hidden="false" customHeight="false" outlineLevel="0" collapsed="false"/>
    <row r="4497" customFormat="false" ht="12.8" hidden="false" customHeight="false" outlineLevel="0" collapsed="false"/>
    <row r="4498" customFormat="false" ht="12.8" hidden="false" customHeight="false" outlineLevel="0" collapsed="false"/>
    <row r="4499" customFormat="false" ht="12.8" hidden="false" customHeight="false" outlineLevel="0" collapsed="false"/>
    <row r="4500" customFormat="false" ht="12.8" hidden="false" customHeight="false" outlineLevel="0" collapsed="false"/>
    <row r="4501" customFormat="false" ht="12.8" hidden="false" customHeight="false" outlineLevel="0" collapsed="false"/>
    <row r="4502" customFormat="false" ht="12.8" hidden="false" customHeight="false" outlineLevel="0" collapsed="false"/>
    <row r="4503" customFormat="false" ht="12.8" hidden="false" customHeight="false" outlineLevel="0" collapsed="false"/>
    <row r="4504" customFormat="false" ht="12.8" hidden="false" customHeight="false" outlineLevel="0" collapsed="false"/>
    <row r="4505" customFormat="false" ht="12.8" hidden="false" customHeight="false" outlineLevel="0" collapsed="false"/>
    <row r="4506" customFormat="false" ht="12.8" hidden="false" customHeight="false" outlineLevel="0" collapsed="false"/>
    <row r="4507" customFormat="false" ht="12.8" hidden="false" customHeight="false" outlineLevel="0" collapsed="false"/>
    <row r="4508" customFormat="false" ht="12.8" hidden="false" customHeight="false" outlineLevel="0" collapsed="false"/>
    <row r="4509" customFormat="false" ht="12.8" hidden="false" customHeight="false" outlineLevel="0" collapsed="false"/>
    <row r="4510" customFormat="false" ht="12.8" hidden="false" customHeight="false" outlineLevel="0" collapsed="false"/>
    <row r="4511" customFormat="false" ht="12.8" hidden="false" customHeight="false" outlineLevel="0" collapsed="false"/>
    <row r="4512" customFormat="false" ht="12.8" hidden="false" customHeight="false" outlineLevel="0" collapsed="false"/>
    <row r="4513" customFormat="false" ht="12.8" hidden="false" customHeight="false" outlineLevel="0" collapsed="false"/>
    <row r="4514" customFormat="false" ht="12.8" hidden="false" customHeight="false" outlineLevel="0" collapsed="false"/>
    <row r="4515" customFormat="false" ht="12.8" hidden="false" customHeight="false" outlineLevel="0" collapsed="false"/>
    <row r="4516" customFormat="false" ht="12.8" hidden="false" customHeight="false" outlineLevel="0" collapsed="false"/>
    <row r="4517" customFormat="false" ht="12.8" hidden="false" customHeight="false" outlineLevel="0" collapsed="false"/>
    <row r="4518" customFormat="false" ht="12.8" hidden="false" customHeight="false" outlineLevel="0" collapsed="false"/>
    <row r="4519" customFormat="false" ht="12.8" hidden="false" customHeight="false" outlineLevel="0" collapsed="false"/>
    <row r="4520" customFormat="false" ht="12.8" hidden="false" customHeight="false" outlineLevel="0" collapsed="false"/>
    <row r="4521" customFormat="false" ht="12.8" hidden="false" customHeight="false" outlineLevel="0" collapsed="false"/>
    <row r="4522" customFormat="false" ht="12.8" hidden="false" customHeight="false" outlineLevel="0" collapsed="false"/>
    <row r="4523" customFormat="false" ht="12.8" hidden="false" customHeight="false" outlineLevel="0" collapsed="false"/>
    <row r="4524" customFormat="false" ht="12.8" hidden="false" customHeight="false" outlineLevel="0" collapsed="false"/>
    <row r="4525" customFormat="false" ht="12.8" hidden="false" customHeight="false" outlineLevel="0" collapsed="false"/>
    <row r="4526" customFormat="false" ht="12.8" hidden="false" customHeight="false" outlineLevel="0" collapsed="false"/>
    <row r="4527" customFormat="false" ht="12.8" hidden="false" customHeight="false" outlineLevel="0" collapsed="false"/>
    <row r="4528" customFormat="false" ht="12.8" hidden="false" customHeight="false" outlineLevel="0" collapsed="false"/>
    <row r="4529" customFormat="false" ht="12.8" hidden="false" customHeight="false" outlineLevel="0" collapsed="false"/>
    <row r="4530" customFormat="false" ht="12.8" hidden="false" customHeight="false" outlineLevel="0" collapsed="false"/>
    <row r="4531" customFormat="false" ht="12.8" hidden="false" customHeight="false" outlineLevel="0" collapsed="false"/>
    <row r="4532" customFormat="false" ht="12.8" hidden="false" customHeight="false" outlineLevel="0" collapsed="false"/>
    <row r="4533" customFormat="false" ht="12.8" hidden="false" customHeight="false" outlineLevel="0" collapsed="false"/>
    <row r="4534" customFormat="false" ht="12.8" hidden="false" customHeight="false" outlineLevel="0" collapsed="false"/>
    <row r="4535" customFormat="false" ht="12.8" hidden="false" customHeight="false" outlineLevel="0" collapsed="false"/>
    <row r="4536" customFormat="false" ht="12.8" hidden="false" customHeight="false" outlineLevel="0" collapsed="false"/>
    <row r="4537" customFormat="false" ht="12.8" hidden="false" customHeight="false" outlineLevel="0" collapsed="false"/>
    <row r="4538" customFormat="false" ht="12.8" hidden="false" customHeight="false" outlineLevel="0" collapsed="false"/>
    <row r="4539" customFormat="false" ht="12.8" hidden="false" customHeight="false" outlineLevel="0" collapsed="false"/>
    <row r="4540" customFormat="false" ht="12.8" hidden="false" customHeight="false" outlineLevel="0" collapsed="false"/>
    <row r="4541" customFormat="false" ht="12.8" hidden="false" customHeight="false" outlineLevel="0" collapsed="false"/>
    <row r="4542" customFormat="false" ht="12.8" hidden="false" customHeight="false" outlineLevel="0" collapsed="false"/>
    <row r="4543" customFormat="false" ht="12.8" hidden="false" customHeight="false" outlineLevel="0" collapsed="false"/>
    <row r="4544" customFormat="false" ht="12.8" hidden="false" customHeight="false" outlineLevel="0" collapsed="false"/>
    <row r="4545" customFormat="false" ht="12.8" hidden="false" customHeight="false" outlineLevel="0" collapsed="false"/>
    <row r="4546" customFormat="false" ht="12.8" hidden="false" customHeight="false" outlineLevel="0" collapsed="false"/>
    <row r="4547" customFormat="false" ht="12.8" hidden="false" customHeight="false" outlineLevel="0" collapsed="false"/>
    <row r="4548" customFormat="false" ht="12.8" hidden="false" customHeight="false" outlineLevel="0" collapsed="false"/>
    <row r="4549" customFormat="false" ht="12.8" hidden="false" customHeight="false" outlineLevel="0" collapsed="false"/>
    <row r="4550" customFormat="false" ht="12.8" hidden="false" customHeight="false" outlineLevel="0" collapsed="false"/>
    <row r="4551" customFormat="false" ht="12.8" hidden="false" customHeight="false" outlineLevel="0" collapsed="false"/>
    <row r="4552" customFormat="false" ht="12.8" hidden="false" customHeight="false" outlineLevel="0" collapsed="false"/>
    <row r="4553" customFormat="false" ht="12.8" hidden="false" customHeight="false" outlineLevel="0" collapsed="false"/>
    <row r="4554" customFormat="false" ht="12.8" hidden="false" customHeight="false" outlineLevel="0" collapsed="false"/>
    <row r="4555" customFormat="false" ht="12.8" hidden="false" customHeight="false" outlineLevel="0" collapsed="false"/>
    <row r="4556" customFormat="false" ht="12.8" hidden="false" customHeight="false" outlineLevel="0" collapsed="false"/>
    <row r="4557" customFormat="false" ht="12.8" hidden="false" customHeight="false" outlineLevel="0" collapsed="false"/>
    <row r="4558" customFormat="false" ht="12.8" hidden="false" customHeight="false" outlineLevel="0" collapsed="false"/>
    <row r="4559" customFormat="false" ht="12.8" hidden="false" customHeight="false" outlineLevel="0" collapsed="false"/>
    <row r="4560" customFormat="false" ht="12.8" hidden="false" customHeight="false" outlineLevel="0" collapsed="false"/>
    <row r="4561" customFormat="false" ht="12.8" hidden="false" customHeight="false" outlineLevel="0" collapsed="false"/>
    <row r="4562" customFormat="false" ht="12.8" hidden="false" customHeight="false" outlineLevel="0" collapsed="false"/>
    <row r="4563" customFormat="false" ht="12.8" hidden="false" customHeight="false" outlineLevel="0" collapsed="false"/>
    <row r="4564" customFormat="false" ht="12.8" hidden="false" customHeight="false" outlineLevel="0" collapsed="false"/>
    <row r="4565" customFormat="false" ht="12.8" hidden="false" customHeight="false" outlineLevel="0" collapsed="false"/>
    <row r="4566" customFormat="false" ht="12.8" hidden="false" customHeight="false" outlineLevel="0" collapsed="false"/>
    <row r="4567" customFormat="false" ht="12.8" hidden="false" customHeight="false" outlineLevel="0" collapsed="false"/>
    <row r="4568" customFormat="false" ht="12.8" hidden="false" customHeight="false" outlineLevel="0" collapsed="false"/>
    <row r="4569" customFormat="false" ht="12.8" hidden="false" customHeight="false" outlineLevel="0" collapsed="false"/>
    <row r="4570" customFormat="false" ht="12.8" hidden="false" customHeight="false" outlineLevel="0" collapsed="false"/>
    <row r="4571" customFormat="false" ht="12.8" hidden="false" customHeight="false" outlineLevel="0" collapsed="false"/>
    <row r="4572" customFormat="false" ht="12.8" hidden="false" customHeight="false" outlineLevel="0" collapsed="false"/>
    <row r="4573" customFormat="false" ht="12.8" hidden="false" customHeight="false" outlineLevel="0" collapsed="false"/>
    <row r="4574" customFormat="false" ht="12.8" hidden="false" customHeight="false" outlineLevel="0" collapsed="false"/>
    <row r="4575" customFormat="false" ht="12.8" hidden="false" customHeight="false" outlineLevel="0" collapsed="false"/>
    <row r="4576" customFormat="false" ht="12.8" hidden="false" customHeight="false" outlineLevel="0" collapsed="false"/>
    <row r="4577" customFormat="false" ht="12.8" hidden="false" customHeight="false" outlineLevel="0" collapsed="false"/>
    <row r="4578" customFormat="false" ht="12.8" hidden="false" customHeight="false" outlineLevel="0" collapsed="false"/>
    <row r="4579" customFormat="false" ht="12.8" hidden="false" customHeight="false" outlineLevel="0" collapsed="false"/>
    <row r="4580" customFormat="false" ht="12.8" hidden="false" customHeight="false" outlineLevel="0" collapsed="false"/>
    <row r="4581" customFormat="false" ht="12.8" hidden="false" customHeight="false" outlineLevel="0" collapsed="false"/>
    <row r="4582" customFormat="false" ht="12.8" hidden="false" customHeight="false" outlineLevel="0" collapsed="false"/>
    <row r="4583" customFormat="false" ht="12.8" hidden="false" customHeight="false" outlineLevel="0" collapsed="false"/>
    <row r="4584" customFormat="false" ht="12.8" hidden="false" customHeight="false" outlineLevel="0" collapsed="false"/>
    <row r="4585" customFormat="false" ht="12.8" hidden="false" customHeight="false" outlineLevel="0" collapsed="false"/>
    <row r="4586" customFormat="false" ht="12.8" hidden="false" customHeight="false" outlineLevel="0" collapsed="false"/>
    <row r="4587" customFormat="false" ht="12.8" hidden="false" customHeight="false" outlineLevel="0" collapsed="false"/>
    <row r="4588" customFormat="false" ht="12.8" hidden="false" customHeight="false" outlineLevel="0" collapsed="false"/>
    <row r="4589" customFormat="false" ht="12.8" hidden="false" customHeight="false" outlineLevel="0" collapsed="false"/>
    <row r="4590" customFormat="false" ht="12.8" hidden="false" customHeight="false" outlineLevel="0" collapsed="false"/>
    <row r="4591" customFormat="false" ht="12.8" hidden="false" customHeight="false" outlineLevel="0" collapsed="false"/>
    <row r="4592" customFormat="false" ht="12.8" hidden="false" customHeight="false" outlineLevel="0" collapsed="false"/>
    <row r="4593" customFormat="false" ht="12.8" hidden="false" customHeight="false" outlineLevel="0" collapsed="false"/>
    <row r="4594" customFormat="false" ht="12.8" hidden="false" customHeight="false" outlineLevel="0" collapsed="false"/>
    <row r="4595" customFormat="false" ht="12.8" hidden="false" customHeight="false" outlineLevel="0" collapsed="false"/>
    <row r="4596" customFormat="false" ht="12.8" hidden="false" customHeight="false" outlineLevel="0" collapsed="false"/>
    <row r="4597" customFormat="false" ht="12.8" hidden="false" customHeight="false" outlineLevel="0" collapsed="false"/>
    <row r="4598" customFormat="false" ht="12.8" hidden="false" customHeight="false" outlineLevel="0" collapsed="false"/>
    <row r="4599" customFormat="false" ht="12.8" hidden="false" customHeight="false" outlineLevel="0" collapsed="false"/>
    <row r="4600" customFormat="false" ht="12.8" hidden="false" customHeight="false" outlineLevel="0" collapsed="false"/>
    <row r="4601" customFormat="false" ht="12.8" hidden="false" customHeight="false" outlineLevel="0" collapsed="false"/>
    <row r="4602" customFormat="false" ht="12.8" hidden="false" customHeight="false" outlineLevel="0" collapsed="false"/>
    <row r="4603" customFormat="false" ht="12.8" hidden="false" customHeight="false" outlineLevel="0" collapsed="false"/>
    <row r="4604" customFormat="false" ht="12.8" hidden="false" customHeight="false" outlineLevel="0" collapsed="false"/>
    <row r="4605" customFormat="false" ht="12.8" hidden="false" customHeight="false" outlineLevel="0" collapsed="false"/>
    <row r="4606" customFormat="false" ht="12.8" hidden="false" customHeight="false" outlineLevel="0" collapsed="false"/>
    <row r="4607" customFormat="false" ht="12.8" hidden="false" customHeight="false" outlineLevel="0" collapsed="false"/>
    <row r="4608" customFormat="false" ht="12.8" hidden="false" customHeight="false" outlineLevel="0" collapsed="false"/>
    <row r="4609" customFormat="false" ht="12.8" hidden="false" customHeight="false" outlineLevel="0" collapsed="false"/>
    <row r="4610" customFormat="false" ht="12.8" hidden="false" customHeight="false" outlineLevel="0" collapsed="false"/>
    <row r="4611" customFormat="false" ht="12.8" hidden="false" customHeight="false" outlineLevel="0" collapsed="false"/>
    <row r="4612" customFormat="false" ht="12.8" hidden="false" customHeight="false" outlineLevel="0" collapsed="false"/>
    <row r="4613" customFormat="false" ht="12.8" hidden="false" customHeight="false" outlineLevel="0" collapsed="false"/>
    <row r="4614" customFormat="false" ht="12.8" hidden="false" customHeight="false" outlineLevel="0" collapsed="false"/>
    <row r="4615" customFormat="false" ht="12.8" hidden="false" customHeight="false" outlineLevel="0" collapsed="false"/>
    <row r="4616" customFormat="false" ht="12.8" hidden="false" customHeight="false" outlineLevel="0" collapsed="false"/>
    <row r="4617" customFormat="false" ht="12.8" hidden="false" customHeight="false" outlineLevel="0" collapsed="false"/>
    <row r="4618" customFormat="false" ht="12.8" hidden="false" customHeight="false" outlineLevel="0" collapsed="false"/>
    <row r="4619" customFormat="false" ht="12.8" hidden="false" customHeight="false" outlineLevel="0" collapsed="false"/>
    <row r="4620" customFormat="false" ht="12.8" hidden="false" customHeight="false" outlineLevel="0" collapsed="false"/>
    <row r="4621" customFormat="false" ht="12.8" hidden="false" customHeight="false" outlineLevel="0" collapsed="false"/>
    <row r="4622" customFormat="false" ht="12.8" hidden="false" customHeight="false" outlineLevel="0" collapsed="false"/>
    <row r="4623" customFormat="false" ht="12.8" hidden="false" customHeight="false" outlineLevel="0" collapsed="false"/>
    <row r="4624" customFormat="false" ht="12.8" hidden="false" customHeight="false" outlineLevel="0" collapsed="false"/>
    <row r="4625" customFormat="false" ht="12.8" hidden="false" customHeight="false" outlineLevel="0" collapsed="false"/>
    <row r="4626" customFormat="false" ht="12.8" hidden="false" customHeight="false" outlineLevel="0" collapsed="false"/>
    <row r="4627" customFormat="false" ht="12.8" hidden="false" customHeight="false" outlineLevel="0" collapsed="false"/>
    <row r="4628" customFormat="false" ht="12.8" hidden="false" customHeight="false" outlineLevel="0" collapsed="false"/>
    <row r="4629" customFormat="false" ht="12.8" hidden="false" customHeight="false" outlineLevel="0" collapsed="false"/>
    <row r="4630" customFormat="false" ht="12.8" hidden="false" customHeight="false" outlineLevel="0" collapsed="false"/>
    <row r="4631" customFormat="false" ht="12.8" hidden="false" customHeight="false" outlineLevel="0" collapsed="false"/>
    <row r="4632" customFormat="false" ht="12.8" hidden="false" customHeight="false" outlineLevel="0" collapsed="false"/>
    <row r="4633" customFormat="false" ht="12.8" hidden="false" customHeight="false" outlineLevel="0" collapsed="false"/>
    <row r="4634" customFormat="false" ht="12.8" hidden="false" customHeight="false" outlineLevel="0" collapsed="false"/>
    <row r="4635" customFormat="false" ht="12.8" hidden="false" customHeight="false" outlineLevel="0" collapsed="false"/>
    <row r="4636" customFormat="false" ht="12.8" hidden="false" customHeight="false" outlineLevel="0" collapsed="false"/>
    <row r="4637" customFormat="false" ht="12.8" hidden="false" customHeight="false" outlineLevel="0" collapsed="false"/>
    <row r="4638" customFormat="false" ht="12.8" hidden="false" customHeight="false" outlineLevel="0" collapsed="false"/>
    <row r="4639" customFormat="false" ht="12.8" hidden="false" customHeight="false" outlineLevel="0" collapsed="false"/>
    <row r="4640" customFormat="false" ht="12.8" hidden="false" customHeight="false" outlineLevel="0" collapsed="false"/>
    <row r="4641" customFormat="false" ht="12.8" hidden="false" customHeight="false" outlineLevel="0" collapsed="false"/>
    <row r="4642" customFormat="false" ht="12.8" hidden="false" customHeight="false" outlineLevel="0" collapsed="false"/>
    <row r="4643" customFormat="false" ht="12.8" hidden="false" customHeight="false" outlineLevel="0" collapsed="false"/>
    <row r="4644" customFormat="false" ht="12.8" hidden="false" customHeight="false" outlineLevel="0" collapsed="false"/>
    <row r="4645" customFormat="false" ht="12.8" hidden="false" customHeight="false" outlineLevel="0" collapsed="false"/>
    <row r="4646" customFormat="false" ht="12.8" hidden="false" customHeight="false" outlineLevel="0" collapsed="false"/>
    <row r="4647" customFormat="false" ht="12.8" hidden="false" customHeight="false" outlineLevel="0" collapsed="false"/>
    <row r="4648" customFormat="false" ht="12.8" hidden="false" customHeight="false" outlineLevel="0" collapsed="false"/>
    <row r="4649" customFormat="false" ht="12.8" hidden="false" customHeight="false" outlineLevel="0" collapsed="false"/>
    <row r="4650" customFormat="false" ht="12.8" hidden="false" customHeight="false" outlineLevel="0" collapsed="false"/>
    <row r="4651" customFormat="false" ht="12.8" hidden="false" customHeight="false" outlineLevel="0" collapsed="false"/>
    <row r="4652" customFormat="false" ht="12.8" hidden="false" customHeight="false" outlineLevel="0" collapsed="false"/>
    <row r="4653" customFormat="false" ht="12.8" hidden="false" customHeight="false" outlineLevel="0" collapsed="false"/>
    <row r="4654" customFormat="false" ht="12.8" hidden="false" customHeight="false" outlineLevel="0" collapsed="false"/>
    <row r="4655" customFormat="false" ht="12.8" hidden="false" customHeight="false" outlineLevel="0" collapsed="false"/>
    <row r="4656" customFormat="false" ht="12.8" hidden="false" customHeight="false" outlineLevel="0" collapsed="false"/>
    <row r="4657" customFormat="false" ht="12.8" hidden="false" customHeight="false" outlineLevel="0" collapsed="false"/>
    <row r="4658" customFormat="false" ht="12.8" hidden="false" customHeight="false" outlineLevel="0" collapsed="false"/>
    <row r="4659" customFormat="false" ht="12.8" hidden="false" customHeight="false" outlineLevel="0" collapsed="false"/>
    <row r="4660" customFormat="false" ht="12.8" hidden="false" customHeight="false" outlineLevel="0" collapsed="false"/>
    <row r="4661" customFormat="false" ht="12.8" hidden="false" customHeight="false" outlineLevel="0" collapsed="false"/>
    <row r="4662" customFormat="false" ht="12.8" hidden="false" customHeight="false" outlineLevel="0" collapsed="false"/>
    <row r="4663" customFormat="false" ht="12.8" hidden="false" customHeight="false" outlineLevel="0" collapsed="false"/>
    <row r="4664" customFormat="false" ht="12.8" hidden="false" customHeight="false" outlineLevel="0" collapsed="false"/>
    <row r="4665" customFormat="false" ht="12.8" hidden="false" customHeight="false" outlineLevel="0" collapsed="false"/>
    <row r="4666" customFormat="false" ht="12.8" hidden="false" customHeight="false" outlineLevel="0" collapsed="false"/>
    <row r="4667" customFormat="false" ht="12.8" hidden="false" customHeight="false" outlineLevel="0" collapsed="false"/>
    <row r="4668" customFormat="false" ht="12.8" hidden="false" customHeight="false" outlineLevel="0" collapsed="false"/>
    <row r="4669" customFormat="false" ht="12.8" hidden="false" customHeight="false" outlineLevel="0" collapsed="false"/>
    <row r="4670" customFormat="false" ht="12.8" hidden="false" customHeight="false" outlineLevel="0" collapsed="false"/>
    <row r="4671" customFormat="false" ht="12.8" hidden="false" customHeight="false" outlineLevel="0" collapsed="false"/>
    <row r="4672" customFormat="false" ht="12.8" hidden="false" customHeight="false" outlineLevel="0" collapsed="false"/>
    <row r="4673" customFormat="false" ht="12.8" hidden="false" customHeight="false" outlineLevel="0" collapsed="false"/>
    <row r="4674" customFormat="false" ht="12.8" hidden="false" customHeight="false" outlineLevel="0" collapsed="false"/>
    <row r="4675" customFormat="false" ht="12.8" hidden="false" customHeight="false" outlineLevel="0" collapsed="false"/>
    <row r="4676" customFormat="false" ht="12.8" hidden="false" customHeight="false" outlineLevel="0" collapsed="false"/>
    <row r="4677" customFormat="false" ht="12.8" hidden="false" customHeight="false" outlineLevel="0" collapsed="false"/>
    <row r="4678" customFormat="false" ht="12.8" hidden="false" customHeight="false" outlineLevel="0" collapsed="false"/>
    <row r="4679" customFormat="false" ht="12.8" hidden="false" customHeight="false" outlineLevel="0" collapsed="false"/>
    <row r="4680" customFormat="false" ht="12.8" hidden="false" customHeight="false" outlineLevel="0" collapsed="false"/>
    <row r="4681" customFormat="false" ht="12.8" hidden="false" customHeight="false" outlineLevel="0" collapsed="false"/>
    <row r="4682" customFormat="false" ht="12.8" hidden="false" customHeight="false" outlineLevel="0" collapsed="false"/>
    <row r="4683" customFormat="false" ht="12.8" hidden="false" customHeight="false" outlineLevel="0" collapsed="false"/>
    <row r="4684" customFormat="false" ht="12.8" hidden="false" customHeight="false" outlineLevel="0" collapsed="false"/>
    <row r="4685" customFormat="false" ht="12.8" hidden="false" customHeight="false" outlineLevel="0" collapsed="false"/>
    <row r="4686" customFormat="false" ht="12.8" hidden="false" customHeight="false" outlineLevel="0" collapsed="false"/>
    <row r="4687" customFormat="false" ht="12.8" hidden="false" customHeight="false" outlineLevel="0" collapsed="false"/>
    <row r="4688" customFormat="false" ht="12.8" hidden="false" customHeight="false" outlineLevel="0" collapsed="false"/>
    <row r="4689" customFormat="false" ht="12.8" hidden="false" customHeight="false" outlineLevel="0" collapsed="false"/>
    <row r="4690" customFormat="false" ht="12.8" hidden="false" customHeight="false" outlineLevel="0" collapsed="false"/>
    <row r="4691" customFormat="false" ht="12.8" hidden="false" customHeight="false" outlineLevel="0" collapsed="false"/>
    <row r="4692" customFormat="false" ht="12.8" hidden="false" customHeight="false" outlineLevel="0" collapsed="false"/>
    <row r="4693" customFormat="false" ht="12.8" hidden="false" customHeight="false" outlineLevel="0" collapsed="false"/>
    <row r="4694" customFormat="false" ht="12.8" hidden="false" customHeight="false" outlineLevel="0" collapsed="false"/>
    <row r="4695" customFormat="false" ht="12.8" hidden="false" customHeight="false" outlineLevel="0" collapsed="false"/>
    <row r="4696" customFormat="false" ht="12.8" hidden="false" customHeight="false" outlineLevel="0" collapsed="false"/>
    <row r="4697" customFormat="false" ht="12.8" hidden="false" customHeight="false" outlineLevel="0" collapsed="false"/>
    <row r="4698" customFormat="false" ht="12.8" hidden="false" customHeight="false" outlineLevel="0" collapsed="false"/>
    <row r="4699" customFormat="false" ht="12.8" hidden="false" customHeight="false" outlineLevel="0" collapsed="false"/>
    <row r="4700" customFormat="false" ht="12.8" hidden="false" customHeight="false" outlineLevel="0" collapsed="false"/>
    <row r="4701" customFormat="false" ht="12.8" hidden="false" customHeight="false" outlineLevel="0" collapsed="false"/>
    <row r="4702" customFormat="false" ht="12.8" hidden="false" customHeight="false" outlineLevel="0" collapsed="false"/>
    <row r="4703" customFormat="false" ht="12.8" hidden="false" customHeight="false" outlineLevel="0" collapsed="false"/>
    <row r="4704" customFormat="false" ht="12.8" hidden="false" customHeight="false" outlineLevel="0" collapsed="false"/>
    <row r="4705" customFormat="false" ht="12.8" hidden="false" customHeight="false" outlineLevel="0" collapsed="false"/>
    <row r="4706" customFormat="false" ht="12.8" hidden="false" customHeight="false" outlineLevel="0" collapsed="false"/>
    <row r="4707" customFormat="false" ht="12.8" hidden="false" customHeight="false" outlineLevel="0" collapsed="false"/>
    <row r="4708" customFormat="false" ht="12.8" hidden="false" customHeight="false" outlineLevel="0" collapsed="false"/>
    <row r="4709" customFormat="false" ht="12.8" hidden="false" customHeight="false" outlineLevel="0" collapsed="false"/>
    <row r="4710" customFormat="false" ht="12.8" hidden="false" customHeight="false" outlineLevel="0" collapsed="false"/>
    <row r="4711" customFormat="false" ht="12.8" hidden="false" customHeight="false" outlineLevel="0" collapsed="false"/>
    <row r="4712" customFormat="false" ht="12.8" hidden="false" customHeight="false" outlineLevel="0" collapsed="false"/>
    <row r="4713" customFormat="false" ht="12.8" hidden="false" customHeight="false" outlineLevel="0" collapsed="false"/>
    <row r="4714" customFormat="false" ht="12.8" hidden="false" customHeight="false" outlineLevel="0" collapsed="false"/>
    <row r="4715" customFormat="false" ht="12.8" hidden="false" customHeight="false" outlineLevel="0" collapsed="false"/>
    <row r="4716" customFormat="false" ht="12.8" hidden="false" customHeight="false" outlineLevel="0" collapsed="false"/>
    <row r="4717" customFormat="false" ht="12.8" hidden="false" customHeight="false" outlineLevel="0" collapsed="false"/>
    <row r="4718" customFormat="false" ht="12.8" hidden="false" customHeight="false" outlineLevel="0" collapsed="false"/>
    <row r="4719" customFormat="false" ht="12.8" hidden="false" customHeight="false" outlineLevel="0" collapsed="false"/>
    <row r="4720" customFormat="false" ht="12.8" hidden="false" customHeight="false" outlineLevel="0" collapsed="false"/>
    <row r="4721" customFormat="false" ht="12.8" hidden="false" customHeight="false" outlineLevel="0" collapsed="false"/>
    <row r="4722" customFormat="false" ht="12.8" hidden="false" customHeight="false" outlineLevel="0" collapsed="false"/>
    <row r="4723" customFormat="false" ht="12.8" hidden="false" customHeight="false" outlineLevel="0" collapsed="false"/>
    <row r="4724" customFormat="false" ht="12.8" hidden="false" customHeight="false" outlineLevel="0" collapsed="false"/>
    <row r="4725" customFormat="false" ht="12.8" hidden="false" customHeight="false" outlineLevel="0" collapsed="false"/>
    <row r="4726" customFormat="false" ht="12.8" hidden="false" customHeight="false" outlineLevel="0" collapsed="false"/>
    <row r="4727" customFormat="false" ht="12.8" hidden="false" customHeight="false" outlineLevel="0" collapsed="false"/>
    <row r="4728" customFormat="false" ht="12.8" hidden="false" customHeight="false" outlineLevel="0" collapsed="false"/>
    <row r="4729" customFormat="false" ht="12.8" hidden="false" customHeight="false" outlineLevel="0" collapsed="false"/>
    <row r="4730" customFormat="false" ht="12.8" hidden="false" customHeight="false" outlineLevel="0" collapsed="false"/>
    <row r="4731" customFormat="false" ht="12.8" hidden="false" customHeight="false" outlineLevel="0" collapsed="false"/>
    <row r="4732" customFormat="false" ht="12.8" hidden="false" customHeight="false" outlineLevel="0" collapsed="false"/>
    <row r="4733" customFormat="false" ht="12.8" hidden="false" customHeight="false" outlineLevel="0" collapsed="false"/>
    <row r="4734" customFormat="false" ht="12.8" hidden="false" customHeight="false" outlineLevel="0" collapsed="false"/>
    <row r="4735" customFormat="false" ht="12.8" hidden="false" customHeight="false" outlineLevel="0" collapsed="false"/>
    <row r="4736" customFormat="false" ht="12.8" hidden="false" customHeight="false" outlineLevel="0" collapsed="false"/>
    <row r="4737" customFormat="false" ht="12.8" hidden="false" customHeight="false" outlineLevel="0" collapsed="false"/>
    <row r="4738" customFormat="false" ht="12.8" hidden="false" customHeight="false" outlineLevel="0" collapsed="false"/>
    <row r="4739" customFormat="false" ht="12.8" hidden="false" customHeight="false" outlineLevel="0" collapsed="false"/>
    <row r="4740" customFormat="false" ht="12.8" hidden="false" customHeight="false" outlineLevel="0" collapsed="false"/>
    <row r="4741" customFormat="false" ht="12.8" hidden="false" customHeight="false" outlineLevel="0" collapsed="false"/>
    <row r="4742" customFormat="false" ht="12.8" hidden="false" customHeight="false" outlineLevel="0" collapsed="false"/>
    <row r="4743" customFormat="false" ht="12.8" hidden="false" customHeight="false" outlineLevel="0" collapsed="false"/>
    <row r="4744" customFormat="false" ht="12.8" hidden="false" customHeight="false" outlineLevel="0" collapsed="false"/>
    <row r="4745" customFormat="false" ht="12.8" hidden="false" customHeight="false" outlineLevel="0" collapsed="false"/>
    <row r="4746" customFormat="false" ht="12.8" hidden="false" customHeight="false" outlineLevel="0" collapsed="false"/>
    <row r="4747" customFormat="false" ht="12.8" hidden="false" customHeight="false" outlineLevel="0" collapsed="false"/>
    <row r="4748" customFormat="false" ht="12.8" hidden="false" customHeight="false" outlineLevel="0" collapsed="false"/>
    <row r="4749" customFormat="false" ht="12.8" hidden="false" customHeight="false" outlineLevel="0" collapsed="false"/>
    <row r="4750" customFormat="false" ht="12.8" hidden="false" customHeight="false" outlineLevel="0" collapsed="false"/>
    <row r="4751" customFormat="false" ht="12.8" hidden="false" customHeight="false" outlineLevel="0" collapsed="false"/>
    <row r="4752" customFormat="false" ht="12.8" hidden="false" customHeight="false" outlineLevel="0" collapsed="false"/>
    <row r="4753" customFormat="false" ht="12.8" hidden="false" customHeight="false" outlineLevel="0" collapsed="false"/>
    <row r="4754" customFormat="false" ht="12.8" hidden="false" customHeight="false" outlineLevel="0" collapsed="false"/>
    <row r="4755" customFormat="false" ht="12.8" hidden="false" customHeight="false" outlineLevel="0" collapsed="false"/>
    <row r="4756" customFormat="false" ht="12.8" hidden="false" customHeight="false" outlineLevel="0" collapsed="false"/>
    <row r="4757" customFormat="false" ht="12.8" hidden="false" customHeight="false" outlineLevel="0" collapsed="false"/>
    <row r="4758" customFormat="false" ht="12.8" hidden="false" customHeight="false" outlineLevel="0" collapsed="false"/>
    <row r="4759" customFormat="false" ht="12.8" hidden="false" customHeight="false" outlineLevel="0" collapsed="false"/>
    <row r="4760" customFormat="false" ht="12.8" hidden="false" customHeight="false" outlineLevel="0" collapsed="false"/>
    <row r="4761" customFormat="false" ht="12.8" hidden="false" customHeight="false" outlineLevel="0" collapsed="false"/>
    <row r="4762" customFormat="false" ht="12.8" hidden="false" customHeight="false" outlineLevel="0" collapsed="false"/>
    <row r="4763" customFormat="false" ht="12.8" hidden="false" customHeight="false" outlineLevel="0" collapsed="false"/>
    <row r="4764" customFormat="false" ht="12.8" hidden="false" customHeight="false" outlineLevel="0" collapsed="false"/>
    <row r="4765" customFormat="false" ht="12.8" hidden="false" customHeight="false" outlineLevel="0" collapsed="false"/>
    <row r="4766" customFormat="false" ht="12.8" hidden="false" customHeight="false" outlineLevel="0" collapsed="false"/>
    <row r="4767" customFormat="false" ht="12.8" hidden="false" customHeight="false" outlineLevel="0" collapsed="false"/>
    <row r="4768" customFormat="false" ht="12.8" hidden="false" customHeight="false" outlineLevel="0" collapsed="false"/>
    <row r="4769" customFormat="false" ht="12.8" hidden="false" customHeight="false" outlineLevel="0" collapsed="false"/>
    <row r="4770" customFormat="false" ht="12.8" hidden="false" customHeight="false" outlineLevel="0" collapsed="false"/>
    <row r="4771" customFormat="false" ht="12.8" hidden="false" customHeight="false" outlineLevel="0" collapsed="false"/>
    <row r="4772" customFormat="false" ht="12.8" hidden="false" customHeight="false" outlineLevel="0" collapsed="false"/>
    <row r="4773" customFormat="false" ht="12.8" hidden="false" customHeight="false" outlineLevel="0" collapsed="false"/>
    <row r="4774" customFormat="false" ht="12.8" hidden="false" customHeight="false" outlineLevel="0" collapsed="false"/>
    <row r="4775" customFormat="false" ht="12.8" hidden="false" customHeight="false" outlineLevel="0" collapsed="false"/>
    <row r="4776" customFormat="false" ht="12.8" hidden="false" customHeight="false" outlineLevel="0" collapsed="false"/>
    <row r="4777" customFormat="false" ht="12.8" hidden="false" customHeight="false" outlineLevel="0" collapsed="false"/>
    <row r="4778" customFormat="false" ht="12.8" hidden="false" customHeight="false" outlineLevel="0" collapsed="false"/>
    <row r="4779" customFormat="false" ht="12.8" hidden="false" customHeight="false" outlineLevel="0" collapsed="false"/>
    <row r="4780" customFormat="false" ht="12.8" hidden="false" customHeight="false" outlineLevel="0" collapsed="false"/>
    <row r="4781" customFormat="false" ht="12.8" hidden="false" customHeight="false" outlineLevel="0" collapsed="false"/>
    <row r="4782" customFormat="false" ht="12.8" hidden="false" customHeight="false" outlineLevel="0" collapsed="false"/>
    <row r="4783" customFormat="false" ht="12.8" hidden="false" customHeight="false" outlineLevel="0" collapsed="false"/>
    <row r="4784" customFormat="false" ht="12.8" hidden="false" customHeight="false" outlineLevel="0" collapsed="false"/>
    <row r="4785" customFormat="false" ht="12.8" hidden="false" customHeight="false" outlineLevel="0" collapsed="false"/>
    <row r="4786" customFormat="false" ht="12.8" hidden="false" customHeight="false" outlineLevel="0" collapsed="false"/>
    <row r="4787" customFormat="false" ht="12.8" hidden="false" customHeight="false" outlineLevel="0" collapsed="false"/>
    <row r="4788" customFormat="false" ht="12.8" hidden="false" customHeight="false" outlineLevel="0" collapsed="false"/>
    <row r="4789" customFormat="false" ht="12.8" hidden="false" customHeight="false" outlineLevel="0" collapsed="false"/>
    <row r="4790" customFormat="false" ht="12.8" hidden="false" customHeight="false" outlineLevel="0" collapsed="false"/>
    <row r="4791" customFormat="false" ht="12.8" hidden="false" customHeight="false" outlineLevel="0" collapsed="false"/>
    <row r="4792" customFormat="false" ht="12.8" hidden="false" customHeight="false" outlineLevel="0" collapsed="false"/>
    <row r="4793" customFormat="false" ht="12.8" hidden="false" customHeight="false" outlineLevel="0" collapsed="false"/>
    <row r="4794" customFormat="false" ht="12.8" hidden="false" customHeight="false" outlineLevel="0" collapsed="false"/>
    <row r="4795" customFormat="false" ht="12.8" hidden="false" customHeight="false" outlineLevel="0" collapsed="false"/>
    <row r="4796" customFormat="false" ht="12.8" hidden="false" customHeight="false" outlineLevel="0" collapsed="false"/>
    <row r="4797" customFormat="false" ht="12.8" hidden="false" customHeight="false" outlineLevel="0" collapsed="false"/>
    <row r="4798" customFormat="false" ht="12.8" hidden="false" customHeight="false" outlineLevel="0" collapsed="false"/>
    <row r="4799" customFormat="false" ht="12.8" hidden="false" customHeight="false" outlineLevel="0" collapsed="false"/>
    <row r="4800" customFormat="false" ht="12.8" hidden="false" customHeight="false" outlineLevel="0" collapsed="false"/>
    <row r="4801" customFormat="false" ht="12.8" hidden="false" customHeight="false" outlineLevel="0" collapsed="false"/>
    <row r="4802" customFormat="false" ht="12.8" hidden="false" customHeight="false" outlineLevel="0" collapsed="false"/>
    <row r="4803" customFormat="false" ht="12.8" hidden="false" customHeight="false" outlineLevel="0" collapsed="false"/>
    <row r="4804" customFormat="false" ht="12.8" hidden="false" customHeight="false" outlineLevel="0" collapsed="false"/>
    <row r="4805" customFormat="false" ht="12.8" hidden="false" customHeight="false" outlineLevel="0" collapsed="false"/>
    <row r="4806" customFormat="false" ht="12.8" hidden="false" customHeight="false" outlineLevel="0" collapsed="false"/>
    <row r="4807" customFormat="false" ht="12.8" hidden="false" customHeight="false" outlineLevel="0" collapsed="false"/>
    <row r="4808" customFormat="false" ht="12.8" hidden="false" customHeight="false" outlineLevel="0" collapsed="false"/>
    <row r="4809" customFormat="false" ht="12.8" hidden="false" customHeight="false" outlineLevel="0" collapsed="false"/>
    <row r="4810" customFormat="false" ht="12.8" hidden="false" customHeight="false" outlineLevel="0" collapsed="false"/>
    <row r="4811" customFormat="false" ht="12.8" hidden="false" customHeight="false" outlineLevel="0" collapsed="false"/>
    <row r="4812" customFormat="false" ht="12.8" hidden="false" customHeight="false" outlineLevel="0" collapsed="false"/>
    <row r="4813" customFormat="false" ht="12.8" hidden="false" customHeight="false" outlineLevel="0" collapsed="false"/>
    <row r="4814" customFormat="false" ht="12.8" hidden="false" customHeight="false" outlineLevel="0" collapsed="false"/>
    <row r="4815" customFormat="false" ht="12.8" hidden="false" customHeight="false" outlineLevel="0" collapsed="false"/>
    <row r="4816" customFormat="false" ht="12.8" hidden="false" customHeight="false" outlineLevel="0" collapsed="false"/>
    <row r="4817" customFormat="false" ht="12.8" hidden="false" customHeight="false" outlineLevel="0" collapsed="false"/>
    <row r="4818" customFormat="false" ht="12.8" hidden="false" customHeight="false" outlineLevel="0" collapsed="false"/>
    <row r="4819" customFormat="false" ht="12.8" hidden="false" customHeight="false" outlineLevel="0" collapsed="false"/>
    <row r="4820" customFormat="false" ht="12.8" hidden="false" customHeight="false" outlineLevel="0" collapsed="false"/>
    <row r="4821" customFormat="false" ht="12.8" hidden="false" customHeight="false" outlineLevel="0" collapsed="false"/>
    <row r="4822" customFormat="false" ht="12.8" hidden="false" customHeight="false" outlineLevel="0" collapsed="false"/>
    <row r="4823" customFormat="false" ht="12.8" hidden="false" customHeight="false" outlineLevel="0" collapsed="false"/>
    <row r="4824" customFormat="false" ht="12.8" hidden="false" customHeight="false" outlineLevel="0" collapsed="false"/>
    <row r="4825" customFormat="false" ht="12.8" hidden="false" customHeight="false" outlineLevel="0" collapsed="false"/>
    <row r="4826" customFormat="false" ht="12.8" hidden="false" customHeight="false" outlineLevel="0" collapsed="false"/>
    <row r="4827" customFormat="false" ht="12.8" hidden="false" customHeight="false" outlineLevel="0" collapsed="false"/>
    <row r="4828" customFormat="false" ht="12.8" hidden="false" customHeight="false" outlineLevel="0" collapsed="false"/>
    <row r="4829" customFormat="false" ht="12.8" hidden="false" customHeight="false" outlineLevel="0" collapsed="false"/>
    <row r="4830" customFormat="false" ht="12.8" hidden="false" customHeight="false" outlineLevel="0" collapsed="false"/>
    <row r="4831" customFormat="false" ht="12.8" hidden="false" customHeight="false" outlineLevel="0" collapsed="false"/>
    <row r="4832" customFormat="false" ht="12.8" hidden="false" customHeight="false" outlineLevel="0" collapsed="false"/>
    <row r="4833" customFormat="false" ht="12.8" hidden="false" customHeight="false" outlineLevel="0" collapsed="false"/>
    <row r="4834" customFormat="false" ht="12.8" hidden="false" customHeight="false" outlineLevel="0" collapsed="false"/>
    <row r="4835" customFormat="false" ht="12.8" hidden="false" customHeight="false" outlineLevel="0" collapsed="false"/>
    <row r="4836" customFormat="false" ht="12.8" hidden="false" customHeight="false" outlineLevel="0" collapsed="false"/>
    <row r="4837" customFormat="false" ht="12.8" hidden="false" customHeight="false" outlineLevel="0" collapsed="false"/>
    <row r="4838" customFormat="false" ht="12.8" hidden="false" customHeight="false" outlineLevel="0" collapsed="false"/>
    <row r="4839" customFormat="false" ht="12.8" hidden="false" customHeight="false" outlineLevel="0" collapsed="false"/>
    <row r="4840" customFormat="false" ht="12.8" hidden="false" customHeight="false" outlineLevel="0" collapsed="false"/>
    <row r="4841" customFormat="false" ht="12.8" hidden="false" customHeight="false" outlineLevel="0" collapsed="false"/>
    <row r="4842" customFormat="false" ht="12.8" hidden="false" customHeight="false" outlineLevel="0" collapsed="false"/>
    <row r="4843" customFormat="false" ht="12.8" hidden="false" customHeight="false" outlineLevel="0" collapsed="false"/>
    <row r="4844" customFormat="false" ht="12.8" hidden="false" customHeight="false" outlineLevel="0" collapsed="false"/>
    <row r="4845" customFormat="false" ht="12.8" hidden="false" customHeight="false" outlineLevel="0" collapsed="false"/>
    <row r="4846" customFormat="false" ht="12.8" hidden="false" customHeight="false" outlineLevel="0" collapsed="false"/>
    <row r="4847" customFormat="false" ht="12.8" hidden="false" customHeight="false" outlineLevel="0" collapsed="false"/>
    <row r="4848" customFormat="false" ht="12.8" hidden="false" customHeight="false" outlineLevel="0" collapsed="false"/>
    <row r="4849" customFormat="false" ht="12.8" hidden="false" customHeight="false" outlineLevel="0" collapsed="false"/>
    <row r="4850" customFormat="false" ht="12.8" hidden="false" customHeight="false" outlineLevel="0" collapsed="false"/>
    <row r="4851" customFormat="false" ht="12.8" hidden="false" customHeight="false" outlineLevel="0" collapsed="false"/>
    <row r="4852" customFormat="false" ht="12.8" hidden="false" customHeight="false" outlineLevel="0" collapsed="false"/>
    <row r="4853" customFormat="false" ht="12.8" hidden="false" customHeight="false" outlineLevel="0" collapsed="false"/>
    <row r="4854" customFormat="false" ht="12.8" hidden="false" customHeight="false" outlineLevel="0" collapsed="false"/>
    <row r="4855" customFormat="false" ht="12.8" hidden="false" customHeight="false" outlineLevel="0" collapsed="false"/>
    <row r="4856" customFormat="false" ht="12.8" hidden="false" customHeight="false" outlineLevel="0" collapsed="false"/>
    <row r="4857" customFormat="false" ht="12.8" hidden="false" customHeight="false" outlineLevel="0" collapsed="false"/>
    <row r="4858" customFormat="false" ht="12.8" hidden="false" customHeight="false" outlineLevel="0" collapsed="false"/>
    <row r="4859" customFormat="false" ht="12.8" hidden="false" customHeight="false" outlineLevel="0" collapsed="false"/>
    <row r="4860" customFormat="false" ht="12.8" hidden="false" customHeight="false" outlineLevel="0" collapsed="false"/>
    <row r="4861" customFormat="false" ht="12.8" hidden="false" customHeight="false" outlineLevel="0" collapsed="false"/>
    <row r="4862" customFormat="false" ht="12.8" hidden="false" customHeight="false" outlineLevel="0" collapsed="false"/>
    <row r="4863" customFormat="false" ht="12.8" hidden="false" customHeight="false" outlineLevel="0" collapsed="false"/>
    <row r="4864" customFormat="false" ht="12.8" hidden="false" customHeight="false" outlineLevel="0" collapsed="false"/>
    <row r="4865" customFormat="false" ht="12.8" hidden="false" customHeight="false" outlineLevel="0" collapsed="false"/>
    <row r="4866" customFormat="false" ht="12.8" hidden="false" customHeight="false" outlineLevel="0" collapsed="false"/>
    <row r="4867" customFormat="false" ht="12.8" hidden="false" customHeight="false" outlineLevel="0" collapsed="false"/>
    <row r="4868" customFormat="false" ht="12.8" hidden="false" customHeight="false" outlineLevel="0" collapsed="false"/>
    <row r="4869" customFormat="false" ht="12.8" hidden="false" customHeight="false" outlineLevel="0" collapsed="false"/>
    <row r="4870" customFormat="false" ht="12.8" hidden="false" customHeight="false" outlineLevel="0" collapsed="false"/>
    <row r="4871" customFormat="false" ht="12.8" hidden="false" customHeight="false" outlineLevel="0" collapsed="false"/>
    <row r="4872" customFormat="false" ht="12.8" hidden="false" customHeight="false" outlineLevel="0" collapsed="false"/>
    <row r="4873" customFormat="false" ht="12.8" hidden="false" customHeight="false" outlineLevel="0" collapsed="false"/>
    <row r="4874" customFormat="false" ht="12.8" hidden="false" customHeight="false" outlineLevel="0" collapsed="false"/>
    <row r="4875" customFormat="false" ht="12.8" hidden="false" customHeight="false" outlineLevel="0" collapsed="false"/>
    <row r="4876" customFormat="false" ht="12.8" hidden="false" customHeight="false" outlineLevel="0" collapsed="false"/>
    <row r="4877" customFormat="false" ht="12.8" hidden="false" customHeight="false" outlineLevel="0" collapsed="false"/>
    <row r="4878" customFormat="false" ht="12.8" hidden="false" customHeight="false" outlineLevel="0" collapsed="false"/>
    <row r="4879" customFormat="false" ht="12.8" hidden="false" customHeight="false" outlineLevel="0" collapsed="false"/>
    <row r="4880" customFormat="false" ht="12.8" hidden="false" customHeight="false" outlineLevel="0" collapsed="false"/>
    <row r="4881" customFormat="false" ht="12.8" hidden="false" customHeight="false" outlineLevel="0" collapsed="false"/>
    <row r="4882" customFormat="false" ht="12.8" hidden="false" customHeight="false" outlineLevel="0" collapsed="false"/>
    <row r="4883" customFormat="false" ht="12.8" hidden="false" customHeight="false" outlineLevel="0" collapsed="false"/>
    <row r="4884" customFormat="false" ht="12.8" hidden="false" customHeight="false" outlineLevel="0" collapsed="false"/>
    <row r="4885" customFormat="false" ht="12.8" hidden="false" customHeight="false" outlineLevel="0" collapsed="false"/>
    <row r="4886" customFormat="false" ht="12.8" hidden="false" customHeight="false" outlineLevel="0" collapsed="false"/>
    <row r="4887" customFormat="false" ht="12.8" hidden="false" customHeight="false" outlineLevel="0" collapsed="false"/>
    <row r="4888" customFormat="false" ht="12.8" hidden="false" customHeight="false" outlineLevel="0" collapsed="false"/>
    <row r="4889" customFormat="false" ht="12.8" hidden="false" customHeight="false" outlineLevel="0" collapsed="false"/>
    <row r="4890" customFormat="false" ht="12.8" hidden="false" customHeight="false" outlineLevel="0" collapsed="false"/>
    <row r="4891" customFormat="false" ht="12.8" hidden="false" customHeight="false" outlineLevel="0" collapsed="false"/>
    <row r="4892" customFormat="false" ht="12.8" hidden="false" customHeight="false" outlineLevel="0" collapsed="false"/>
    <row r="4893" customFormat="false" ht="12.8" hidden="false" customHeight="false" outlineLevel="0" collapsed="false"/>
    <row r="4894" customFormat="false" ht="12.8" hidden="false" customHeight="false" outlineLevel="0" collapsed="false"/>
    <row r="4895" customFormat="false" ht="12.8" hidden="false" customHeight="false" outlineLevel="0" collapsed="false"/>
    <row r="4896" customFormat="false" ht="12.8" hidden="false" customHeight="false" outlineLevel="0" collapsed="false"/>
    <row r="4897" customFormat="false" ht="12.8" hidden="false" customHeight="false" outlineLevel="0" collapsed="false"/>
    <row r="4898" customFormat="false" ht="12.8" hidden="false" customHeight="false" outlineLevel="0" collapsed="false"/>
    <row r="4899" customFormat="false" ht="12.8" hidden="false" customHeight="false" outlineLevel="0" collapsed="false"/>
    <row r="4900" customFormat="false" ht="12.8" hidden="false" customHeight="false" outlineLevel="0" collapsed="false"/>
    <row r="4901" customFormat="false" ht="12.8" hidden="false" customHeight="false" outlineLevel="0" collapsed="false"/>
    <row r="4902" customFormat="false" ht="12.8" hidden="false" customHeight="false" outlineLevel="0" collapsed="false"/>
    <row r="4903" customFormat="false" ht="12.8" hidden="false" customHeight="false" outlineLevel="0" collapsed="false"/>
    <row r="4904" customFormat="false" ht="12.8" hidden="false" customHeight="false" outlineLevel="0" collapsed="false"/>
    <row r="4905" customFormat="false" ht="12.8" hidden="false" customHeight="false" outlineLevel="0" collapsed="false"/>
    <row r="4906" customFormat="false" ht="12.8" hidden="false" customHeight="false" outlineLevel="0" collapsed="false"/>
    <row r="4907" customFormat="false" ht="12.8" hidden="false" customHeight="false" outlineLevel="0" collapsed="false"/>
    <row r="4908" customFormat="false" ht="12.8" hidden="false" customHeight="false" outlineLevel="0" collapsed="false"/>
    <row r="4909" customFormat="false" ht="12.8" hidden="false" customHeight="false" outlineLevel="0" collapsed="false"/>
    <row r="4910" customFormat="false" ht="12.8" hidden="false" customHeight="false" outlineLevel="0" collapsed="false"/>
    <row r="4911" customFormat="false" ht="12.8" hidden="false" customHeight="false" outlineLevel="0" collapsed="false"/>
    <row r="4912" customFormat="false" ht="12.8" hidden="false" customHeight="false" outlineLevel="0" collapsed="false"/>
    <row r="4913" customFormat="false" ht="12.8" hidden="false" customHeight="false" outlineLevel="0" collapsed="false"/>
    <row r="4914" customFormat="false" ht="12.8" hidden="false" customHeight="false" outlineLevel="0" collapsed="false"/>
    <row r="4915" customFormat="false" ht="12.8" hidden="false" customHeight="false" outlineLevel="0" collapsed="false"/>
    <row r="4916" customFormat="false" ht="12.8" hidden="false" customHeight="false" outlineLevel="0" collapsed="false"/>
    <row r="4917" customFormat="false" ht="12.8" hidden="false" customHeight="false" outlineLevel="0" collapsed="false"/>
    <row r="4918" customFormat="false" ht="12.8" hidden="false" customHeight="false" outlineLevel="0" collapsed="false"/>
    <row r="4919" customFormat="false" ht="12.8" hidden="false" customHeight="false" outlineLevel="0" collapsed="false"/>
    <row r="4920" customFormat="false" ht="12.8" hidden="false" customHeight="false" outlineLevel="0" collapsed="false"/>
    <row r="4921" customFormat="false" ht="12.8" hidden="false" customHeight="false" outlineLevel="0" collapsed="false"/>
    <row r="4922" customFormat="false" ht="12.8" hidden="false" customHeight="false" outlineLevel="0" collapsed="false"/>
    <row r="4923" customFormat="false" ht="12.8" hidden="false" customHeight="false" outlineLevel="0" collapsed="false"/>
    <row r="4924" customFormat="false" ht="12.8" hidden="false" customHeight="false" outlineLevel="0" collapsed="false"/>
    <row r="4925" customFormat="false" ht="12.8" hidden="false" customHeight="false" outlineLevel="0" collapsed="false"/>
    <row r="4926" customFormat="false" ht="12.8" hidden="false" customHeight="false" outlineLevel="0" collapsed="false"/>
    <row r="4927" customFormat="false" ht="12.8" hidden="false" customHeight="false" outlineLevel="0" collapsed="false"/>
    <row r="4928" customFormat="false" ht="12.8" hidden="false" customHeight="false" outlineLevel="0" collapsed="false"/>
    <row r="4929" customFormat="false" ht="12.8" hidden="false" customHeight="false" outlineLevel="0" collapsed="false"/>
    <row r="4930" customFormat="false" ht="12.8" hidden="false" customHeight="false" outlineLevel="0" collapsed="false"/>
    <row r="4931" customFormat="false" ht="12.8" hidden="false" customHeight="false" outlineLevel="0" collapsed="false"/>
    <row r="4932" customFormat="false" ht="12.8" hidden="false" customHeight="false" outlineLevel="0" collapsed="false"/>
    <row r="4933" customFormat="false" ht="12.8" hidden="false" customHeight="false" outlineLevel="0" collapsed="false"/>
    <row r="4934" customFormat="false" ht="12.8" hidden="false" customHeight="false" outlineLevel="0" collapsed="false"/>
    <row r="4935" customFormat="false" ht="12.8" hidden="false" customHeight="false" outlineLevel="0" collapsed="false"/>
    <row r="4936" customFormat="false" ht="12.8" hidden="false" customHeight="false" outlineLevel="0" collapsed="false"/>
    <row r="4937" customFormat="false" ht="12.8" hidden="false" customHeight="false" outlineLevel="0" collapsed="false"/>
    <row r="4938" customFormat="false" ht="12.8" hidden="false" customHeight="false" outlineLevel="0" collapsed="false"/>
    <row r="4939" customFormat="false" ht="12.8" hidden="false" customHeight="false" outlineLevel="0" collapsed="false"/>
    <row r="4940" customFormat="false" ht="12.8" hidden="false" customHeight="false" outlineLevel="0" collapsed="false"/>
    <row r="4941" customFormat="false" ht="12.8" hidden="false" customHeight="false" outlineLevel="0" collapsed="false"/>
    <row r="4942" customFormat="false" ht="12.8" hidden="false" customHeight="false" outlineLevel="0" collapsed="false"/>
    <row r="4943" customFormat="false" ht="12.8" hidden="false" customHeight="false" outlineLevel="0" collapsed="false"/>
    <row r="4944" customFormat="false" ht="12.8" hidden="false" customHeight="false" outlineLevel="0" collapsed="false"/>
    <row r="4945" customFormat="false" ht="12.8" hidden="false" customHeight="false" outlineLevel="0" collapsed="false"/>
    <row r="4946" customFormat="false" ht="12.8" hidden="false" customHeight="false" outlineLevel="0" collapsed="false"/>
    <row r="4947" customFormat="false" ht="12.8" hidden="false" customHeight="false" outlineLevel="0" collapsed="false"/>
    <row r="4948" customFormat="false" ht="12.8" hidden="false" customHeight="false" outlineLevel="0" collapsed="false"/>
    <row r="4949" customFormat="false" ht="12.8" hidden="false" customHeight="false" outlineLevel="0" collapsed="false"/>
    <row r="4950" customFormat="false" ht="12.8" hidden="false" customHeight="false" outlineLevel="0" collapsed="false"/>
    <row r="4951" customFormat="false" ht="12.8" hidden="false" customHeight="false" outlineLevel="0" collapsed="false"/>
    <row r="4952" customFormat="false" ht="12.8" hidden="false" customHeight="false" outlineLevel="0" collapsed="false"/>
    <row r="4953" customFormat="false" ht="12.8" hidden="false" customHeight="false" outlineLevel="0" collapsed="false"/>
    <row r="4954" customFormat="false" ht="12.8" hidden="false" customHeight="false" outlineLevel="0" collapsed="false"/>
    <row r="4955" customFormat="false" ht="12.8" hidden="false" customHeight="false" outlineLevel="0" collapsed="false"/>
    <row r="4956" customFormat="false" ht="12.8" hidden="false" customHeight="false" outlineLevel="0" collapsed="false"/>
    <row r="4957" customFormat="false" ht="12.8" hidden="false" customHeight="false" outlineLevel="0" collapsed="false"/>
    <row r="4958" customFormat="false" ht="12.8" hidden="false" customHeight="false" outlineLevel="0" collapsed="false"/>
    <row r="4959" customFormat="false" ht="12.8" hidden="false" customHeight="false" outlineLevel="0" collapsed="false"/>
    <row r="4960" customFormat="false" ht="12.8" hidden="false" customHeight="false" outlineLevel="0" collapsed="false"/>
    <row r="4961" customFormat="false" ht="12.8" hidden="false" customHeight="false" outlineLevel="0" collapsed="false"/>
    <row r="4962" customFormat="false" ht="12.8" hidden="false" customHeight="false" outlineLevel="0" collapsed="false"/>
    <row r="4963" customFormat="false" ht="12.8" hidden="false" customHeight="false" outlineLevel="0" collapsed="false"/>
    <row r="4964" customFormat="false" ht="12.8" hidden="false" customHeight="false" outlineLevel="0" collapsed="false"/>
    <row r="4965" customFormat="false" ht="12.8" hidden="false" customHeight="false" outlineLevel="0" collapsed="false"/>
    <row r="4966" customFormat="false" ht="12.8" hidden="false" customHeight="false" outlineLevel="0" collapsed="false"/>
    <row r="4967" customFormat="false" ht="12.8" hidden="false" customHeight="false" outlineLevel="0" collapsed="false"/>
    <row r="4968" customFormat="false" ht="12.8" hidden="false" customHeight="false" outlineLevel="0" collapsed="false"/>
    <row r="4969" customFormat="false" ht="12.8" hidden="false" customHeight="false" outlineLevel="0" collapsed="false"/>
    <row r="4970" customFormat="false" ht="12.8" hidden="false" customHeight="false" outlineLevel="0" collapsed="false"/>
    <row r="4971" customFormat="false" ht="12.8" hidden="false" customHeight="false" outlineLevel="0" collapsed="false"/>
    <row r="4972" customFormat="false" ht="12.8" hidden="false" customHeight="false" outlineLevel="0" collapsed="false"/>
    <row r="4973" customFormat="false" ht="12.8" hidden="false" customHeight="false" outlineLevel="0" collapsed="false"/>
    <row r="4974" customFormat="false" ht="12.8" hidden="false" customHeight="false" outlineLevel="0" collapsed="false"/>
    <row r="4975" customFormat="false" ht="12.8" hidden="false" customHeight="false" outlineLevel="0" collapsed="false"/>
    <row r="4976" customFormat="false" ht="12.8" hidden="false" customHeight="false" outlineLevel="0" collapsed="false"/>
    <row r="4977" customFormat="false" ht="12.8" hidden="false" customHeight="false" outlineLevel="0" collapsed="false"/>
    <row r="4978" customFormat="false" ht="12.8" hidden="false" customHeight="false" outlineLevel="0" collapsed="false"/>
    <row r="4979" customFormat="false" ht="12.8" hidden="false" customHeight="false" outlineLevel="0" collapsed="false"/>
    <row r="4980" customFormat="false" ht="12.8" hidden="false" customHeight="false" outlineLevel="0" collapsed="false"/>
    <row r="4981" customFormat="false" ht="12.8" hidden="false" customHeight="false" outlineLevel="0" collapsed="false"/>
    <row r="4982" customFormat="false" ht="12.8" hidden="false" customHeight="false" outlineLevel="0" collapsed="false"/>
    <row r="4983" customFormat="false" ht="12.8" hidden="false" customHeight="false" outlineLevel="0" collapsed="false"/>
    <row r="4984" customFormat="false" ht="12.8" hidden="false" customHeight="false" outlineLevel="0" collapsed="false"/>
    <row r="4985" customFormat="false" ht="12.8" hidden="false" customHeight="false" outlineLevel="0" collapsed="false"/>
    <row r="4986" customFormat="false" ht="12.8" hidden="false" customHeight="false" outlineLevel="0" collapsed="false"/>
    <row r="4987" customFormat="false" ht="12.8" hidden="false" customHeight="false" outlineLevel="0" collapsed="false"/>
    <row r="4988" customFormat="false" ht="12.8" hidden="false" customHeight="false" outlineLevel="0" collapsed="false"/>
    <row r="4989" customFormat="false" ht="12.8" hidden="false" customHeight="false" outlineLevel="0" collapsed="false"/>
    <row r="4990" customFormat="false" ht="12.8" hidden="false" customHeight="false" outlineLevel="0" collapsed="false"/>
    <row r="4991" customFormat="false" ht="12.8" hidden="false" customHeight="false" outlineLevel="0" collapsed="false"/>
    <row r="4992" customFormat="false" ht="12.8" hidden="false" customHeight="false" outlineLevel="0" collapsed="false"/>
    <row r="4993" customFormat="false" ht="12.8" hidden="false" customHeight="false" outlineLevel="0" collapsed="false"/>
    <row r="4994" customFormat="false" ht="12.8" hidden="false" customHeight="false" outlineLevel="0" collapsed="false"/>
    <row r="4995" customFormat="false" ht="12.8" hidden="false" customHeight="false" outlineLevel="0" collapsed="false"/>
    <row r="4996" customFormat="false" ht="12.8" hidden="false" customHeight="false" outlineLevel="0" collapsed="false"/>
    <row r="4997" customFormat="false" ht="12.8" hidden="false" customHeight="false" outlineLevel="0" collapsed="false"/>
    <row r="4998" customFormat="false" ht="12.8" hidden="false" customHeight="false" outlineLevel="0" collapsed="false"/>
    <row r="4999" customFormat="false" ht="12.8" hidden="false" customHeight="false" outlineLevel="0" collapsed="false"/>
    <row r="5000" customFormat="false" ht="12.8" hidden="false" customHeight="false" outlineLevel="0" collapsed="false"/>
    <row r="5001" customFormat="false" ht="12.8" hidden="false" customHeight="false" outlineLevel="0" collapsed="false"/>
    <row r="5002" customFormat="false" ht="12.8" hidden="false" customHeight="false" outlineLevel="0" collapsed="false"/>
    <row r="5003" customFormat="false" ht="12.8" hidden="false" customHeight="false" outlineLevel="0" collapsed="false"/>
    <row r="5004" customFormat="false" ht="12.8" hidden="false" customHeight="false" outlineLevel="0" collapsed="false"/>
    <row r="5005" customFormat="false" ht="12.8" hidden="false" customHeight="false" outlineLevel="0" collapsed="false"/>
    <row r="5006" customFormat="false" ht="12.8" hidden="false" customHeight="false" outlineLevel="0" collapsed="false"/>
    <row r="5007" customFormat="false" ht="12.8" hidden="false" customHeight="false" outlineLevel="0" collapsed="false"/>
    <row r="5008" customFormat="false" ht="12.8" hidden="false" customHeight="false" outlineLevel="0" collapsed="false"/>
    <row r="5009" customFormat="false" ht="12.8" hidden="false" customHeight="false" outlineLevel="0" collapsed="false"/>
    <row r="5010" customFormat="false" ht="12.8" hidden="false" customHeight="false" outlineLevel="0" collapsed="false"/>
    <row r="5011" customFormat="false" ht="12.8" hidden="false" customHeight="false" outlineLevel="0" collapsed="false"/>
    <row r="5012" customFormat="false" ht="12.8" hidden="false" customHeight="false" outlineLevel="0" collapsed="false"/>
    <row r="5013" customFormat="false" ht="12.8" hidden="false" customHeight="false" outlineLevel="0" collapsed="false"/>
    <row r="5014" customFormat="false" ht="12.8" hidden="false" customHeight="false" outlineLevel="0" collapsed="false"/>
    <row r="5015" customFormat="false" ht="12.8" hidden="false" customHeight="false" outlineLevel="0" collapsed="false"/>
    <row r="5016" customFormat="false" ht="12.8" hidden="false" customHeight="false" outlineLevel="0" collapsed="false"/>
    <row r="5017" customFormat="false" ht="12.8" hidden="false" customHeight="false" outlineLevel="0" collapsed="false"/>
    <row r="5018" customFormat="false" ht="12.8" hidden="false" customHeight="false" outlineLevel="0" collapsed="false"/>
    <row r="5019" customFormat="false" ht="12.8" hidden="false" customHeight="false" outlineLevel="0" collapsed="false"/>
    <row r="5020" customFormat="false" ht="12.8" hidden="false" customHeight="false" outlineLevel="0" collapsed="false"/>
    <row r="5021" customFormat="false" ht="12.8" hidden="false" customHeight="false" outlineLevel="0" collapsed="false"/>
    <row r="5022" customFormat="false" ht="12.8" hidden="false" customHeight="false" outlineLevel="0" collapsed="false"/>
    <row r="5023" customFormat="false" ht="12.8" hidden="false" customHeight="false" outlineLevel="0" collapsed="false"/>
    <row r="5024" customFormat="false" ht="12.8" hidden="false" customHeight="false" outlineLevel="0" collapsed="false"/>
    <row r="5025" customFormat="false" ht="12.8" hidden="false" customHeight="false" outlineLevel="0" collapsed="false"/>
    <row r="5026" customFormat="false" ht="12.8" hidden="false" customHeight="false" outlineLevel="0" collapsed="false"/>
    <row r="5027" customFormat="false" ht="12.8" hidden="false" customHeight="false" outlineLevel="0" collapsed="false"/>
    <row r="5028" customFormat="false" ht="12.8" hidden="false" customHeight="false" outlineLevel="0" collapsed="false"/>
    <row r="5029" customFormat="false" ht="12.8" hidden="false" customHeight="false" outlineLevel="0" collapsed="false"/>
    <row r="5030" customFormat="false" ht="12.8" hidden="false" customHeight="false" outlineLevel="0" collapsed="false"/>
    <row r="5031" customFormat="false" ht="12.8" hidden="false" customHeight="false" outlineLevel="0" collapsed="false"/>
    <row r="5032" customFormat="false" ht="12.8" hidden="false" customHeight="false" outlineLevel="0" collapsed="false"/>
    <row r="5033" customFormat="false" ht="12.8" hidden="false" customHeight="false" outlineLevel="0" collapsed="false"/>
    <row r="5034" customFormat="false" ht="12.8" hidden="false" customHeight="false" outlineLevel="0" collapsed="false"/>
    <row r="5035" customFormat="false" ht="12.8" hidden="false" customHeight="false" outlineLevel="0" collapsed="false"/>
    <row r="5036" customFormat="false" ht="12.8" hidden="false" customHeight="false" outlineLevel="0" collapsed="false"/>
    <row r="5037" customFormat="false" ht="12.8" hidden="false" customHeight="false" outlineLevel="0" collapsed="false"/>
    <row r="5038" customFormat="false" ht="12.8" hidden="false" customHeight="false" outlineLevel="0" collapsed="false"/>
    <row r="5039" customFormat="false" ht="12.8" hidden="false" customHeight="false" outlineLevel="0" collapsed="false"/>
    <row r="5040" customFormat="false" ht="12.8" hidden="false" customHeight="false" outlineLevel="0" collapsed="false"/>
    <row r="5041" customFormat="false" ht="12.8" hidden="false" customHeight="false" outlineLevel="0" collapsed="false"/>
    <row r="5042" customFormat="false" ht="12.8" hidden="false" customHeight="false" outlineLevel="0" collapsed="false"/>
    <row r="5043" customFormat="false" ht="12.8" hidden="false" customHeight="false" outlineLevel="0" collapsed="false"/>
    <row r="5044" customFormat="false" ht="12.8" hidden="false" customHeight="false" outlineLevel="0" collapsed="false"/>
    <row r="5045" customFormat="false" ht="12.8" hidden="false" customHeight="false" outlineLevel="0" collapsed="false"/>
    <row r="5046" customFormat="false" ht="12.8" hidden="false" customHeight="false" outlineLevel="0" collapsed="false"/>
    <row r="5047" customFormat="false" ht="12.8" hidden="false" customHeight="false" outlineLevel="0" collapsed="false"/>
    <row r="5048" customFormat="false" ht="12.8" hidden="false" customHeight="false" outlineLevel="0" collapsed="false"/>
    <row r="5049" customFormat="false" ht="12.8" hidden="false" customHeight="false" outlineLevel="0" collapsed="false"/>
    <row r="5050" customFormat="false" ht="12.8" hidden="false" customHeight="false" outlineLevel="0" collapsed="false"/>
    <row r="5051" customFormat="false" ht="12.8" hidden="false" customHeight="false" outlineLevel="0" collapsed="false"/>
    <row r="5052" customFormat="false" ht="12.8" hidden="false" customHeight="false" outlineLevel="0" collapsed="false"/>
    <row r="5053" customFormat="false" ht="12.8" hidden="false" customHeight="false" outlineLevel="0" collapsed="false"/>
    <row r="5054" customFormat="false" ht="12.8" hidden="false" customHeight="false" outlineLevel="0" collapsed="false"/>
    <row r="5055" customFormat="false" ht="12.8" hidden="false" customHeight="false" outlineLevel="0" collapsed="false"/>
    <row r="5056" customFormat="false" ht="12.8" hidden="false" customHeight="false" outlineLevel="0" collapsed="false"/>
    <row r="5057" customFormat="false" ht="12.8" hidden="false" customHeight="false" outlineLevel="0" collapsed="false"/>
    <row r="5058" customFormat="false" ht="12.8" hidden="false" customHeight="false" outlineLevel="0" collapsed="false"/>
    <row r="5059" customFormat="false" ht="12.8" hidden="false" customHeight="false" outlineLevel="0" collapsed="false"/>
    <row r="5060" customFormat="false" ht="12.8" hidden="false" customHeight="false" outlineLevel="0" collapsed="false"/>
    <row r="5061" customFormat="false" ht="12.8" hidden="false" customHeight="false" outlineLevel="0" collapsed="false"/>
    <row r="5062" customFormat="false" ht="12.8" hidden="false" customHeight="false" outlineLevel="0" collapsed="false"/>
    <row r="5063" customFormat="false" ht="12.8" hidden="false" customHeight="false" outlineLevel="0" collapsed="false"/>
    <row r="5064" customFormat="false" ht="12.8" hidden="false" customHeight="false" outlineLevel="0" collapsed="false"/>
    <row r="5065" customFormat="false" ht="12.8" hidden="false" customHeight="false" outlineLevel="0" collapsed="false"/>
    <row r="5066" customFormat="false" ht="12.8" hidden="false" customHeight="false" outlineLevel="0" collapsed="false"/>
    <row r="5067" customFormat="false" ht="12.8" hidden="false" customHeight="false" outlineLevel="0" collapsed="false"/>
    <row r="5068" customFormat="false" ht="12.8" hidden="false" customHeight="false" outlineLevel="0" collapsed="false"/>
    <row r="5069" customFormat="false" ht="12.8" hidden="false" customHeight="false" outlineLevel="0" collapsed="false"/>
    <row r="5070" customFormat="false" ht="12.8" hidden="false" customHeight="false" outlineLevel="0" collapsed="false"/>
    <row r="5071" customFormat="false" ht="12.8" hidden="false" customHeight="false" outlineLevel="0" collapsed="false"/>
    <row r="5072" customFormat="false" ht="12.8" hidden="false" customHeight="false" outlineLevel="0" collapsed="false"/>
    <row r="5073" customFormat="false" ht="12.8" hidden="false" customHeight="false" outlineLevel="0" collapsed="false"/>
    <row r="5074" customFormat="false" ht="12.8" hidden="false" customHeight="false" outlineLevel="0" collapsed="false"/>
    <row r="5075" customFormat="false" ht="12.8" hidden="false" customHeight="false" outlineLevel="0" collapsed="false"/>
    <row r="5076" customFormat="false" ht="12.8" hidden="false" customHeight="false" outlineLevel="0" collapsed="false"/>
    <row r="5077" customFormat="false" ht="12.8" hidden="false" customHeight="false" outlineLevel="0" collapsed="false"/>
    <row r="5078" customFormat="false" ht="12.8" hidden="false" customHeight="false" outlineLevel="0" collapsed="false"/>
    <row r="5079" customFormat="false" ht="12.8" hidden="false" customHeight="false" outlineLevel="0" collapsed="false"/>
    <row r="5080" customFormat="false" ht="12.8" hidden="false" customHeight="false" outlineLevel="0" collapsed="false"/>
    <row r="5081" customFormat="false" ht="12.8" hidden="false" customHeight="false" outlineLevel="0" collapsed="false"/>
    <row r="5082" customFormat="false" ht="12.8" hidden="false" customHeight="false" outlineLevel="0" collapsed="false"/>
    <row r="5083" customFormat="false" ht="12.8" hidden="false" customHeight="false" outlineLevel="0" collapsed="false"/>
    <row r="5084" customFormat="false" ht="12.8" hidden="false" customHeight="false" outlineLevel="0" collapsed="false"/>
    <row r="5085" customFormat="false" ht="12.8" hidden="false" customHeight="false" outlineLevel="0" collapsed="false"/>
    <row r="5086" customFormat="false" ht="12.8" hidden="false" customHeight="false" outlineLevel="0" collapsed="false"/>
    <row r="5087" customFormat="false" ht="12.8" hidden="false" customHeight="false" outlineLevel="0" collapsed="false"/>
    <row r="5088" customFormat="false" ht="12.8" hidden="false" customHeight="false" outlineLevel="0" collapsed="false"/>
    <row r="5089" customFormat="false" ht="12.8" hidden="false" customHeight="false" outlineLevel="0" collapsed="false"/>
    <row r="5090" customFormat="false" ht="12.8" hidden="false" customHeight="false" outlineLevel="0" collapsed="false"/>
    <row r="5091" customFormat="false" ht="12.8" hidden="false" customHeight="false" outlineLevel="0" collapsed="false"/>
    <row r="5092" customFormat="false" ht="12.8" hidden="false" customHeight="false" outlineLevel="0" collapsed="false"/>
    <row r="5093" customFormat="false" ht="12.8" hidden="false" customHeight="false" outlineLevel="0" collapsed="false"/>
    <row r="5094" customFormat="false" ht="12.8" hidden="false" customHeight="false" outlineLevel="0" collapsed="false"/>
    <row r="5095" customFormat="false" ht="12.8" hidden="false" customHeight="false" outlineLevel="0" collapsed="false"/>
    <row r="5096" customFormat="false" ht="12.8" hidden="false" customHeight="false" outlineLevel="0" collapsed="false"/>
    <row r="5097" customFormat="false" ht="12.8" hidden="false" customHeight="false" outlineLevel="0" collapsed="false"/>
    <row r="5098" customFormat="false" ht="12.8" hidden="false" customHeight="false" outlineLevel="0" collapsed="false"/>
    <row r="5099" customFormat="false" ht="12.8" hidden="false" customHeight="false" outlineLevel="0" collapsed="false"/>
    <row r="5100" customFormat="false" ht="12.8" hidden="false" customHeight="false" outlineLevel="0" collapsed="false"/>
    <row r="5101" customFormat="false" ht="12.8" hidden="false" customHeight="false" outlineLevel="0" collapsed="false"/>
    <row r="5102" customFormat="false" ht="12.8" hidden="false" customHeight="false" outlineLevel="0" collapsed="false"/>
    <row r="5103" customFormat="false" ht="12.8" hidden="false" customHeight="false" outlineLevel="0" collapsed="false"/>
    <row r="5104" customFormat="false" ht="12.8" hidden="false" customHeight="false" outlineLevel="0" collapsed="false"/>
    <row r="5105" customFormat="false" ht="12.8" hidden="false" customHeight="false" outlineLevel="0" collapsed="false"/>
    <row r="5106" customFormat="false" ht="12.8" hidden="false" customHeight="false" outlineLevel="0" collapsed="false"/>
    <row r="5107" customFormat="false" ht="12.8" hidden="false" customHeight="false" outlineLevel="0" collapsed="false"/>
    <row r="5108" customFormat="false" ht="12.8" hidden="false" customHeight="false" outlineLevel="0" collapsed="false"/>
    <row r="5109" customFormat="false" ht="12.8" hidden="false" customHeight="false" outlineLevel="0" collapsed="false"/>
    <row r="5110" customFormat="false" ht="12.8" hidden="false" customHeight="false" outlineLevel="0" collapsed="false"/>
    <row r="5111" customFormat="false" ht="12.8" hidden="false" customHeight="false" outlineLevel="0" collapsed="false"/>
    <row r="5112" customFormat="false" ht="12.8" hidden="false" customHeight="false" outlineLevel="0" collapsed="false"/>
    <row r="5113" customFormat="false" ht="12.8" hidden="false" customHeight="false" outlineLevel="0" collapsed="false"/>
    <row r="5114" customFormat="false" ht="12.8" hidden="false" customHeight="false" outlineLevel="0" collapsed="false"/>
    <row r="5115" customFormat="false" ht="12.8" hidden="false" customHeight="false" outlineLevel="0" collapsed="false"/>
    <row r="5116" customFormat="false" ht="12.8" hidden="false" customHeight="false" outlineLevel="0" collapsed="false"/>
    <row r="5117" customFormat="false" ht="12.8" hidden="false" customHeight="false" outlineLevel="0" collapsed="false"/>
    <row r="5118" customFormat="false" ht="12.8" hidden="false" customHeight="false" outlineLevel="0" collapsed="false"/>
    <row r="5119" customFormat="false" ht="12.8" hidden="false" customHeight="false" outlineLevel="0" collapsed="false"/>
    <row r="5120" customFormat="false" ht="12.8" hidden="false" customHeight="false" outlineLevel="0" collapsed="false"/>
    <row r="5121" customFormat="false" ht="12.8" hidden="false" customHeight="false" outlineLevel="0" collapsed="false"/>
    <row r="5122" customFormat="false" ht="12.8" hidden="false" customHeight="false" outlineLevel="0" collapsed="false"/>
    <row r="5123" customFormat="false" ht="12.8" hidden="false" customHeight="false" outlineLevel="0" collapsed="false"/>
    <row r="5124" customFormat="false" ht="12.8" hidden="false" customHeight="false" outlineLevel="0" collapsed="false"/>
    <row r="5125" customFormat="false" ht="12.8" hidden="false" customHeight="false" outlineLevel="0" collapsed="false"/>
    <row r="5126" customFormat="false" ht="12.8" hidden="false" customHeight="false" outlineLevel="0" collapsed="false"/>
    <row r="5127" customFormat="false" ht="12.8" hidden="false" customHeight="false" outlineLevel="0" collapsed="false"/>
    <row r="5128" customFormat="false" ht="12.8" hidden="false" customHeight="false" outlineLevel="0" collapsed="false"/>
    <row r="5129" customFormat="false" ht="12.8" hidden="false" customHeight="false" outlineLevel="0" collapsed="false"/>
    <row r="5130" customFormat="false" ht="12.8" hidden="false" customHeight="false" outlineLevel="0" collapsed="false"/>
    <row r="5131" customFormat="false" ht="12.8" hidden="false" customHeight="false" outlineLevel="0" collapsed="false"/>
    <row r="5132" customFormat="false" ht="12.8" hidden="false" customHeight="false" outlineLevel="0" collapsed="false"/>
    <row r="5133" customFormat="false" ht="12.8" hidden="false" customHeight="false" outlineLevel="0" collapsed="false"/>
    <row r="5134" customFormat="false" ht="12.8" hidden="false" customHeight="false" outlineLevel="0" collapsed="false"/>
    <row r="5135" customFormat="false" ht="12.8" hidden="false" customHeight="false" outlineLevel="0" collapsed="false"/>
    <row r="5136" customFormat="false" ht="12.8" hidden="false" customHeight="false" outlineLevel="0" collapsed="false"/>
    <row r="5137" customFormat="false" ht="12.8" hidden="false" customHeight="false" outlineLevel="0" collapsed="false"/>
    <row r="5138" customFormat="false" ht="12.8" hidden="false" customHeight="false" outlineLevel="0" collapsed="false"/>
    <row r="5139" customFormat="false" ht="12.8" hidden="false" customHeight="false" outlineLevel="0" collapsed="false"/>
    <row r="5140" customFormat="false" ht="12.8" hidden="false" customHeight="false" outlineLevel="0" collapsed="false"/>
    <row r="5141" customFormat="false" ht="12.8" hidden="false" customHeight="false" outlineLevel="0" collapsed="false"/>
    <row r="5142" customFormat="false" ht="12.8" hidden="false" customHeight="false" outlineLevel="0" collapsed="false"/>
    <row r="5143" customFormat="false" ht="12.8" hidden="false" customHeight="false" outlineLevel="0" collapsed="false"/>
    <row r="5144" customFormat="false" ht="12.8" hidden="false" customHeight="false" outlineLevel="0" collapsed="false"/>
    <row r="5145" customFormat="false" ht="12.8" hidden="false" customHeight="false" outlineLevel="0" collapsed="false"/>
    <row r="5146" customFormat="false" ht="12.8" hidden="false" customHeight="false" outlineLevel="0" collapsed="false"/>
    <row r="5147" customFormat="false" ht="12.8" hidden="false" customHeight="false" outlineLevel="0" collapsed="false"/>
    <row r="5148" customFormat="false" ht="12.8" hidden="false" customHeight="false" outlineLevel="0" collapsed="false"/>
    <row r="5149" customFormat="false" ht="12.8" hidden="false" customHeight="false" outlineLevel="0" collapsed="false"/>
    <row r="5150" customFormat="false" ht="12.8" hidden="false" customHeight="false" outlineLevel="0" collapsed="false"/>
    <row r="5151" customFormat="false" ht="12.8" hidden="false" customHeight="false" outlineLevel="0" collapsed="false"/>
    <row r="5152" customFormat="false" ht="12.8" hidden="false" customHeight="false" outlineLevel="0" collapsed="false"/>
    <row r="5153" customFormat="false" ht="12.8" hidden="false" customHeight="false" outlineLevel="0" collapsed="false"/>
    <row r="5154" customFormat="false" ht="12.8" hidden="false" customHeight="false" outlineLevel="0" collapsed="false"/>
    <row r="5155" customFormat="false" ht="12.8" hidden="false" customHeight="false" outlineLevel="0" collapsed="false"/>
    <row r="5156" customFormat="false" ht="12.8" hidden="false" customHeight="false" outlineLevel="0" collapsed="false"/>
    <row r="5157" customFormat="false" ht="12.8" hidden="false" customHeight="false" outlineLevel="0" collapsed="false"/>
    <row r="5158" customFormat="false" ht="12.8" hidden="false" customHeight="false" outlineLevel="0" collapsed="false"/>
    <row r="5159" customFormat="false" ht="12.8" hidden="false" customHeight="false" outlineLevel="0" collapsed="false"/>
    <row r="5160" customFormat="false" ht="12.8" hidden="false" customHeight="false" outlineLevel="0" collapsed="false"/>
    <row r="5161" customFormat="false" ht="12.8" hidden="false" customHeight="false" outlineLevel="0" collapsed="false"/>
    <row r="5162" customFormat="false" ht="12.8" hidden="false" customHeight="false" outlineLevel="0" collapsed="false"/>
    <row r="5163" customFormat="false" ht="12.8" hidden="false" customHeight="false" outlineLevel="0" collapsed="false"/>
    <row r="5164" customFormat="false" ht="12.8" hidden="false" customHeight="false" outlineLevel="0" collapsed="false"/>
    <row r="5165" customFormat="false" ht="12.8" hidden="false" customHeight="false" outlineLevel="0" collapsed="false"/>
    <row r="5166" customFormat="false" ht="12.8" hidden="false" customHeight="false" outlineLevel="0" collapsed="false"/>
    <row r="5167" customFormat="false" ht="12.8" hidden="false" customHeight="false" outlineLevel="0" collapsed="false"/>
    <row r="5168" customFormat="false" ht="12.8" hidden="false" customHeight="false" outlineLevel="0" collapsed="false"/>
    <row r="5169" customFormat="false" ht="12.8" hidden="false" customHeight="false" outlineLevel="0" collapsed="false"/>
    <row r="5170" customFormat="false" ht="12.8" hidden="false" customHeight="false" outlineLevel="0" collapsed="false"/>
    <row r="5171" customFormat="false" ht="12.8" hidden="false" customHeight="false" outlineLevel="0" collapsed="false"/>
    <row r="5172" customFormat="false" ht="12.8" hidden="false" customHeight="false" outlineLevel="0" collapsed="false"/>
    <row r="5173" customFormat="false" ht="12.8" hidden="false" customHeight="false" outlineLevel="0" collapsed="false"/>
    <row r="5174" customFormat="false" ht="12.8" hidden="false" customHeight="false" outlineLevel="0" collapsed="false"/>
    <row r="5175" customFormat="false" ht="12.8" hidden="false" customHeight="false" outlineLevel="0" collapsed="false"/>
    <row r="5176" customFormat="false" ht="12.8" hidden="false" customHeight="false" outlineLevel="0" collapsed="false"/>
    <row r="5177" customFormat="false" ht="12.8" hidden="false" customHeight="false" outlineLevel="0" collapsed="false"/>
    <row r="5178" customFormat="false" ht="12.8" hidden="false" customHeight="false" outlineLevel="0" collapsed="false"/>
    <row r="5179" customFormat="false" ht="12.8" hidden="false" customHeight="false" outlineLevel="0" collapsed="false"/>
    <row r="5180" customFormat="false" ht="12.8" hidden="false" customHeight="false" outlineLevel="0" collapsed="false"/>
    <row r="5181" customFormat="false" ht="12.8" hidden="false" customHeight="false" outlineLevel="0" collapsed="false"/>
    <row r="5182" customFormat="false" ht="12.8" hidden="false" customHeight="false" outlineLevel="0" collapsed="false"/>
    <row r="5183" customFormat="false" ht="12.8" hidden="false" customHeight="false" outlineLevel="0" collapsed="false"/>
    <row r="5184" customFormat="false" ht="12.8" hidden="false" customHeight="false" outlineLevel="0" collapsed="false"/>
    <row r="5185" customFormat="false" ht="12.8" hidden="false" customHeight="false" outlineLevel="0" collapsed="false"/>
    <row r="5186" customFormat="false" ht="12.8" hidden="false" customHeight="false" outlineLevel="0" collapsed="false"/>
    <row r="5187" customFormat="false" ht="12.8" hidden="false" customHeight="false" outlineLevel="0" collapsed="false"/>
    <row r="5188" customFormat="false" ht="12.8" hidden="false" customHeight="false" outlineLevel="0" collapsed="false"/>
    <row r="5189" customFormat="false" ht="12.8" hidden="false" customHeight="false" outlineLevel="0" collapsed="false"/>
    <row r="5190" customFormat="false" ht="12.8" hidden="false" customHeight="false" outlineLevel="0" collapsed="false"/>
    <row r="5191" customFormat="false" ht="12.8" hidden="false" customHeight="false" outlineLevel="0" collapsed="false"/>
    <row r="5192" customFormat="false" ht="12.8" hidden="false" customHeight="false" outlineLevel="0" collapsed="false"/>
    <row r="5193" customFormat="false" ht="12.8" hidden="false" customHeight="false" outlineLevel="0" collapsed="false"/>
    <row r="5194" customFormat="false" ht="12.8" hidden="false" customHeight="false" outlineLevel="0" collapsed="false"/>
    <row r="5195" customFormat="false" ht="12.8" hidden="false" customHeight="false" outlineLevel="0" collapsed="false"/>
    <row r="5196" customFormat="false" ht="12.8" hidden="false" customHeight="false" outlineLevel="0" collapsed="false"/>
    <row r="5197" customFormat="false" ht="12.8" hidden="false" customHeight="false" outlineLevel="0" collapsed="false"/>
    <row r="5198" customFormat="false" ht="12.8" hidden="false" customHeight="false" outlineLevel="0" collapsed="false"/>
    <row r="5199" customFormat="false" ht="12.8" hidden="false" customHeight="false" outlineLevel="0" collapsed="false"/>
    <row r="5200" customFormat="false" ht="12.8" hidden="false" customHeight="false" outlineLevel="0" collapsed="false"/>
    <row r="5201" customFormat="false" ht="12.8" hidden="false" customHeight="false" outlineLevel="0" collapsed="false"/>
    <row r="5202" customFormat="false" ht="12.8" hidden="false" customHeight="false" outlineLevel="0" collapsed="false"/>
    <row r="5203" customFormat="false" ht="12.8" hidden="false" customHeight="false" outlineLevel="0" collapsed="false"/>
    <row r="5204" customFormat="false" ht="12.8" hidden="false" customHeight="false" outlineLevel="0" collapsed="false"/>
    <row r="5205" customFormat="false" ht="12.8" hidden="false" customHeight="false" outlineLevel="0" collapsed="false"/>
    <row r="5206" customFormat="false" ht="12.8" hidden="false" customHeight="false" outlineLevel="0" collapsed="false"/>
    <row r="5207" customFormat="false" ht="12.8" hidden="false" customHeight="false" outlineLevel="0" collapsed="false"/>
    <row r="5208" customFormat="false" ht="12.8" hidden="false" customHeight="false" outlineLevel="0" collapsed="false"/>
    <row r="5209" customFormat="false" ht="12.8" hidden="false" customHeight="false" outlineLevel="0" collapsed="false"/>
    <row r="5210" customFormat="false" ht="12.8" hidden="false" customHeight="false" outlineLevel="0" collapsed="false"/>
    <row r="5211" customFormat="false" ht="12.8" hidden="false" customHeight="false" outlineLevel="0" collapsed="false"/>
    <row r="5212" customFormat="false" ht="12.8" hidden="false" customHeight="false" outlineLevel="0" collapsed="false"/>
    <row r="5213" customFormat="false" ht="12.8" hidden="false" customHeight="false" outlineLevel="0" collapsed="false"/>
    <row r="5214" customFormat="false" ht="12.8" hidden="false" customHeight="false" outlineLevel="0" collapsed="false"/>
    <row r="5215" customFormat="false" ht="12.8" hidden="false" customHeight="false" outlineLevel="0" collapsed="false"/>
    <row r="5216" customFormat="false" ht="12.8" hidden="false" customHeight="false" outlineLevel="0" collapsed="false"/>
    <row r="5217" customFormat="false" ht="12.8" hidden="false" customHeight="false" outlineLevel="0" collapsed="false"/>
    <row r="5218" customFormat="false" ht="12.8" hidden="false" customHeight="false" outlineLevel="0" collapsed="false"/>
    <row r="5219" customFormat="false" ht="12.8" hidden="false" customHeight="false" outlineLevel="0" collapsed="false"/>
    <row r="5220" customFormat="false" ht="12.8" hidden="false" customHeight="false" outlineLevel="0" collapsed="false"/>
    <row r="5221" customFormat="false" ht="12.8" hidden="false" customHeight="false" outlineLevel="0" collapsed="false"/>
    <row r="5222" customFormat="false" ht="12.8" hidden="false" customHeight="false" outlineLevel="0" collapsed="false"/>
    <row r="5223" customFormat="false" ht="12.8" hidden="false" customHeight="false" outlineLevel="0" collapsed="false"/>
    <row r="5224" customFormat="false" ht="12.8" hidden="false" customHeight="false" outlineLevel="0" collapsed="false"/>
    <row r="5225" customFormat="false" ht="12.8" hidden="false" customHeight="false" outlineLevel="0" collapsed="false"/>
    <row r="5226" customFormat="false" ht="12.8" hidden="false" customHeight="false" outlineLevel="0" collapsed="false"/>
    <row r="5227" customFormat="false" ht="12.8" hidden="false" customHeight="false" outlineLevel="0" collapsed="false"/>
    <row r="5228" customFormat="false" ht="12.8" hidden="false" customHeight="false" outlineLevel="0" collapsed="false"/>
    <row r="5229" customFormat="false" ht="12.8" hidden="false" customHeight="false" outlineLevel="0" collapsed="false"/>
    <row r="5230" customFormat="false" ht="12.8" hidden="false" customHeight="false" outlineLevel="0" collapsed="false"/>
    <row r="5231" customFormat="false" ht="12.8" hidden="false" customHeight="false" outlineLevel="0" collapsed="false"/>
    <row r="5232" customFormat="false" ht="12.8" hidden="false" customHeight="false" outlineLevel="0" collapsed="false"/>
    <row r="5233" customFormat="false" ht="12.8" hidden="false" customHeight="false" outlineLevel="0" collapsed="false"/>
    <row r="5234" customFormat="false" ht="12.8" hidden="false" customHeight="false" outlineLevel="0" collapsed="false"/>
    <row r="5235" customFormat="false" ht="12.8" hidden="false" customHeight="false" outlineLevel="0" collapsed="false"/>
    <row r="5236" customFormat="false" ht="12.8" hidden="false" customHeight="false" outlineLevel="0" collapsed="false"/>
    <row r="5237" customFormat="false" ht="12.8" hidden="false" customHeight="false" outlineLevel="0" collapsed="false"/>
    <row r="5238" customFormat="false" ht="12.8" hidden="false" customHeight="false" outlineLevel="0" collapsed="false"/>
    <row r="5239" customFormat="false" ht="12.8" hidden="false" customHeight="false" outlineLevel="0" collapsed="false"/>
    <row r="5240" customFormat="false" ht="12.8" hidden="false" customHeight="false" outlineLevel="0" collapsed="false"/>
    <row r="5241" customFormat="false" ht="12.8" hidden="false" customHeight="false" outlineLevel="0" collapsed="false"/>
    <row r="5242" customFormat="false" ht="12.8" hidden="false" customHeight="false" outlineLevel="0" collapsed="false"/>
    <row r="5243" customFormat="false" ht="12.8" hidden="false" customHeight="false" outlineLevel="0" collapsed="false"/>
    <row r="5244" customFormat="false" ht="12.8" hidden="false" customHeight="false" outlineLevel="0" collapsed="false"/>
    <row r="5245" customFormat="false" ht="12.8" hidden="false" customHeight="false" outlineLevel="0" collapsed="false"/>
    <row r="5246" customFormat="false" ht="12.8" hidden="false" customHeight="false" outlineLevel="0" collapsed="false"/>
    <row r="5247" customFormat="false" ht="12.8" hidden="false" customHeight="false" outlineLevel="0" collapsed="false"/>
    <row r="5248" customFormat="false" ht="12.8" hidden="false" customHeight="false" outlineLevel="0" collapsed="false"/>
    <row r="5249" customFormat="false" ht="12.8" hidden="false" customHeight="false" outlineLevel="0" collapsed="false"/>
    <row r="5250" customFormat="false" ht="12.8" hidden="false" customHeight="false" outlineLevel="0" collapsed="false"/>
    <row r="5251" customFormat="false" ht="12.8" hidden="false" customHeight="false" outlineLevel="0" collapsed="false"/>
    <row r="5252" customFormat="false" ht="12.8" hidden="false" customHeight="false" outlineLevel="0" collapsed="false"/>
    <row r="5253" customFormat="false" ht="12.8" hidden="false" customHeight="false" outlineLevel="0" collapsed="false"/>
    <row r="5254" customFormat="false" ht="12.8" hidden="false" customHeight="false" outlineLevel="0" collapsed="false"/>
    <row r="5255" customFormat="false" ht="12.8" hidden="false" customHeight="false" outlineLevel="0" collapsed="false"/>
    <row r="5256" customFormat="false" ht="12.8" hidden="false" customHeight="false" outlineLevel="0" collapsed="false"/>
    <row r="5257" customFormat="false" ht="12.8" hidden="false" customHeight="false" outlineLevel="0" collapsed="false"/>
    <row r="5258" customFormat="false" ht="12.8" hidden="false" customHeight="false" outlineLevel="0" collapsed="false"/>
    <row r="5259" customFormat="false" ht="12.8" hidden="false" customHeight="false" outlineLevel="0" collapsed="false"/>
    <row r="5260" customFormat="false" ht="12.8" hidden="false" customHeight="false" outlineLevel="0" collapsed="false"/>
    <row r="5261" customFormat="false" ht="12.8" hidden="false" customHeight="false" outlineLevel="0" collapsed="false"/>
    <row r="5262" customFormat="false" ht="12.8" hidden="false" customHeight="false" outlineLevel="0" collapsed="false"/>
    <row r="5263" customFormat="false" ht="12.8" hidden="false" customHeight="false" outlineLevel="0" collapsed="false"/>
    <row r="5264" customFormat="false" ht="12.8" hidden="false" customHeight="false" outlineLevel="0" collapsed="false"/>
    <row r="5265" customFormat="false" ht="12.8" hidden="false" customHeight="false" outlineLevel="0" collapsed="false"/>
    <row r="5266" customFormat="false" ht="12.8" hidden="false" customHeight="false" outlineLevel="0" collapsed="false"/>
    <row r="5267" customFormat="false" ht="12.8" hidden="false" customHeight="false" outlineLevel="0" collapsed="false"/>
    <row r="5268" customFormat="false" ht="12.8" hidden="false" customHeight="false" outlineLevel="0" collapsed="false"/>
    <row r="5269" customFormat="false" ht="12.8" hidden="false" customHeight="false" outlineLevel="0" collapsed="false"/>
    <row r="5270" customFormat="false" ht="12.8" hidden="false" customHeight="false" outlineLevel="0" collapsed="false"/>
    <row r="5271" customFormat="false" ht="12.8" hidden="false" customHeight="false" outlineLevel="0" collapsed="false"/>
    <row r="5272" customFormat="false" ht="12.8" hidden="false" customHeight="false" outlineLevel="0" collapsed="false"/>
    <row r="5273" customFormat="false" ht="12.8" hidden="false" customHeight="false" outlineLevel="0" collapsed="false"/>
    <row r="5274" customFormat="false" ht="12.8" hidden="false" customHeight="false" outlineLevel="0" collapsed="false"/>
    <row r="5275" customFormat="false" ht="12.8" hidden="false" customHeight="false" outlineLevel="0" collapsed="false"/>
    <row r="5276" customFormat="false" ht="12.8" hidden="false" customHeight="false" outlineLevel="0" collapsed="false"/>
    <row r="5277" customFormat="false" ht="12.8" hidden="false" customHeight="false" outlineLevel="0" collapsed="false"/>
    <row r="5278" customFormat="false" ht="12.8" hidden="false" customHeight="false" outlineLevel="0" collapsed="false"/>
    <row r="5279" customFormat="false" ht="12.8" hidden="false" customHeight="false" outlineLevel="0" collapsed="false"/>
    <row r="5280" customFormat="false" ht="12.8" hidden="false" customHeight="false" outlineLevel="0" collapsed="false"/>
    <row r="5281" customFormat="false" ht="12.8" hidden="false" customHeight="false" outlineLevel="0" collapsed="false"/>
    <row r="5282" customFormat="false" ht="12.8" hidden="false" customHeight="false" outlineLevel="0" collapsed="false"/>
    <row r="5283" customFormat="false" ht="12.8" hidden="false" customHeight="false" outlineLevel="0" collapsed="false"/>
    <row r="5284" customFormat="false" ht="12.8" hidden="false" customHeight="false" outlineLevel="0" collapsed="false"/>
    <row r="5285" customFormat="false" ht="12.8" hidden="false" customHeight="false" outlineLevel="0" collapsed="false"/>
    <row r="5286" customFormat="false" ht="12.8" hidden="false" customHeight="false" outlineLevel="0" collapsed="false"/>
    <row r="5287" customFormat="false" ht="12.8" hidden="false" customHeight="false" outlineLevel="0" collapsed="false"/>
    <row r="5288" customFormat="false" ht="12.8" hidden="false" customHeight="false" outlineLevel="0" collapsed="false"/>
    <row r="5289" customFormat="false" ht="12.8" hidden="false" customHeight="false" outlineLevel="0" collapsed="false"/>
    <row r="5290" customFormat="false" ht="12.8" hidden="false" customHeight="false" outlineLevel="0" collapsed="false"/>
    <row r="5291" customFormat="false" ht="12.8" hidden="false" customHeight="false" outlineLevel="0" collapsed="false"/>
    <row r="5292" customFormat="false" ht="12.8" hidden="false" customHeight="false" outlineLevel="0" collapsed="false"/>
    <row r="5293" customFormat="false" ht="12.8" hidden="false" customHeight="false" outlineLevel="0" collapsed="false"/>
    <row r="5294" customFormat="false" ht="12.8" hidden="false" customHeight="false" outlineLevel="0" collapsed="false"/>
    <row r="5295" customFormat="false" ht="12.8" hidden="false" customHeight="false" outlineLevel="0" collapsed="false"/>
    <row r="5296" customFormat="false" ht="12.8" hidden="false" customHeight="false" outlineLevel="0" collapsed="false"/>
    <row r="5297" customFormat="false" ht="12.8" hidden="false" customHeight="false" outlineLevel="0" collapsed="false"/>
    <row r="5298" customFormat="false" ht="12.8" hidden="false" customHeight="false" outlineLevel="0" collapsed="false"/>
    <row r="5299" customFormat="false" ht="12.8" hidden="false" customHeight="false" outlineLevel="0" collapsed="false"/>
    <row r="5300" customFormat="false" ht="12.8" hidden="false" customHeight="false" outlineLevel="0" collapsed="false"/>
    <row r="5301" customFormat="false" ht="12.8" hidden="false" customHeight="false" outlineLevel="0" collapsed="false"/>
    <row r="5302" customFormat="false" ht="12.8" hidden="false" customHeight="false" outlineLevel="0" collapsed="false"/>
    <row r="5303" customFormat="false" ht="12.8" hidden="false" customHeight="false" outlineLevel="0" collapsed="false"/>
    <row r="5304" customFormat="false" ht="12.8" hidden="false" customHeight="false" outlineLevel="0" collapsed="false"/>
    <row r="5305" customFormat="false" ht="12.8" hidden="false" customHeight="false" outlineLevel="0" collapsed="false"/>
    <row r="5306" customFormat="false" ht="12.8" hidden="false" customHeight="false" outlineLevel="0" collapsed="false"/>
    <row r="5307" customFormat="false" ht="12.8" hidden="false" customHeight="false" outlineLevel="0" collapsed="false"/>
    <row r="5308" customFormat="false" ht="12.8" hidden="false" customHeight="false" outlineLevel="0" collapsed="false"/>
    <row r="5309" customFormat="false" ht="12.8" hidden="false" customHeight="false" outlineLevel="0" collapsed="false"/>
    <row r="5310" customFormat="false" ht="12.8" hidden="false" customHeight="false" outlineLevel="0" collapsed="false"/>
    <row r="5311" customFormat="false" ht="12.8" hidden="false" customHeight="false" outlineLevel="0" collapsed="false"/>
    <row r="5312" customFormat="false" ht="12.8" hidden="false" customHeight="false" outlineLevel="0" collapsed="false"/>
    <row r="5313" customFormat="false" ht="12.8" hidden="false" customHeight="false" outlineLevel="0" collapsed="false"/>
    <row r="5314" customFormat="false" ht="12.8" hidden="false" customHeight="false" outlineLevel="0" collapsed="false"/>
    <row r="5315" customFormat="false" ht="12.8" hidden="false" customHeight="false" outlineLevel="0" collapsed="false"/>
    <row r="5316" customFormat="false" ht="12.8" hidden="false" customHeight="false" outlineLevel="0" collapsed="false"/>
    <row r="5317" customFormat="false" ht="12.8" hidden="false" customHeight="false" outlineLevel="0" collapsed="false"/>
    <row r="5318" customFormat="false" ht="12.8" hidden="false" customHeight="false" outlineLevel="0" collapsed="false"/>
    <row r="5319" customFormat="false" ht="12.8" hidden="false" customHeight="false" outlineLevel="0" collapsed="false"/>
    <row r="5320" customFormat="false" ht="12.8" hidden="false" customHeight="false" outlineLevel="0" collapsed="false"/>
    <row r="5321" customFormat="false" ht="12.8" hidden="false" customHeight="false" outlineLevel="0" collapsed="false"/>
    <row r="5322" customFormat="false" ht="12.8" hidden="false" customHeight="false" outlineLevel="0" collapsed="false"/>
    <row r="5323" customFormat="false" ht="12.8" hidden="false" customHeight="false" outlineLevel="0" collapsed="false"/>
    <row r="5324" customFormat="false" ht="12.8" hidden="false" customHeight="false" outlineLevel="0" collapsed="false"/>
    <row r="5325" customFormat="false" ht="12.8" hidden="false" customHeight="false" outlineLevel="0" collapsed="false"/>
    <row r="5326" customFormat="false" ht="12.8" hidden="false" customHeight="false" outlineLevel="0" collapsed="false"/>
    <row r="5327" customFormat="false" ht="12.8" hidden="false" customHeight="false" outlineLevel="0" collapsed="false"/>
    <row r="5328" customFormat="false" ht="12.8" hidden="false" customHeight="false" outlineLevel="0" collapsed="false"/>
    <row r="5329" customFormat="false" ht="12.8" hidden="false" customHeight="false" outlineLevel="0" collapsed="false"/>
    <row r="5330" customFormat="false" ht="12.8" hidden="false" customHeight="false" outlineLevel="0" collapsed="false"/>
    <row r="5331" customFormat="false" ht="12.8" hidden="false" customHeight="false" outlineLevel="0" collapsed="false"/>
    <row r="5332" customFormat="false" ht="12.8" hidden="false" customHeight="false" outlineLevel="0" collapsed="false"/>
    <row r="5333" customFormat="false" ht="12.8" hidden="false" customHeight="false" outlineLevel="0" collapsed="false"/>
    <row r="5334" customFormat="false" ht="12.8" hidden="false" customHeight="false" outlineLevel="0" collapsed="false"/>
    <row r="5335" customFormat="false" ht="12.8" hidden="false" customHeight="false" outlineLevel="0" collapsed="false"/>
    <row r="5336" customFormat="false" ht="12.8" hidden="false" customHeight="false" outlineLevel="0" collapsed="false"/>
    <row r="5337" customFormat="false" ht="12.8" hidden="false" customHeight="false" outlineLevel="0" collapsed="false"/>
    <row r="5338" customFormat="false" ht="12.8" hidden="false" customHeight="false" outlineLevel="0" collapsed="false"/>
    <row r="5339" customFormat="false" ht="12.8" hidden="false" customHeight="false" outlineLevel="0" collapsed="false"/>
    <row r="5340" customFormat="false" ht="12.8" hidden="false" customHeight="false" outlineLevel="0" collapsed="false"/>
    <row r="5341" customFormat="false" ht="12.8" hidden="false" customHeight="false" outlineLevel="0" collapsed="false"/>
    <row r="5342" customFormat="false" ht="12.8" hidden="false" customHeight="false" outlineLevel="0" collapsed="false"/>
    <row r="5343" customFormat="false" ht="12.8" hidden="false" customHeight="false" outlineLevel="0" collapsed="false"/>
    <row r="5344" customFormat="false" ht="12.8" hidden="false" customHeight="false" outlineLevel="0" collapsed="false"/>
    <row r="5345" customFormat="false" ht="12.8" hidden="false" customHeight="false" outlineLevel="0" collapsed="false"/>
    <row r="5346" customFormat="false" ht="12.8" hidden="false" customHeight="false" outlineLevel="0" collapsed="false"/>
    <row r="5347" customFormat="false" ht="12.8" hidden="false" customHeight="false" outlineLevel="0" collapsed="false"/>
    <row r="5348" customFormat="false" ht="12.8" hidden="false" customHeight="false" outlineLevel="0" collapsed="false"/>
    <row r="5349" customFormat="false" ht="12.8" hidden="false" customHeight="false" outlineLevel="0" collapsed="false"/>
    <row r="5350" customFormat="false" ht="12.8" hidden="false" customHeight="false" outlineLevel="0" collapsed="false"/>
    <row r="5351" customFormat="false" ht="12.8" hidden="false" customHeight="false" outlineLevel="0" collapsed="false"/>
    <row r="5352" customFormat="false" ht="12.8" hidden="false" customHeight="false" outlineLevel="0" collapsed="false"/>
    <row r="5353" customFormat="false" ht="12.8" hidden="false" customHeight="false" outlineLevel="0" collapsed="false"/>
    <row r="5354" customFormat="false" ht="12.8" hidden="false" customHeight="false" outlineLevel="0" collapsed="false"/>
    <row r="5355" customFormat="false" ht="12.8" hidden="false" customHeight="false" outlineLevel="0" collapsed="false"/>
    <row r="5356" customFormat="false" ht="12.8" hidden="false" customHeight="false" outlineLevel="0" collapsed="false"/>
    <row r="5357" customFormat="false" ht="12.8" hidden="false" customHeight="false" outlineLevel="0" collapsed="false"/>
    <row r="5358" customFormat="false" ht="12.8" hidden="false" customHeight="false" outlineLevel="0" collapsed="false"/>
    <row r="5359" customFormat="false" ht="12.8" hidden="false" customHeight="false" outlineLevel="0" collapsed="false"/>
    <row r="5360" customFormat="false" ht="12.8" hidden="false" customHeight="false" outlineLevel="0" collapsed="false"/>
    <row r="5361" customFormat="false" ht="12.8" hidden="false" customHeight="false" outlineLevel="0" collapsed="false"/>
    <row r="5362" customFormat="false" ht="12.8" hidden="false" customHeight="false" outlineLevel="0" collapsed="false"/>
    <row r="5363" customFormat="false" ht="12.8" hidden="false" customHeight="false" outlineLevel="0" collapsed="false"/>
    <row r="5364" customFormat="false" ht="12.8" hidden="false" customHeight="false" outlineLevel="0" collapsed="false"/>
    <row r="5365" customFormat="false" ht="12.8" hidden="false" customHeight="false" outlineLevel="0" collapsed="false"/>
    <row r="5366" customFormat="false" ht="12.8" hidden="false" customHeight="false" outlineLevel="0" collapsed="false"/>
    <row r="5367" customFormat="false" ht="12.8" hidden="false" customHeight="false" outlineLevel="0" collapsed="false"/>
    <row r="5368" customFormat="false" ht="12.8" hidden="false" customHeight="false" outlineLevel="0" collapsed="false"/>
    <row r="5369" customFormat="false" ht="12.8" hidden="false" customHeight="false" outlineLevel="0" collapsed="false"/>
    <row r="5370" customFormat="false" ht="12.8" hidden="false" customHeight="false" outlineLevel="0" collapsed="false"/>
    <row r="5371" customFormat="false" ht="12.8" hidden="false" customHeight="false" outlineLevel="0" collapsed="false"/>
    <row r="5372" customFormat="false" ht="12.8" hidden="false" customHeight="false" outlineLevel="0" collapsed="false"/>
    <row r="5373" customFormat="false" ht="12.8" hidden="false" customHeight="false" outlineLevel="0" collapsed="false"/>
    <row r="5374" customFormat="false" ht="12.8" hidden="false" customHeight="false" outlineLevel="0" collapsed="false"/>
    <row r="5375" customFormat="false" ht="12.8" hidden="false" customHeight="false" outlineLevel="0" collapsed="false"/>
    <row r="5376" customFormat="false" ht="12.8" hidden="false" customHeight="false" outlineLevel="0" collapsed="false"/>
    <row r="5377" customFormat="false" ht="12.8" hidden="false" customHeight="false" outlineLevel="0" collapsed="false"/>
    <row r="5378" customFormat="false" ht="12.8" hidden="false" customHeight="false" outlineLevel="0" collapsed="false"/>
    <row r="5379" customFormat="false" ht="12.8" hidden="false" customHeight="false" outlineLevel="0" collapsed="false"/>
    <row r="5380" customFormat="false" ht="12.8" hidden="false" customHeight="false" outlineLevel="0" collapsed="false"/>
    <row r="5381" customFormat="false" ht="12.8" hidden="false" customHeight="false" outlineLevel="0" collapsed="false"/>
    <row r="5382" customFormat="false" ht="12.8" hidden="false" customHeight="false" outlineLevel="0" collapsed="false"/>
    <row r="5383" customFormat="false" ht="12.8" hidden="false" customHeight="false" outlineLevel="0" collapsed="false"/>
    <row r="5384" customFormat="false" ht="12.8" hidden="false" customHeight="false" outlineLevel="0" collapsed="false"/>
    <row r="5385" customFormat="false" ht="12.8" hidden="false" customHeight="false" outlineLevel="0" collapsed="false"/>
    <row r="5386" customFormat="false" ht="12.8" hidden="false" customHeight="false" outlineLevel="0" collapsed="false"/>
    <row r="5387" customFormat="false" ht="12.8" hidden="false" customHeight="false" outlineLevel="0" collapsed="false"/>
    <row r="5388" customFormat="false" ht="12.8" hidden="false" customHeight="false" outlineLevel="0" collapsed="false"/>
    <row r="5389" customFormat="false" ht="12.8" hidden="false" customHeight="false" outlineLevel="0" collapsed="false"/>
    <row r="5390" customFormat="false" ht="12.8" hidden="false" customHeight="false" outlineLevel="0" collapsed="false"/>
    <row r="5391" customFormat="false" ht="12.8" hidden="false" customHeight="false" outlineLevel="0" collapsed="false"/>
    <row r="5392" customFormat="false" ht="12.8" hidden="false" customHeight="false" outlineLevel="0" collapsed="false"/>
    <row r="5393" customFormat="false" ht="12.8" hidden="false" customHeight="false" outlineLevel="0" collapsed="false"/>
    <row r="5394" customFormat="false" ht="12.8" hidden="false" customHeight="false" outlineLevel="0" collapsed="false"/>
    <row r="5395" customFormat="false" ht="12.8" hidden="false" customHeight="false" outlineLevel="0" collapsed="false"/>
    <row r="5396" customFormat="false" ht="12.8" hidden="false" customHeight="false" outlineLevel="0" collapsed="false"/>
    <row r="5397" customFormat="false" ht="12.8" hidden="false" customHeight="false" outlineLevel="0" collapsed="false"/>
    <row r="5398" customFormat="false" ht="12.8" hidden="false" customHeight="false" outlineLevel="0" collapsed="false"/>
    <row r="5399" customFormat="false" ht="12.8" hidden="false" customHeight="false" outlineLevel="0" collapsed="false"/>
    <row r="5400" customFormat="false" ht="12.8" hidden="false" customHeight="false" outlineLevel="0" collapsed="false"/>
    <row r="5401" customFormat="false" ht="12.8" hidden="false" customHeight="false" outlineLevel="0" collapsed="false"/>
    <row r="5402" customFormat="false" ht="12.8" hidden="false" customHeight="false" outlineLevel="0" collapsed="false"/>
    <row r="5403" customFormat="false" ht="12.8" hidden="false" customHeight="false" outlineLevel="0" collapsed="false"/>
    <row r="5404" customFormat="false" ht="12.8" hidden="false" customHeight="false" outlineLevel="0" collapsed="false"/>
    <row r="5405" customFormat="false" ht="12.8" hidden="false" customHeight="false" outlineLevel="0" collapsed="false"/>
    <row r="5406" customFormat="false" ht="12.8" hidden="false" customHeight="false" outlineLevel="0" collapsed="false"/>
    <row r="5407" customFormat="false" ht="12.8" hidden="false" customHeight="false" outlineLevel="0" collapsed="false"/>
    <row r="5408" customFormat="false" ht="12.8" hidden="false" customHeight="false" outlineLevel="0" collapsed="false"/>
    <row r="5409" customFormat="false" ht="12.8" hidden="false" customHeight="false" outlineLevel="0" collapsed="false"/>
    <row r="5410" customFormat="false" ht="12.8" hidden="false" customHeight="false" outlineLevel="0" collapsed="false"/>
    <row r="5411" customFormat="false" ht="12.8" hidden="false" customHeight="false" outlineLevel="0" collapsed="false"/>
    <row r="5412" customFormat="false" ht="12.8" hidden="false" customHeight="false" outlineLevel="0" collapsed="false"/>
    <row r="5413" customFormat="false" ht="12.8" hidden="false" customHeight="false" outlineLevel="0" collapsed="false"/>
    <row r="5414" customFormat="false" ht="12.8" hidden="false" customHeight="false" outlineLevel="0" collapsed="false"/>
    <row r="5415" customFormat="false" ht="12.8" hidden="false" customHeight="false" outlineLevel="0" collapsed="false"/>
    <row r="5416" customFormat="false" ht="12.8" hidden="false" customHeight="false" outlineLevel="0" collapsed="false"/>
    <row r="5417" customFormat="false" ht="12.8" hidden="false" customHeight="false" outlineLevel="0" collapsed="false"/>
    <row r="5418" customFormat="false" ht="12.8" hidden="false" customHeight="false" outlineLevel="0" collapsed="false"/>
    <row r="5419" customFormat="false" ht="12.8" hidden="false" customHeight="false" outlineLevel="0" collapsed="false"/>
    <row r="5420" customFormat="false" ht="12.8" hidden="false" customHeight="false" outlineLevel="0" collapsed="false"/>
    <row r="5421" customFormat="false" ht="12.8" hidden="false" customHeight="false" outlineLevel="0" collapsed="false"/>
    <row r="5422" customFormat="false" ht="12.8" hidden="false" customHeight="false" outlineLevel="0" collapsed="false"/>
    <row r="5423" customFormat="false" ht="12.8" hidden="false" customHeight="false" outlineLevel="0" collapsed="false"/>
    <row r="5424" customFormat="false" ht="12.8" hidden="false" customHeight="false" outlineLevel="0" collapsed="false"/>
    <row r="5425" customFormat="false" ht="12.8" hidden="false" customHeight="false" outlineLevel="0" collapsed="false"/>
    <row r="5426" customFormat="false" ht="12.8" hidden="false" customHeight="false" outlineLevel="0" collapsed="false"/>
    <row r="5427" customFormat="false" ht="12.8" hidden="false" customHeight="false" outlineLevel="0" collapsed="false"/>
    <row r="5428" customFormat="false" ht="12.8" hidden="false" customHeight="false" outlineLevel="0" collapsed="false"/>
    <row r="5429" customFormat="false" ht="12.8" hidden="false" customHeight="false" outlineLevel="0" collapsed="false"/>
    <row r="5430" customFormat="false" ht="12.8" hidden="false" customHeight="false" outlineLevel="0" collapsed="false"/>
    <row r="5431" customFormat="false" ht="12.8" hidden="false" customHeight="false" outlineLevel="0" collapsed="false"/>
    <row r="5432" customFormat="false" ht="12.8" hidden="false" customHeight="false" outlineLevel="0" collapsed="false"/>
    <row r="5433" customFormat="false" ht="12.8" hidden="false" customHeight="false" outlineLevel="0" collapsed="false"/>
    <row r="5434" customFormat="false" ht="12.8" hidden="false" customHeight="false" outlineLevel="0" collapsed="false"/>
    <row r="5435" customFormat="false" ht="12.8" hidden="false" customHeight="false" outlineLevel="0" collapsed="false"/>
    <row r="5436" customFormat="false" ht="12.8" hidden="false" customHeight="false" outlineLevel="0" collapsed="false"/>
    <row r="5437" customFormat="false" ht="12.8" hidden="false" customHeight="false" outlineLevel="0" collapsed="false"/>
    <row r="5438" customFormat="false" ht="12.8" hidden="false" customHeight="false" outlineLevel="0" collapsed="false"/>
    <row r="5439" customFormat="false" ht="12.8" hidden="false" customHeight="false" outlineLevel="0" collapsed="false"/>
    <row r="5440" customFormat="false" ht="12.8" hidden="false" customHeight="false" outlineLevel="0" collapsed="false"/>
    <row r="5441" customFormat="false" ht="12.8" hidden="false" customHeight="false" outlineLevel="0" collapsed="false"/>
    <row r="5442" customFormat="false" ht="12.8" hidden="false" customHeight="false" outlineLevel="0" collapsed="false"/>
    <row r="5443" customFormat="false" ht="12.8" hidden="false" customHeight="false" outlineLevel="0" collapsed="false"/>
    <row r="5444" customFormat="false" ht="12.8" hidden="false" customHeight="false" outlineLevel="0" collapsed="false"/>
    <row r="5445" customFormat="false" ht="12.8" hidden="false" customHeight="false" outlineLevel="0" collapsed="false"/>
    <row r="5446" customFormat="false" ht="12.8" hidden="false" customHeight="false" outlineLevel="0" collapsed="false"/>
    <row r="5447" customFormat="false" ht="12.8" hidden="false" customHeight="false" outlineLevel="0" collapsed="false"/>
    <row r="5448" customFormat="false" ht="12.8" hidden="false" customHeight="false" outlineLevel="0" collapsed="false"/>
    <row r="5449" customFormat="false" ht="12.8" hidden="false" customHeight="false" outlineLevel="0" collapsed="false"/>
    <row r="5450" customFormat="false" ht="12.8" hidden="false" customHeight="false" outlineLevel="0" collapsed="false"/>
    <row r="5451" customFormat="false" ht="12.8" hidden="false" customHeight="false" outlineLevel="0" collapsed="false"/>
    <row r="5452" customFormat="false" ht="12.8" hidden="false" customHeight="false" outlineLevel="0" collapsed="false"/>
    <row r="5453" customFormat="false" ht="12.8" hidden="false" customHeight="false" outlineLevel="0" collapsed="false"/>
    <row r="5454" customFormat="false" ht="12.8" hidden="false" customHeight="false" outlineLevel="0" collapsed="false"/>
    <row r="5455" customFormat="false" ht="12.8" hidden="false" customHeight="false" outlineLevel="0" collapsed="false"/>
    <row r="5456" customFormat="false" ht="12.8" hidden="false" customHeight="false" outlineLevel="0" collapsed="false"/>
    <row r="5457" customFormat="false" ht="12.8" hidden="false" customHeight="false" outlineLevel="0" collapsed="false"/>
    <row r="5458" customFormat="false" ht="12.8" hidden="false" customHeight="false" outlineLevel="0" collapsed="false"/>
    <row r="5459" customFormat="false" ht="12.8" hidden="false" customHeight="false" outlineLevel="0" collapsed="false"/>
    <row r="5460" customFormat="false" ht="12.8" hidden="false" customHeight="false" outlineLevel="0" collapsed="false"/>
    <row r="5461" customFormat="false" ht="12.8" hidden="false" customHeight="false" outlineLevel="0" collapsed="false"/>
    <row r="5462" customFormat="false" ht="12.8" hidden="false" customHeight="false" outlineLevel="0" collapsed="false"/>
    <row r="5463" customFormat="false" ht="12.8" hidden="false" customHeight="false" outlineLevel="0" collapsed="false"/>
    <row r="5464" customFormat="false" ht="12.8" hidden="false" customHeight="false" outlineLevel="0" collapsed="false"/>
    <row r="5465" customFormat="false" ht="12.8" hidden="false" customHeight="false" outlineLevel="0" collapsed="false"/>
    <row r="5466" customFormat="false" ht="12.8" hidden="false" customHeight="false" outlineLevel="0" collapsed="false"/>
    <row r="5467" customFormat="false" ht="12.8" hidden="false" customHeight="false" outlineLevel="0" collapsed="false"/>
    <row r="5468" customFormat="false" ht="12.8" hidden="false" customHeight="false" outlineLevel="0" collapsed="false"/>
    <row r="5469" customFormat="false" ht="12.8" hidden="false" customHeight="false" outlineLevel="0" collapsed="false"/>
    <row r="5470" customFormat="false" ht="12.8" hidden="false" customHeight="false" outlineLevel="0" collapsed="false"/>
    <row r="5471" customFormat="false" ht="12.8" hidden="false" customHeight="false" outlineLevel="0" collapsed="false"/>
    <row r="5472" customFormat="false" ht="12.8" hidden="false" customHeight="false" outlineLevel="0" collapsed="false"/>
    <row r="5473" customFormat="false" ht="12.8" hidden="false" customHeight="false" outlineLevel="0" collapsed="false"/>
    <row r="5474" customFormat="false" ht="12.8" hidden="false" customHeight="false" outlineLevel="0" collapsed="false"/>
    <row r="5475" customFormat="false" ht="12.8" hidden="false" customHeight="false" outlineLevel="0" collapsed="false"/>
    <row r="5476" customFormat="false" ht="12.8" hidden="false" customHeight="false" outlineLevel="0" collapsed="false"/>
    <row r="5477" customFormat="false" ht="12.8" hidden="false" customHeight="false" outlineLevel="0" collapsed="false"/>
    <row r="5478" customFormat="false" ht="12.8" hidden="false" customHeight="false" outlineLevel="0" collapsed="false"/>
    <row r="5479" customFormat="false" ht="12.8" hidden="false" customHeight="false" outlineLevel="0" collapsed="false"/>
    <row r="5480" customFormat="false" ht="12.8" hidden="false" customHeight="false" outlineLevel="0" collapsed="false"/>
    <row r="5481" customFormat="false" ht="12.8" hidden="false" customHeight="false" outlineLevel="0" collapsed="false"/>
    <row r="5482" customFormat="false" ht="12.8" hidden="false" customHeight="false" outlineLevel="0" collapsed="false"/>
    <row r="5483" customFormat="false" ht="12.8" hidden="false" customHeight="false" outlineLevel="0" collapsed="false"/>
    <row r="5484" customFormat="false" ht="12.8" hidden="false" customHeight="false" outlineLevel="0" collapsed="false"/>
    <row r="5485" customFormat="false" ht="12.8" hidden="false" customHeight="false" outlineLevel="0" collapsed="false"/>
    <row r="5486" customFormat="false" ht="12.8" hidden="false" customHeight="false" outlineLevel="0" collapsed="false"/>
    <row r="5487" customFormat="false" ht="12.8" hidden="false" customHeight="false" outlineLevel="0" collapsed="false"/>
    <row r="5488" customFormat="false" ht="12.8" hidden="false" customHeight="false" outlineLevel="0" collapsed="false"/>
    <row r="5489" customFormat="false" ht="12.8" hidden="false" customHeight="false" outlineLevel="0" collapsed="false"/>
    <row r="5490" customFormat="false" ht="12.8" hidden="false" customHeight="false" outlineLevel="0" collapsed="false"/>
    <row r="5491" customFormat="false" ht="12.8" hidden="false" customHeight="false" outlineLevel="0" collapsed="false"/>
    <row r="5492" customFormat="false" ht="12.8" hidden="false" customHeight="false" outlineLevel="0" collapsed="false"/>
    <row r="5493" customFormat="false" ht="12.8" hidden="false" customHeight="false" outlineLevel="0" collapsed="false"/>
    <row r="5494" customFormat="false" ht="12.8" hidden="false" customHeight="false" outlineLevel="0" collapsed="false"/>
    <row r="5495" customFormat="false" ht="12.8" hidden="false" customHeight="false" outlineLevel="0" collapsed="false"/>
    <row r="5496" customFormat="false" ht="12.8" hidden="false" customHeight="false" outlineLevel="0" collapsed="false"/>
    <row r="5497" customFormat="false" ht="12.8" hidden="false" customHeight="false" outlineLevel="0" collapsed="false"/>
    <row r="5498" customFormat="false" ht="12.8" hidden="false" customHeight="false" outlineLevel="0" collapsed="false"/>
    <row r="5499" customFormat="false" ht="12.8" hidden="false" customHeight="false" outlineLevel="0" collapsed="false"/>
    <row r="5500" customFormat="false" ht="12.8" hidden="false" customHeight="false" outlineLevel="0" collapsed="false"/>
    <row r="5501" customFormat="false" ht="12.8" hidden="false" customHeight="false" outlineLevel="0" collapsed="false"/>
    <row r="5502" customFormat="false" ht="12.8" hidden="false" customHeight="false" outlineLevel="0" collapsed="false"/>
    <row r="5503" customFormat="false" ht="12.8" hidden="false" customHeight="false" outlineLevel="0" collapsed="false"/>
    <row r="5504" customFormat="false" ht="12.8" hidden="false" customHeight="false" outlineLevel="0" collapsed="false"/>
    <row r="5505" customFormat="false" ht="12.8" hidden="false" customHeight="false" outlineLevel="0" collapsed="false"/>
    <row r="5506" customFormat="false" ht="12.8" hidden="false" customHeight="false" outlineLevel="0" collapsed="false"/>
    <row r="5507" customFormat="false" ht="12.8" hidden="false" customHeight="false" outlineLevel="0" collapsed="false"/>
    <row r="5508" customFormat="false" ht="12.8" hidden="false" customHeight="false" outlineLevel="0" collapsed="false"/>
    <row r="5509" customFormat="false" ht="12.8" hidden="false" customHeight="false" outlineLevel="0" collapsed="false"/>
    <row r="5510" customFormat="false" ht="12.8" hidden="false" customHeight="false" outlineLevel="0" collapsed="false"/>
    <row r="5511" customFormat="false" ht="12.8" hidden="false" customHeight="false" outlineLevel="0" collapsed="false"/>
    <row r="5512" customFormat="false" ht="12.8" hidden="false" customHeight="false" outlineLevel="0" collapsed="false"/>
    <row r="5513" customFormat="false" ht="12.8" hidden="false" customHeight="false" outlineLevel="0" collapsed="false"/>
    <row r="5514" customFormat="false" ht="12.8" hidden="false" customHeight="false" outlineLevel="0" collapsed="false"/>
    <row r="5515" customFormat="false" ht="12.8" hidden="false" customHeight="false" outlineLevel="0" collapsed="false"/>
    <row r="5516" customFormat="false" ht="12.8" hidden="false" customHeight="false" outlineLevel="0" collapsed="false"/>
    <row r="5517" customFormat="false" ht="12.8" hidden="false" customHeight="false" outlineLevel="0" collapsed="false"/>
    <row r="5518" customFormat="false" ht="12.8" hidden="false" customHeight="false" outlineLevel="0" collapsed="false"/>
    <row r="5519" customFormat="false" ht="12.8" hidden="false" customHeight="false" outlineLevel="0" collapsed="false"/>
    <row r="5520" customFormat="false" ht="12.8" hidden="false" customHeight="false" outlineLevel="0" collapsed="false"/>
    <row r="5521" customFormat="false" ht="12.8" hidden="false" customHeight="false" outlineLevel="0" collapsed="false"/>
    <row r="5522" customFormat="false" ht="12.8" hidden="false" customHeight="false" outlineLevel="0" collapsed="false"/>
    <row r="5523" customFormat="false" ht="12.8" hidden="false" customHeight="false" outlineLevel="0" collapsed="false"/>
    <row r="5524" customFormat="false" ht="12.8" hidden="false" customHeight="false" outlineLevel="0" collapsed="false"/>
    <row r="5525" customFormat="false" ht="12.8" hidden="false" customHeight="false" outlineLevel="0" collapsed="false"/>
    <row r="5526" customFormat="false" ht="12.8" hidden="false" customHeight="false" outlineLevel="0" collapsed="false"/>
    <row r="5527" customFormat="false" ht="12.8" hidden="false" customHeight="false" outlineLevel="0" collapsed="false"/>
    <row r="5528" customFormat="false" ht="12.8" hidden="false" customHeight="false" outlineLevel="0" collapsed="false"/>
    <row r="5529" customFormat="false" ht="12.8" hidden="false" customHeight="false" outlineLevel="0" collapsed="false"/>
    <row r="5530" customFormat="false" ht="12.8" hidden="false" customHeight="false" outlineLevel="0" collapsed="false"/>
    <row r="5531" customFormat="false" ht="12.8" hidden="false" customHeight="false" outlineLevel="0" collapsed="false"/>
    <row r="5532" customFormat="false" ht="12.8" hidden="false" customHeight="false" outlineLevel="0" collapsed="false"/>
    <row r="5533" customFormat="false" ht="12.8" hidden="false" customHeight="false" outlineLevel="0" collapsed="false"/>
    <row r="5534" customFormat="false" ht="12.8" hidden="false" customHeight="false" outlineLevel="0" collapsed="false"/>
    <row r="5535" customFormat="false" ht="12.8" hidden="false" customHeight="false" outlineLevel="0" collapsed="false"/>
    <row r="5536" customFormat="false" ht="12.8" hidden="false" customHeight="false" outlineLevel="0" collapsed="false"/>
    <row r="5537" customFormat="false" ht="12.8" hidden="false" customHeight="false" outlineLevel="0" collapsed="false"/>
    <row r="5538" customFormat="false" ht="12.8" hidden="false" customHeight="false" outlineLevel="0" collapsed="false"/>
    <row r="5539" customFormat="false" ht="12.8" hidden="false" customHeight="false" outlineLevel="0" collapsed="false"/>
    <row r="5540" customFormat="false" ht="12.8" hidden="false" customHeight="false" outlineLevel="0" collapsed="false"/>
    <row r="5541" customFormat="false" ht="12.8" hidden="false" customHeight="false" outlineLevel="0" collapsed="false"/>
    <row r="5542" customFormat="false" ht="12.8" hidden="false" customHeight="false" outlineLevel="0" collapsed="false"/>
    <row r="5543" customFormat="false" ht="12.8" hidden="false" customHeight="false" outlineLevel="0" collapsed="false"/>
    <row r="5544" customFormat="false" ht="12.8" hidden="false" customHeight="false" outlineLevel="0" collapsed="false"/>
    <row r="5545" customFormat="false" ht="12.8" hidden="false" customHeight="false" outlineLevel="0" collapsed="false"/>
    <row r="5546" customFormat="false" ht="12.8" hidden="false" customHeight="false" outlineLevel="0" collapsed="false"/>
    <row r="5547" customFormat="false" ht="12.8" hidden="false" customHeight="false" outlineLevel="0" collapsed="false"/>
    <row r="5548" customFormat="false" ht="12.8" hidden="false" customHeight="false" outlineLevel="0" collapsed="false"/>
    <row r="5549" customFormat="false" ht="12.8" hidden="false" customHeight="false" outlineLevel="0" collapsed="false"/>
    <row r="5550" customFormat="false" ht="12.8" hidden="false" customHeight="false" outlineLevel="0" collapsed="false"/>
    <row r="5551" customFormat="false" ht="12.8" hidden="false" customHeight="false" outlineLevel="0" collapsed="false"/>
    <row r="5552" customFormat="false" ht="12.8" hidden="false" customHeight="false" outlineLevel="0" collapsed="false"/>
    <row r="5553" customFormat="false" ht="12.8" hidden="false" customHeight="false" outlineLevel="0" collapsed="false"/>
    <row r="5554" customFormat="false" ht="12.8" hidden="false" customHeight="false" outlineLevel="0" collapsed="false"/>
    <row r="5555" customFormat="false" ht="12.8" hidden="false" customHeight="false" outlineLevel="0" collapsed="false"/>
    <row r="5556" customFormat="false" ht="12.8" hidden="false" customHeight="false" outlineLevel="0" collapsed="false"/>
    <row r="5557" customFormat="false" ht="12.8" hidden="false" customHeight="false" outlineLevel="0" collapsed="false"/>
    <row r="5558" customFormat="false" ht="12.8" hidden="false" customHeight="false" outlineLevel="0" collapsed="false"/>
    <row r="5559" customFormat="false" ht="12.8" hidden="false" customHeight="false" outlineLevel="0" collapsed="false"/>
    <row r="5560" customFormat="false" ht="12.8" hidden="false" customHeight="false" outlineLevel="0" collapsed="false"/>
    <row r="5561" customFormat="false" ht="12.8" hidden="false" customHeight="false" outlineLevel="0" collapsed="false"/>
    <row r="5562" customFormat="false" ht="12.8" hidden="false" customHeight="false" outlineLevel="0" collapsed="false"/>
    <row r="5563" customFormat="false" ht="12.8" hidden="false" customHeight="false" outlineLevel="0" collapsed="false"/>
    <row r="5564" customFormat="false" ht="12.8" hidden="false" customHeight="false" outlineLevel="0" collapsed="false"/>
    <row r="5565" customFormat="false" ht="12.8" hidden="false" customHeight="false" outlineLevel="0" collapsed="false"/>
    <row r="5566" customFormat="false" ht="12.8" hidden="false" customHeight="false" outlineLevel="0" collapsed="false"/>
    <row r="5567" customFormat="false" ht="12.8" hidden="false" customHeight="false" outlineLevel="0" collapsed="false"/>
    <row r="5568" customFormat="false" ht="12.8" hidden="false" customHeight="false" outlineLevel="0" collapsed="false"/>
    <row r="5569" customFormat="false" ht="12.8" hidden="false" customHeight="false" outlineLevel="0" collapsed="false"/>
    <row r="5570" customFormat="false" ht="12.8" hidden="false" customHeight="false" outlineLevel="0" collapsed="false"/>
    <row r="5571" customFormat="false" ht="12.8" hidden="false" customHeight="false" outlineLevel="0" collapsed="false"/>
    <row r="5572" customFormat="false" ht="12.8" hidden="false" customHeight="false" outlineLevel="0" collapsed="false"/>
    <row r="5573" customFormat="false" ht="12.8" hidden="false" customHeight="false" outlineLevel="0" collapsed="false"/>
    <row r="5574" customFormat="false" ht="12.8" hidden="false" customHeight="false" outlineLevel="0" collapsed="false"/>
    <row r="5575" customFormat="false" ht="12.8" hidden="false" customHeight="false" outlineLevel="0" collapsed="false"/>
    <row r="5576" customFormat="false" ht="12.8" hidden="false" customHeight="false" outlineLevel="0" collapsed="false"/>
    <row r="5577" customFormat="false" ht="12.8" hidden="false" customHeight="false" outlineLevel="0" collapsed="false"/>
    <row r="5578" customFormat="false" ht="12.8" hidden="false" customHeight="false" outlineLevel="0" collapsed="false"/>
    <row r="5579" customFormat="false" ht="12.8" hidden="false" customHeight="false" outlineLevel="0" collapsed="false"/>
    <row r="5580" customFormat="false" ht="12.8" hidden="false" customHeight="false" outlineLevel="0" collapsed="false"/>
    <row r="5581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2450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2023-11-14T15:09:36Z</dcterms:created>
  <dc:creator/>
  <dc:description/>
  <dc:language>en-US</dc:language>
  <cp:lastModifiedBy/>
  <dcterms:modified xsi:type="dcterms:W3CDTF">2024-05-16T11:12:11Z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